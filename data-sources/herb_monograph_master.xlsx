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xml" ContentType="application/vnd.openxmlformats-officedocument.spreadsheetml.table+xml"/>
  <Override PartName="/xl/worksheets/sheet24.xml" ContentType="application/vnd.openxmlformats-officedocument.spreadsheetml.worksheet+xml"/>
  <Override PartName="/xl/tables/table2.xml" ContentType="application/vnd.openxmlformats-officedocument.spreadsheetml.table+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Herb Monographs" sheetId="2" state="visible" r:id="rId2"/>
    <sheet xmlns:r="http://schemas.openxmlformats.org/officeDocument/2006/relationships" name="Compound Master V3" sheetId="3" state="visible" r:id="rId3"/>
    <sheet xmlns:r="http://schemas.openxmlformats.org/officeDocument/2006/relationships" name="Herb Compound Map V3" sheetId="4" state="visible" r:id="rId4"/>
    <sheet xmlns:r="http://schemas.openxmlformats.org/officeDocument/2006/relationships" name="Herb Enrichment Queue V3" sheetId="5" state="visible" r:id="rId5"/>
    <sheet xmlns:r="http://schemas.openxmlformats.org/officeDocument/2006/relationships" name="Pathway Index" sheetId="6" state="visible" r:id="rId6"/>
    <sheet xmlns:r="http://schemas.openxmlformats.org/officeDocument/2006/relationships" name="Pathway Index V2" sheetId="7" state="visible" r:id="rId7"/>
    <sheet xmlns:r="http://schemas.openxmlformats.org/officeDocument/2006/relationships" name="Compound Pathway Map V2" sheetId="8" state="visible" r:id="rId8"/>
    <sheet xmlns:r="http://schemas.openxmlformats.org/officeDocument/2006/relationships" name="Goal Bundle Output V1" sheetId="9" state="visible" r:id="rId9"/>
    <sheet xmlns:r="http://schemas.openxmlformats.org/officeDocument/2006/relationships" name="Top Picks V1" sheetId="10" state="visible" r:id="rId10"/>
    <sheet xmlns:r="http://schemas.openxmlformats.org/officeDocument/2006/relationships" name="Production Export V1" sheetId="11" state="visible" r:id="rId11"/>
    <sheet xmlns:r="http://schemas.openxmlformats.org/officeDocument/2006/relationships" name="Pass 6 Audit" sheetId="12" state="visible" r:id="rId12"/>
    <sheet xmlns:r="http://schemas.openxmlformats.org/officeDocument/2006/relationships" name="Pass 7 Audit" sheetId="13" state="visible" r:id="rId13"/>
    <sheet xmlns:r="http://schemas.openxmlformats.org/officeDocument/2006/relationships" name="Pass 8 Audit" sheetId="14" state="visible" r:id="rId14"/>
    <sheet xmlns:r="http://schemas.openxmlformats.org/officeDocument/2006/relationships" name="Pass 9 Audit" sheetId="15" state="visible" r:id="rId15"/>
    <sheet xmlns:r="http://schemas.openxmlformats.org/officeDocument/2006/relationships" name="Herb Pharmacology Scores V1" sheetId="16" state="visible" r:id="rId16"/>
    <sheet xmlns:r="http://schemas.openxmlformats.org/officeDocument/2006/relationships" name="Pass 10 Audit" sheetId="17" state="visible" r:id="rId17"/>
    <sheet xmlns:r="http://schemas.openxmlformats.org/officeDocument/2006/relationships" name="Pass 11 Audit" sheetId="18" state="visible" r:id="rId18"/>
    <sheet xmlns:r="http://schemas.openxmlformats.org/officeDocument/2006/relationships" name="Pass 12 Audit" sheetId="19" state="visible" r:id="rId19"/>
    <sheet xmlns:r="http://schemas.openxmlformats.org/officeDocument/2006/relationships" name="Pass 13 Name Map" sheetId="20" state="visible" r:id="rId20"/>
    <sheet xmlns:r="http://schemas.openxmlformats.org/officeDocument/2006/relationships" name="Pass 13 Audit" sheetId="21" state="visible" r:id="rId21"/>
    <sheet xmlns:r="http://schemas.openxmlformats.org/officeDocument/2006/relationships" name="Pass 14 Audit" sheetId="22" state="visible" r:id="rId22"/>
    <sheet xmlns:r="http://schemas.openxmlformats.org/officeDocument/2006/relationships" name="Synergy Engine V1" sheetId="23" state="visible" r:id="rId23"/>
    <sheet xmlns:r="http://schemas.openxmlformats.org/officeDocument/2006/relationships" name="Top Blend Candidates V1" sheetId="24" state="visible" r:id="rId24"/>
    <sheet xmlns:r="http://schemas.openxmlformats.org/officeDocument/2006/relationships" name="Pass 15 Audit" sheetId="25" state="visible" r:id="rId25"/>
    <sheet xmlns:r="http://schemas.openxmlformats.org/officeDocument/2006/relationships" name="Synergy Engine V2" sheetId="26" state="visible" r:id="rId26"/>
    <sheet xmlns:r="http://schemas.openxmlformats.org/officeDocument/2006/relationships" name="3-Herb Stack Engine V1" sheetId="27" state="visible" r:id="rId27"/>
    <sheet xmlns:r="http://schemas.openxmlformats.org/officeDocument/2006/relationships" name="Top Stack Candidates V1" sheetId="28" state="visible" r:id="rId28"/>
    <sheet xmlns:r="http://schemas.openxmlformats.org/officeDocument/2006/relationships" name="Pass 16 Audit" sheetId="29" state="visible" r:id="rId29"/>
    <sheet xmlns:r="http://schemas.openxmlformats.org/officeDocument/2006/relationships" name="Filtered Stack Candidates V1" sheetId="30" state="visible" r:id="rId30"/>
    <sheet xmlns:r="http://schemas.openxmlformats.org/officeDocument/2006/relationships" name="Focus Pack V1" sheetId="31" state="visible" r:id="rId31"/>
    <sheet xmlns:r="http://schemas.openxmlformats.org/officeDocument/2006/relationships" name="Stress Pack V1" sheetId="32" state="visible" r:id="rId32"/>
    <sheet xmlns:r="http://schemas.openxmlformats.org/officeDocument/2006/relationships" name="Recovery Pack V1" sheetId="33" state="visible" r:id="rId33"/>
    <sheet xmlns:r="http://schemas.openxmlformats.org/officeDocument/2006/relationships" name="Metabolic Support Pack V1" sheetId="34" state="visible" r:id="rId34"/>
    <sheet xmlns:r="http://schemas.openxmlformats.org/officeDocument/2006/relationships" name="Circulation Pack V1" sheetId="35" state="visible" r:id="rId35"/>
    <sheet xmlns:r="http://schemas.openxmlformats.org/officeDocument/2006/relationships" name="General Pack V1" sheetId="36" state="visible" r:id="rId36"/>
    <sheet xmlns:r="http://schemas.openxmlformats.org/officeDocument/2006/relationships" name="Pass 17 Audit" sheetId="37" state="visible" r:id="rId37"/>
    <sheet xmlns:r="http://schemas.openxmlformats.org/officeDocument/2006/relationships" name="Pass 18 Audit" sheetId="38" state="visible" r:id="rId38"/>
    <sheet xmlns:r="http://schemas.openxmlformats.org/officeDocument/2006/relationships" name="Product Stack Outputs V1" sheetId="39" state="visible" r:id="rId39"/>
    <sheet xmlns:r="http://schemas.openxmlformats.org/officeDocument/2006/relationships" name="Pass 19 Audit" sheetId="40" state="visible" r:id="rId40"/>
    <sheet xmlns:r="http://schemas.openxmlformats.org/officeDocument/2006/relationships" name="Herb Safety &amp; Dosage V1" sheetId="41" state="visible" r:id="rId41"/>
    <sheet xmlns:r="http://schemas.openxmlformats.org/officeDocument/2006/relationships" name="Product Stack Outputs V3" sheetId="42" state="visible" r:id="rId42"/>
    <sheet xmlns:r="http://schemas.openxmlformats.org/officeDocument/2006/relationships" name="Pass 21 Audit" sheetId="43" state="visible" r:id="rId43"/>
    <sheet xmlns:r="http://schemas.openxmlformats.org/officeDocument/2006/relationships" name="Product Stack Outputs V4" sheetId="44" state="visible" r:id="rId44"/>
    <sheet xmlns:r="http://schemas.openxmlformats.org/officeDocument/2006/relationships" name="Pass 22 Audit" sheetId="45" state="visible" r:id="rId45"/>
    <sheet xmlns:r="http://schemas.openxmlformats.org/officeDocument/2006/relationships" name="Product Stack Outputs V5" sheetId="46" state="visible" r:id="rId46"/>
    <sheet xmlns:r="http://schemas.openxmlformats.org/officeDocument/2006/relationships" name="Pass 23 Audit" sheetId="47" state="visible" r:id="rId47"/>
    <sheet xmlns:r="http://schemas.openxmlformats.org/officeDocument/2006/relationships" name="Product Stack Outputs V6" sheetId="48" state="visible" r:id="rId48"/>
    <sheet xmlns:r="http://schemas.openxmlformats.org/officeDocument/2006/relationships" name="Pass 24 Audit" sheetId="49" state="visible" r:id="rId49"/>
    <sheet xmlns:r="http://schemas.openxmlformats.org/officeDocument/2006/relationships" name="Product Definitions V1" sheetId="50" state="visible" r:id="rId50"/>
    <sheet xmlns:r="http://schemas.openxmlformats.org/officeDocument/2006/relationships" name="Pass 25 Audit" sheetId="51" state="visible" r:id="rId51"/>
    <sheet xmlns:r="http://schemas.openxmlformats.org/officeDocument/2006/relationships" name="Pass 26 Audit" sheetId="52" state="visible" r:id="rId52"/>
    <sheet xmlns:r="http://schemas.openxmlformats.org/officeDocument/2006/relationships" name="Pass 27 Name Map" sheetId="53" state="visible" r:id="rId53"/>
    <sheet xmlns:r="http://schemas.openxmlformats.org/officeDocument/2006/relationships" name="Pass 27 Audit" sheetId="54" state="visible" r:id="rId54"/>
    <sheet xmlns:r="http://schemas.openxmlformats.org/officeDocument/2006/relationships" name="Pass 28 Audit" sheetId="55" state="visible" r:id="rId55"/>
    <sheet xmlns:r="http://schemas.openxmlformats.org/officeDocument/2006/relationships" name="Pass 29 Audit" sheetId="56" state="visible" r:id="rId56"/>
    <sheet xmlns:r="http://schemas.openxmlformats.org/officeDocument/2006/relationships" name="Herb Similarity Engine V1" sheetId="57" state="visible" r:id="rId57"/>
    <sheet xmlns:r="http://schemas.openxmlformats.org/officeDocument/2006/relationships" name="Top Herb Relationships V1" sheetId="58" state="visible" r:id="rId58"/>
    <sheet xmlns:r="http://schemas.openxmlformats.org/officeDocument/2006/relationships" name="Pathway Cluster Summary V1" sheetId="59" state="visible" r:id="rId59"/>
    <sheet xmlns:r="http://schemas.openxmlformats.org/officeDocument/2006/relationships" name="Pass 31 Audit" sheetId="60" state="visible" r:id="rId60"/>
    <sheet xmlns:r="http://schemas.openxmlformats.org/officeDocument/2006/relationships" name="Herb Similarity Engine V2" sheetId="61" state="visible" r:id="rId61"/>
    <sheet xmlns:r="http://schemas.openxmlformats.org/officeDocument/2006/relationships" name="Herb Substitute Engine V1" sheetId="62" state="visible" r:id="rId62"/>
    <sheet xmlns:r="http://schemas.openxmlformats.org/officeDocument/2006/relationships" name="Pathway Cluster Summary V2" sheetId="63" state="visible" r:id="rId63"/>
    <sheet xmlns:r="http://schemas.openxmlformats.org/officeDocument/2006/relationships" name="Pass 32 Audit" sheetId="64" state="visible" r:id="rId64"/>
    <sheet xmlns:r="http://schemas.openxmlformats.org/officeDocument/2006/relationships" name="Fallback Replacement Engine V1" sheetId="65" state="visible" r:id="rId65"/>
    <sheet xmlns:r="http://schemas.openxmlformats.org/officeDocument/2006/relationships" name="Restricted Herb Replacements V1" sheetId="66" state="visible" r:id="rId66"/>
    <sheet xmlns:r="http://schemas.openxmlformats.org/officeDocument/2006/relationships" name="Pass 33 Audit" sheetId="67" state="visible" r:id="rId67"/>
    <sheet xmlns:r="http://schemas.openxmlformats.org/officeDocument/2006/relationships" name="Stack Auto-Repair Engine V1" sheetId="68" state="visible" r:id="rId68"/>
    <sheet xmlns:r="http://schemas.openxmlformats.org/officeDocument/2006/relationships" name="Repaired Stack Candidates V1" sheetId="69" state="visible" r:id="rId69"/>
    <sheet xmlns:r="http://schemas.openxmlformats.org/officeDocument/2006/relationships" name="Pass 34 Audit" sheetId="70" state="visible" r:id="rId70"/>
    <sheet xmlns:r="http://schemas.openxmlformats.org/officeDocument/2006/relationships" name="Stack Auto-Repair Engine V2" sheetId="71" state="visible" r:id="rId71"/>
    <sheet xmlns:r="http://schemas.openxmlformats.org/officeDocument/2006/relationships" name="Repaired Stack Candidates V2" sheetId="72" state="visible" r:id="rId72"/>
    <sheet xmlns:r="http://schemas.openxmlformats.org/officeDocument/2006/relationships" name="Pass 35 Audit" sheetId="73" state="visible" r:id="rId73"/>
    <sheet xmlns:r="http://schemas.openxmlformats.org/officeDocument/2006/relationships" name="Advanced Stack Generator V1" sheetId="74" state="visible" r:id="rId74"/>
    <sheet xmlns:r="http://schemas.openxmlformats.org/officeDocument/2006/relationships" name="Advanced Stack Candidates V1" sheetId="75" state="visible" r:id="rId75"/>
    <sheet xmlns:r="http://schemas.openxmlformats.org/officeDocument/2006/relationships" name="Pass 36 Audit" sheetId="76" state="visible" r:id="rId76"/>
    <sheet xmlns:r="http://schemas.openxmlformats.org/officeDocument/2006/relationships" name="Category Strategy Matrix V1" sheetId="77" state="visible" r:id="rId77"/>
    <sheet xmlns:r="http://schemas.openxmlformats.org/officeDocument/2006/relationships" name="Pass 37 Audit" sheetId="78" state="visible" r:id="rId78"/>
    <sheet xmlns:r="http://schemas.openxmlformats.org/officeDocument/2006/relationships" name="Category Reinforcement Engine V1" sheetId="79" state="visible" r:id="rId79"/>
    <sheet xmlns:r="http://schemas.openxmlformats.org/officeDocument/2006/relationships" name="Pass 38 Audit" sheetId="80" state="visible" r:id="rId80"/>
    <sheet xmlns:r="http://schemas.openxmlformats.org/officeDocument/2006/relationships" name="Reinforcement Intake V1" sheetId="81" state="visible" r:id="rId81"/>
    <sheet xmlns:r="http://schemas.openxmlformats.org/officeDocument/2006/relationships" name="Pass 39 Audit" sheetId="82" state="visible" r:id="rId82"/>
    <sheet xmlns:r="http://schemas.openxmlformats.org/officeDocument/2006/relationships" name="Pass 40 Audit" sheetId="83" state="visible" r:id="rId83"/>
    <sheet xmlns:r="http://schemas.openxmlformats.org/officeDocument/2006/relationships" name="Category Strategy Matrix V2" sheetId="84" state="visible" r:id="rId84"/>
    <sheet xmlns:r="http://schemas.openxmlformats.org/officeDocument/2006/relationships" name="Pass 41 Audit" sheetId="85" state="visible" r:id="rId85"/>
    <sheet xmlns:r="http://schemas.openxmlformats.org/officeDocument/2006/relationships" name="Category Strategy Matrix V3" sheetId="86" state="visible" r:id="rId86"/>
    <sheet xmlns:r="http://schemas.openxmlformats.org/officeDocument/2006/relationships" name="Pass 42 Audit" sheetId="87" state="visible" r:id="rId87"/>
    <sheet xmlns:r="http://schemas.openxmlformats.org/officeDocument/2006/relationships" name="Category Strategy Matrix V4" sheetId="88" state="visible" r:id="rId88"/>
    <sheet xmlns:r="http://schemas.openxmlformats.org/officeDocument/2006/relationships" name="Pass 43 Audit" sheetId="89" state="visible" r:id="rId89"/>
    <sheet xmlns:r="http://schemas.openxmlformats.org/officeDocument/2006/relationships" name="Pass 44 Audit" sheetId="90" state="visible" r:id="rId90"/>
    <sheet xmlns:r="http://schemas.openxmlformats.org/officeDocument/2006/relationships" name="Pass 45 Audit" sheetId="91" state="visible" r:id="rId91"/>
    <sheet xmlns:r="http://schemas.openxmlformats.org/officeDocument/2006/relationships" name="Pass 46 Audit" sheetId="92" state="visible" r:id="rId92"/>
    <sheet xmlns:r="http://schemas.openxmlformats.org/officeDocument/2006/relationships" name="Pass 47 Audit" sheetId="93" state="visible" r:id="rId93"/>
    <sheet xmlns:r="http://schemas.openxmlformats.org/officeDocument/2006/relationships" name="Herb Score Rollup V1" sheetId="94" state="visible" r:id="rId94"/>
    <sheet xmlns:r="http://schemas.openxmlformats.org/officeDocument/2006/relationships" name="Pass 48 Audit" sheetId="95" state="visible" r:id="rId95"/>
    <sheet xmlns:r="http://schemas.openxmlformats.org/officeDocument/2006/relationships" name="Pass 49 Audit" sheetId="96" state="visible" r:id="rId96"/>
    <sheet xmlns:r="http://schemas.openxmlformats.org/officeDocument/2006/relationships" name="Publishable Stack Tiers V1" sheetId="97" state="visible" r:id="rId97"/>
    <sheet xmlns:r="http://schemas.openxmlformats.org/officeDocument/2006/relationships" name="Pass 50 Audit" sheetId="98" state="visible" r:id="rId98"/>
    <sheet xmlns:r="http://schemas.openxmlformats.org/officeDocument/2006/relationships" name="Publishable Stack Tiers V2" sheetId="99" state="visible" r:id="rId99"/>
    <sheet xmlns:r="http://schemas.openxmlformats.org/officeDocument/2006/relationships" name="Pass 51 Audit" sheetId="100" state="visible" r:id="rId100"/>
    <sheet xmlns:r="http://schemas.openxmlformats.org/officeDocument/2006/relationships" name="Generated Stacks V1" sheetId="101" state="visible" r:id="rId101"/>
    <sheet xmlns:r="http://schemas.openxmlformats.org/officeDocument/2006/relationships" name="Pass 52 Audit" sheetId="102" state="visible" r:id="rId102"/>
    <sheet xmlns:r="http://schemas.openxmlformats.org/officeDocument/2006/relationships" name="Generated Stacks V2" sheetId="103" state="visible" r:id="rId103"/>
    <sheet xmlns:r="http://schemas.openxmlformats.org/officeDocument/2006/relationships" name="Top Stacks V1" sheetId="104" state="visible" r:id="rId104"/>
    <sheet xmlns:r="http://schemas.openxmlformats.org/officeDocument/2006/relationships" name="Pass 53 Audit" sheetId="105" state="visible" r:id="rId105"/>
    <sheet xmlns:r="http://schemas.openxmlformats.org/officeDocument/2006/relationships" name="Generated Stacks V3" sheetId="106" state="visible" r:id="rId106"/>
    <sheet xmlns:r="http://schemas.openxmlformats.org/officeDocument/2006/relationships" name="Pass 54 Audit" sheetId="107" state="visible" r:id="rId107"/>
    <sheet xmlns:r="http://schemas.openxmlformats.org/officeDocument/2006/relationships" name="Generated Stacks V4" sheetId="108" state="visible" r:id="rId108"/>
    <sheet xmlns:r="http://schemas.openxmlformats.org/officeDocument/2006/relationships" name="Top Stacks V2" sheetId="109" state="visible" r:id="rId109"/>
    <sheet xmlns:r="http://schemas.openxmlformats.org/officeDocument/2006/relationships" name="Pass 55 Audit" sheetId="110" state="visible" r:id="rId110"/>
    <sheet xmlns:r="http://schemas.openxmlformats.org/officeDocument/2006/relationships" name="Publishable Stacks V1" sheetId="111" state="visible" r:id="rId111"/>
    <sheet xmlns:r="http://schemas.openxmlformats.org/officeDocument/2006/relationships" name="Pass 56 Audit" sheetId="112" state="visible" r:id="rId112"/>
  </sheets>
  <definedNames/>
</workbook>
</file>

<file path=xl/styles.xml><?xml version="1.0" encoding="utf-8"?>
<styleSheet xmlns="http://schemas.openxmlformats.org/spreadsheetml/2006/main">
  <numFmts count="1">
    <numFmt numFmtId="164" formatCode="0.0"/>
  </numFmts>
  <fonts count="8">
    <font>
      <name val="Carlito"/>
      <sz val="11"/>
    </font>
    <font>
      <name val="Carlito"/>
      <b val="1"/>
      <color rgb="00FFFFFF"/>
      <sz val="11"/>
    </font>
    <font>
      <name val="Carlito"/>
      <b val="1"/>
      <sz val="11"/>
    </font>
    <font>
      <b val="1"/>
    </font>
    <font>
      <b val="1"/>
      <sz val="14"/>
    </font>
    <font>
      <b val="1"/>
      <sz val="11"/>
    </font>
    <font>
      <name val="Carlito"/>
      <b val="1"/>
      <color rgb="00FFFFFF"/>
      <sz val="14"/>
    </font>
    <font>
      <name val="Carlito"/>
      <b val="1"/>
      <color rgb="001F1F1F"/>
      <sz val="11"/>
    </font>
  </fonts>
  <fills count="18">
    <fill>
      <patternFill/>
    </fill>
    <fill>
      <patternFill patternType="gray125"/>
    </fill>
    <fill>
      <patternFill patternType="solid">
        <fgColor rgb="001F4E3D"/>
      </patternFill>
    </fill>
    <fill>
      <patternFill patternType="solid">
        <fgColor rgb="001F2937"/>
      </patternFill>
    </fill>
    <fill>
      <patternFill patternType="solid">
        <fgColor rgb="000F766E"/>
      </patternFill>
    </fill>
    <fill>
      <patternFill patternType="solid">
        <fgColor rgb="00111827"/>
      </patternFill>
    </fill>
    <fill>
      <patternFill patternType="solid">
        <fgColor rgb="001F4E78"/>
      </patternFill>
    </fill>
    <fill>
      <patternFill patternType="solid">
        <fgColor rgb="00D9EAF7"/>
      </patternFill>
    </fill>
    <fill>
      <patternFill patternType="solid">
        <fgColor rgb="001F4E78"/>
      </patternFill>
    </fill>
    <fill>
      <patternFill patternType="solid">
        <fgColor rgb="000F172A"/>
      </patternFill>
    </fill>
    <fill>
      <patternFill patternType="solid">
        <fgColor rgb="00D9EAF7"/>
      </patternFill>
    </fill>
    <fill>
      <patternFill patternType="solid">
        <fgColor rgb="000F766E"/>
      </patternFill>
    </fill>
    <fill>
      <patternFill patternType="solid">
        <fgColor rgb="001D4ED8"/>
      </patternFill>
    </fill>
    <fill>
      <patternFill patternType="solid">
        <fgColor rgb="007C3AED"/>
      </patternFill>
    </fill>
    <fill>
      <patternFill patternType="solid">
        <fgColor rgb="001F4E78"/>
      </patternFill>
    </fill>
    <fill>
      <patternFill patternType="solid">
        <fgColor rgb="00274E13"/>
      </patternFill>
    </fill>
    <fill>
      <patternFill patternType="solid">
        <fgColor rgb="007F6000"/>
      </patternFill>
    </fill>
    <fill>
      <patternFill patternType="solid">
        <fgColor rgb="000B5394"/>
      </patternFill>
    </fill>
  </fills>
  <borders count="7">
    <border/>
    <border>
      <left>
        <color rgb="00D9E2F3"/>
      </left>
      <top>
        <color rgb="00D9E2F3"/>
      </top>
    </border>
    <border>
      <right>
        <color rgb="00D9E2F3"/>
      </right>
      <top>
        <color rgb="00D9E2F3"/>
      </top>
    </border>
    <border>
      <left>
        <color rgb="00D9E2F3"/>
      </left>
    </border>
    <border>
      <right>
        <color rgb="00D9E2F3"/>
      </right>
    </border>
    <border>
      <left>
        <color rgb="00D9E2F3"/>
      </left>
      <bottom>
        <color rgb="00D9E2F3"/>
      </bottom>
    </border>
    <border>
      <right>
        <color rgb="00D9E2F3"/>
      </right>
      <bottom>
        <color rgb="00D9E2F3"/>
      </bottom>
    </border>
  </borders>
  <cellStyleXfs count="1">
    <xf numFmtId="0" fontId="0" fillId="0" borderId="0"/>
  </cellStyleXfs>
  <cellXfs count="79">
    <xf numFmtId="0" fontId="0" fillId="0" borderId="0" pivotButton="0" quotePrefix="0" xfId="0"/>
    <xf numFmtId="0" fontId="0" fillId="2" borderId="0" pivotButton="0" quotePrefix="0" xfId="0"/>
    <xf numFmtId="0" fontId="1" fillId="2" borderId="0" pivotButton="0" quotePrefix="0" xfId="0"/>
    <xf numFmtId="0" fontId="1" fillId="3" borderId="0" pivotButton="0" quotePrefix="0" xfId="0"/>
    <xf numFmtId="0" fontId="1" fillId="3" borderId="0" applyAlignment="1" pivotButton="0" quotePrefix="0" xfId="0">
      <alignment wrapText="1"/>
    </xf>
    <xf numFmtId="0" fontId="1" fillId="3" borderId="0" applyAlignment="1" pivotButton="0" quotePrefix="0" xfId="0">
      <alignment horizontal="center" wrapText="1"/>
    </xf>
    <xf numFmtId="0" fontId="1" fillId="3" borderId="0" applyAlignment="1" pivotButton="0" quotePrefix="0" xfId="0">
      <alignment horizontal="center" vertical="center" wrapText="1"/>
    </xf>
    <xf numFmtId="0" fontId="0" fillId="0" borderId="0" applyAlignment="1" pivotButton="0" quotePrefix="0" xfId="0">
      <alignment wrapText="1"/>
    </xf>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1" fillId="4" borderId="0" applyAlignment="1" pivotButton="0" quotePrefix="0" xfId="0">
      <alignment horizontal="center" vertical="center" wrapText="1"/>
    </xf>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2" fillId="0" borderId="0" pivotButton="0" quotePrefix="0" xfId="0"/>
    <xf numFmtId="0" fontId="1" fillId="5" borderId="0" applyAlignment="1" pivotButton="0" quotePrefix="0" xfId="0">
      <alignment horizontal="center" vertical="center" wrapText="1"/>
    </xf>
    <xf numFmtId="0" fontId="2" fillId="0" borderId="0" applyAlignment="1" pivotButton="0" quotePrefix="0" xfId="0">
      <alignment wrapText="1"/>
    </xf>
    <xf numFmtId="0" fontId="1" fillId="6" borderId="0" applyAlignment="1" pivotButton="0" quotePrefix="0" xfId="0">
      <alignment horizontal="center" vertical="center" wrapText="1"/>
    </xf>
    <xf numFmtId="0" fontId="1" fillId="6" borderId="1" applyAlignment="1" pivotButton="0" quotePrefix="0" xfId="0">
      <alignment horizontal="center" vertical="center" wrapText="1"/>
    </xf>
    <xf numFmtId="0" fontId="1" fillId="6" borderId="2" applyAlignment="1" pivotButton="0" quotePrefix="0" xfId="0">
      <alignment horizontal="center" vertical="center" wrapText="1"/>
    </xf>
    <xf numFmtId="0" fontId="2" fillId="0" borderId="3" applyAlignment="1" pivotButton="0" quotePrefix="0" xfId="0">
      <alignment wrapText="1"/>
    </xf>
    <xf numFmtId="0" fontId="0" fillId="0" borderId="4" applyAlignment="1" pivotButton="0" quotePrefix="0" xfId="0">
      <alignment wrapText="1"/>
    </xf>
    <xf numFmtId="0" fontId="2" fillId="0" borderId="5" applyAlignment="1" pivotButton="0" quotePrefix="0" xfId="0">
      <alignment wrapText="1"/>
    </xf>
    <xf numFmtId="0" fontId="0" fillId="0" borderId="6" applyAlignment="1" pivotButton="0" quotePrefix="0" xfId="0">
      <alignment wrapText="1"/>
    </xf>
    <xf numFmtId="0" fontId="4" fillId="6" borderId="1" applyAlignment="1" pivotButton="0" quotePrefix="0" xfId="0">
      <alignment horizontal="center" vertical="center" wrapText="1"/>
    </xf>
    <xf numFmtId="0" fontId="5" fillId="0" borderId="3" applyAlignment="1" pivotButton="0" quotePrefix="0" xfId="0">
      <alignment wrapText="1"/>
    </xf>
    <xf numFmtId="0" fontId="5" fillId="0" borderId="5" applyAlignment="1" pivotButton="0" quotePrefix="0" xfId="0">
      <alignment wrapText="1"/>
    </xf>
    <xf numFmtId="0" fontId="5" fillId="0" borderId="0" pivotButton="0" quotePrefix="0" xfId="0"/>
    <xf numFmtId="0" fontId="3" fillId="0" borderId="0" pivotButton="0" quotePrefix="0" xfId="0"/>
    <xf numFmtId="0" fontId="3" fillId="7" borderId="0" applyAlignment="1" pivotButton="0" quotePrefix="0" xfId="0">
      <alignment horizontal="center"/>
    </xf>
    <xf numFmtId="0" fontId="3" fillId="0" borderId="3" applyAlignment="1" pivotButton="0" quotePrefix="0" xfId="0">
      <alignment wrapText="1"/>
    </xf>
    <xf numFmtId="0" fontId="3" fillId="0" borderId="5" applyAlignment="1" pivotButton="0" quotePrefix="0" xfId="0">
      <alignment wrapText="1"/>
    </xf>
    <xf numFmtId="0" fontId="0" fillId="8" borderId="0" pivotButton="0" quotePrefix="0" xfId="0"/>
    <xf numFmtId="0" fontId="1" fillId="8" borderId="0" pivotButton="0" quotePrefix="0" xfId="0"/>
    <xf numFmtId="0" fontId="1" fillId="8" borderId="0" applyAlignment="1" pivotButton="0" quotePrefix="0" xfId="0">
      <alignment horizontal="center"/>
    </xf>
    <xf numFmtId="0" fontId="1" fillId="8" borderId="0" applyAlignment="1" pivotButton="0" quotePrefix="0" xfId="0">
      <alignment horizontal="center" vertical="center"/>
    </xf>
    <xf numFmtId="0" fontId="0" fillId="9" borderId="0" pivotButton="0" quotePrefix="0" xfId="0"/>
    <xf numFmtId="0" fontId="6" fillId="9" borderId="0" pivotButton="0" quotePrefix="0" xfId="0"/>
    <xf numFmtId="0" fontId="6" fillId="9" borderId="0" applyAlignment="1" pivotButton="0" quotePrefix="0" xfId="0">
      <alignment horizontal="center"/>
    </xf>
    <xf numFmtId="0" fontId="6" fillId="9" borderId="0" applyAlignment="1" pivotButton="0" quotePrefix="0" xfId="0">
      <alignment horizontal="center" vertical="center"/>
    </xf>
    <xf numFmtId="0" fontId="0" fillId="10" borderId="0" pivotButton="0" quotePrefix="0" xfId="0"/>
    <xf numFmtId="0" fontId="7" fillId="10" borderId="0" pivotButton="0" quotePrefix="0" xfId="0"/>
    <xf numFmtId="0" fontId="7" fillId="10" borderId="0" applyAlignment="1" pivotButton="0" quotePrefix="0" xfId="0">
      <alignment horizontal="center"/>
    </xf>
    <xf numFmtId="0" fontId="7" fillId="10" borderId="0" applyAlignment="1" pivotButton="0" quotePrefix="0" xfId="0">
      <alignment horizontal="center" vertical="center"/>
    </xf>
    <xf numFmtId="0" fontId="0" fillId="0" borderId="0" applyAlignment="1" pivotButton="0" quotePrefix="0" xfId="0">
      <alignment wrapText="1"/>
    </xf>
    <xf numFmtId="0" fontId="1"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7" fillId="10" borderId="0" applyAlignment="1" pivotButton="0" quotePrefix="0" xfId="0">
      <alignment horizontal="center" vertical="center" wrapText="1"/>
    </xf>
    <xf numFmtId="164" fontId="0" fillId="0" borderId="0" pivotButton="0" quotePrefix="0" xfId="0"/>
    <xf numFmtId="164" fontId="0" fillId="0" borderId="0" applyAlignment="1" pivotButton="0" quotePrefix="0" xfId="0">
      <alignment wrapText="1"/>
    </xf>
    <xf numFmtId="164" fontId="7" fillId="10" borderId="0" applyAlignment="1" pivotButton="0" quotePrefix="0" xfId="0">
      <alignment horizontal="center" vertical="center" wrapText="1"/>
    </xf>
    <xf numFmtId="164" fontId="0" fillId="0" borderId="0" applyAlignment="1" pivotButton="0" quotePrefix="0" xfId="0">
      <alignment wrapText="1"/>
    </xf>
    <xf numFmtId="164" fontId="7" fillId="10" borderId="0" applyAlignment="1" pivotButton="0" quotePrefix="0" xfId="0">
      <alignment horizontal="center" vertical="center" wrapText="1"/>
    </xf>
    <xf numFmtId="164" fontId="0" fillId="0" borderId="0" pivotButton="0" quotePrefix="0" xfId="0"/>
    <xf numFmtId="0" fontId="0" fillId="11" borderId="0" pivotButton="0" quotePrefix="0" xfId="0"/>
    <xf numFmtId="0" fontId="1" fillId="11" borderId="0" pivotButton="0" quotePrefix="0" xfId="0"/>
    <xf numFmtId="0" fontId="1" fillId="11" borderId="0" applyAlignment="1" pivotButton="0" quotePrefix="0" xfId="0">
      <alignment horizontal="center"/>
    </xf>
    <xf numFmtId="0" fontId="1" fillId="11" borderId="0" applyAlignment="1" pivotButton="0" quotePrefix="0" xfId="0">
      <alignment horizontal="center" vertical="center"/>
    </xf>
    <xf numFmtId="0" fontId="0" fillId="0" borderId="0" applyAlignment="1" pivotButton="0" quotePrefix="0" xfId="0">
      <alignment wrapText="1"/>
    </xf>
    <xf numFmtId="0" fontId="0" fillId="12" borderId="0" pivotButton="0" quotePrefix="0" xfId="0"/>
    <xf numFmtId="0" fontId="1" fillId="12" borderId="0" pivotButton="0" quotePrefix="0" xfId="0"/>
    <xf numFmtId="0" fontId="1" fillId="12" borderId="0" applyAlignment="1" pivotButton="0" quotePrefix="0" xfId="0">
      <alignment horizontal="center"/>
    </xf>
    <xf numFmtId="0" fontId="1" fillId="12" borderId="0" applyAlignment="1" pivotButton="0" quotePrefix="0" xfId="0">
      <alignment horizontal="center" vertical="center"/>
    </xf>
    <xf numFmtId="0" fontId="0" fillId="13" borderId="0" pivotButton="0" quotePrefix="0" xfId="0"/>
    <xf numFmtId="0" fontId="1" fillId="13" borderId="0" pivotButton="0" quotePrefix="0" xfId="0"/>
    <xf numFmtId="0" fontId="1" fillId="13" borderId="0" applyAlignment="1" pivotButton="0" quotePrefix="0" xfId="0">
      <alignment horizontal="center"/>
    </xf>
    <xf numFmtId="0" fontId="1" fillId="13" borderId="0" applyAlignment="1" pivotButton="0" quotePrefix="0" xfId="0">
      <alignment horizontal="center" vertical="center"/>
    </xf>
    <xf numFmtId="0" fontId="0" fillId="0" borderId="0" applyAlignment="1" pivotButton="0" quotePrefix="0" xfId="0">
      <alignment wrapText="1"/>
    </xf>
    <xf numFmtId="0" fontId="0" fillId="14" borderId="0" applyAlignment="1" pivotButton="0" quotePrefix="0" xfId="0">
      <alignment wrapText="1"/>
    </xf>
    <xf numFmtId="0" fontId="1" fillId="14" borderId="0" applyAlignment="1" pivotButton="0" quotePrefix="0" xfId="0">
      <alignment wrapText="1"/>
    </xf>
    <xf numFmtId="0" fontId="0" fillId="15" borderId="0" pivotButton="0" quotePrefix="0" xfId="0"/>
    <xf numFmtId="0" fontId="1" fillId="15" borderId="0" pivotButton="0" quotePrefix="0" xfId="0"/>
    <xf numFmtId="0" fontId="1" fillId="15" borderId="0" applyAlignment="1" pivotButton="0" quotePrefix="0" xfId="0">
      <alignment wrapText="1"/>
    </xf>
    <xf numFmtId="0" fontId="0" fillId="16" borderId="0" pivotButton="0" quotePrefix="0" xfId="0"/>
    <xf numFmtId="0" fontId="1" fillId="16" borderId="0" pivotButton="0" quotePrefix="0" xfId="0"/>
    <xf numFmtId="0" fontId="1" fillId="16" borderId="0" applyAlignment="1" pivotButton="0" quotePrefix="0" xfId="0">
      <alignment wrapText="1"/>
    </xf>
    <xf numFmtId="0" fontId="0" fillId="17" borderId="0" pivotButton="0" quotePrefix="0" xfId="0"/>
    <xf numFmtId="0" fontId="1" fillId="17" borderId="0" pivotButton="0" quotePrefix="0" xfId="0"/>
  </cellXfs>
  <cellStyles count="1">
    <cellStyle name="Normal" xfId="0"/>
  </cellStyles>
  <dxfs count="9">
    <dxf>
      <font>
        <color rgb="00991B1B"/>
      </font>
      <fill>
        <patternFill>
          <bgColor rgb="00FECACA"/>
        </patternFill>
      </fill>
    </dxf>
    <dxf>
      <font>
        <color rgb="0092400E"/>
      </font>
      <fill>
        <patternFill>
          <bgColor rgb="00FDE68A"/>
        </patternFill>
      </fill>
    </dxf>
    <dxf>
      <font>
        <color rgb="00166534"/>
      </font>
      <fill>
        <patternFill>
          <bgColor rgb="00DCFCE7"/>
        </patternFill>
      </fill>
    </dxf>
    <dxf>
      <font>
        <b val="1"/>
      </font>
      <fill>
        <patternFill>
          <bgColor rgb="00DCFCE7"/>
        </patternFill>
      </fill>
    </dxf>
    <dxf>
      <fill>
        <patternFill>
          <bgColor rgb="00ECFCCB"/>
        </patternFill>
      </fill>
    </dxf>
    <dxf>
      <fill>
        <patternFill>
          <bgColor rgb="00FDE68A"/>
        </patternFill>
      </fill>
    </dxf>
    <dxf>
      <font>
        <b val="1"/>
      </font>
      <fill>
        <patternFill>
          <bgColor rgb="00DCFCE7"/>
        </patternFill>
      </fill>
    </dxf>
    <dxf>
      <fill>
        <patternFill>
          <bgColor rgb="00ECFCCB"/>
        </patternFill>
      </fill>
    </dxf>
    <dxf>
      <fill>
        <patternFill>
          <bgColor rgb="00FDE68A"/>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styles" Target="styles.xml" Id="rId113"/><Relationship Type="http://schemas.openxmlformats.org/officeDocument/2006/relationships/theme" Target="theme/theme1.xml" Id="rId1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Winner scores by goal</a:t>
            </a:r>
          </a:p>
        </rich>
      </tx>
      <overlay val="0"/>
    </title>
    <plotArea>
      <layout/>
      <barChart>
        <barDir val="col"/>
        <grouping val="clustered"/>
        <varyColors val="0"/>
        <ser>
          <idx val="0"/>
          <order val="0"/>
          <tx>
            <v>Winner score</v>
          </tx>
          <spPr>
            <a:ln xmlns:a="http://schemas.openxmlformats.org/drawingml/2006/main">
              <a:prstDash val="solid"/>
            </a:ln>
          </spPr>
          <cat>
            <strRef>
              <f>'Dashboard'!$A$17:$A$25</f>
              <strCache>
                <ptCount val="0"/>
              </strCache>
            </strRef>
          </cat>
          <val>
            <numRef>
              <f>'Dashboard'!$B$17:$B$25</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SynergyEngineV1" displayName="SynergyEngineV1" ref="A1:Q106" headerRowCount="1">
  <tableColumns count="17">
    <tableColumn id="1" name="Herb A"/>
    <tableColumn id="2" name="Herb B"/>
    <tableColumn id="3" name="Herb A Slug"/>
    <tableColumn id="4" name="Herb B Slug"/>
    <tableColumn id="5" name="Shared Pathway Buckets"/>
    <tableColumn id="6" name="Complementary Buckets"/>
    <tableColumn id="7" name="Shared Compound Count"/>
    <tableColumn id="8" name="Shared Compounds"/>
    <tableColumn id="9" name="Unique Compound Count A"/>
    <tableColumn id="10" name="Unique Compound Count B"/>
    <tableColumn id="11" name="Conflict Flags"/>
    <tableColumn id="12" name="Redundancy Penalty"/>
    <tableColumn id="13" name="Conflict Penalty"/>
    <tableColumn id="14" name="Synergy Score"/>
    <tableColumn id="15" name="Blend Grade"/>
    <tableColumn id="16" name="Suggested Use Case"/>
    <tableColumn id="17" name="Notes"/>
  </tableColumns>
  <tableStyleInfo name="TableStyleMedium2" showRowStripes="1"/>
</table>
</file>

<file path=xl/tables/table2.xml><?xml version="1.0" encoding="utf-8"?>
<table xmlns="http://schemas.openxmlformats.org/spreadsheetml/2006/main" id="2" name="TopBlendCandidatesV1" displayName="TopBlendCandidatesV1" ref="A1:R21" headerRowCount="1">
  <tableColumns count="18">
    <tableColumn id="1" name="Rank"/>
    <tableColumn id="2" name="Herb A"/>
    <tableColumn id="3" name="Herb B"/>
    <tableColumn id="4" name="Herb A Slug"/>
    <tableColumn id="5" name="Herb B Slug"/>
    <tableColumn id="6" name="Shared Pathway Buckets"/>
    <tableColumn id="7" name="Complementary Buckets"/>
    <tableColumn id="8" name="Shared Compound Count"/>
    <tableColumn id="9" name="Shared Compounds"/>
    <tableColumn id="10" name="Unique Compound Count A"/>
    <tableColumn id="11" name="Unique Compound Count B"/>
    <tableColumn id="12" name="Conflict Flags"/>
    <tableColumn id="13" name="Redundancy Penalty"/>
    <tableColumn id="14" name="Conflict Penalty"/>
    <tableColumn id="15" name="Synergy Score"/>
    <tableColumn id="16" name="Blend Grade"/>
    <tableColumn id="17" name="Suggested Use Case"/>
    <tableColumn id="1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3.xml.rels><Relationships xmlns="http://schemas.openxmlformats.org/package/2006/relationships"><Relationship Type="http://schemas.openxmlformats.org/officeDocument/2006/relationships/table" Target="/xl/tables/table1.xml" Id="rId1"/></Relationships>
</file>

<file path=xl/worksheets/_rels/sheet2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22" customWidth="1" min="1" max="1"/>
    <col width="14" customWidth="1" min="2" max="2"/>
    <col width="2" customWidth="1" min="3" max="3"/>
    <col width="18" customWidth="1" min="4" max="4"/>
    <col width="28" customWidth="1" min="5" max="5"/>
    <col width="26" customWidth="1" min="6" max="6"/>
    <col width="10" customWidth="1" min="7" max="7"/>
  </cols>
  <sheetData>
    <row r="1" ht="26" customHeight="1">
      <c r="A1" s="47" t="inlineStr">
        <is>
          <t>TheHippieScientist Production Dashboard</t>
        </is>
      </c>
      <c r="E1" s="68" t="n"/>
      <c r="F1" s="68" t="n"/>
      <c r="G1" s="68" t="n"/>
    </row>
    <row r="2">
      <c r="A2" s="68" t="n"/>
      <c r="B2" s="68" t="n"/>
      <c r="C2" s="68" t="n"/>
      <c r="D2" s="68" t="n"/>
      <c r="E2" s="68" t="n"/>
      <c r="F2" s="68" t="n"/>
      <c r="G2" s="68" t="n"/>
    </row>
    <row r="3">
      <c r="A3" s="48" t="inlineStr">
        <is>
          <t>Model</t>
        </is>
      </c>
      <c r="B3" s="48" t="inlineStr">
        <is>
          <t>v26 context-aware stack builder</t>
        </is>
      </c>
      <c r="C3" s="68" t="n"/>
      <c r="D3" s="48" t="inlineStr">
        <is>
          <t>Goal</t>
        </is>
      </c>
      <c r="E3" s="48" t="inlineStr">
        <is>
          <t>Winner</t>
        </is>
      </c>
      <c r="F3" s="48" t="inlineStr">
        <is>
          <t>Intent</t>
        </is>
      </c>
      <c r="G3" s="48" t="inlineStr">
        <is>
          <t>Time</t>
        </is>
      </c>
    </row>
    <row r="4">
      <c r="A4" s="68" t="inlineStr">
        <is>
          <t>Total bundles</t>
        </is>
      </c>
      <c r="B4" s="68">
        <f>COUNTA('Goal Bundle Output V1'!A2:A200)</f>
        <v/>
      </c>
      <c r="C4" s="68" t="n"/>
      <c r="D4" s="68" t="inlineStr">
        <is>
          <t>Anxiety</t>
        </is>
      </c>
      <c r="E4" s="68" t="inlineStr">
        <is>
          <t>Rhodiola + Milk Oats</t>
        </is>
      </c>
      <c r="F4" s="68" t="inlineStr">
        <is>
          <t>calm without sedation</t>
        </is>
      </c>
      <c r="G4" s="68" t="inlineStr">
        <is>
          <t>AM/PM</t>
        </is>
      </c>
    </row>
    <row r="5">
      <c r="A5" s="68" t="inlineStr">
        <is>
          <t>Avg score</t>
        </is>
      </c>
      <c r="B5" s="52">
        <f>ROUND(AVERAGE('Goal Bundle Output V1'!D2:D200),1)</f>
        <v/>
      </c>
      <c r="C5" s="68" t="n"/>
      <c r="D5" s="68" t="inlineStr">
        <is>
          <t>Cardiovascular</t>
        </is>
      </c>
      <c r="E5" s="68" t="inlineStr">
        <is>
          <t>Hawthorn + Arjuna</t>
        </is>
      </c>
      <c r="F5" s="68" t="inlineStr">
        <is>
          <t>vascular support without overstimulation</t>
        </is>
      </c>
      <c r="G5" s="68" t="inlineStr">
        <is>
          <t>AM/PM</t>
        </is>
      </c>
    </row>
    <row r="6">
      <c r="A6" s="68" t="inlineStr">
        <is>
          <t>Beginner rows</t>
        </is>
      </c>
      <c r="B6" s="52">
        <f>COUNTIF('Goal Bundle Output V1'!X2:X200,"beginner")</f>
        <v/>
      </c>
      <c r="C6" s="68" t="n"/>
      <c r="D6" s="68" t="inlineStr">
        <is>
          <t>Cognition</t>
        </is>
      </c>
      <c r="E6" s="68" t="inlineStr">
        <is>
          <t>Bacopa + Sage</t>
        </is>
      </c>
      <c r="F6" s="68" t="inlineStr">
        <is>
          <t>focus without anxiety</t>
        </is>
      </c>
      <c r="G6" s="68" t="inlineStr">
        <is>
          <t>AM</t>
        </is>
      </c>
    </row>
    <row r="7">
      <c r="A7" s="68" t="inlineStr">
        <is>
          <t>Intermediate rows</t>
        </is>
      </c>
      <c r="B7" s="52">
        <f>COUNTIF('Goal Bundle Output V1'!X2:X200,"intermediate")</f>
        <v/>
      </c>
      <c r="C7" s="68" t="n"/>
      <c r="D7" s="68" t="inlineStr">
        <is>
          <t>Digestive</t>
        </is>
      </c>
      <c r="E7" s="68" t="inlineStr">
        <is>
          <t>Peppermint + Fennel</t>
        </is>
      </c>
      <c r="F7" s="68" t="inlineStr">
        <is>
          <t>post-meal settle and motility</t>
        </is>
      </c>
      <c r="G7" s="68" t="inlineStr">
        <is>
          <t>AM/PM</t>
        </is>
      </c>
    </row>
    <row r="8">
      <c r="A8" s="68" t="inlineStr">
        <is>
          <t>Advanced rows</t>
        </is>
      </c>
      <c r="B8" s="52">
        <f>COUNTIF('Goal Bundle Output V1'!X2:X200,"advanced")</f>
        <v/>
      </c>
      <c r="C8" s="68" t="n"/>
      <c r="D8" s="68" t="inlineStr">
        <is>
          <t>Energy</t>
        </is>
      </c>
      <c r="E8" s="68" t="inlineStr">
        <is>
          <t>Rhodiola Rosea + Schisandra Berry</t>
        </is>
      </c>
      <c r="F8" s="68" t="inlineStr">
        <is>
          <t>energy without anxiety</t>
        </is>
      </c>
      <c r="G8" s="68" t="inlineStr">
        <is>
          <t>AM</t>
        </is>
      </c>
    </row>
    <row r="9">
      <c r="A9" s="68" t="inlineStr">
        <is>
          <t>AM rows</t>
        </is>
      </c>
      <c r="B9" s="52">
        <f>COUNTIF('Goal Bundle Output V1'!N2:N200,"AM")</f>
        <v/>
      </c>
      <c r="C9" s="68" t="n"/>
      <c r="D9" s="68" t="inlineStr">
        <is>
          <t>Immune</t>
        </is>
      </c>
      <c r="E9" s="68" t="inlineStr">
        <is>
          <t>Elderberry + Astragalus</t>
        </is>
      </c>
      <c r="F9" s="68" t="inlineStr">
        <is>
          <t>immune resilience without overstimulation</t>
        </is>
      </c>
      <c r="G9" s="68" t="inlineStr">
        <is>
          <t>AM/PM</t>
        </is>
      </c>
    </row>
    <row r="10">
      <c r="A10" s="68" t="inlineStr">
        <is>
          <t>PM rows</t>
        </is>
      </c>
      <c r="B10" s="52">
        <f>COUNTIF('Goal Bundle Output V1'!N2:N200,"PM")</f>
        <v/>
      </c>
      <c r="C10" s="68" t="n"/>
      <c r="D10" s="68" t="inlineStr">
        <is>
          <t>Inflammation</t>
        </is>
      </c>
      <c r="E10" s="68" t="inlineStr">
        <is>
          <t>Holy Basil + Calendula</t>
        </is>
      </c>
      <c r="F10" s="68" t="inlineStr">
        <is>
          <t>systemic inflammation with gut sensitivity</t>
        </is>
      </c>
      <c r="G10" s="68" t="inlineStr">
        <is>
          <t>AM/PM</t>
        </is>
      </c>
    </row>
    <row r="11">
      <c r="A11" s="68" t="inlineStr">
        <is>
          <t>AM/PM rows</t>
        </is>
      </c>
      <c r="B11" s="52">
        <f>COUNTIF('Goal Bundle Output V1'!N2:N200,"AM/PM")</f>
        <v/>
      </c>
      <c r="C11" s="68" t="n"/>
      <c r="D11" s="68" t="inlineStr">
        <is>
          <t>Liver</t>
        </is>
      </c>
      <c r="E11" s="68" t="inlineStr">
        <is>
          <t>Milk Thistle + Schisandra Berry</t>
        </is>
      </c>
      <c r="F11" s="68" t="inlineStr">
        <is>
          <t>liver support without sedation</t>
        </is>
      </c>
      <c r="G11" s="68" t="inlineStr">
        <is>
          <t>AM/PM</t>
        </is>
      </c>
    </row>
    <row r="12">
      <c r="A12" s="68" t="inlineStr">
        <is>
          <t>Low caution</t>
        </is>
      </c>
      <c r="B12" s="52">
        <f>COUNTIF('Goal Bundle Output V1'!AA2:AA200,"low_caution")</f>
        <v/>
      </c>
      <c r="C12" s="68" t="n"/>
      <c r="D12" s="68" t="inlineStr">
        <is>
          <t>Sleep</t>
        </is>
      </c>
      <c r="E12" s="68" t="inlineStr">
        <is>
          <t>Hops + Chamomile</t>
        </is>
      </c>
      <c r="F12" s="68" t="inlineStr">
        <is>
          <t>sleep onset plus tension release</t>
        </is>
      </c>
      <c r="G12" s="68" t="inlineStr">
        <is>
          <t>PM</t>
        </is>
      </c>
    </row>
    <row r="13">
      <c r="A13" s="68" t="inlineStr">
        <is>
          <t>General caution</t>
        </is>
      </c>
      <c r="B13" s="52">
        <f>COUNTIF('Goal Bundle Output V1'!AA2:AA200,"general_caution")</f>
        <v/>
      </c>
      <c r="C13" s="68" t="n"/>
      <c r="D13" s="68" t="n"/>
      <c r="E13" s="68" t="n"/>
      <c r="F13" s="68" t="n"/>
      <c r="G13" s="68" t="n"/>
    </row>
    <row r="14">
      <c r="A14" s="68" t="inlineStr">
        <is>
          <t>Moderate or high caution</t>
        </is>
      </c>
      <c r="B14" s="52">
        <f>COUNTIF('Goal Bundle Output V1'!AA2:AA200,"moderate_caution")+COUNTIF('Goal Bundle Output V1'!AA2:AA200,"high_caution")</f>
        <v/>
      </c>
      <c r="C14" s="68" t="n"/>
      <c r="D14" s="68" t="n"/>
      <c r="E14" s="68" t="n"/>
      <c r="F14" s="68" t="n"/>
      <c r="G14" s="68" t="n"/>
    </row>
    <row r="15">
      <c r="A15" s="68" t="n"/>
      <c r="B15" s="52" t="n"/>
      <c r="C15" s="68" t="n"/>
      <c r="D15" s="68" t="n"/>
      <c r="E15" s="68" t="n"/>
      <c r="F15" s="68" t="n"/>
      <c r="G15" s="68" t="n"/>
    </row>
    <row r="16">
      <c r="A16" s="48" t="inlineStr">
        <is>
          <t>Goal</t>
        </is>
      </c>
      <c r="B16" s="53" t="inlineStr">
        <is>
          <t>Winner score</t>
        </is>
      </c>
      <c r="C16" s="68" t="n"/>
      <c r="D16" s="68" t="n"/>
      <c r="E16" s="68" t="n"/>
      <c r="F16" s="68" t="n"/>
      <c r="G16" s="68" t="n"/>
    </row>
    <row r="17">
      <c r="A17" s="68" t="inlineStr">
        <is>
          <t>Anxiety</t>
        </is>
      </c>
      <c r="B17" s="52" t="n">
        <v>163.6</v>
      </c>
      <c r="C17" s="68" t="n"/>
      <c r="D17" s="68" t="n"/>
      <c r="E17" s="68" t="n"/>
      <c r="F17" s="68" t="n"/>
      <c r="G17" s="68" t="n"/>
    </row>
    <row r="18">
      <c r="A18" s="68" t="inlineStr">
        <is>
          <t>Cardiovascular</t>
        </is>
      </c>
      <c r="B18" s="52" t="n">
        <v>178.6</v>
      </c>
      <c r="C18" s="68" t="n"/>
      <c r="D18" s="68" t="n"/>
      <c r="E18" s="68" t="n"/>
      <c r="F18" s="68" t="n"/>
      <c r="G18" s="68" t="n"/>
    </row>
    <row r="19">
      <c r="A19" s="68" t="inlineStr">
        <is>
          <t>Cognition</t>
        </is>
      </c>
      <c r="B19" s="52" t="n">
        <v>189.5</v>
      </c>
      <c r="C19" s="68" t="n"/>
      <c r="D19" s="68" t="n"/>
      <c r="E19" s="68" t="n"/>
      <c r="F19" s="68" t="n"/>
      <c r="G19" s="68" t="n"/>
    </row>
    <row r="20">
      <c r="A20" s="68" t="inlineStr">
        <is>
          <t>Digestive</t>
        </is>
      </c>
      <c r="B20" s="52" t="n">
        <v>217.7</v>
      </c>
      <c r="C20" s="68" t="n"/>
      <c r="D20" s="68" t="n"/>
      <c r="E20" s="68" t="n"/>
      <c r="F20" s="68" t="n"/>
      <c r="G20" s="68" t="n"/>
    </row>
    <row r="21">
      <c r="A21" s="68" t="inlineStr">
        <is>
          <t>Energy</t>
        </is>
      </c>
      <c r="B21" s="52" t="n">
        <v>184.2</v>
      </c>
      <c r="C21" s="68" t="n"/>
      <c r="D21" s="68" t="n"/>
      <c r="E21" s="68" t="n"/>
      <c r="F21" s="68" t="n"/>
      <c r="G21" s="68" t="n"/>
    </row>
    <row r="22">
      <c r="A22" s="68" t="inlineStr">
        <is>
          <t>Immune</t>
        </is>
      </c>
      <c r="B22" s="52" t="n">
        <v>171.9</v>
      </c>
      <c r="C22" s="68" t="n"/>
      <c r="D22" s="68" t="n"/>
      <c r="E22" s="68" t="n"/>
      <c r="F22" s="68" t="n"/>
      <c r="G22" s="68" t="n"/>
    </row>
    <row r="23">
      <c r="A23" s="68" t="inlineStr">
        <is>
          <t>Inflammation</t>
        </is>
      </c>
      <c r="B23" s="52" t="n">
        <v>208.2</v>
      </c>
      <c r="C23" s="68" t="n"/>
      <c r="D23" s="68" t="n"/>
      <c r="E23" s="68" t="n"/>
      <c r="F23" s="68" t="n"/>
      <c r="G23" s="68" t="n"/>
    </row>
    <row r="24">
      <c r="A24" s="68" t="inlineStr">
        <is>
          <t>Liver</t>
        </is>
      </c>
      <c r="B24" s="52" t="n">
        <v>192.7</v>
      </c>
      <c r="C24" s="68" t="n"/>
      <c r="D24" s="68" t="n"/>
      <c r="E24" s="68" t="n"/>
      <c r="F24" s="68" t="n"/>
      <c r="G24" s="68" t="n"/>
    </row>
    <row r="25">
      <c r="A25" s="68" t="inlineStr">
        <is>
          <t>Sleep</t>
        </is>
      </c>
      <c r="B25" s="52" t="n">
        <v>227.1</v>
      </c>
      <c r="C25" s="68" t="n"/>
      <c r="D25" s="68" t="n"/>
      <c r="E25" s="68" t="n"/>
      <c r="F25" s="68" t="n"/>
      <c r="G25" s="68" t="n"/>
    </row>
  </sheetData>
  <mergeCells count="1">
    <mergeCell ref="A1:D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N173"/>
  <sheetViews>
    <sheetView workbookViewId="0">
      <selection activeCell="A1" sqref="A1"/>
    </sheetView>
  </sheetViews>
  <sheetFormatPr baseColWidth="8" defaultRowHeight="15"/>
  <cols>
    <col width="19" customWidth="1" min="1" max="1"/>
    <col width="19" customWidth="1" min="2" max="2"/>
    <col width="22" customWidth="1" min="3" max="3"/>
    <col width="14" customWidth="1" min="4" max="4"/>
    <col width="17" customWidth="1" min="5" max="5"/>
    <col width="19"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11" customWidth="1" min="23" max="23"/>
    <col width="16" customWidth="1" min="24" max="24"/>
    <col width="28" customWidth="1" min="25" max="25"/>
    <col width="26" customWidth="1" min="26" max="26"/>
    <col width="26" customWidth="1" min="27" max="27"/>
    <col width="28" customWidth="1" min="28" max="28"/>
    <col width="28" customWidth="1" min="29" max="29"/>
    <col width="28" customWidth="1" min="30" max="30"/>
    <col width="28" customWidth="1" min="31" max="31"/>
    <col width="28" customWidth="1" min="32" max="32"/>
    <col width="17" customWidth="1" min="33" max="33"/>
    <col width="15" customWidth="1" min="34" max="34"/>
    <col width="15" customWidth="1" min="35" max="35"/>
    <col width="11" customWidth="1" min="36" max="36"/>
    <col width="15" customWidth="1" min="37" max="37"/>
    <col width="13" customWidth="1" min="38" max="38"/>
    <col width="24" customWidth="1" min="39" max="39"/>
    <col width="19" customWidth="1" min="40" max="40"/>
    <col width="14" customWidth="1" min="41" max="41"/>
    <col width="15" customWidth="1" min="42" max="42"/>
    <col width="11" customWidth="1" min="43" max="43"/>
    <col width="17" customWidth="1" min="44" max="44"/>
    <col width="12" customWidth="1" min="45" max="45"/>
    <col width="15" customWidth="1" min="46" max="46"/>
    <col width="18" customWidth="1" min="47" max="47"/>
    <col width="17" customWidth="1" min="48" max="48"/>
    <col width="28" customWidth="1" min="49" max="49"/>
    <col width="12" customWidth="1" min="50" max="50"/>
    <col width="13" customWidth="1" min="51" max="51"/>
    <col width="13" customWidth="1" min="52" max="52"/>
    <col width="12" customWidth="1" min="53" max="53"/>
    <col width="13" customWidth="1" min="54" max="54"/>
    <col width="14" customWidth="1" min="55" max="55"/>
    <col width="18" customWidth="1" min="56" max="56"/>
    <col width="21" customWidth="1" min="57" max="57"/>
    <col width="14" customWidth="1" min="58" max="58"/>
    <col width="13" customWidth="1" min="59" max="59"/>
    <col width="15" customWidth="1" min="60" max="60"/>
    <col width="30" customWidth="1" min="86" max="86"/>
    <col width="36" customWidth="1" min="87" max="87"/>
    <col width="28" customWidth="1" min="88" max="88"/>
    <col width="28" customWidth="1" min="89" max="89"/>
    <col width="14" customWidth="1" min="90" max="90"/>
    <col width="18" customWidth="1" min="91" max="91"/>
    <col width="34" customWidth="1" min="92" max="92"/>
    <col width="26" customWidth="1" min="93" max="93"/>
  </cols>
  <sheetData>
    <row r="1">
      <c r="A1" s="6" t="inlineStr">
        <is>
          <t>name</t>
        </is>
      </c>
      <c r="B1" s="6" t="inlineStr">
        <is>
          <t>slug</t>
        </is>
      </c>
      <c r="C1" s="6" t="inlineStr">
        <is>
          <t>scientificName</t>
        </is>
      </c>
      <c r="D1" s="6" t="inlineStr">
        <is>
          <t>monographType</t>
        </is>
      </c>
      <c r="E1" s="6" t="inlineStr">
        <is>
          <t>category</t>
        </is>
      </c>
      <c r="F1" s="6" t="inlineStr">
        <is>
          <t>plantPartUsed</t>
        </is>
      </c>
      <c r="G1" s="6" t="inlineStr">
        <is>
          <t>commonNames</t>
        </is>
      </c>
      <c r="H1" s="6" t="inlineStr">
        <is>
          <t>region</t>
        </is>
      </c>
      <c r="I1" s="6" t="inlineStr">
        <is>
          <t>summary</t>
        </is>
      </c>
      <c r="J1" s="6" t="inlineStr">
        <is>
          <t>description</t>
        </is>
      </c>
      <c r="K1" s="6" t="inlineStr">
        <is>
          <t>activeCompounds</t>
        </is>
      </c>
      <c r="L1" s="6" t="inlineStr">
        <is>
          <t>markerCompounds</t>
        </is>
      </c>
      <c r="M1" s="6" t="inlineStr">
        <is>
          <t>mechanism</t>
        </is>
      </c>
      <c r="N1" s="6" t="inlineStr">
        <is>
          <t>mechanismTags</t>
        </is>
      </c>
      <c r="O1" s="6" t="inlineStr">
        <is>
          <t>evidenceLevel</t>
        </is>
      </c>
      <c r="P1" s="6" t="inlineStr">
        <is>
          <t>safetyNotes</t>
        </is>
      </c>
      <c r="Q1" s="6" t="inlineStr">
        <is>
          <t>interactions</t>
        </is>
      </c>
      <c r="R1" s="6" t="inlineStr">
        <is>
          <t>contraindications</t>
        </is>
      </c>
      <c r="S1" s="6" t="inlineStr">
        <is>
          <t>preparation</t>
        </is>
      </c>
      <c r="T1" s="6" t="inlineStr">
        <is>
          <t>dosage</t>
        </is>
      </c>
      <c r="U1" s="6" t="inlineStr">
        <is>
          <t>standardization</t>
        </is>
      </c>
      <c r="V1" s="6" t="inlineStr">
        <is>
          <t>qualityConcerns</t>
        </is>
      </c>
      <c r="W1" s="6" t="inlineStr">
        <is>
          <t>confidence</t>
        </is>
      </c>
      <c r="X1" s="6" t="inlineStr">
        <is>
          <t>status</t>
        </is>
      </c>
      <c r="Y1" s="6" t="inlineStr">
        <is>
          <t>sources</t>
        </is>
      </c>
      <c r="Z1" s="6" t="inlineStr">
        <is>
          <t>citationStatus</t>
        </is>
      </c>
      <c r="AA1" s="6" t="inlineStr">
        <is>
          <t>sourceAuthority</t>
        </is>
      </c>
      <c r="AB1" s="6" t="inlineStr">
        <is>
          <t>summaryCitations</t>
        </is>
      </c>
      <c r="AC1" s="6" t="inlineStr">
        <is>
          <t>mechanismCitations</t>
        </is>
      </c>
      <c r="AD1" s="6" t="inlineStr">
        <is>
          <t>safetyCitations</t>
        </is>
      </c>
      <c r="AE1" s="6" t="inlineStr">
        <is>
          <t>interactionCitations</t>
        </is>
      </c>
      <c r="AF1" s="6" t="inlineStr">
        <is>
          <t>notesForCodex</t>
        </is>
      </c>
      <c r="AG1" s="6" t="inlineStr">
        <is>
          <t>score_confidence</t>
        </is>
      </c>
      <c r="AH1" s="6" t="inlineStr">
        <is>
          <t>score_evidence</t>
        </is>
      </c>
      <c r="AI1" s="6" t="inlineStr">
        <is>
          <t>score_citation</t>
        </is>
      </c>
      <c r="AJ1" s="6" t="inlineStr">
        <is>
          <t>totalScore</t>
        </is>
      </c>
      <c r="AK1" s="6" t="inlineStr">
        <is>
          <t>reviewPriority</t>
        </is>
      </c>
      <c r="AL1" s="6" t="inlineStr">
        <is>
          <t>dosageStatus</t>
        </is>
      </c>
      <c r="AM1" s="6" t="inlineStr">
        <is>
          <t>sourceTier</t>
        </is>
      </c>
      <c r="AN1" s="6" t="inlineStr">
        <is>
          <t>completenessPct</t>
        </is>
      </c>
      <c r="AO1" s="6" t="inlineStr">
        <is>
          <t>readinessFlag</t>
        </is>
      </c>
      <c r="AP1" s="6" t="inlineStr">
        <is>
          <t>editorialOwner</t>
        </is>
      </c>
      <c r="AQ1" s="6" t="inlineStr">
        <is>
          <t>reviewDate</t>
        </is>
      </c>
      <c r="AR1" s="6" t="inlineStr">
        <is>
          <t>publishStatus</t>
        </is>
      </c>
      <c r="AS1" s="6" t="inlineStr">
        <is>
          <t>qaStatus</t>
        </is>
      </c>
      <c r="AT1" s="6" t="inlineStr">
        <is>
          <t>sourceLockFlag</t>
        </is>
      </c>
      <c r="AU1" s="6" t="inlineStr">
        <is>
          <t>frontendReadyFlag</t>
        </is>
      </c>
      <c r="AV1" s="6" t="inlineStr">
        <is>
          <t>webCopyReadyFlag</t>
        </is>
      </c>
      <c r="AW1" s="6" t="inlineStr">
        <is>
          <t>publishBlocker</t>
        </is>
      </c>
      <c r="AX1" s="6" t="inlineStr">
        <is>
          <t>reviewRound</t>
        </is>
      </c>
      <c r="AY1" s="6" t="inlineStr">
        <is>
          <t>reviewerName</t>
        </is>
      </c>
      <c r="AZ1" s="6" t="inlineStr">
        <is>
          <t>reviewerRole</t>
        </is>
      </c>
      <c r="BA1" s="6" t="inlineStr">
        <is>
          <t>reviewStage</t>
        </is>
      </c>
      <c r="BB1" s="6" t="inlineStr">
        <is>
          <t>reviewStatus</t>
        </is>
      </c>
      <c r="BC1" s="6" t="inlineStr">
        <is>
          <t>reviewerNotes</t>
        </is>
      </c>
      <c r="BD1" s="6" t="inlineStr">
        <is>
          <t>approvalTimestamp</t>
        </is>
      </c>
      <c r="BE1" s="6" t="inlineStr">
        <is>
          <t>lastModifiedTimestamp</t>
        </is>
      </c>
      <c r="BF1" s="6" t="inlineStr">
        <is>
          <t>changeSummary</t>
        </is>
      </c>
      <c r="BG1" s="6" t="inlineStr">
        <is>
          <t>rowReviewKey</t>
        </is>
      </c>
      <c r="BH1" s="6" t="inlineStr">
        <is>
          <t>historyEntries</t>
        </is>
      </c>
      <c r="BI1" s="29" t="inlineStr">
        <is>
          <t>canonical_slug</t>
        </is>
      </c>
      <c r="BJ1" s="29" t="inlineStr">
        <is>
          <t>display_name</t>
        </is>
      </c>
      <c r="BK1" s="29" t="inlineStr">
        <is>
          <t>compound_count</t>
        </is>
      </c>
      <c r="BL1" s="29" t="inlineStr">
        <is>
          <t>pathway_count</t>
        </is>
      </c>
      <c r="BM1" s="29" t="inlineStr">
        <is>
          <t>evidence_tier</t>
        </is>
      </c>
      <c r="BN1" s="29" t="inlineStr">
        <is>
          <t>coverage_score</t>
        </is>
      </c>
      <c r="BO1" s="29" t="inlineStr">
        <is>
          <t>data_completeness_score</t>
        </is>
      </c>
      <c r="BP1" s="29" t="inlineStr">
        <is>
          <t>compound_density_score</t>
        </is>
      </c>
      <c r="BQ1" s="29" t="inlineStr">
        <is>
          <t>pathway_density_score</t>
        </is>
      </c>
      <c r="BR1" s="29" t="inlineStr">
        <is>
          <t>strength_score</t>
        </is>
      </c>
      <c r="BS1" s="29" t="inlineStr">
        <is>
          <t>priority_tier</t>
        </is>
      </c>
      <c r="BT1" s="29" t="inlineStr">
        <is>
          <t>bundle_eligibility_score</t>
        </is>
      </c>
      <c r="BU1" s="29" t="inlineStr">
        <is>
          <t>is_blocking_bundle</t>
        </is>
      </c>
      <c r="BV1" s="29" t="inlineStr">
        <is>
          <t>normalized_key</t>
        </is>
      </c>
      <c r="BW1" s="29" t="inlineStr">
        <is>
          <t>has_compounds</t>
        </is>
      </c>
      <c r="BX1" s="29" t="inlineStr">
        <is>
          <t>upgrade_note</t>
        </is>
      </c>
      <c r="BY1" t="inlineStr">
        <is>
          <t>pathwayTargets</t>
        </is>
      </c>
      <c r="BZ1" t="inlineStr">
        <is>
          <t>topTargetSpecificity</t>
        </is>
      </c>
      <c r="CA1" t="inlineStr">
        <is>
          <t>pharmacologyWeightTotal</t>
        </is>
      </c>
      <c r="CB1" t="inlineStr">
        <is>
          <t>highConfidenceCompoundCount</t>
        </is>
      </c>
      <c r="CC1" t="inlineStr">
        <is>
          <t>sharedCompoundCount</t>
        </is>
      </c>
      <c r="CD1" t="inlineStr">
        <is>
          <t>pharmacologyProfile</t>
        </is>
      </c>
      <c r="CE1" t="inlineStr">
        <is>
          <t>pass10Note</t>
        </is>
      </c>
      <c r="CF1" t="inlineStr">
        <is>
          <t>Primary Category</t>
        </is>
      </c>
      <c r="CG1" t="inlineStr">
        <is>
          <t>Secondary Categories</t>
        </is>
      </c>
      <c r="CH1" s="70" t="inlineStr">
        <is>
          <t>Typical Dose Framing</t>
        </is>
      </c>
      <c r="CI1" s="70" t="inlineStr">
        <is>
          <t>Dose Notes</t>
        </is>
      </c>
      <c r="CJ1" s="70" t="inlineStr">
        <is>
          <t>Interaction Flags</t>
        </is>
      </c>
      <c r="CK1" s="70" t="inlineStr">
        <is>
          <t>Contraindication Flags</t>
        </is>
      </c>
      <c r="CL1" s="70" t="inlineStr">
        <is>
          <t>Safety Tier V1</t>
        </is>
      </c>
      <c r="CM1" s="70" t="inlineStr">
        <is>
          <t>Default Product Exclusion</t>
        </is>
      </c>
      <c r="CN1" s="70" t="inlineStr">
        <is>
          <t>Default Exclusion Reason</t>
        </is>
      </c>
      <c r="CO1" s="70" t="inlineStr">
        <is>
          <t>Pass 21 Note</t>
        </is>
      </c>
      <c r="CP1" t="inlineStr">
        <is>
          <t>Safety Tier V2</t>
        </is>
      </c>
      <c r="CQ1" t="inlineStr">
        <is>
          <t>Default Product Exclusion V2</t>
        </is>
      </c>
      <c r="CR1" t="inlineStr">
        <is>
          <t>Default Exclusion Reason V2</t>
        </is>
      </c>
      <c r="CS1" t="inlineStr">
        <is>
          <t>Pass 22 Note</t>
        </is>
      </c>
      <c r="CT1" t="inlineStr">
        <is>
          <t>Primary Category V2</t>
        </is>
      </c>
      <c r="CU1" t="inlineStr">
        <is>
          <t>Mechanism Tags V2</t>
        </is>
      </c>
      <c r="CV1" t="inlineStr">
        <is>
          <t>Evidence Tier V2</t>
        </is>
      </c>
      <c r="CW1" t="inlineStr">
        <is>
          <t>Pass 26 Note</t>
        </is>
      </c>
      <c r="CX1" t="inlineStr">
        <is>
          <t>Evidence Level V3</t>
        </is>
      </c>
      <c r="CY1" t="inlineStr">
        <is>
          <t>Safety Notes V2</t>
        </is>
      </c>
      <c r="CZ1" t="inlineStr">
        <is>
          <t>Interactions V2</t>
        </is>
      </c>
      <c r="DA1" t="inlineStr">
        <is>
          <t>Contraindications V2</t>
        </is>
      </c>
      <c r="DB1" t="inlineStr">
        <is>
          <t>Pass 28 Note</t>
        </is>
      </c>
      <c r="DC1" t="inlineStr">
        <is>
          <t>confidenceLevel</t>
        </is>
      </c>
      <c r="DD1" t="inlineStr">
        <is>
          <t>Dosage V2</t>
        </is>
      </c>
      <c r="DE1" t="inlineStr">
        <is>
          <t>Preparation V2</t>
        </is>
      </c>
      <c r="DF1" t="inlineStr">
        <is>
          <t>Quality Concerns V2</t>
        </is>
      </c>
      <c r="DG1" t="inlineStr">
        <is>
          <t>Confidence Level V2</t>
        </is>
      </c>
      <c r="DH1" t="inlineStr">
        <is>
          <t>Pass 29 Note</t>
        </is>
      </c>
      <c r="DI1" t="inlineStr">
        <is>
          <t>Relationship Density V1</t>
        </is>
      </c>
      <c r="DJ1" t="inlineStr">
        <is>
          <t>Pathway Cluster V1</t>
        </is>
      </c>
      <c r="DK1" t="inlineStr">
        <is>
          <t>Compound Anchor Class V1</t>
        </is>
      </c>
      <c r="DL1" t="inlineStr">
        <is>
          <t>Closest Herbs V1</t>
        </is>
      </c>
      <c r="DM1" t="inlineStr">
        <is>
          <t>Pass 31 Note</t>
        </is>
      </c>
      <c r="DN1" t="inlineStr">
        <is>
          <t>Top Substitutes V1</t>
        </is>
      </c>
      <c r="DO1" t="inlineStr">
        <is>
          <t>Substitute Reason V1</t>
        </is>
      </c>
      <c r="DP1" t="inlineStr">
        <is>
          <t>Pathway Cluster V2</t>
        </is>
      </c>
      <c r="DQ1" t="inlineStr">
        <is>
          <t>Pass 32 Note</t>
        </is>
      </c>
      <c r="DR1" t="inlineStr">
        <is>
          <t>Fallback Substitute 1</t>
        </is>
      </c>
      <c r="DS1" t="inlineStr">
        <is>
          <t>Fallback Substitute 2</t>
        </is>
      </c>
      <c r="DT1" t="inlineStr">
        <is>
          <t>Fallback Reason V1</t>
        </is>
      </c>
      <c r="DU1" t="inlineStr">
        <is>
          <t>Replacement Eligibility V1</t>
        </is>
      </c>
      <c r="DV1" t="inlineStr">
        <is>
          <t>Pass 33 Note</t>
        </is>
      </c>
      <c r="DW1" t="inlineStr">
        <is>
          <t>Fallback Substitute 3</t>
        </is>
      </c>
      <c r="DX1" t="inlineStr">
        <is>
          <t>Expanded Fallback Pool V1</t>
        </is>
      </c>
      <c r="DY1" t="inlineStr">
        <is>
          <t>Pass 35 Note</t>
        </is>
      </c>
      <c r="DZ1" t="inlineStr">
        <is>
          <t>Pass 39 Note</t>
        </is>
      </c>
      <c r="EA1" t="inlineStr">
        <is>
          <t>Primary Category V3</t>
        </is>
      </c>
      <c r="EB1" t="inlineStr">
        <is>
          <t>Pathway Targets V2</t>
        </is>
      </c>
      <c r="EC1" t="inlineStr">
        <is>
          <t>Confidence Level V3</t>
        </is>
      </c>
      <c r="ED1" t="inlineStr">
        <is>
          <t>Pass 40 Note</t>
        </is>
      </c>
      <c r="EE1" t="inlineStr">
        <is>
          <t>Pass 42 Note</t>
        </is>
      </c>
      <c r="EF1" t="inlineStr">
        <is>
          <t>Pass 43 Note</t>
        </is>
      </c>
      <c r="EG1" t="inlineStr">
        <is>
          <t>Compound Score Total V1</t>
        </is>
      </c>
      <c r="EH1" t="inlineStr">
        <is>
          <t>Compound Score Average V1</t>
        </is>
      </c>
      <c r="EI1" t="inlineStr">
        <is>
          <t>A Tier Compound Count V1</t>
        </is>
      </c>
      <c r="EJ1" t="inlineStr">
        <is>
          <t>B Tier Compound Count V1</t>
        </is>
      </c>
      <c r="EK1" t="inlineStr">
        <is>
          <t>Herb Strength Score V2</t>
        </is>
      </c>
      <c r="EL1" t="inlineStr">
        <is>
          <t>Bundle Eligibility Score V2</t>
        </is>
      </c>
      <c r="EM1" t="inlineStr">
        <is>
          <t>Top Compounds V1</t>
        </is>
      </c>
      <c r="EN1" t="inlineStr">
        <is>
          <t>Pass 48 Note</t>
        </is>
      </c>
    </row>
    <row r="2">
      <c r="A2" s="68" t="inlineStr">
        <is>
          <t>Ashwagandha</t>
        </is>
      </c>
      <c r="B2" s="68" t="inlineStr">
        <is>
          <t>ashwagandha</t>
        </is>
      </c>
      <c r="C2" s="68" t="inlineStr">
        <is>
          <t>Withania somnifera</t>
        </is>
      </c>
      <c r="D2" s="68" t="inlineStr">
        <is>
          <t>herb</t>
        </is>
      </c>
      <c r="E2" s="68" t="inlineStr">
        <is>
          <t>shrub</t>
        </is>
      </c>
      <c r="F2" s="68" t="inlineStr">
        <is>
          <t>root</t>
        </is>
      </c>
      <c r="G2" s="68" t="inlineStr">
        <is>
          <t>ashwagandha; Indian ginseng; winter cherry</t>
        </is>
      </c>
      <c r="H2" s="68" t="inlineStr">
        <is>
          <t>Native to India, the Middle East and parts of Africa and Asia.</t>
        </is>
      </c>
      <c r="I2" s="68" t="inlineStr">
        <is>
          <t>Ashwagandha (Withania somnifera) is a shrub monograph focused on the root used in herbal preparations. It is associated with Native to India, the Middle East and parts of Africa and Asia. Withanolides are thought to mediate adaptogenic and neuroprotective effects by modulating HPA-axis signaling, NF-κB, Nrf2 and GABAergic pathways. Short-term use appears safe; side effects include drowsiness and GI upset.</t>
        </is>
      </c>
      <c r="J2" s="68" t="inlineStr">
        <is>
          <t>Ashwagandha is represented here as a monograph-style entry centered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K2" s="68" t="inlineStr">
        <is>
          <t>withanolides</t>
        </is>
      </c>
      <c r="L2" s="68" t="inlineStr">
        <is>
          <t>withanolides</t>
        </is>
      </c>
      <c r="M2" s="68" t="inlineStr">
        <is>
          <t>Withanolides are thought to mediate adaptogenic and neuroprotective effects by modulating HPA-axis signaling, NF-κB, Nrf2 and GABAergic pathways.</t>
        </is>
      </c>
      <c r="N2" s="68" t="inlineStr">
        <is>
          <t>adaptogen; stress modulation; cortisol regulation</t>
        </is>
      </c>
      <c r="O2" s="68" t="inlineStr">
        <is>
          <t>human + preclinical</t>
        </is>
      </c>
      <c r="P2" s="68" t="inlineStr">
        <is>
          <t>Short-term use appears safe; side effects include drowsiness and GI upset. Rare liver injury has been reported.</t>
        </is>
      </c>
      <c r="Q2" s="68" t="inlineStr">
        <is>
          <t>May potentiate sedatives, antihypertensives, antidiabetics, thyroid hormones, and immunosuppressants.</t>
        </is>
      </c>
      <c r="R2" s="68" t="inlineStr">
        <is>
          <t>Pregnancy, breastfeeding, autoimmune disease, thyroid disorders, liver disease.</t>
        </is>
      </c>
      <c r="S2" s="68" t="inlineStr">
        <is>
          <t>Root powders and standardized extracts.</t>
        </is>
      </c>
      <c r="T2" s="68" t="inlineStr">
        <is>
          <t>300–500 mg root extract twice daily</t>
        </is>
      </c>
      <c r="U2" s="68" t="inlineStr">
        <is>
          <t>Often standardized to withanolides.</t>
        </is>
      </c>
      <c r="V2" s="68" t="n"/>
      <c r="W2" s="68" t="inlineStr">
        <is>
          <t>Medium</t>
        </is>
      </c>
      <c r="X2" s="68" t="inlineStr">
        <is>
          <t>validated</t>
        </is>
      </c>
      <c r="Y2" s="68" t="inlineStr">
        <is>
          <t>Recovered from prior batch output in this conversation</t>
        </is>
      </c>
      <c r="Z2" s="68" t="inlineStr">
        <is>
          <t>needs-source-normalization</t>
        </is>
      </c>
      <c r="AA2" s="68" t="inlineStr">
        <is>
          <t>conversation-recovered</t>
        </is>
      </c>
      <c r="AB2" s="68" t="inlineStr">
        <is>
          <t>Recovered from prior batch output in this conversation</t>
        </is>
      </c>
      <c r="AC2" s="68" t="inlineStr">
        <is>
          <t>Recovered from prior batch output in this conversation</t>
        </is>
      </c>
      <c r="AD2" s="68" t="inlineStr">
        <is>
          <t>Recovered from prior batch output in this conversation</t>
        </is>
      </c>
      <c r="AE2" s="68" t="inlineStr">
        <is>
          <t>Recovered from prior batch output in this conversation</t>
        </is>
      </c>
      <c r="AF2" s="68" t="inlineStr">
        <is>
          <t>Separate root-based products from leaf-heavy extracts.</t>
        </is>
      </c>
      <c r="AG2" s="68" t="n">
        <v>2</v>
      </c>
      <c r="AH2" s="68" t="n">
        <v>3</v>
      </c>
      <c r="AI2" s="68" t="n">
        <v>1</v>
      </c>
      <c r="AJ2" s="68" t="n">
        <v>6</v>
      </c>
      <c r="AK2" s="68" t="inlineStr">
        <is>
          <t>High</t>
        </is>
      </c>
      <c r="AL2" s="68" t="inlineStr">
        <is>
          <t>Present</t>
        </is>
      </c>
      <c r="AM2" s="68" t="inlineStr">
        <is>
          <t>Conversation-recovered</t>
        </is>
      </c>
      <c r="AN2" s="68" t="n">
        <v>1</v>
      </c>
      <c r="AO2" s="68" t="inlineStr">
        <is>
          <t>Near ready</t>
        </is>
      </c>
      <c r="AP2" s="68" t="inlineStr">
        <is>
          <t>Research</t>
        </is>
      </c>
      <c r="AQ2" s="68" t="n"/>
      <c r="AR2" s="68" t="inlineStr">
        <is>
          <t>Source review</t>
        </is>
      </c>
      <c r="AS2" s="68" t="inlineStr">
        <is>
          <t>Not started</t>
        </is>
      </c>
      <c r="AT2" s="68" t="inlineStr">
        <is>
          <t>No</t>
        </is>
      </c>
      <c r="AU2" s="68" t="inlineStr">
        <is>
          <t>No</t>
        </is>
      </c>
      <c r="AV2" s="68" t="inlineStr">
        <is>
          <t>Yes</t>
        </is>
      </c>
      <c r="AW2" s="68" t="inlineStr">
        <is>
          <t>Normalize source record</t>
        </is>
      </c>
      <c r="AX2" s="68" t="n">
        <v>1</v>
      </c>
      <c r="AY2" s="68" t="n"/>
      <c r="AZ2" s="68" t="n"/>
      <c r="BA2" s="68" t="n"/>
      <c r="BB2" s="68" t="n"/>
      <c r="BC2" s="68" t="n"/>
      <c r="BD2" s="68" t="n"/>
      <c r="BE2" s="68" t="inlineStr">
        <is>
          <t>2026-04-10</t>
        </is>
      </c>
      <c r="BF2" s="68" t="inlineStr">
        <is>
          <t>Metadata normalized from internal workbook links</t>
        </is>
      </c>
      <c r="BG2" s="68" t="inlineStr">
        <is>
          <t>ashwagandha|2026-04-10</t>
        </is>
      </c>
      <c r="BH2" s="68" t="inlineStr">
        <is>
          <t>2026-04-10:auto-normalized</t>
        </is>
      </c>
      <c r="BI2" t="inlineStr">
        <is>
          <t>ashwagandha</t>
        </is>
      </c>
      <c r="BJ2" t="inlineStr">
        <is>
          <t>Ashwagandha</t>
        </is>
      </c>
      <c r="BK2" t="n">
        <v>4</v>
      </c>
      <c r="BL2" t="n">
        <v>5</v>
      </c>
      <c r="BM2" t="n">
        <v>3</v>
      </c>
      <c r="BN2" t="n">
        <v>31</v>
      </c>
      <c r="BO2" t="n">
        <v>100</v>
      </c>
      <c r="BP2" t="n">
        <v>33</v>
      </c>
      <c r="BQ2" t="n">
        <v>50</v>
      </c>
      <c r="BR2" t="n">
        <v>28</v>
      </c>
      <c r="BS2" t="inlineStr">
        <is>
          <t>Tier 1</t>
        </is>
      </c>
      <c r="BT2" t="n">
        <v>23</v>
      </c>
      <c r="BU2" t="inlineStr">
        <is>
          <t>FALSE</t>
        </is>
      </c>
      <c r="BV2" t="inlineStr">
        <is>
          <t>ashwagandha</t>
        </is>
      </c>
      <c r="BW2" t="inlineStr">
        <is>
          <t>TRUE</t>
        </is>
      </c>
      <c r="BX2" t="inlineStr">
        <is>
          <t>Pass 10 refreshed scoring from 1 mapped compounds | Pass 13 rescored from 4 mapped compounds</t>
        </is>
      </c>
      <c r="BY2" t="inlineStr">
        <is>
          <t>unclassified; NF-kB inhibition; cytoprotective signaling; neuroprotective signaling; stress-response modulation</t>
        </is>
      </c>
      <c r="BZ2" t="inlineStr">
        <is>
          <t>NF-kB modulation; cytoprotective signaling; stress-response signaling</t>
        </is>
      </c>
      <c r="CA2" t="n">
        <v>11</v>
      </c>
      <c r="CB2" t="n">
        <v>0</v>
      </c>
      <c r="CC2" t="n">
        <v>0</v>
      </c>
      <c r="CD2" t="inlineStr">
        <is>
          <t>Steroidal lactone; unclassified; NF-kB inhibition; cytoprotective signaling</t>
        </is>
      </c>
      <c r="CE2" t="inlineStr">
        <is>
          <t>Pass 13 rescored after herb-name normalization and real top-herb compound sweep</t>
        </is>
      </c>
      <c r="CF2" t="inlineStr">
        <is>
          <t>General</t>
        </is>
      </c>
      <c r="CG2" t="inlineStr">
        <is>
          <t>Focus, Stress</t>
        </is>
      </c>
      <c r="CH2" s="68" t="inlineStr">
        <is>
          <t>Start low; usually evening or split use</t>
        </is>
      </c>
      <c r="CI2" s="68" t="inlineStr">
        <is>
          <t>Prefer evening or split dosing; avoid stacking with other sedative-heavy products by default.</t>
        </is>
      </c>
      <c r="CJ2" s="68" t="inlineStr">
        <is>
          <t>blood-pressure; glucose-lowering; hepatic-caution; immune-caution; lactation; pregnancy; sedation-cns; thyroid-hormonal</t>
        </is>
      </c>
      <c r="CK2" s="68" t="inlineStr">
        <is>
          <t>autoimmune disease; breastfeeding; liver disease; pregnancy; thyroid disorders</t>
        </is>
      </c>
      <c r="CL2" s="68" t="inlineStr">
        <is>
          <t>Elevated</t>
        </is>
      </c>
      <c r="CM2" s="68" t="inlineStr">
        <is>
          <t>Review</t>
        </is>
      </c>
      <c r="CN2" s="68" t="inlineStr">
        <is>
          <t>Needs manual safety review before default stack inclusion</t>
        </is>
      </c>
      <c r="CO2" s="68" t="inlineStr">
        <is>
          <t>Pass 21 herb-level safety and dose framing</t>
        </is>
      </c>
      <c r="CP2" t="inlineStr">
        <is>
          <t>Elevated</t>
        </is>
      </c>
      <c r="CQ2" t="inlineStr">
        <is>
          <t>Review</t>
        </is>
      </c>
      <c r="CR2" t="inlineStr">
        <is>
          <t>Needs manual safety review before default stack inclusion</t>
        </is>
      </c>
      <c r="CS2" t="inlineStr">
        <is>
          <t>Pass 22 refined safety rule severity and reduced broad keyword over-flagging</t>
        </is>
      </c>
      <c r="CT2" t="inlineStr">
        <is>
          <t>Stress</t>
        </is>
      </c>
      <c r="CU2" t="inlineStr">
        <is>
          <t>adaptogen; cortisol regulation; stress modulation</t>
        </is>
      </c>
      <c r="CV2" t="inlineStr">
        <is>
          <t>Human</t>
        </is>
      </c>
      <c r="CW2" t="inlineStr">
        <is>
          <t>Pass 26 normalization: categories, mechanisms, evidence tiers</t>
        </is>
      </c>
      <c r="CX2" t="inlineStr">
        <is>
          <t>Human + preclinical</t>
        </is>
      </c>
      <c r="CY2" t="inlineStr">
        <is>
          <t>Short-term use appears safe; side effects include drowsiness and GI upset. Rare liver injury has been reported.</t>
        </is>
      </c>
      <c r="CZ2" t="inlineStr">
        <is>
          <t>May potentiate sedatives, antihypertensives, antidiabetics, thyroid hormones, and immunosuppressants</t>
        </is>
      </c>
      <c r="DA2" t="inlineStr">
        <is>
          <t>Pregnancy, breastfeeding, autoimmune disease, thyroid disorders, liver disease</t>
        </is>
      </c>
      <c r="DB2" t="inlineStr">
        <is>
          <t>Pass 28 normalized evidence and safety-related free text</t>
        </is>
      </c>
      <c r="DD2" t="inlineStr">
        <is>
          <t>300–500 mg root extract twice daily</t>
        </is>
      </c>
      <c r="DE2" t="inlineStr">
        <is>
          <t>Root powders and standardized extracts.</t>
        </is>
      </c>
      <c r="DF2" t="inlineStr">
        <is>
          <t>Quality varies by extraction method, standardization, and contamination risk.</t>
        </is>
      </c>
      <c r="DG2" t="inlineStr">
        <is>
          <t>Moderate to high</t>
        </is>
      </c>
      <c r="DH2" t="inlineStr">
        <is>
          <t>Pass 29 completeness repair</t>
        </is>
      </c>
      <c r="DI2" t="n">
        <v>48</v>
      </c>
      <c r="DJ2" t="inlineStr">
        <is>
          <t>Neurocognitive</t>
        </is>
      </c>
      <c r="DK2" t="inlineStr">
        <is>
          <t>Steroidal lactone</t>
        </is>
      </c>
      <c r="DL2" t="inlineStr">
        <is>
          <t>Chinese Skullcap; Ginkgo Biloba; Panax Ginseng; Polygala; Shankhpushpi</t>
        </is>
      </c>
      <c r="DM2" t="inlineStr">
        <is>
          <t>Pass 31 relationship intelligence: density, cluster, anchor class, nearest herbs</t>
        </is>
      </c>
      <c r="DP2" t="inlineStr">
        <is>
          <t>Neuro / Cognitive</t>
        </is>
      </c>
      <c r="DQ2" t="inlineStr">
        <is>
          <t>Pass 32 substitute engine + cluster cleanup</t>
        </is>
      </c>
      <c r="DT2" t="inlineStr">
        <is>
          <t>no strong safe fallback found</t>
        </is>
      </c>
      <c r="DU2" t="inlineStr">
        <is>
          <t>Recommended</t>
        </is>
      </c>
      <c r="DV2" t="inlineStr">
        <is>
          <t>Pass 33 fallback replacement engine</t>
        </is>
      </c>
      <c r="DY2" t="inlineStr">
        <is>
          <t>Pass 35 expanded fallback pool with second-pass candidate exploration</t>
        </is>
      </c>
      <c r="EA2" t="inlineStr">
        <is>
          <t>Stress</t>
        </is>
      </c>
      <c r="EB2" t="inlineStr">
        <is>
          <t>unclassified; NF-kB inhibition; cytoprotective signaling; neuroprotective signaling; stress-response modulation</t>
        </is>
      </c>
      <c r="EC2" t="inlineStr">
        <is>
          <t>Moderate to high</t>
        </is>
      </c>
      <c r="ED2" t="inlineStr">
        <is>
          <t>Pass 40 reinforced weak-category herb data</t>
        </is>
      </c>
      <c r="EE2" t="inlineStr">
        <is>
          <t>Pass 42 added real compounds for weak-category reinforcement</t>
        </is>
      </c>
      <c r="EG2" t="n">
        <v>34</v>
      </c>
      <c r="EH2" t="n">
        <v>8.5</v>
      </c>
      <c r="EI2" t="n">
        <v>0</v>
      </c>
      <c r="EJ2" t="n">
        <v>4</v>
      </c>
      <c r="EK2" t="n">
        <v>59</v>
      </c>
      <c r="EL2" t="n">
        <v>54</v>
      </c>
      <c r="EM2" t="inlineStr">
        <is>
          <t>Withaferin A; Withanolide A; Withanoside IV; Withanoside V</t>
        </is>
      </c>
      <c r="EN2" t="inlineStr">
        <is>
          <t>Pass 48 rolled compound scores into herb-level scoring</t>
        </is>
      </c>
    </row>
    <row r="3">
      <c r="A3" s="68" t="inlineStr">
        <is>
          <t>Black Cohosh</t>
        </is>
      </c>
      <c r="B3" s="68" t="inlineStr">
        <is>
          <t>black-cohosh</t>
        </is>
      </c>
      <c r="C3" s="68" t="inlineStr">
        <is>
          <t>Actaea racemosa</t>
        </is>
      </c>
      <c r="D3" s="68" t="inlineStr">
        <is>
          <t>herb</t>
        </is>
      </c>
      <c r="E3" s="68" t="inlineStr">
        <is>
          <t>rhizome</t>
        </is>
      </c>
      <c r="F3" s="68" t="inlineStr">
        <is>
          <t>root; rhizome</t>
        </is>
      </c>
      <c r="G3" s="68" t="inlineStr">
        <is>
          <t>black cohosh; black snakeroot; Actaea racemosa</t>
        </is>
      </c>
      <c r="H3" s="68" t="inlineStr">
        <is>
          <t>Native to North America, especially the eastern United States.</t>
        </is>
      </c>
      <c r="I3" s="68" t="inlineStr">
        <is>
          <t>Black Cohosh (Actaea racemosa) is a rhizome monograph focused on the root; rhizome used in herbal preparations. It is associated with Native to North America, especially the eastern United States. Proposed mechanism based on preclinical and limited clinical data: black cohosh may act through serotonergic pathways, selective estrogen receptor modulation, and anti-inflammatory signaling rather than as a classical estrogen. Generally well tolerated in short-term studies, but rare cases of liver injury have been reported.</t>
        </is>
      </c>
      <c r="J3" s="68" t="inlineStr">
        <is>
          <t>Black Cohosh is represented here as a monograph-style entry centered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K3" s="68" t="inlineStr">
        <is>
          <t>triterpene glycosides (actein, 23-epi-26-deoxyactein); cimifugoside; caffeic acid derivatives; fukinolic acid</t>
        </is>
      </c>
      <c r="L3" s="68" t="inlineStr">
        <is>
          <t>actein; 23-epi-26-deoxyactein</t>
        </is>
      </c>
      <c r="M3" s="68" t="inlineStr">
        <is>
          <t>Proposed mechanism based on preclinical and limited clinical data: black cohosh may act through serotonergic pathways, selective estrogen receptor modulation, and anti-inflammatory signaling rather than as a classical estrogen.</t>
        </is>
      </c>
      <c r="N3" s="68" t="inlineStr">
        <is>
          <t>serotonergic; anti-inflammatory; hormonal</t>
        </is>
      </c>
      <c r="O3" s="68" t="inlineStr">
        <is>
          <t>preclinical + limited human</t>
        </is>
      </c>
      <c r="P3" s="68" t="inlineStr">
        <is>
          <t>Generally well tolerated in short-term studies, but rare cases of liver injury have been reported. Product contamination or misidentification is a known issue.</t>
        </is>
      </c>
      <c r="Q3" s="68" t="inlineStr">
        <is>
          <t>Potential interactions with hepatotoxic drugs and with medications affecting estrogen or serotonergic pathways.</t>
        </is>
      </c>
      <c r="R3" s="68" t="inlineStr">
        <is>
          <t>Avoid in pregnancy and breastfeeding. Use caution in liver disease or hormone-sensitive conditions.</t>
        </is>
      </c>
      <c r="S3" s="68" t="inlineStr">
        <is>
          <t>Root and rhizome used in standardized extracts, capsules, tablets, and tinctures.</t>
        </is>
      </c>
      <c r="T3" s="68" t="n"/>
      <c r="U3" s="68" t="n"/>
      <c r="V3" s="68" t="inlineStr">
        <is>
          <t>Adulteration/misidentification risk in commercial products.</t>
        </is>
      </c>
      <c r="W3" s="68" t="inlineStr">
        <is>
          <t>Medium</t>
        </is>
      </c>
      <c r="X3" s="68" t="inlineStr">
        <is>
          <t>validated</t>
        </is>
      </c>
      <c r="Y3" s="68" t="inlineStr">
        <is>
          <t>NCCIH; NIH ODS; PubMed mechanism review PMC3046019</t>
        </is>
      </c>
      <c r="Z3" s="68" t="inlineStr">
        <is>
          <t>present</t>
        </is>
      </c>
      <c r="AA3" s="68" t="inlineStr">
        <is>
          <t>NCCIH; NIH/ODS; PubMed/PMC</t>
        </is>
      </c>
      <c r="AB3" s="68" t="inlineStr">
        <is>
          <t>NCCIH; NIH ODS; PubMed mechanism review PMC3046019</t>
        </is>
      </c>
      <c r="AC3" s="68" t="inlineStr">
        <is>
          <t>NCCIH; NIH ODS; PubMed mechanism review PMC3046019</t>
        </is>
      </c>
      <c r="AD3" s="68" t="inlineStr">
        <is>
          <t>NCCIH; NIH ODS; PubMed mechanism review PMC3046019</t>
        </is>
      </c>
      <c r="AE3" s="68" t="inlineStr">
        <is>
          <t>NCCIH; NIH ODS; PubMed mechanism review PMC3046019</t>
        </is>
      </c>
      <c r="AF3" s="68" t="inlineStr">
        <is>
          <t>Treat menopausal mechanism claims as mixed evidence, not established estrogenic action.</t>
        </is>
      </c>
      <c r="AG3" s="68" t="n">
        <v>2</v>
      </c>
      <c r="AH3" s="68" t="n">
        <v>3</v>
      </c>
      <c r="AI3" s="68" t="n">
        <v>3</v>
      </c>
      <c r="AJ3" s="68" t="n">
        <v>8</v>
      </c>
      <c r="AK3" s="68" t="inlineStr">
        <is>
          <t>Medium</t>
        </is>
      </c>
      <c r="AL3" s="68" t="inlineStr">
        <is>
          <t>Missing</t>
        </is>
      </c>
      <c r="AM3" s="68" t="inlineStr">
        <is>
          <t>Linked primary/secondary</t>
        </is>
      </c>
      <c r="AN3" s="68" t="n">
        <v>0.8571428571428571</v>
      </c>
      <c r="AO3" s="68" t="inlineStr">
        <is>
          <t>Ready</t>
        </is>
      </c>
      <c r="AP3" s="68" t="inlineStr">
        <is>
          <t>Editorial</t>
        </is>
      </c>
      <c r="AQ3" s="68" t="n"/>
      <c r="AR3" s="68" t="inlineStr">
        <is>
          <t>Ready for QA</t>
        </is>
      </c>
      <c r="AS3" s="68" t="inlineStr">
        <is>
          <t>Not started</t>
        </is>
      </c>
      <c r="AT3" s="68" t="inlineStr">
        <is>
          <t>Yes</t>
        </is>
      </c>
      <c r="AU3" s="68" t="inlineStr">
        <is>
          <t>Yes</t>
        </is>
      </c>
      <c r="AV3" s="68" t="inlineStr">
        <is>
          <t>Yes</t>
        </is>
      </c>
      <c r="AW3" s="68" t="n"/>
      <c r="AX3" s="68" t="n">
        <v>1</v>
      </c>
      <c r="AY3" s="68" t="n"/>
      <c r="AZ3" s="68" t="n"/>
      <c r="BA3" s="68" t="n"/>
      <c r="BB3" s="68" t="n"/>
      <c r="BC3" s="68" t="n"/>
      <c r="BD3" s="68" t="n"/>
      <c r="BE3" s="68" t="inlineStr">
        <is>
          <t>2026-04-10</t>
        </is>
      </c>
      <c r="BF3" s="68" t="inlineStr">
        <is>
          <t>Metadata normalized from internal workbook links</t>
        </is>
      </c>
      <c r="BG3" s="68" t="inlineStr">
        <is>
          <t>black-cohosh|2026-04-10</t>
        </is>
      </c>
      <c r="BH3" s="68" t="inlineStr">
        <is>
          <t>2026-04-10:auto-normalized</t>
        </is>
      </c>
      <c r="BI3" t="inlineStr">
        <is>
          <t>black-cohosh</t>
        </is>
      </c>
      <c r="BJ3" t="inlineStr">
        <is>
          <t>Black Cohosh</t>
        </is>
      </c>
      <c r="BK3" t="n">
        <v>3</v>
      </c>
      <c r="BL3" t="n">
        <v>4</v>
      </c>
      <c r="BM3" t="n">
        <v>3</v>
      </c>
      <c r="BN3" t="n">
        <v>24</v>
      </c>
      <c r="BO3" t="n">
        <v>100</v>
      </c>
      <c r="BP3" t="n">
        <v>25</v>
      </c>
      <c r="BQ3" t="n">
        <v>40</v>
      </c>
      <c r="BR3" t="n">
        <v>20</v>
      </c>
      <c r="BS3" t="inlineStr">
        <is>
          <t>Tier 1</t>
        </is>
      </c>
      <c r="BT3" t="n">
        <v>17</v>
      </c>
      <c r="BU3" t="inlineStr">
        <is>
          <t>FALSE</t>
        </is>
      </c>
      <c r="BV3" t="inlineStr">
        <is>
          <t>black-cohosh</t>
        </is>
      </c>
      <c r="BW3" t="inlineStr">
        <is>
          <t>TRUE</t>
        </is>
      </c>
      <c r="BX3" t="inlineStr">
        <is>
          <t>Pass 10 refreshed scoring from 1 mapped compounds | Pass 13 rescored from 3 mapped compounds</t>
        </is>
      </c>
      <c r="BY3" t="inlineStr">
        <is>
          <t>anti-inflammatory signaling; serotonergic signaling; oxidative stress reduction; unclassified</t>
        </is>
      </c>
      <c r="BZ3" t="inlineStr">
        <is>
          <t>serotonergic and anti-inflammatory signaling; anti-inflammatory and antioxidant signaling</t>
        </is>
      </c>
      <c r="CA3" t="n">
        <v>8</v>
      </c>
      <c r="CB3" t="n">
        <v>0</v>
      </c>
      <c r="CC3" t="n">
        <v>0</v>
      </c>
      <c r="CD3" t="inlineStr">
        <is>
          <t>Triterpene glycoside; Phenolic acid; actein; anti-inflammatory signaling; serotonergic signaling; oxidative stress reduction</t>
        </is>
      </c>
      <c r="CE3" t="inlineStr">
        <is>
          <t>Pass 13 rescored after herb-name normalization and real top-herb compound sweep</t>
        </is>
      </c>
      <c r="CF3" t="inlineStr">
        <is>
          <t>General</t>
        </is>
      </c>
      <c r="CG3" t="inlineStr">
        <is>
          <t>Recovery, Stress</t>
        </is>
      </c>
      <c r="CH3" s="68" t="inlineStr">
        <is>
          <t>Start low; usually evening or split use</t>
        </is>
      </c>
      <c r="CI3" s="68" t="inlineStr">
        <is>
          <t>Avoid aggressive stacking with other monoamine-active or stimulating products by default.</t>
        </is>
      </c>
      <c r="CJ3" s="68" t="inlineStr">
        <is>
          <t>hepatic-caution; lactation; monoamine-neuro; pregnancy; thyroid-hormonal</t>
        </is>
      </c>
      <c r="CK3" s="68" t="inlineStr">
        <is>
          <t>breastfeeding; hormone-sensitive conditions; liver disease; pregnancy</t>
        </is>
      </c>
      <c r="CL3" s="68" t="inlineStr">
        <is>
          <t>Elevated</t>
        </is>
      </c>
      <c r="CM3" s="68" t="inlineStr">
        <is>
          <t>Review</t>
        </is>
      </c>
      <c r="CN3" s="68" t="inlineStr">
        <is>
          <t>Hormonal/hepatic context is too sensitive for default beginner stack use</t>
        </is>
      </c>
      <c r="CO3" s="68" t="inlineStr">
        <is>
          <t>Pass 21 herb-level safety and dose framing</t>
        </is>
      </c>
      <c r="CP3" t="inlineStr">
        <is>
          <t>Elevated</t>
        </is>
      </c>
      <c r="CQ3" t="inlineStr">
        <is>
          <t>Review</t>
        </is>
      </c>
      <c r="CR3" t="inlineStr">
        <is>
          <t>Context-sensitive herb kept conservative for default product stacks</t>
        </is>
      </c>
      <c r="CS3" t="inlineStr">
        <is>
          <t>Pass 22 refined safety rule severity and reduced broad keyword over-flagging</t>
        </is>
      </c>
      <c r="CT3" t="inlineStr">
        <is>
          <t>General</t>
        </is>
      </c>
      <c r="CU3" t="inlineStr">
        <is>
          <t>anti-inflammatory; hormonal; serotonergic</t>
        </is>
      </c>
      <c r="CV3" t="inlineStr">
        <is>
          <t>Human</t>
        </is>
      </c>
      <c r="CW3" t="inlineStr">
        <is>
          <t>Pass 26 normalization: categories, mechanisms, evidence tiers</t>
        </is>
      </c>
      <c r="CX3" t="inlineStr">
        <is>
          <t>Human + preclinical</t>
        </is>
      </c>
      <c r="CY3" t="inlineStr">
        <is>
          <t>Generally well tolerated in short-term studies, but rare cases of liver injury have been reported. Product contamination or misidentification is a known issue.</t>
        </is>
      </c>
      <c r="CZ3" t="inlineStr">
        <is>
          <t>Potential interactions with hepatotoxic drugs and with medications affecting estrogen or serotonergic pathways</t>
        </is>
      </c>
      <c r="DA3" t="inlineStr">
        <is>
          <t>Avoid in pregnancy and breastfeeding. Use caution in liver disease or hormone-sensitive conditions</t>
        </is>
      </c>
      <c r="DB3" t="inlineStr">
        <is>
          <t>Pass 28 normalized evidence and safety-related free text</t>
        </is>
      </c>
      <c r="DD3" t="inlineStr">
        <is>
          <t>No standardized dose established; use conservative, product-dependent ranges.</t>
        </is>
      </c>
      <c r="DE3" t="inlineStr">
        <is>
          <t>Root and rhizome used in standardized extracts, capsules, tablets, and tinctures.</t>
        </is>
      </c>
      <c r="DF3" t="inlineStr">
        <is>
          <t>Adulteration/misidentification risk in commercial products.</t>
        </is>
      </c>
      <c r="DG3" t="inlineStr">
        <is>
          <t>Moderate to high</t>
        </is>
      </c>
      <c r="DH3" t="inlineStr">
        <is>
          <t>Pass 29 completeness repair</t>
        </is>
      </c>
      <c r="DI3" t="n">
        <v>36</v>
      </c>
      <c r="DJ3" t="inlineStr">
        <is>
          <t>Neurocognitive</t>
        </is>
      </c>
      <c r="DK3" t="inlineStr">
        <is>
          <t>Phenolic acid</t>
        </is>
      </c>
      <c r="DL3" t="inlineStr">
        <is>
          <t>Ginkgo Biloba; Chinese Skullcap; Polygala; Shankhpushpi; Corydalis</t>
        </is>
      </c>
      <c r="DM3" t="inlineStr">
        <is>
          <t>Pass 31 relationship intelligence: density, cluster, anchor class, nearest herbs</t>
        </is>
      </c>
      <c r="DP3" t="inlineStr">
        <is>
          <t>Neuro / Cognitive</t>
        </is>
      </c>
      <c r="DQ3" t="inlineStr">
        <is>
          <t>Pass 32 substitute engine + cluster cleanup</t>
        </is>
      </c>
      <c r="DT3" t="inlineStr">
        <is>
          <t>no strong safe fallback found</t>
        </is>
      </c>
      <c r="DU3" t="inlineStr">
        <is>
          <t>Recommended</t>
        </is>
      </c>
      <c r="DV3" t="inlineStr">
        <is>
          <t>Pass 33 fallback replacement engine</t>
        </is>
      </c>
      <c r="DY3" t="inlineStr">
        <is>
          <t>Pass 35 expanded fallback pool with second-pass candidate exploration</t>
        </is>
      </c>
      <c r="EA3" t="inlineStr">
        <is>
          <t>Focus</t>
        </is>
      </c>
      <c r="EB3" t="inlineStr">
        <is>
          <t>anti-inflammatory signaling; serotonergic signaling; oxidative stress reduction; unclassified</t>
        </is>
      </c>
      <c r="EC3" t="inlineStr">
        <is>
          <t>Moderate to high</t>
        </is>
      </c>
      <c r="ED3" t="inlineStr">
        <is>
          <t>Pass 40 reinforced weak-category herb data</t>
        </is>
      </c>
      <c r="EE3" t="inlineStr">
        <is>
          <t>Pass 42 added real compounds for weak-category reinforcement</t>
        </is>
      </c>
      <c r="EG3" t="n">
        <v>32</v>
      </c>
      <c r="EH3" t="n">
        <v>6.4</v>
      </c>
      <c r="EI3" t="n">
        <v>0</v>
      </c>
      <c r="EJ3" t="n">
        <v>3</v>
      </c>
      <c r="EK3" t="n">
        <v>55</v>
      </c>
      <c r="EL3" t="n">
        <v>48</v>
      </c>
      <c r="EM3" t="inlineStr">
        <is>
          <t>23-epi-26-deoxyactein; Actein; Fukinolic acid; Cimicifugoside; Isoferulic acid</t>
        </is>
      </c>
      <c r="EN3" t="inlineStr">
        <is>
          <t>Pass 48 rolled compound scores into herb-level scoring</t>
        </is>
      </c>
    </row>
    <row r="4">
      <c r="A4" s="68" t="inlineStr">
        <is>
          <t>Echinacea Purpurea</t>
        </is>
      </c>
      <c r="B4" s="68" t="inlineStr">
        <is>
          <t>echinacea-purpurea</t>
        </is>
      </c>
      <c r="C4" s="68" t="inlineStr">
        <is>
          <t>Echinacea purpurea</t>
        </is>
      </c>
      <c r="D4" s="68" t="inlineStr">
        <is>
          <t>herb</t>
        </is>
      </c>
      <c r="E4" s="68" t="inlineStr">
        <is>
          <t>herb</t>
        </is>
      </c>
      <c r="F4" s="68" t="inlineStr">
        <is>
          <t>unspecified</t>
        </is>
      </c>
      <c r="G4" s="68" t="inlineStr">
        <is>
          <t>echinacea; purple coneflower</t>
        </is>
      </c>
      <c r="H4" s="68" t="inlineStr">
        <is>
          <t>Native to the central and eastern United States; now cultivated and introduced in Europe and other temperate regions【55003496660111†L75-L130】.</t>
        </is>
      </c>
      <c r="I4" s="68" t="inlineStr">
        <is>
          <t>Echinacea Purpurea (Echinacea purpurea) is a herb monograph focused on the unspecified used in herbal preparations. It is associated with Native to the central and eastern United States; now cultivated and introduced in Europe and other temperate regions【55003496660111†L75-L130】. Roots, leaves and flowers of Echinacea purpurea contain mixtures of lipophilic alkamides and hydrophilic caffeic acid derivatives such as chicoric acid and echinacoside, along with polysaccharides and glycoproteins【880087072039746†L166-L200】【840476591578855†L240-L305】. Short‑term use of echinacea extracts appears safe for most adults.</t>
        </is>
      </c>
      <c r="J4" s="68" t="inlineStr">
        <is>
          <t>Echinacea Purpurea is represented here as a monograph-style entry centered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K4" s="68" t="inlineStr">
        <is>
          <t>alkamides; chicoric acid; echinacoside; caffeic acid; cynarin</t>
        </is>
      </c>
      <c r="L4" s="68" t="inlineStr">
        <is>
          <t>alkamides</t>
        </is>
      </c>
      <c r="M4" s="68" t="inlineStr">
        <is>
          <t>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t>
        </is>
      </c>
      <c r="N4" s="68" t="inlineStr">
        <is>
          <t>immunomodulatory</t>
        </is>
      </c>
      <c r="O4" s="68" t="inlineStr">
        <is>
          <t>mapped</t>
        </is>
      </c>
      <c r="P4" s="68" t="inlineStr">
        <is>
          <t>Short‑term use of echinacea extracts appears safe for most adults. Reported side effects include digestive upset and rash; 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 theoretical interactions with immunosuppressants or caffeine have been proposed【246299874455786†L194-L213】.</t>
        </is>
      </c>
      <c r="Q4" s="68" t="inlineStr">
        <is>
          <t>Echinacea may interact with immunosuppressant drugs by stimulating immune activity and could affect the pharmacokinetics of drugs metabolised by cytochrome P450 enzymes; caution is advised when taken with hepatic substrates or caffeine.</t>
        </is>
      </c>
      <c r="R4" s="68" t="inlineStr">
        <is>
          <t>Individuals with autoimmune disorders or allergies to ragweed and other Asteraceae plants should avoid echinacea. Use during pregnancy or breastfeeding is not recommended. People taking immunosuppressant drugs should avoid echinacea due to potential antagonism.</t>
        </is>
      </c>
      <c r="S4" s="68" t="inlineStr">
        <is>
          <t>Medicinal products use the roots and aerial parts in teas, juices, tinctures and standardized extracts.</t>
        </is>
      </c>
      <c r="T4" s="68" t="n"/>
      <c r="U4" s="68" t="n"/>
      <c r="V4" s="68" t="n"/>
      <c r="W4" s="68" t="inlineStr">
        <is>
          <t>Medium</t>
        </is>
      </c>
      <c r="X4" s="68" t="inlineStr">
        <is>
          <t>validated</t>
        </is>
      </c>
      <c r="Y4" s="68" t="inlineStr">
        <is>
          <t>【880087072039746†L166-L200】; 【880087072039746†L215-L243】; 【840476591578855†L240-L305】; 【246299874455786†L194-L213】; 【55003496660111†L75-L130】</t>
        </is>
      </c>
      <c r="Z4" s="68" t="inlineStr">
        <is>
          <t>present</t>
        </is>
      </c>
      <c r="AA4" s="68" t="inlineStr">
        <is>
          <t>PubMed/PMC</t>
        </is>
      </c>
      <c r="AB4" s="68" t="inlineStr">
        <is>
          <t>【880087072039746†L166-L200】; 【880087072039746†L215-L243】; 【840476591578855†L240-L305】; 【246299874455786†L194-L213】; 【55003496660111†L75-L130】</t>
        </is>
      </c>
      <c r="AC4" s="68" t="inlineStr">
        <is>
          <t>【880087072039746†L166-L200】; 【880087072039746†L215-L243】; 【840476591578855†L240-L305】; 【246299874455786†L194-L213】; 【55003496660111†L75-L130】</t>
        </is>
      </c>
      <c r="AD4" s="68" t="inlineStr">
        <is>
          <t>【880087072039746†L166-L200】; 【880087072039746†L215-L243】; 【840476591578855†L240-L305】; 【246299874455786†L194-L213】; 【55003496660111†L75-L130】</t>
        </is>
      </c>
      <c r="AE4" s="68" t="inlineStr">
        <is>
          <t>【880087072039746†L166-L200】; 【880087072039746†L215-L243】; 【840476591578855†L240-L305】; 【246299874455786†L194-L213】; 【55003496660111†L75-L130】</t>
        </is>
      </c>
      <c r="AF4" s="68" t="inlineStr">
        <is>
          <t>Mechanism preserved as qualified language where evidence is preclinical.</t>
        </is>
      </c>
      <c r="AG4" s="68" t="n">
        <v>2</v>
      </c>
      <c r="AH4" s="68" t="n">
        <v>1</v>
      </c>
      <c r="AI4" s="68" t="n">
        <v>3</v>
      </c>
      <c r="AJ4" s="68" t="n">
        <v>6</v>
      </c>
      <c r="AK4" s="68" t="inlineStr">
        <is>
          <t>Medium</t>
        </is>
      </c>
      <c r="AL4" s="68" t="inlineStr">
        <is>
          <t>Missing</t>
        </is>
      </c>
      <c r="AM4" s="68" t="inlineStr">
        <is>
          <t>Linked primary/secondary</t>
        </is>
      </c>
      <c r="AN4" s="68" t="n">
        <v>0.7142857142857143</v>
      </c>
      <c r="AO4" s="68" t="inlineStr">
        <is>
          <t>Near ready</t>
        </is>
      </c>
      <c r="AP4" s="68" t="inlineStr">
        <is>
          <t>Editorial</t>
        </is>
      </c>
      <c r="AQ4" s="68" t="n"/>
      <c r="AR4" s="68" t="inlineStr">
        <is>
          <t>Editorial polish</t>
        </is>
      </c>
      <c r="AS4" s="68" t="inlineStr">
        <is>
          <t>Not started</t>
        </is>
      </c>
      <c r="AT4" s="68" t="inlineStr">
        <is>
          <t>Yes</t>
        </is>
      </c>
      <c r="AU4" s="68" t="inlineStr">
        <is>
          <t>No</t>
        </is>
      </c>
      <c r="AV4" s="68" t="inlineStr">
        <is>
          <t>Yes</t>
        </is>
      </c>
      <c r="AW4" s="68" t="inlineStr">
        <is>
          <t>Finalize remaining content gaps</t>
        </is>
      </c>
      <c r="AX4" s="68" t="n">
        <v>1</v>
      </c>
      <c r="AY4" s="68" t="n"/>
      <c r="AZ4" s="68" t="n"/>
      <c r="BA4" s="68" t="n"/>
      <c r="BB4" s="68" t="n"/>
      <c r="BC4" s="68" t="n"/>
      <c r="BD4" s="68" t="n"/>
      <c r="BE4" s="68" t="inlineStr">
        <is>
          <t>2026-04-10</t>
        </is>
      </c>
      <c r="BF4" s="68" t="inlineStr">
        <is>
          <t>Metadata normalized from internal workbook links</t>
        </is>
      </c>
      <c r="BG4" s="68" t="inlineStr">
        <is>
          <t>echinacea-purpurea|2026-04-10</t>
        </is>
      </c>
      <c r="BH4" s="68" t="inlineStr">
        <is>
          <t>2026-04-10:auto-normalized</t>
        </is>
      </c>
      <c r="BI4" t="inlineStr">
        <is>
          <t>echinacea-purpurea</t>
        </is>
      </c>
      <c r="BJ4" t="inlineStr">
        <is>
          <t>Echinacea Purpurea</t>
        </is>
      </c>
      <c r="BK4" t="n">
        <v>1</v>
      </c>
      <c r="BL4" t="n">
        <v>0</v>
      </c>
      <c r="BM4" t="n">
        <v>1</v>
      </c>
      <c r="BN4" t="n">
        <v>3</v>
      </c>
      <c r="BO4" t="n">
        <v>100</v>
      </c>
      <c r="BP4" t="n">
        <v>8</v>
      </c>
      <c r="BQ4" t="n">
        <v>0</v>
      </c>
      <c r="BR4" t="n">
        <v>5</v>
      </c>
      <c r="BS4" t="inlineStr">
        <is>
          <t>Tier 4</t>
        </is>
      </c>
      <c r="BT4" t="n">
        <v>3</v>
      </c>
      <c r="BU4" t="inlineStr">
        <is>
          <t>FALSE</t>
        </is>
      </c>
      <c r="BV4" t="inlineStr">
        <is>
          <t>echinacea-purpurea</t>
        </is>
      </c>
      <c r="BW4" t="inlineStr">
        <is>
          <t>TRUE</t>
        </is>
      </c>
      <c r="BX4" t="inlineStr">
        <is>
          <t>Pass 10 refreshed scoring from 1 mapped compounds | Pass 13 rescored from 1 mapped compounds</t>
        </is>
      </c>
      <c r="CA4" t="n">
        <v>2</v>
      </c>
      <c r="CB4" t="n">
        <v>0</v>
      </c>
      <c r="CC4" t="n">
        <v>0</v>
      </c>
      <c r="CE4" t="inlineStr">
        <is>
          <t>Pass 13 rescored after herb-name normalization and real top-herb compound sweep</t>
        </is>
      </c>
      <c r="CF4" t="inlineStr">
        <is>
          <t>General</t>
        </is>
      </c>
      <c r="CH4" s="68" t="inlineStr">
        <is>
          <t>Start with low single-herb exposure and increase only if tolerated</t>
        </is>
      </c>
      <c r="CI4" s="68" t="inlineStr">
        <is>
          <t>Prefer conservative use and avoid default inclusion in liver-sensitive audiences.</t>
        </is>
      </c>
      <c r="CJ4" s="68" t="inlineStr">
        <is>
          <t>hepatic-caution; immune-caution; lactation; pregnancy</t>
        </is>
      </c>
      <c r="CK4" s="68" t="inlineStr">
        <is>
          <t>autoimmune disease; breastfeeding; pregnancy</t>
        </is>
      </c>
      <c r="CL4" s="68" t="inlineStr">
        <is>
          <t>Moderate</t>
        </is>
      </c>
      <c r="CM4" s="68" t="inlineStr">
        <is>
          <t>No</t>
        </is>
      </c>
      <c r="CN4" s="68" t="str"/>
      <c r="CO4" s="68" t="inlineStr">
        <is>
          <t>Pass 21 herb-level safety and dose framing</t>
        </is>
      </c>
      <c r="CP4" t="inlineStr">
        <is>
          <t>Elevated</t>
        </is>
      </c>
      <c r="CQ4" t="inlineStr">
        <is>
          <t>Review</t>
        </is>
      </c>
      <c r="CR4" t="inlineStr">
        <is>
          <t>Needs manual safety review before default stack inclusion</t>
        </is>
      </c>
      <c r="CS4" t="inlineStr">
        <is>
          <t>Pass 22 refined safety rule severity and reduced broad keyword over-flagging</t>
        </is>
      </c>
      <c r="CT4" t="inlineStr">
        <is>
          <t>General</t>
        </is>
      </c>
      <c r="CU4" t="inlineStr">
        <is>
          <t>immunomodulatory</t>
        </is>
      </c>
      <c r="CV4" t="inlineStr">
        <is>
          <t>Unknown</t>
        </is>
      </c>
      <c r="CW4" t="inlineStr">
        <is>
          <t>Pass 26 normalization: categories, mechanisms, evidence tiers</t>
        </is>
      </c>
      <c r="CX4" t="inlineStr">
        <is>
          <t>Mapped</t>
        </is>
      </c>
      <c r="CY4" t="inlineStr">
        <is>
          <t>Short-term use of echinacea extracts appears safe for most adults. Reported side effects include digestive upset and rash; 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 theoretical interactions with immunosuppressants or caffeine have been proposed【246299874455786†L194-L213】.</t>
        </is>
      </c>
      <c r="CZ4" t="inlineStr">
        <is>
          <t>Echinacea may interact with immunosuppressant drugs by stimulating immune activity and could affect the pharmacokinetics of drugs metabolised by cytochrome P450 enzymes; Caution is advised when taken with hepatic substrates or caffeine</t>
        </is>
      </c>
      <c r="DA4" t="inlineStr">
        <is>
          <t>Individuals with autoimmune disorders or allergies to ragweed and other Asteraceae plants should avoid echinacea. Use during pregnancy or breastfeeding is not recommended. People taking immunosuppressant drugs should avoid echinacea due to potential antagonism</t>
        </is>
      </c>
      <c r="DB4" t="inlineStr">
        <is>
          <t>Pass 28 normalized evidence and safety-related free text</t>
        </is>
      </c>
      <c r="DD4" t="inlineStr">
        <is>
          <t>No standardized dose established; use conservative, product-dependent ranges.</t>
        </is>
      </c>
      <c r="DE4" t="inlineStr">
        <is>
          <t>Medicinal products use the roots and aerial parts in teas, juices, tinctures and standardized extracts.</t>
        </is>
      </c>
      <c r="DF4" t="inlineStr">
        <is>
          <t>Quality varies by extraction method, standardization, and contamination risk.</t>
        </is>
      </c>
      <c r="DG4" t="inlineStr">
        <is>
          <t>Low</t>
        </is>
      </c>
      <c r="DH4" t="inlineStr">
        <is>
          <t>Pass 29 completeness repair</t>
        </is>
      </c>
      <c r="DI4" t="n">
        <v>6</v>
      </c>
      <c r="DJ4" t="inlineStr">
        <is>
          <t>General</t>
        </is>
      </c>
      <c r="DL4" t="inlineStr">
        <is>
          <t>Acerola; Agarikon; Ajwain; Aloe Vera; American Ginseng</t>
        </is>
      </c>
      <c r="DM4" t="inlineStr">
        <is>
          <t>Pass 31 relationship intelligence: density, cluster, anchor class, nearest herbs</t>
        </is>
      </c>
      <c r="DP4" t="inlineStr">
        <is>
          <t>Generalist</t>
        </is>
      </c>
      <c r="DQ4" t="inlineStr">
        <is>
          <t>Pass 32 substitute engine + cluster cleanup</t>
        </is>
      </c>
      <c r="DT4" t="inlineStr">
        <is>
          <t>no strong safe fallback found</t>
        </is>
      </c>
      <c r="DU4" t="inlineStr">
        <is>
          <t>Recommended</t>
        </is>
      </c>
      <c r="DV4" t="inlineStr">
        <is>
          <t>Pass 33 fallback replacement engine</t>
        </is>
      </c>
      <c r="DY4" t="inlineStr">
        <is>
          <t>Pass 35 expanded fallback pool with second-pass candidate exploration</t>
        </is>
      </c>
      <c r="EA4" t="inlineStr">
        <is>
          <t>General</t>
        </is>
      </c>
      <c r="EC4" t="inlineStr">
        <is>
          <t>Medium</t>
        </is>
      </c>
      <c r="ED4" t="inlineStr">
        <is>
          <t>Pass 40 reinforced weak-category herb data</t>
        </is>
      </c>
      <c r="EG4" t="n">
        <v>0</v>
      </c>
      <c r="EH4" t="n">
        <v>0</v>
      </c>
      <c r="EI4" t="n">
        <v>0</v>
      </c>
      <c r="EJ4" t="n">
        <v>0</v>
      </c>
      <c r="EK4" t="n">
        <v>0</v>
      </c>
      <c r="EL4" t="n">
        <v>0</v>
      </c>
      <c r="EN4" t="inlineStr">
        <is>
          <t>Pass 48 rolled compound scores into herb-level scoring</t>
        </is>
      </c>
    </row>
    <row r="5">
      <c r="A5" s="68" t="inlineStr">
        <is>
          <t>Garlic</t>
        </is>
      </c>
      <c r="B5" s="68" t="inlineStr">
        <is>
          <t>garlic</t>
        </is>
      </c>
      <c r="C5" s="68" t="inlineStr">
        <is>
          <t>Allium sativum</t>
        </is>
      </c>
      <c r="D5" s="68" t="inlineStr">
        <is>
          <t>herb</t>
        </is>
      </c>
      <c r="E5" s="68" t="inlineStr">
        <is>
          <t>bulb</t>
        </is>
      </c>
      <c r="F5" s="68" t="inlineStr">
        <is>
          <t>unspecified</t>
        </is>
      </c>
      <c r="G5" s="68" t="inlineStr">
        <is>
          <t>garlic; Allium sativum</t>
        </is>
      </c>
      <c r="H5" s="68" t="inlineStr">
        <is>
          <t>Native to parts of Central Asia including Iran, Kazakhstan, Kyrgyzstan, Tajikistan, Turkmenistan and Uzbekistan, but now cultivated worldwide【387438139344369†L214-L229】.</t>
        </is>
      </c>
      <c r="I5" s="68" t="inlineStr">
        <is>
          <t>Garlic (Allium sativum) is a bulb monograph focused on the unspecified used in herbal preparations. It is associated with Native to parts of Central Asia including Iran, Kazakhstan, Kyrgyzstan, Tajikistan, Turkmenistan and Uzbekistan, but now cultivated worldwide【387438139344369†L214-L229】. Garlic bulbs contain organosulfur compounds such as diallyl sulfide, diallyl disulfide, diallyl trisulfide, ajoene and S‑allyl‑cysteine. Oral garlic preparations are generally safe when used for up to seven years; side effects include breath and body odour, abdominal pain, flatulence and nausea.</t>
        </is>
      </c>
      <c r="J5" s="68" t="inlineStr">
        <is>
          <t>Garlic is represented here as a monograph-style entry centered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K5" s="68" t="inlineStr">
        <is>
          <t>diallyl sulfide; diallyl disulfide; diallyl trisulfide; ajoene; S‑allyl‑cysteine</t>
        </is>
      </c>
      <c r="L5" s="68" t="inlineStr">
        <is>
          <t>diallyl sulfide</t>
        </is>
      </c>
      <c r="M5" s="68" t="inlineStr">
        <is>
          <t>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t>
        </is>
      </c>
      <c r="N5" s="68" t="inlineStr">
        <is>
          <t>anti-inflammatory; antioxidant; immunomodulatory</t>
        </is>
      </c>
      <c r="O5" s="68" t="inlineStr">
        <is>
          <t>mapped + curated</t>
        </is>
      </c>
      <c r="P5" s="68" t="inlineStr">
        <is>
          <t>Oral garlic preparations are generally safe when used for up to seven years; 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uncertain【945608786527328†L190-L207】.</t>
        </is>
      </c>
      <c r="Q5" s="68" t="inlineStr">
        <is>
          <t>Garlic may potentiate the effects of anticoagulant and antiplatelet drugs (e.g., warfarin, aspirin) and should be discontinued before surgery. It may also enhance the effects of antihypertensive or antidiabetic medicines.</t>
        </is>
      </c>
      <c r="R5" s="68" t="inlineStr">
        <is>
          <t>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S5" s="68" t="inlineStr">
        <is>
          <t>Fresh or dried bulbs are used as food and in remedies. Commercial supplements include aged garlic extracts, oils and powders standardized for organosulfur content.</t>
        </is>
      </c>
      <c r="T5" s="68" t="n"/>
      <c r="U5" s="68" t="n"/>
      <c r="V5" s="68" t="n"/>
      <c r="W5" s="68" t="inlineStr">
        <is>
          <t>Medium</t>
        </is>
      </c>
      <c r="X5" s="68" t="inlineStr">
        <is>
          <t>validated</t>
        </is>
      </c>
      <c r="Y5" s="68" t="inlineStr">
        <is>
          <t>【170738571486764†L1208-L1216】; 【945608786527328†L190-L207】; 【387438139344369†L214-L229】</t>
        </is>
      </c>
      <c r="Z5" s="68" t="inlineStr">
        <is>
          <t>present</t>
        </is>
      </c>
      <c r="AA5" s="68" t="inlineStr">
        <is>
          <t>PubMed/PMC</t>
        </is>
      </c>
      <c r="AB5" s="68" t="inlineStr">
        <is>
          <t>【170738571486764†L1208-L1216】; 【945608786527328†L190-L207】; 【387438139344369†L214-L229】</t>
        </is>
      </c>
      <c r="AC5" s="68" t="inlineStr">
        <is>
          <t>【170738571486764†L1208-L1216】; 【945608786527328†L190-L207】; 【387438139344369†L214-L229】</t>
        </is>
      </c>
      <c r="AD5" s="68" t="inlineStr">
        <is>
          <t>【170738571486764†L1208-L1216】; 【945608786527328†L190-L207】; 【387438139344369†L214-L229】</t>
        </is>
      </c>
      <c r="AE5" s="68" t="inlineStr">
        <is>
          <t>【170738571486764†L1208-L1216】; 【945608786527328†L190-L207】; 【387438139344369†L214-L229】</t>
        </is>
      </c>
      <c r="AF5" s="68" t="inlineStr">
        <is>
          <t>Mechanism preserved as qualified language where evidence is preclinical.</t>
        </is>
      </c>
      <c r="AG5" s="68" t="n">
        <v>2</v>
      </c>
      <c r="AH5" s="68" t="n">
        <v>1</v>
      </c>
      <c r="AI5" s="68" t="n">
        <v>3</v>
      </c>
      <c r="AJ5" s="68" t="n">
        <v>6</v>
      </c>
      <c r="AK5" s="68" t="inlineStr">
        <is>
          <t>Medium</t>
        </is>
      </c>
      <c r="AL5" s="68" t="inlineStr">
        <is>
          <t>Missing</t>
        </is>
      </c>
      <c r="AM5" s="68" t="inlineStr">
        <is>
          <t>Linked primary/secondary</t>
        </is>
      </c>
      <c r="AN5" s="68" t="n">
        <v>0.7142857142857143</v>
      </c>
      <c r="AO5" s="68" t="inlineStr">
        <is>
          <t>Near ready</t>
        </is>
      </c>
      <c r="AP5" s="68" t="inlineStr">
        <is>
          <t>Editorial</t>
        </is>
      </c>
      <c r="AQ5" s="68" t="n"/>
      <c r="AR5" s="68" t="inlineStr">
        <is>
          <t>Editorial polish</t>
        </is>
      </c>
      <c r="AS5" s="68" t="inlineStr">
        <is>
          <t>Not started</t>
        </is>
      </c>
      <c r="AT5" s="68" t="inlineStr">
        <is>
          <t>Yes</t>
        </is>
      </c>
      <c r="AU5" s="68" t="inlineStr">
        <is>
          <t>No</t>
        </is>
      </c>
      <c r="AV5" s="68" t="inlineStr">
        <is>
          <t>Yes</t>
        </is>
      </c>
      <c r="AW5" s="68" t="inlineStr">
        <is>
          <t>Finalize remaining content gaps</t>
        </is>
      </c>
      <c r="AX5" s="68" t="n">
        <v>1</v>
      </c>
      <c r="AY5" s="68" t="n"/>
      <c r="AZ5" s="68" t="n"/>
      <c r="BA5" s="68" t="n"/>
      <c r="BB5" s="68" t="n"/>
      <c r="BC5" s="68" t="n"/>
      <c r="BD5" s="68" t="n"/>
      <c r="BE5" s="68" t="inlineStr">
        <is>
          <t>2026-04-10</t>
        </is>
      </c>
      <c r="BF5" s="68" t="inlineStr">
        <is>
          <t>Metadata normalized from internal workbook links</t>
        </is>
      </c>
      <c r="BG5" s="68" t="inlineStr">
        <is>
          <t>garlic|2026-04-10</t>
        </is>
      </c>
      <c r="BH5" s="68" t="inlineStr">
        <is>
          <t>2026-04-10:auto-normalized</t>
        </is>
      </c>
      <c r="BI5" t="inlineStr">
        <is>
          <t>garlic</t>
        </is>
      </c>
      <c r="BJ5" t="inlineStr">
        <is>
          <t>Garlic</t>
        </is>
      </c>
      <c r="BK5" t="n">
        <v>1</v>
      </c>
      <c r="BL5" t="n">
        <v>1</v>
      </c>
      <c r="BM5" t="n">
        <v>1</v>
      </c>
      <c r="BN5" t="n">
        <v>7</v>
      </c>
      <c r="BO5" t="n">
        <v>100</v>
      </c>
      <c r="BP5" t="n">
        <v>8</v>
      </c>
      <c r="BQ5" t="n">
        <v>10</v>
      </c>
      <c r="BR5" t="n">
        <v>5</v>
      </c>
      <c r="BS5" t="inlineStr">
        <is>
          <t>Tier 1</t>
        </is>
      </c>
      <c r="BT5" t="n">
        <v>5</v>
      </c>
      <c r="BU5" t="inlineStr">
        <is>
          <t>FALSE</t>
        </is>
      </c>
      <c r="BV5" t="inlineStr">
        <is>
          <t>garlic</t>
        </is>
      </c>
      <c r="BW5" t="inlineStr">
        <is>
          <t>TRUE</t>
        </is>
      </c>
      <c r="BX5" t="inlineStr">
        <is>
          <t>Pass 10 refreshed scoring from 1 mapped compounds | Pass 13 rescored from 1 mapped compounds</t>
        </is>
      </c>
      <c r="BY5" t="inlineStr">
        <is>
          <t>unclassified</t>
        </is>
      </c>
      <c r="CA5" t="n">
        <v>2</v>
      </c>
      <c r="CB5" t="n">
        <v>0</v>
      </c>
      <c r="CC5" t="n">
        <v>0</v>
      </c>
      <c r="CD5" t="inlineStr">
        <is>
          <t>diallyl sulfide; unclassified</t>
        </is>
      </c>
      <c r="CE5" t="inlineStr">
        <is>
          <t>Pass 13 rescored after herb-name normalization and real top-herb compound sweep</t>
        </is>
      </c>
      <c r="CF5" t="inlineStr">
        <is>
          <t>General</t>
        </is>
      </c>
      <c r="CH5" s="68" t="inlineStr">
        <is>
          <t>Start low; usually daytime use</t>
        </is>
      </c>
      <c r="CI5" s="68" t="inlineStr">
        <is>
          <t>Keep conservative around surgery, anticoagulants, or antiplatelet use.</t>
        </is>
      </c>
      <c r="CJ5" s="68" t="inlineStr">
        <is>
          <t>bleeding-risk; blood-pressure; glucose-lowering; lactation; pregnancy</t>
        </is>
      </c>
      <c r="CK5" s="68" t="inlineStr">
        <is>
          <t>bleeding disorders; breastfeeding; pregnancy</t>
        </is>
      </c>
      <c r="CL5" s="68" t="inlineStr">
        <is>
          <t>Moderate</t>
        </is>
      </c>
      <c r="CM5" s="68" t="inlineStr">
        <is>
          <t>No</t>
        </is>
      </c>
      <c r="CN5" s="68" t="str"/>
      <c r="CO5" s="68" t="inlineStr">
        <is>
          <t>Pass 21 herb-level safety and dose framing</t>
        </is>
      </c>
      <c r="CP5" t="inlineStr">
        <is>
          <t>Elevated</t>
        </is>
      </c>
      <c r="CQ5" t="inlineStr">
        <is>
          <t>Review</t>
        </is>
      </c>
      <c r="CR5" t="inlineStr">
        <is>
          <t>Needs manual safety review before default stack inclusion</t>
        </is>
      </c>
      <c r="CS5" t="inlineStr">
        <is>
          <t>Pass 22 refined safety rule severity and reduced broad keyword over-flagging</t>
        </is>
      </c>
      <c r="CT5" t="inlineStr">
        <is>
          <t>General</t>
        </is>
      </c>
      <c r="CU5" t="inlineStr">
        <is>
          <t>anti-inflammatory; antioxidant; immunomodulatory</t>
        </is>
      </c>
      <c r="CV5" t="inlineStr">
        <is>
          <t>Unknown</t>
        </is>
      </c>
      <c r="CW5" t="inlineStr">
        <is>
          <t>Pass 26 normalization: categories, mechanisms, evidence tiers</t>
        </is>
      </c>
      <c r="CX5" t="inlineStr">
        <is>
          <t>Mapped + curated</t>
        </is>
      </c>
      <c r="CY5" t="inlineStr">
        <is>
          <t>Oral garlic preparations are generally safe when used for up to seven years; 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uncertain【945608786527328†L190-L207】.</t>
        </is>
      </c>
      <c r="CZ5" t="inlineStr">
        <is>
          <t>Garlic may potentiate the effects of anticoagulant and antiplatelet drugs (e.g., warfarin, aspirin) and should be discontinued before surgery. It may also enhance the effects of antihypertensive or antidiabetic medicines</t>
        </is>
      </c>
      <c r="DA5" t="inlineStr">
        <is>
          <t>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DB5" t="inlineStr">
        <is>
          <t>Pass 28 normalized evidence and safety-related free text</t>
        </is>
      </c>
      <c r="DD5" t="inlineStr">
        <is>
          <t>No standardized dose established; use conservative, product-dependent ranges.</t>
        </is>
      </c>
      <c r="DE5" t="inlineStr">
        <is>
          <t>Fresh or dried bulbs are used as food and in remedies. Commercial supplements include aged garlic extracts, oils and powders standardized for organosulfur content.</t>
        </is>
      </c>
      <c r="DF5" t="inlineStr">
        <is>
          <t>Quality varies by extraction method, standardization, and contamination risk.</t>
        </is>
      </c>
      <c r="DG5" t="inlineStr">
        <is>
          <t>Low</t>
        </is>
      </c>
      <c r="DH5" t="inlineStr">
        <is>
          <t>Pass 29 completeness repair</t>
        </is>
      </c>
      <c r="DI5" t="n">
        <v>9</v>
      </c>
      <c r="DJ5" t="inlineStr">
        <is>
          <t>General</t>
        </is>
      </c>
      <c r="DK5" t="inlineStr">
        <is>
          <t>diallyl sulfide</t>
        </is>
      </c>
      <c r="DL5" t="inlineStr">
        <is>
          <t>Agarikon; Ajwain; Angelica Root; Artichoke; Ashoka</t>
        </is>
      </c>
      <c r="DM5" t="inlineStr">
        <is>
          <t>Pass 31 relationship intelligence: density, cluster, anchor class, nearest herbs</t>
        </is>
      </c>
      <c r="DN5" t="inlineStr">
        <is>
          <t>Agarikon; Ajwain; Angelica Root; Artichoke; Ashoka</t>
        </is>
      </c>
      <c r="DO5" t="inlineStr">
        <is>
          <t>Agarikon (1 shared pathways) | Ajwain (1 shared pathways) | Angelica Root (1 shared pathways)</t>
        </is>
      </c>
      <c r="DP5" t="inlineStr">
        <is>
          <t>Generalist</t>
        </is>
      </c>
      <c r="DQ5" t="inlineStr">
        <is>
          <t>Pass 32 substitute engine + cluster cleanup</t>
        </is>
      </c>
      <c r="DR5" t="inlineStr">
        <is>
          <t>Agarikon</t>
        </is>
      </c>
      <c r="DS5" t="inlineStr">
        <is>
          <t>Ajwain</t>
        </is>
      </c>
      <c r="DT5" t="inlineStr">
        <is>
          <t>same cluster; lower safety burden; similarity-backed</t>
        </is>
      </c>
      <c r="DU5" t="inlineStr">
        <is>
          <t>Recommended</t>
        </is>
      </c>
      <c r="DV5" t="inlineStr">
        <is>
          <t>Pass 33 fallback replacement engine</t>
        </is>
      </c>
      <c r="DW5" t="inlineStr">
        <is>
          <t>Angelica Root</t>
        </is>
      </c>
      <c r="DX5" t="inlineStr">
        <is>
          <t>Agarikon; Ajwain; Angelica Root; Ashoka; Blue Lotus; Artichoke; Rosemary; Sage</t>
        </is>
      </c>
      <c r="DY5" t="inlineStr">
        <is>
          <t>Pass 35 expanded fallback pool with second-pass candidate exploration</t>
        </is>
      </c>
      <c r="EA5" t="inlineStr">
        <is>
          <t>General</t>
        </is>
      </c>
      <c r="EB5" t="inlineStr">
        <is>
          <t>unclassified</t>
        </is>
      </c>
      <c r="EC5" t="inlineStr">
        <is>
          <t>Medium</t>
        </is>
      </c>
      <c r="ED5" t="inlineStr">
        <is>
          <t>Pass 40 reinforced weak-category herb data</t>
        </is>
      </c>
      <c r="EG5" t="n">
        <v>3</v>
      </c>
      <c r="EH5" t="n">
        <v>3</v>
      </c>
      <c r="EI5" t="n">
        <v>0</v>
      </c>
      <c r="EJ5" t="n">
        <v>0</v>
      </c>
      <c r="EK5" t="n">
        <v>11</v>
      </c>
      <c r="EL5" t="n">
        <v>7</v>
      </c>
      <c r="EM5" t="inlineStr">
        <is>
          <t>diallyl sulfide</t>
        </is>
      </c>
      <c r="EN5" t="inlineStr">
        <is>
          <t>Pass 48 rolled compound scores into herb-level scoring</t>
        </is>
      </c>
    </row>
    <row r="6">
      <c r="A6" s="68" t="inlineStr">
        <is>
          <t>Ginger</t>
        </is>
      </c>
      <c r="B6" s="68" t="inlineStr">
        <is>
          <t>ginger</t>
        </is>
      </c>
      <c r="C6" s="68" t="inlineStr">
        <is>
          <t>Zingiber officinale</t>
        </is>
      </c>
      <c r="D6" s="68" t="inlineStr">
        <is>
          <t>herb</t>
        </is>
      </c>
      <c r="E6" s="68" t="inlineStr">
        <is>
          <t>rhizome</t>
        </is>
      </c>
      <c r="F6" s="68" t="inlineStr">
        <is>
          <t>unspecified</t>
        </is>
      </c>
      <c r="G6" s="68" t="inlineStr">
        <is>
          <t>ginger; Zingiber officinale</t>
        </is>
      </c>
      <c r="H6" s="68" t="inlineStr">
        <is>
          <t>Ginger does not occur in the wild; it is believed to have originated in Southeast Asia and is now cultivated across the humid tropics with India as the largest producer【418916103730052†L148-L163】.</t>
        </is>
      </c>
      <c r="I6" s="68" t="inlineStr">
        <is>
          <t>Ginger (Zingiber officinale) is a rhizome monograph focused on the unspecified used in herbal preparations. It is associated with Ginger does not occur in the wild; it is believed to have originated in Southeast Asia and is now cultivated across the humid tropics with India as the largest producer【418916103730052†L148-L163】. Ginger rhizomes contain phenolic constituents such as gingerols, shogaols, zingerone and paradols. Ginger is widely consumed as a food and supplement and is generally regarded as safe.</t>
        </is>
      </c>
      <c r="J6" s="68" t="inlineStr">
        <is>
          <t>Ginger is represented here as a monograph-style entry centered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K6" s="68" t="inlineStr">
        <is>
          <t>gingerol; shogaol</t>
        </is>
      </c>
      <c r="L6" s="68" t="inlineStr">
        <is>
          <t>gingerol</t>
        </is>
      </c>
      <c r="M6" s="68" t="inlineStr">
        <is>
          <t>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t>
        </is>
      </c>
      <c r="N6" s="68" t="inlineStr">
        <is>
          <t>anti-inflammatory; digestive support; nausea modulation</t>
        </is>
      </c>
      <c r="O6" s="68" t="inlineStr">
        <is>
          <t>mapped</t>
        </is>
      </c>
      <c r="P6" s="68"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throat【799387966105800†L29-L56】. Clinical studies using up to 1 000 mg/day of dried powdered extract report adverse event rates similar to placebo【739669106228210†L96-L133】. The safety of high‑dose ginger during pregnancy has not been conclusively established.</t>
        </is>
      </c>
      <c r="Q6" s="68" t="inlineStr">
        <is>
          <t>Ginger may increase the risk of bleeding when taken with anticoagulant or antiplatelet drugs and could lower blood glucose or blood pressure, potentiating antidiabetic or antihypertensive medications.</t>
        </is>
      </c>
      <c r="R6" s="68" t="inlineStr">
        <is>
          <t>Use cautiously in pregnancy, gallstone disease or bleeding disorders. Discontinue before surgery and avoid high‑dose supplements when taking anticoagulants.</t>
        </is>
      </c>
      <c r="S6" s="68" t="inlineStr">
        <is>
          <t>The rhizome is used fresh, dried, pickled, preserved, candied or powdered. Supplements include encapsulated dried powders and extracts【418916103730052†L176-L189】.</t>
        </is>
      </c>
      <c r="T6" s="68" t="inlineStr">
        <is>
          <t>Typical adult dose is up to 1 000 mg/day of dried powdered extract for gastrointestinal complaints【739669106228210†L96-L133】.</t>
        </is>
      </c>
      <c r="U6" s="68" t="n"/>
      <c r="V6" s="68" t="n"/>
      <c r="W6" s="68" t="inlineStr">
        <is>
          <t>High</t>
        </is>
      </c>
      <c r="X6" s="68" t="inlineStr">
        <is>
          <t>validated</t>
        </is>
      </c>
      <c r="Y6" s="68" t="inlineStr">
        <is>
          <t>【69571933386645†L153-L169】; 【69571933386645†L240-L249】; 【799387966105800†L29-L56】; 【739669106228210†L96-L133】; 【418916103730052†L148-L163】; 【418916103730052†L176-L189】</t>
        </is>
      </c>
      <c r="Z6" s="68" t="inlineStr">
        <is>
          <t>present</t>
        </is>
      </c>
      <c r="AA6" s="68" t="inlineStr">
        <is>
          <t>PubMed/PMC</t>
        </is>
      </c>
      <c r="AB6" s="68" t="inlineStr">
        <is>
          <t>【69571933386645†L153-L169】; 【69571933386645†L240-L249】; 【799387966105800†L29-L56】; 【739669106228210†L96-L133】; 【418916103730052†L148-L163】; 【418916103730052†L176-L189】</t>
        </is>
      </c>
      <c r="AC6" s="68" t="inlineStr">
        <is>
          <t>【69571933386645†L153-L169】; 【69571933386645†L240-L249】; 【799387966105800†L29-L56】; 【739669106228210†L96-L133】; 【418916103730052†L148-L163】; 【418916103730052†L176-L189】</t>
        </is>
      </c>
      <c r="AD6" s="68" t="inlineStr">
        <is>
          <t>【69571933386645†L153-L169】; 【69571933386645†L240-L249】; 【799387966105800†L29-L56】; 【739669106228210†L96-L133】; 【418916103730052†L148-L163】; 【418916103730052†L176-L189】</t>
        </is>
      </c>
      <c r="AE6" s="68" t="inlineStr">
        <is>
          <t>【69571933386645†L153-L169】; 【69571933386645†L240-L249】; 【799387966105800†L29-L56】; 【739669106228210†L96-L133】; 【418916103730052†L148-L163】; 【418916103730052†L176-L189】</t>
        </is>
      </c>
      <c r="AF6" s="68" t="inlineStr">
        <is>
          <t>Mechanism preserved as qualified language where evidence is preclinical.</t>
        </is>
      </c>
      <c r="AG6" s="68" t="n">
        <v>3</v>
      </c>
      <c r="AH6" s="68" t="n">
        <v>1</v>
      </c>
      <c r="AI6" s="68" t="n">
        <v>3</v>
      </c>
      <c r="AJ6" s="68" t="n">
        <v>7</v>
      </c>
      <c r="AK6" s="68" t="inlineStr">
        <is>
          <t>Medium</t>
        </is>
      </c>
      <c r="AL6" s="68" t="inlineStr">
        <is>
          <t>Present</t>
        </is>
      </c>
      <c r="AM6" s="68" t="inlineStr">
        <is>
          <t>Linked primary/secondary</t>
        </is>
      </c>
      <c r="AN6" s="68" t="n">
        <v>0.7857142857142857</v>
      </c>
      <c r="AO6" s="68" t="inlineStr">
        <is>
          <t>Near ready</t>
        </is>
      </c>
      <c r="AP6" s="68" t="inlineStr">
        <is>
          <t>Editorial</t>
        </is>
      </c>
      <c r="AQ6" s="68" t="n"/>
      <c r="AR6" s="68" t="inlineStr">
        <is>
          <t>Editorial polish</t>
        </is>
      </c>
      <c r="AS6" s="68" t="inlineStr">
        <is>
          <t>Not started</t>
        </is>
      </c>
      <c r="AT6" s="68" t="inlineStr">
        <is>
          <t>Yes</t>
        </is>
      </c>
      <c r="AU6" s="68" t="inlineStr">
        <is>
          <t>No</t>
        </is>
      </c>
      <c r="AV6" s="68" t="inlineStr">
        <is>
          <t>Yes</t>
        </is>
      </c>
      <c r="AW6" s="68" t="inlineStr">
        <is>
          <t>Finalize remaining content gaps</t>
        </is>
      </c>
      <c r="AX6" s="68" t="n">
        <v>1</v>
      </c>
      <c r="AY6" s="68" t="n"/>
      <c r="AZ6" s="68" t="n"/>
      <c r="BA6" s="68" t="n"/>
      <c r="BB6" s="68" t="n"/>
      <c r="BC6" s="68" t="n"/>
      <c r="BD6" s="68" t="n"/>
      <c r="BE6" s="68" t="inlineStr">
        <is>
          <t>2026-04-10</t>
        </is>
      </c>
      <c r="BF6" s="68" t="inlineStr">
        <is>
          <t>Metadata normalized from internal workbook links</t>
        </is>
      </c>
      <c r="BG6" s="68" t="inlineStr">
        <is>
          <t>ginger|2026-04-10</t>
        </is>
      </c>
      <c r="BH6" s="68" t="inlineStr">
        <is>
          <t>2026-04-10:auto-normalized</t>
        </is>
      </c>
      <c r="BI6" t="inlineStr">
        <is>
          <t>ginger</t>
        </is>
      </c>
      <c r="BJ6" t="inlineStr">
        <is>
          <t>Ginger</t>
        </is>
      </c>
      <c r="BK6" t="n">
        <v>1</v>
      </c>
      <c r="BL6" t="n">
        <v>1</v>
      </c>
      <c r="BM6" t="n">
        <v>1</v>
      </c>
      <c r="BN6" t="n">
        <v>7</v>
      </c>
      <c r="BO6" t="n">
        <v>100</v>
      </c>
      <c r="BP6" t="n">
        <v>8</v>
      </c>
      <c r="BQ6" t="n">
        <v>10</v>
      </c>
      <c r="BR6" t="n">
        <v>5</v>
      </c>
      <c r="BS6" t="inlineStr">
        <is>
          <t>Tier 1</t>
        </is>
      </c>
      <c r="BT6" t="n">
        <v>5</v>
      </c>
      <c r="BU6" t="inlineStr">
        <is>
          <t>FALSE</t>
        </is>
      </c>
      <c r="BV6" t="inlineStr">
        <is>
          <t>ginger</t>
        </is>
      </c>
      <c r="BW6" t="inlineStr">
        <is>
          <t>TRUE</t>
        </is>
      </c>
      <c r="BX6" t="inlineStr">
        <is>
          <t>Pass 10 refreshed scoring from 1 mapped compounds | Pass 13 rescored from 1 mapped compounds</t>
        </is>
      </c>
      <c r="BY6" t="inlineStr">
        <is>
          <t>unclassified</t>
        </is>
      </c>
      <c r="CA6" t="n">
        <v>2</v>
      </c>
      <c r="CB6" t="n">
        <v>0</v>
      </c>
      <c r="CC6" t="n">
        <v>0</v>
      </c>
      <c r="CD6" t="inlineStr">
        <is>
          <t>6-gingerol; unclassified</t>
        </is>
      </c>
      <c r="CE6" t="inlineStr">
        <is>
          <t>Pass 13 rescored after herb-name normalization and real top-herb compound sweep</t>
        </is>
      </c>
      <c r="CF6" t="inlineStr">
        <is>
          <t>General</t>
        </is>
      </c>
      <c r="CH6" s="68" t="inlineStr">
        <is>
          <t>Start low; usually daytime use</t>
        </is>
      </c>
      <c r="CI6" s="68" t="inlineStr">
        <is>
          <t>Keep conservative around surgery, anticoagulants, or antiplatelet use.</t>
        </is>
      </c>
      <c r="CJ6" s="68" t="inlineStr">
        <is>
          <t>bleeding-risk; blood-pressure; glucose-lowering; pregnancy</t>
        </is>
      </c>
      <c r="CK6" s="68" t="inlineStr">
        <is>
          <t>bleeding disorders; pregnancy</t>
        </is>
      </c>
      <c r="CL6" s="68" t="inlineStr">
        <is>
          <t>Moderate</t>
        </is>
      </c>
      <c r="CM6" s="68" t="inlineStr">
        <is>
          <t>No</t>
        </is>
      </c>
      <c r="CN6" s="68" t="str"/>
      <c r="CO6" s="68" t="inlineStr">
        <is>
          <t>Pass 21 herb-level safety and dose framing</t>
        </is>
      </c>
      <c r="CP6" t="inlineStr">
        <is>
          <t>Elevated</t>
        </is>
      </c>
      <c r="CQ6" t="inlineStr">
        <is>
          <t>Review</t>
        </is>
      </c>
      <c r="CR6" t="inlineStr">
        <is>
          <t>Needs manual safety review before default stack inclusion</t>
        </is>
      </c>
      <c r="CS6" t="inlineStr">
        <is>
          <t>Pass 22 refined safety rule severity and reduced broad keyword over-flagging</t>
        </is>
      </c>
      <c r="CT6" t="inlineStr">
        <is>
          <t>General</t>
        </is>
      </c>
      <c r="CU6" t="inlineStr">
        <is>
          <t>anti-inflammatory; digestive support; nausea modulation</t>
        </is>
      </c>
      <c r="CV6" t="inlineStr">
        <is>
          <t>Unknown</t>
        </is>
      </c>
      <c r="CW6" t="inlineStr">
        <is>
          <t>Pass 26 normalization: categories, mechanisms, evidence tiers</t>
        </is>
      </c>
      <c r="CX6" t="inlineStr">
        <is>
          <t>Mapped</t>
        </is>
      </c>
      <c r="CY6"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throat【799387966105800†L29-L56】. Clinical studies using up to 1 000 mg/day of dried powdered extract report adverse event rates similar to placebo【739669106228210†L96-L133】. The safety of high‑dose ginger during pregnancy has not been conclusively established.</t>
        </is>
      </c>
      <c r="CZ6" t="inlineStr">
        <is>
          <t>Ginger may increase the risk of bleeding when taken with anticoagulant or antiplatelet drugs and could lower blood glucose or blood pressure, potentiating antidiabetic or antihypertensive medications</t>
        </is>
      </c>
      <c r="DA6" t="inlineStr">
        <is>
          <t>Use cautiously in pregnancy, gallstone disease or bleeding disorders. Discontinue before surgery and avoid high‑dose supplements when taking anticoagulants</t>
        </is>
      </c>
      <c r="DB6" t="inlineStr">
        <is>
          <t>Pass 28 normalized evidence and safety-related free text</t>
        </is>
      </c>
      <c r="DD6" t="inlineStr">
        <is>
          <t>Typical adult dose is up to 1 000 mg/day of dried powdered extract for gastrointestinal complaints【739669106228210†L96-L133】.</t>
        </is>
      </c>
      <c r="DE6" t="inlineStr">
        <is>
          <t>The rhizome is used fresh, dried, pickled, preserved, candied or powdered. Supplements include encapsulated dried powders and extracts【418916103730052†L176-L189】.</t>
        </is>
      </c>
      <c r="DF6" t="inlineStr">
        <is>
          <t>Quality varies by extraction method, standardization, and contamination risk.</t>
        </is>
      </c>
      <c r="DG6" t="inlineStr">
        <is>
          <t>Low</t>
        </is>
      </c>
      <c r="DH6" t="inlineStr">
        <is>
          <t>Pass 29 completeness repair</t>
        </is>
      </c>
      <c r="DI6" t="n">
        <v>9</v>
      </c>
      <c r="DJ6" t="inlineStr">
        <is>
          <t>General</t>
        </is>
      </c>
      <c r="DL6" t="inlineStr">
        <is>
          <t>Agarikon; Ajwain; Angelica Root; Artichoke; Ashoka</t>
        </is>
      </c>
      <c r="DM6" t="inlineStr">
        <is>
          <t>Pass 31 relationship intelligence: density, cluster, anchor class, nearest herbs</t>
        </is>
      </c>
      <c r="DN6" t="inlineStr">
        <is>
          <t>Agarikon; Ajwain; Angelica Root; Artichoke; Ashoka</t>
        </is>
      </c>
      <c r="DO6" t="inlineStr">
        <is>
          <t>Agarikon (1 shared pathways) | Ajwain (1 shared pathways) | Angelica Root (1 shared pathways)</t>
        </is>
      </c>
      <c r="DP6" t="inlineStr">
        <is>
          <t>Generalist</t>
        </is>
      </c>
      <c r="DQ6" t="inlineStr">
        <is>
          <t>Pass 32 substitute engine + cluster cleanup</t>
        </is>
      </c>
      <c r="DR6" t="inlineStr">
        <is>
          <t>Agarikon</t>
        </is>
      </c>
      <c r="DS6" t="inlineStr">
        <is>
          <t>Ajwain</t>
        </is>
      </c>
      <c r="DT6" t="inlineStr">
        <is>
          <t>same cluster; lower safety burden; similarity-backed</t>
        </is>
      </c>
      <c r="DU6" t="inlineStr">
        <is>
          <t>Recommended</t>
        </is>
      </c>
      <c r="DV6" t="inlineStr">
        <is>
          <t>Pass 33 fallback replacement engine</t>
        </is>
      </c>
      <c r="DW6" t="inlineStr">
        <is>
          <t>Angelica Root</t>
        </is>
      </c>
      <c r="DX6" t="inlineStr">
        <is>
          <t>Agarikon; Ajwain; Angelica Root; Ashoka; Blue Lotus; Artichoke; Rosemary; Sage</t>
        </is>
      </c>
      <c r="DY6" t="inlineStr">
        <is>
          <t>Pass 35 expanded fallback pool with second-pass candidate exploration</t>
        </is>
      </c>
      <c r="EA6" t="inlineStr">
        <is>
          <t>General</t>
        </is>
      </c>
      <c r="EB6" t="inlineStr">
        <is>
          <t>unclassified</t>
        </is>
      </c>
      <c r="EC6" t="inlineStr">
        <is>
          <t>High</t>
        </is>
      </c>
      <c r="ED6" t="inlineStr">
        <is>
          <t>Pass 40 reinforced weak-category herb data</t>
        </is>
      </c>
      <c r="EG6" t="n">
        <v>5</v>
      </c>
      <c r="EH6" t="n">
        <v>5</v>
      </c>
      <c r="EI6" t="n">
        <v>0</v>
      </c>
      <c r="EJ6" t="n">
        <v>0</v>
      </c>
      <c r="EK6" t="n">
        <v>17</v>
      </c>
      <c r="EL6" t="n">
        <v>11</v>
      </c>
      <c r="EM6" t="inlineStr">
        <is>
          <t>6-Gingerol</t>
        </is>
      </c>
      <c r="EN6" t="inlineStr">
        <is>
          <t>Pass 48 rolled compound scores into herb-level scoring</t>
        </is>
      </c>
    </row>
    <row r="7">
      <c r="A7" s="68" t="inlineStr">
        <is>
          <t>Ginkgo Biloba</t>
        </is>
      </c>
      <c r="B7" s="68" t="inlineStr">
        <is>
          <t>ginkgo-biloba</t>
        </is>
      </c>
      <c r="C7" s="68" t="inlineStr">
        <is>
          <t>Ginkgo biloba</t>
        </is>
      </c>
      <c r="D7" s="68" t="inlineStr">
        <is>
          <t>herb</t>
        </is>
      </c>
      <c r="E7" s="68" t="inlineStr">
        <is>
          <t>tree</t>
        </is>
      </c>
      <c r="F7" s="68" t="inlineStr">
        <is>
          <t>leaf</t>
        </is>
      </c>
      <c r="G7" s="68" t="inlineStr">
        <is>
          <t>ginkgo; maidenhair tree</t>
        </is>
      </c>
      <c r="H7" s="68" t="inlineStr">
        <is>
          <t>Native to China; cultivated worldwide as an ornamental and medicinal tree.</t>
        </is>
      </c>
      <c r="I7" s="68" t="inlineStr">
        <is>
          <t>Ginkgo Biloba (Ginkgo biloba) is a tree monograph focused on the leaf used in herbal preparations. It is associated with Native to China; cultivated worldwide as an ornamental and medicinal tree. The standardized leaf extract (EGb 761) contains terpene lactones and flavone glycosides that modulate multiple neurotransmitter systems and platelet-activating factor pathways. Appears safe at recommended doses, but fresh seeds are toxic.</t>
        </is>
      </c>
      <c r="J7" s="68" t="inlineStr">
        <is>
          <t>Ginkgo Biloba is represented here as a monograph-style entry centered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K7" s="68" t="inlineStr">
        <is>
          <t>ginkgolides A, B, C, J; bilobalide; ginkgetin; bilobetin; sciadopitysin</t>
        </is>
      </c>
      <c r="L7" s="68" t="inlineStr">
        <is>
          <t>ginkgolides; bilobalide</t>
        </is>
      </c>
      <c r="M7" s="68" t="inlineStr">
        <is>
          <t>The standardized leaf extract (EGb 761) contains terpene lactones and flavone glycosides that modulate multiple neurotransmitter systems and platelet-activating factor pathways.</t>
        </is>
      </c>
      <c r="N7" s="68" t="inlineStr">
        <is>
          <t>dopaminergic; serotonergic; cholinergic; antioxidant</t>
        </is>
      </c>
      <c r="O7" s="68" t="inlineStr">
        <is>
          <t>human + preclinical</t>
        </is>
      </c>
      <c r="P7" s="68" t="inlineStr">
        <is>
          <t>Appears safe at recommended doses, but fresh seeds are toxic. May increase bleeding risk and lower seizure threshold.</t>
        </is>
      </c>
      <c r="Q7" s="68" t="inlineStr">
        <is>
          <t>May potentiate NSAIDs, anticoagulants, antiplatelets, and interact with antidepressants and antidiabetic drugs.</t>
        </is>
      </c>
      <c r="R7" s="68" t="inlineStr">
        <is>
          <t>Pregnancy, breastfeeding, bleeding disorders, epilepsy, planned surgery.</t>
        </is>
      </c>
      <c r="S7" s="68" t="inlineStr">
        <is>
          <t>Standardized leaf extract (EGb 761).</t>
        </is>
      </c>
      <c r="T7" s="68" t="inlineStr">
        <is>
          <t>120–240 mg/day standardized extract</t>
        </is>
      </c>
      <c r="U7" s="68" t="inlineStr">
        <is>
          <t>Typically 24% flavonoid glycosides and 6% terpene lactones.</t>
        </is>
      </c>
      <c r="V7" s="68" t="n"/>
      <c r="W7" s="68" t="inlineStr">
        <is>
          <t>High</t>
        </is>
      </c>
      <c r="X7" s="68" t="inlineStr">
        <is>
          <t>production_ready</t>
        </is>
      </c>
      <c r="Y7" s="68" t="inlineStr">
        <is>
          <t>Recovered from prior batch output in this conversation</t>
        </is>
      </c>
      <c r="Z7" s="68" t="inlineStr">
        <is>
          <t>needs-source-normalization</t>
        </is>
      </c>
      <c r="AA7" s="68" t="inlineStr">
        <is>
          <t>conversation-recovered</t>
        </is>
      </c>
      <c r="AB7" s="68" t="inlineStr">
        <is>
          <t>Recovered from prior batch output in this conversation</t>
        </is>
      </c>
      <c r="AC7" s="68" t="inlineStr">
        <is>
          <t>Recovered from prior batch output in this conversation</t>
        </is>
      </c>
      <c r="AD7" s="68" t="inlineStr">
        <is>
          <t>Recovered from prior batch output in this conversation</t>
        </is>
      </c>
      <c r="AE7" s="68" t="inlineStr">
        <is>
          <t>Recovered from prior batch output in this conversation</t>
        </is>
      </c>
      <c r="AF7" s="68" t="inlineStr">
        <is>
          <t>Keep seed toxicity distinct from leaf-extract use.</t>
        </is>
      </c>
      <c r="AG7" s="68" t="n">
        <v>3</v>
      </c>
      <c r="AH7" s="68" t="n">
        <v>3</v>
      </c>
      <c r="AI7" s="68" t="n">
        <v>1</v>
      </c>
      <c r="AJ7" s="68" t="n">
        <v>7</v>
      </c>
      <c r="AK7" s="68" t="inlineStr">
        <is>
          <t>High</t>
        </is>
      </c>
      <c r="AL7" s="68" t="inlineStr">
        <is>
          <t>Present</t>
        </is>
      </c>
      <c r="AM7" s="68" t="inlineStr">
        <is>
          <t>Conversation-recovered</t>
        </is>
      </c>
      <c r="AN7" s="68" t="n">
        <v>1</v>
      </c>
      <c r="AO7" s="68" t="inlineStr">
        <is>
          <t>Near ready</t>
        </is>
      </c>
      <c r="AP7" s="68" t="inlineStr">
        <is>
          <t>Research</t>
        </is>
      </c>
      <c r="AQ7" s="68" t="n"/>
      <c r="AR7" s="68" t="inlineStr">
        <is>
          <t>Source review</t>
        </is>
      </c>
      <c r="AS7" s="68" t="inlineStr">
        <is>
          <t>Not started</t>
        </is>
      </c>
      <c r="AT7" s="68" t="inlineStr">
        <is>
          <t>No</t>
        </is>
      </c>
      <c r="AU7" s="68" t="inlineStr">
        <is>
          <t>No</t>
        </is>
      </c>
      <c r="AV7" s="68" t="inlineStr">
        <is>
          <t>Yes</t>
        </is>
      </c>
      <c r="AW7" s="68" t="inlineStr">
        <is>
          <t>Normalize source record</t>
        </is>
      </c>
      <c r="AX7" s="68" t="n">
        <v>1</v>
      </c>
      <c r="AY7" s="68" t="n"/>
      <c r="AZ7" s="68" t="n"/>
      <c r="BA7" s="68" t="n"/>
      <c r="BB7" s="68" t="n"/>
      <c r="BC7" s="68" t="n"/>
      <c r="BD7" s="68" t="n"/>
      <c r="BE7" s="68" t="inlineStr">
        <is>
          <t>2026-04-10</t>
        </is>
      </c>
      <c r="BF7" s="68" t="inlineStr">
        <is>
          <t>Metadata normalized from internal workbook links</t>
        </is>
      </c>
      <c r="BG7" s="68" t="inlineStr">
        <is>
          <t>ginkgo-biloba|2026-04-10</t>
        </is>
      </c>
      <c r="BH7" s="68" t="inlineStr">
        <is>
          <t>2026-04-10:auto-normalized</t>
        </is>
      </c>
      <c r="BI7" t="inlineStr">
        <is>
          <t>ginkgo-biloba</t>
        </is>
      </c>
      <c r="BJ7" t="inlineStr">
        <is>
          <t>Ginkgo Biloba</t>
        </is>
      </c>
      <c r="BK7" t="n">
        <v>8</v>
      </c>
      <c r="BL7" t="n">
        <v>8</v>
      </c>
      <c r="BM7" t="n">
        <v>3</v>
      </c>
      <c r="BN7" t="n">
        <v>58</v>
      </c>
      <c r="BO7" t="n">
        <v>100</v>
      </c>
      <c r="BP7" t="n">
        <v>67</v>
      </c>
      <c r="BQ7" t="n">
        <v>80</v>
      </c>
      <c r="BR7" t="n">
        <v>60</v>
      </c>
      <c r="BS7" t="inlineStr">
        <is>
          <t>Tier 1</t>
        </is>
      </c>
      <c r="BT7" t="n">
        <v>49</v>
      </c>
      <c r="BU7" t="inlineStr">
        <is>
          <t>FALSE</t>
        </is>
      </c>
      <c r="BV7" t="inlineStr">
        <is>
          <t>ginkgo-biloba</t>
        </is>
      </c>
      <c r="BW7" t="inlineStr">
        <is>
          <t>TRUE</t>
        </is>
      </c>
      <c r="BX7" t="inlineStr">
        <is>
          <t>Pass 10 refreshed scoring from 6 mapped compounds | Pass 12B replaced synthetic saturation with real compound additions | Pass 13 rescored from 8 mapped compounds</t>
        </is>
      </c>
      <c r="BY7" t="inlineStr">
        <is>
          <t>unclassified; oxidative stress reduction; NF-kB inhibition; mitochondrial support; neuroprotective signaling; PAF antagonism</t>
        </is>
      </c>
      <c r="BZ7" t="inlineStr">
        <is>
          <t>antioxidant signaling; neuroprotective signaling; platelet activating factor antagonist; anti-inflammatory and antioxidant signaling</t>
        </is>
      </c>
      <c r="CA7" t="n">
        <v>24</v>
      </c>
      <c r="CB7" t="n">
        <v>1</v>
      </c>
      <c r="CC7" t="n">
        <v>1</v>
      </c>
      <c r="CD7" t="inlineStr">
        <is>
          <t>Flavonoid; Terpenoid; bilobalide; unclassified; oxidative stress reduction; NF-kB inhibition</t>
        </is>
      </c>
      <c r="CE7" t="inlineStr">
        <is>
          <t>Pass 13 rescored after herb-name normalization and real top-herb compound sweep</t>
        </is>
      </c>
      <c r="CF7" t="inlineStr">
        <is>
          <t>General</t>
        </is>
      </c>
      <c r="CG7" t="inlineStr">
        <is>
          <t>Focus, Recovery, Stress</t>
        </is>
      </c>
      <c r="CH7" s="68" t="inlineStr">
        <is>
          <t>Start low; usually evening or split use</t>
        </is>
      </c>
      <c r="CI7" s="68" t="inlineStr">
        <is>
          <t>Keep conservative around surgery, anticoagulants, or antiplatelet use.</t>
        </is>
      </c>
      <c r="CJ7" s="68" t="inlineStr">
        <is>
          <t>bleeding-risk; glucose-lowering; lactation; monoamine-neuro; pregnancy; seizure-caution</t>
        </is>
      </c>
      <c r="CK7" s="68" t="inlineStr">
        <is>
          <t>bleeding disorders; breastfeeding; pregnancy; seizure history</t>
        </is>
      </c>
      <c r="CL7" s="68" t="inlineStr">
        <is>
          <t>Elevated</t>
        </is>
      </c>
      <c r="CM7" s="68" t="inlineStr">
        <is>
          <t>Review</t>
        </is>
      </c>
      <c r="CN7" s="68" t="inlineStr">
        <is>
          <t>Needs manual safety review before default stack inclusion</t>
        </is>
      </c>
      <c r="CO7" s="68" t="inlineStr">
        <is>
          <t>Pass 21 herb-level safety and dose framing</t>
        </is>
      </c>
      <c r="CP7" t="inlineStr">
        <is>
          <t>Elevated</t>
        </is>
      </c>
      <c r="CQ7" t="inlineStr">
        <is>
          <t>Review</t>
        </is>
      </c>
      <c r="CR7" t="inlineStr">
        <is>
          <t>Needs manual safety review before default stack inclusion</t>
        </is>
      </c>
      <c r="CS7" t="inlineStr">
        <is>
          <t>Pass 22 refined safety rule severity and reduced broad keyword over-flagging</t>
        </is>
      </c>
      <c r="CT7" t="inlineStr">
        <is>
          <t>General</t>
        </is>
      </c>
      <c r="CU7" t="inlineStr">
        <is>
          <t>antioxidant; cholinergic; dopaminergic; serotonergic</t>
        </is>
      </c>
      <c r="CV7" t="inlineStr">
        <is>
          <t>Human</t>
        </is>
      </c>
      <c r="CW7" t="inlineStr">
        <is>
          <t>Pass 26 normalization: categories, mechanisms, evidence tiers</t>
        </is>
      </c>
      <c r="CX7" t="inlineStr">
        <is>
          <t>Human + preclinical</t>
        </is>
      </c>
      <c r="CY7" t="inlineStr">
        <is>
          <t>Appears safe at recommended doses, but fresh seeds are toxic. May increase bleeding risk and lower seizure threshold.</t>
        </is>
      </c>
      <c r="CZ7" t="inlineStr">
        <is>
          <t>May potentiate NSAIDs, anticoagulants, antiplatelets, and interact with antidepressants and antidiabetic drugs</t>
        </is>
      </c>
      <c r="DA7" t="inlineStr">
        <is>
          <t>Pregnancy, breastfeeding, bleeding disorders, epilepsy, planned surgery</t>
        </is>
      </c>
      <c r="DB7" t="inlineStr">
        <is>
          <t>Pass 28 normalized evidence and safety-related free text</t>
        </is>
      </c>
      <c r="DD7" t="inlineStr">
        <is>
          <t>120–240 mg/day standardized extract</t>
        </is>
      </c>
      <c r="DE7" t="inlineStr">
        <is>
          <t>Standardized leaf extract (EGb 761).</t>
        </is>
      </c>
      <c r="DF7" t="inlineStr">
        <is>
          <t>Quality varies by extraction method, standardization, and contamination risk.</t>
        </is>
      </c>
      <c r="DG7" t="inlineStr">
        <is>
          <t>Moderate to high</t>
        </is>
      </c>
      <c r="DH7" t="inlineStr">
        <is>
          <t>Pass 29 completeness repair</t>
        </is>
      </c>
      <c r="DI7" t="n">
        <v>84</v>
      </c>
      <c r="DJ7" t="inlineStr">
        <is>
          <t>Neurocognitive</t>
        </is>
      </c>
      <c r="DK7" t="inlineStr">
        <is>
          <t>Flavonoid</t>
        </is>
      </c>
      <c r="DL7" t="inlineStr">
        <is>
          <t>Chinese Skullcap; Black Cohosh; Ashwagandha; Polygala; Shankhpushpi</t>
        </is>
      </c>
      <c r="DM7" t="inlineStr">
        <is>
          <t>Pass 31 relationship intelligence: density, cluster, anchor class, nearest herbs</t>
        </is>
      </c>
      <c r="DP7" t="inlineStr">
        <is>
          <t>Neuro / Cognitive</t>
        </is>
      </c>
      <c r="DQ7" t="inlineStr">
        <is>
          <t>Pass 32 substitute engine + cluster cleanup</t>
        </is>
      </c>
      <c r="DT7" t="inlineStr">
        <is>
          <t>no strong safe fallback found</t>
        </is>
      </c>
      <c r="DU7" t="inlineStr">
        <is>
          <t>Recommended</t>
        </is>
      </c>
      <c r="DV7" t="inlineStr">
        <is>
          <t>Pass 33 fallback replacement engine</t>
        </is>
      </c>
      <c r="DY7" t="inlineStr">
        <is>
          <t>Pass 35 expanded fallback pool with second-pass candidate exploration</t>
        </is>
      </c>
      <c r="EA7" t="inlineStr">
        <is>
          <t>Focus</t>
        </is>
      </c>
      <c r="EB7" t="inlineStr">
        <is>
          <t>unclassified; oxidative stress reduction; NF-kB inhibition; mitochondrial support; neuroprotective signaling; PAF antagonism</t>
        </is>
      </c>
      <c r="EC7" t="inlineStr">
        <is>
          <t>High</t>
        </is>
      </c>
      <c r="ED7" t="inlineStr">
        <is>
          <t>Pass 40 reinforced weak-category herb data</t>
        </is>
      </c>
      <c r="EG7" t="n">
        <v>42</v>
      </c>
      <c r="EH7" t="n">
        <v>6</v>
      </c>
      <c r="EI7" t="n">
        <v>0</v>
      </c>
      <c r="EJ7" t="n">
        <v>3</v>
      </c>
      <c r="EK7" t="n">
        <v>68</v>
      </c>
      <c r="EL7" t="n">
        <v>56</v>
      </c>
      <c r="EM7" t="inlineStr">
        <is>
          <t>Ginkgolide B; Ginkgolide A; Ginkgolide C; Quercetin; Bilobalide</t>
        </is>
      </c>
      <c r="EN7" t="inlineStr">
        <is>
          <t>Pass 48 rolled compound scores into herb-level scoring</t>
        </is>
      </c>
    </row>
    <row r="8">
      <c r="A8" s="68" t="inlineStr">
        <is>
          <t>Holy Basil</t>
        </is>
      </c>
      <c r="B8" s="68" t="inlineStr">
        <is>
          <t>holy-basil</t>
        </is>
      </c>
      <c r="C8" s="68" t="inlineStr">
        <is>
          <t>Ocimum tenuiflorum</t>
        </is>
      </c>
      <c r="D8" s="68" t="inlineStr">
        <is>
          <t>herb</t>
        </is>
      </c>
      <c r="E8" s="68" t="inlineStr">
        <is>
          <t>herb</t>
        </is>
      </c>
      <c r="F8" s="68" t="inlineStr">
        <is>
          <t>leaf; aerial parts</t>
        </is>
      </c>
      <c r="G8" s="68" t="n"/>
      <c r="H8" s="68" t="inlineStr">
        <is>
          <t>India, Southeast Asia</t>
        </is>
      </c>
      <c r="I8" s="68" t="inlineStr">
        <is>
          <t>Holy Basil (Ocimum tenuiflorum) is a herb monograph focused on the leaf; aerial parts used in herbal preparations. It is associated with India, Southeast Asia. Adaptogenic; anti-inflammatory; modulates cortisol and stress pathways. Generally safe; possible mild GI upset.</t>
        </is>
      </c>
      <c r="J8" s="68" t="inlineStr">
        <is>
          <t>Holy Basil is represented here as a monograph-style entry centered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K8" s="68" t="inlineStr">
        <is>
          <t>eugenol; ursolic acid; rosmarinic acid</t>
        </is>
      </c>
      <c r="L8" s="68" t="inlineStr">
        <is>
          <t>eugenol; ursolic acid</t>
        </is>
      </c>
      <c r="M8" s="68" t="inlineStr">
        <is>
          <t>Adaptogenic; anti-inflammatory; modulates cortisol and stress pathways</t>
        </is>
      </c>
      <c r="N8" s="68" t="inlineStr">
        <is>
          <t>adaptogen; anti-inflammatory; antioxidant</t>
        </is>
      </c>
      <c r="O8" s="68" t="inlineStr">
        <is>
          <t>preclinical + limited human</t>
        </is>
      </c>
      <c r="P8" s="68" t="inlineStr">
        <is>
          <t>Generally safe; possible mild GI upset</t>
        </is>
      </c>
      <c r="Q8" s="68" t="inlineStr">
        <is>
          <t>Anticoagulants, antidiabetic drugs</t>
        </is>
      </c>
      <c r="R8" s="68" t="inlineStr">
        <is>
          <t>Pregnancy (limited data)</t>
        </is>
      </c>
      <c r="S8" s="68" t="inlineStr">
        <is>
          <t>Leaf extracts, teas</t>
        </is>
      </c>
      <c r="T8" s="68" t="n"/>
      <c r="U8" s="68" t="inlineStr">
        <is>
          <t>Eugenol or ursolic acid content</t>
        </is>
      </c>
      <c r="V8" s="68" t="n"/>
      <c r="W8" s="68" t="inlineStr">
        <is>
          <t>Medium</t>
        </is>
      </c>
      <c r="X8" s="68" t="inlineStr">
        <is>
          <t>validated</t>
        </is>
      </c>
      <c r="Y8" s="68" t="inlineStr">
        <is>
          <t>NCCIH; PubMed</t>
        </is>
      </c>
      <c r="Z8" s="68" t="inlineStr">
        <is>
          <t>present</t>
        </is>
      </c>
      <c r="AA8" s="68" t="inlineStr">
        <is>
          <t>NCCIH; PubMed/PMC</t>
        </is>
      </c>
      <c r="AB8" s="68" t="inlineStr">
        <is>
          <t>NCCIH; PubMed</t>
        </is>
      </c>
      <c r="AC8" s="68" t="inlineStr">
        <is>
          <t>NCCIH; PubMed</t>
        </is>
      </c>
      <c r="AD8" s="68" t="inlineStr">
        <is>
          <t>NCCIH; PubMed</t>
        </is>
      </c>
      <c r="AE8" s="68" t="inlineStr">
        <is>
          <t>NCCIH; PubMed</t>
        </is>
      </c>
      <c r="AF8" s="68" t="inlineStr">
        <is>
          <t>Carried forward from batch CSV; needs source-linked monograph expansion.</t>
        </is>
      </c>
      <c r="AG8" s="68" t="n">
        <v>2</v>
      </c>
      <c r="AH8" s="68" t="n">
        <v>3</v>
      </c>
      <c r="AI8" s="68" t="n">
        <v>3</v>
      </c>
      <c r="AJ8" s="68" t="n">
        <v>8</v>
      </c>
      <c r="AK8" s="68" t="inlineStr">
        <is>
          <t>Medium</t>
        </is>
      </c>
      <c r="AL8" s="68" t="inlineStr">
        <is>
          <t>Missing</t>
        </is>
      </c>
      <c r="AM8" s="68" t="inlineStr">
        <is>
          <t>Linked primary/secondary</t>
        </is>
      </c>
      <c r="AN8" s="68" t="n">
        <v>0.9285714285714286</v>
      </c>
      <c r="AO8" s="68" t="inlineStr">
        <is>
          <t>Ready</t>
        </is>
      </c>
      <c r="AP8" s="68" t="inlineStr">
        <is>
          <t>Editorial</t>
        </is>
      </c>
      <c r="AQ8" s="68" t="n"/>
      <c r="AR8" s="68" t="inlineStr">
        <is>
          <t>Ready for QA</t>
        </is>
      </c>
      <c r="AS8" s="68" t="inlineStr">
        <is>
          <t>Not started</t>
        </is>
      </c>
      <c r="AT8" s="68" t="inlineStr">
        <is>
          <t>Yes</t>
        </is>
      </c>
      <c r="AU8" s="68" t="inlineStr">
        <is>
          <t>Yes</t>
        </is>
      </c>
      <c r="AV8" s="68" t="inlineStr">
        <is>
          <t>Yes</t>
        </is>
      </c>
      <c r="AW8" s="68" t="n"/>
      <c r="AX8" s="68" t="n">
        <v>1</v>
      </c>
      <c r="AY8" s="68" t="n"/>
      <c r="AZ8" s="68" t="n"/>
      <c r="BA8" s="68" t="n"/>
      <c r="BB8" s="68" t="n"/>
      <c r="BC8" s="68" t="n"/>
      <c r="BD8" s="68" t="n"/>
      <c r="BE8" s="68" t="inlineStr">
        <is>
          <t>2026-04-10</t>
        </is>
      </c>
      <c r="BF8" s="68" t="inlineStr">
        <is>
          <t>Metadata normalized from internal workbook links</t>
        </is>
      </c>
      <c r="BG8" s="68" t="inlineStr">
        <is>
          <t>holy-basil|2026-04-10</t>
        </is>
      </c>
      <c r="BH8" s="68" t="inlineStr">
        <is>
          <t>2026-04-10:auto-normalized</t>
        </is>
      </c>
      <c r="BI8" t="inlineStr">
        <is>
          <t>holy-basil</t>
        </is>
      </c>
      <c r="BJ8" t="inlineStr">
        <is>
          <t>Holy Basil</t>
        </is>
      </c>
      <c r="BK8" t="n">
        <v>1</v>
      </c>
      <c r="BL8" t="n">
        <v>1</v>
      </c>
      <c r="BM8" t="n">
        <v>3</v>
      </c>
      <c r="BN8" t="n">
        <v>7</v>
      </c>
      <c r="BO8" t="n">
        <v>100</v>
      </c>
      <c r="BP8" t="n">
        <v>8</v>
      </c>
      <c r="BQ8" t="n">
        <v>10</v>
      </c>
      <c r="BR8" t="n">
        <v>5</v>
      </c>
      <c r="BS8" t="inlineStr">
        <is>
          <t>Tier 1</t>
        </is>
      </c>
      <c r="BT8" t="n">
        <v>5</v>
      </c>
      <c r="BU8" t="inlineStr">
        <is>
          <t>FALSE</t>
        </is>
      </c>
      <c r="BV8" t="inlineStr">
        <is>
          <t>holy-basil</t>
        </is>
      </c>
      <c r="BW8" t="inlineStr">
        <is>
          <t>TRUE</t>
        </is>
      </c>
      <c r="BX8" t="inlineStr">
        <is>
          <t>Pass 10 refreshed scoring from 1 mapped compounds | Pass 13 rescored from 1 mapped compounds</t>
        </is>
      </c>
      <c r="BY8" t="inlineStr">
        <is>
          <t>unclassified</t>
        </is>
      </c>
      <c r="CA8" t="n">
        <v>2</v>
      </c>
      <c r="CB8" t="n">
        <v>0</v>
      </c>
      <c r="CC8" t="n">
        <v>0</v>
      </c>
      <c r="CD8" t="inlineStr">
        <is>
          <t>eugenol; unclassified</t>
        </is>
      </c>
      <c r="CE8" t="inlineStr">
        <is>
          <t>Pass 13 rescored after herb-name normalization and real top-herb compound sweep</t>
        </is>
      </c>
      <c r="CF8" t="inlineStr">
        <is>
          <t>General</t>
        </is>
      </c>
      <c r="CH8" s="68" t="inlineStr">
        <is>
          <t>Start with low single-herb exposure and increase only if tolerated</t>
        </is>
      </c>
      <c r="CI8" s="68" t="inlineStr">
        <is>
          <t>Keep conservative around surgery, anticoagulants, or antiplatelet use.</t>
        </is>
      </c>
      <c r="CJ8" s="68" t="inlineStr">
        <is>
          <t>bleeding-risk; glucose-lowering; pregnancy</t>
        </is>
      </c>
      <c r="CK8" s="68" t="inlineStr">
        <is>
          <t>pregnancy</t>
        </is>
      </c>
      <c r="CL8" s="68" t="inlineStr">
        <is>
          <t>Moderate</t>
        </is>
      </c>
      <c r="CM8" s="68" t="inlineStr">
        <is>
          <t>No</t>
        </is>
      </c>
      <c r="CN8" s="68" t="str"/>
      <c r="CO8" s="68" t="inlineStr">
        <is>
          <t>Pass 21 herb-level safety and dose framing</t>
        </is>
      </c>
      <c r="CP8" t="inlineStr">
        <is>
          <t>Moderate</t>
        </is>
      </c>
      <c r="CQ8" t="inlineStr">
        <is>
          <t>No</t>
        </is>
      </c>
      <c r="CS8" t="inlineStr">
        <is>
          <t>Pass 22 refined safety rule severity and reduced broad keyword over-flagging</t>
        </is>
      </c>
      <c r="CT8" t="inlineStr">
        <is>
          <t>Stress</t>
        </is>
      </c>
      <c r="CU8" t="inlineStr">
        <is>
          <t>adaptogen; anti-inflammatory; antioxidant</t>
        </is>
      </c>
      <c r="CV8" t="inlineStr">
        <is>
          <t>Human</t>
        </is>
      </c>
      <c r="CW8" t="inlineStr">
        <is>
          <t>Pass 26 normalization: categories, mechanisms, evidence tiers</t>
        </is>
      </c>
      <c r="CX8" t="inlineStr">
        <is>
          <t>Human + preclinical</t>
        </is>
      </c>
      <c r="CY8" t="inlineStr">
        <is>
          <t>Generally safe; possible mild GI upset</t>
        </is>
      </c>
      <c r="CZ8" t="inlineStr">
        <is>
          <t>Anticoagulants, antidiabetic drugs</t>
        </is>
      </c>
      <c r="DA8" t="inlineStr">
        <is>
          <t>Pregnancy (limited data)</t>
        </is>
      </c>
      <c r="DB8" t="inlineStr">
        <is>
          <t>Pass 28 normalized evidence and safety-related free text</t>
        </is>
      </c>
      <c r="DD8" t="inlineStr">
        <is>
          <t>No standardized dose established; use conservative, product-dependent ranges.</t>
        </is>
      </c>
      <c r="DE8" t="inlineStr">
        <is>
          <t>Leaf extracts, teas</t>
        </is>
      </c>
      <c r="DF8" t="inlineStr">
        <is>
          <t>Quality varies by extraction method, standardization, and contamination risk.</t>
        </is>
      </c>
      <c r="DG8" t="inlineStr">
        <is>
          <t>Moderate to high</t>
        </is>
      </c>
      <c r="DH8" t="inlineStr">
        <is>
          <t>Pass 29 completeness repair</t>
        </is>
      </c>
      <c r="DI8" t="n">
        <v>9</v>
      </c>
      <c r="DJ8" t="inlineStr">
        <is>
          <t>Adaptogenic</t>
        </is>
      </c>
      <c r="DK8" t="inlineStr">
        <is>
          <t>eugenol</t>
        </is>
      </c>
      <c r="DL8" t="inlineStr">
        <is>
          <t>Holy Basil Purple; Maca; Maral Root; Rhodiola; Rhodiola Rosea</t>
        </is>
      </c>
      <c r="DM8" t="inlineStr">
        <is>
          <t>Pass 31 relationship intelligence: density, cluster, anchor class, nearest herbs</t>
        </is>
      </c>
      <c r="DN8" t="inlineStr">
        <is>
          <t>Holy Basil Purple; Maca; Maral Root; Rhodiola; Rhodiola Rosea</t>
        </is>
      </c>
      <c r="DO8" t="inlineStr">
        <is>
          <t>Holy Basil Purple (1 shared compounds; 1 shared pathways) | Maca (1 shared pathways) | Maral Root (1 shared pathways)</t>
        </is>
      </c>
      <c r="DP8" t="inlineStr">
        <is>
          <t>Stress / Adaptogenic</t>
        </is>
      </c>
      <c r="DQ8" t="inlineStr">
        <is>
          <t>Pass 32 substitute engine + cluster cleanup</t>
        </is>
      </c>
      <c r="DR8" t="inlineStr">
        <is>
          <t>Holy Basil Purple</t>
        </is>
      </c>
      <c r="DS8" t="inlineStr">
        <is>
          <t>Maca</t>
        </is>
      </c>
      <c r="DT8" t="inlineStr">
        <is>
          <t>same cluster; lower safety burden; similarity-backed</t>
        </is>
      </c>
      <c r="DU8" t="inlineStr">
        <is>
          <t>Optional</t>
        </is>
      </c>
      <c r="DV8" t="inlineStr">
        <is>
          <t>Pass 33 fallback replacement engine</t>
        </is>
      </c>
      <c r="DW8" t="inlineStr">
        <is>
          <t>Maral Root</t>
        </is>
      </c>
      <c r="DX8" t="inlineStr">
        <is>
          <t>Holy Basil Purple; Maca; Maral Root; Rhodiola; Rhodiola Rosea</t>
        </is>
      </c>
      <c r="DY8" t="inlineStr">
        <is>
          <t>Pass 35 expanded fallback pool with second-pass candidate exploration</t>
        </is>
      </c>
      <c r="EA8" t="inlineStr">
        <is>
          <t>Stress</t>
        </is>
      </c>
      <c r="EB8" t="inlineStr">
        <is>
          <t>unclassified</t>
        </is>
      </c>
      <c r="EC8" t="inlineStr">
        <is>
          <t>Moderate to high</t>
        </is>
      </c>
      <c r="ED8" t="inlineStr">
        <is>
          <t>Pass 40 reinforced weak-category herb data</t>
        </is>
      </c>
      <c r="EE8" t="inlineStr">
        <is>
          <t>Pass 42 added real compounds for weak-category reinforcement</t>
        </is>
      </c>
      <c r="EG8" t="n">
        <v>14</v>
      </c>
      <c r="EH8" t="n">
        <v>4.67</v>
      </c>
      <c r="EI8" t="n">
        <v>0</v>
      </c>
      <c r="EJ8" t="n">
        <v>0</v>
      </c>
      <c r="EK8" t="n">
        <v>29</v>
      </c>
      <c r="EL8" t="n">
        <v>19</v>
      </c>
      <c r="EM8" t="inlineStr">
        <is>
          <t>Rosmarinic acid; Eugenol; Ursolic acid</t>
        </is>
      </c>
      <c r="EN8" t="inlineStr">
        <is>
          <t>Pass 48 rolled compound scores into herb-level scoring</t>
        </is>
      </c>
    </row>
    <row r="9">
      <c r="A9" s="68" t="inlineStr">
        <is>
          <t>Kava</t>
        </is>
      </c>
      <c r="B9" s="68" t="inlineStr">
        <is>
          <t>kava</t>
        </is>
      </c>
      <c r="C9" s="68" t="inlineStr">
        <is>
          <t>Piper methysticum</t>
        </is>
      </c>
      <c r="D9" s="68" t="inlineStr">
        <is>
          <t>herb</t>
        </is>
      </c>
      <c r="E9" s="68" t="inlineStr">
        <is>
          <t>shrub</t>
        </is>
      </c>
      <c r="F9" s="68" t="inlineStr">
        <is>
          <t>root; rhizome</t>
        </is>
      </c>
      <c r="G9" s="68" t="inlineStr">
        <is>
          <t>kava; kava-kava; awa; yaqona</t>
        </is>
      </c>
      <c r="H9" s="68" t="inlineStr">
        <is>
          <t>Indigenous to the South Pacific islands (Polynesia, Melanesia and Micronesia).</t>
        </is>
      </c>
      <c r="I9" s="68" t="inlineStr">
        <is>
          <t>Kava (Piper methysticum) is a shrub monograph focused on the root; rhizome used in herbal preparations. It is associated with Indigenous to the South Pacific islands (Polynesia, Melanesia and Micronesia). Kavalactones modulate GABA-A receptors and ion channels, producing anxiolytic and sedative effects without classical benzodiazepine-site binding. Rare but serious liver injury has been reported, especially with nontraditional extracts or concurrent alcohol/hepatotoxic drug use.</t>
        </is>
      </c>
      <c r="J9" s="68" t="inlineStr">
        <is>
          <t>Kava is represented here as a monograph-style entry centered on the root; rhizome. Key reported compounds include kavain; dihydrokavain; methysticin; dihydromethysticin; yangonin; desmethoxyyangonin; flavokavain A/B/C. Typical preparation forms: Traditional aqueous root beverage; modern standardized root extracts. Kavalactones modulate GABA-A receptors and ion channels, producing anxiolytic and sedative effects without classical benzodiazepine-site binding. Interaction profile: Additive sedation with CNS depressants and alcohol; possible hepatic enzyme interactions. Use caution or avoid in: Liver disease, pregnancy, breastfeeding, concurrent CNS depressants or hepatotoxic drugs.</t>
        </is>
      </c>
      <c r="K9" s="68" t="inlineStr">
        <is>
          <t>kavain; dihydrokavain; methysticin; dihydromethysticin; yangonin; desmethoxyyangonin; flavokavain A/B/C</t>
        </is>
      </c>
      <c r="L9" s="68" t="inlineStr">
        <is>
          <t>total kavalactones</t>
        </is>
      </c>
      <c r="M9" s="68" t="inlineStr">
        <is>
          <t>Kavalactones modulate GABA-A receptors and ion channels, producing anxiolytic and sedative effects without classical benzodiazepine-site binding.</t>
        </is>
      </c>
      <c r="N9" s="68" t="inlineStr">
        <is>
          <t>gabaergic</t>
        </is>
      </c>
      <c r="O9" s="68" t="inlineStr">
        <is>
          <t>human + preclinical</t>
        </is>
      </c>
      <c r="P9" s="68" t="inlineStr">
        <is>
          <t>Rare but serious liver injury has been reported, especially with nontraditional extracts or concurrent alcohol/hepatotoxic drug use.</t>
        </is>
      </c>
      <c r="Q9" s="68" t="inlineStr">
        <is>
          <t>Additive sedation with CNS depressants and alcohol; possible hepatic enzyme interactions.</t>
        </is>
      </c>
      <c r="R9" s="68" t="inlineStr">
        <is>
          <t>Liver disease, pregnancy, breastfeeding, concurrent CNS depressants or hepatotoxic drugs.</t>
        </is>
      </c>
      <c r="S9" s="68" t="inlineStr">
        <is>
          <t>Traditional aqueous root beverage; modern standardized root extracts.</t>
        </is>
      </c>
      <c r="T9" s="68" t="inlineStr">
        <is>
          <t>~250 mg/day total kavalactones upper practical limit</t>
        </is>
      </c>
      <c r="U9" s="68" t="inlineStr">
        <is>
          <t>Standardized to kavalactone content.</t>
        </is>
      </c>
      <c r="V9" s="68" t="inlineStr">
        <is>
          <t>Avoid stems/leaves; extraction method matters.</t>
        </is>
      </c>
      <c r="W9" s="68" t="inlineStr">
        <is>
          <t>Medium</t>
        </is>
      </c>
      <c r="X9" s="68" t="inlineStr">
        <is>
          <t>validated</t>
        </is>
      </c>
      <c r="Y9" s="68" t="inlineStr">
        <is>
          <t>Recovered from prior batch output in this conversation</t>
        </is>
      </c>
      <c r="Z9" s="68" t="inlineStr">
        <is>
          <t>needs-source-normalization</t>
        </is>
      </c>
      <c r="AA9" s="68" t="inlineStr">
        <is>
          <t>conversation-recovered</t>
        </is>
      </c>
      <c r="AB9" s="68" t="inlineStr">
        <is>
          <t>Recovered from prior batch output in this conversation</t>
        </is>
      </c>
      <c r="AC9" s="68" t="inlineStr">
        <is>
          <t>Recovered from prior batch output in this conversation</t>
        </is>
      </c>
      <c r="AD9" s="68" t="inlineStr">
        <is>
          <t>Recovered from prior batch output in this conversation</t>
        </is>
      </c>
      <c r="AE9" s="68" t="inlineStr">
        <is>
          <t>Recovered from prior batch output in this conversation</t>
        </is>
      </c>
      <c r="AF9" s="68" t="inlineStr">
        <is>
          <t>Separate traditional aqueous prep from solvent extracts.</t>
        </is>
      </c>
      <c r="AG9" s="68" t="n">
        <v>2</v>
      </c>
      <c r="AH9" s="68" t="n">
        <v>3</v>
      </c>
      <c r="AI9" s="68" t="n">
        <v>1</v>
      </c>
      <c r="AJ9" s="68" t="n">
        <v>6</v>
      </c>
      <c r="AK9" s="68" t="inlineStr">
        <is>
          <t>High</t>
        </is>
      </c>
      <c r="AL9" s="68" t="inlineStr">
        <is>
          <t>Present</t>
        </is>
      </c>
      <c r="AM9" s="68" t="inlineStr">
        <is>
          <t>Conversation-recovered</t>
        </is>
      </c>
      <c r="AN9" s="68" t="n">
        <v>1</v>
      </c>
      <c r="AO9" s="68" t="inlineStr">
        <is>
          <t>Near ready</t>
        </is>
      </c>
      <c r="AP9" s="68" t="inlineStr">
        <is>
          <t>Research</t>
        </is>
      </c>
      <c r="AQ9" s="68" t="n"/>
      <c r="AR9" s="68" t="inlineStr">
        <is>
          <t>Source review</t>
        </is>
      </c>
      <c r="AS9" s="68" t="inlineStr">
        <is>
          <t>Not started</t>
        </is>
      </c>
      <c r="AT9" s="68" t="inlineStr">
        <is>
          <t>No</t>
        </is>
      </c>
      <c r="AU9" s="68" t="inlineStr">
        <is>
          <t>No</t>
        </is>
      </c>
      <c r="AV9" s="68" t="inlineStr">
        <is>
          <t>Yes</t>
        </is>
      </c>
      <c r="AW9" s="68" t="inlineStr">
        <is>
          <t>Normalize source record</t>
        </is>
      </c>
      <c r="AX9" s="68" t="n">
        <v>1</v>
      </c>
      <c r="AY9" s="68" t="n"/>
      <c r="AZ9" s="68" t="n"/>
      <c r="BA9" s="68" t="n"/>
      <c r="BB9" s="68" t="n"/>
      <c r="BC9" s="68" t="n"/>
      <c r="BD9" s="68" t="n"/>
      <c r="BE9" s="68" t="inlineStr">
        <is>
          <t>2026-04-10</t>
        </is>
      </c>
      <c r="BF9" s="68" t="inlineStr">
        <is>
          <t>Metadata normalized from internal workbook links</t>
        </is>
      </c>
      <c r="BG9" s="68" t="inlineStr">
        <is>
          <t>kava|2026-04-10</t>
        </is>
      </c>
      <c r="BH9" s="68" t="inlineStr">
        <is>
          <t>2026-04-10:auto-normalized</t>
        </is>
      </c>
      <c r="BI9" t="inlineStr">
        <is>
          <t>kava</t>
        </is>
      </c>
      <c r="BJ9" t="inlineStr">
        <is>
          <t>Kava</t>
        </is>
      </c>
      <c r="BK9" t="n">
        <v>1</v>
      </c>
      <c r="BL9" t="n">
        <v>1</v>
      </c>
      <c r="BM9" t="n">
        <v>3</v>
      </c>
      <c r="BN9" t="n">
        <v>7</v>
      </c>
      <c r="BO9" t="n">
        <v>100</v>
      </c>
      <c r="BP9" t="n">
        <v>8</v>
      </c>
      <c r="BQ9" t="n">
        <v>10</v>
      </c>
      <c r="BR9" t="n">
        <v>5</v>
      </c>
      <c r="BS9" t="inlineStr">
        <is>
          <t>Tier 1</t>
        </is>
      </c>
      <c r="BT9" t="n">
        <v>5</v>
      </c>
      <c r="BU9" t="inlineStr">
        <is>
          <t>FALSE</t>
        </is>
      </c>
      <c r="BV9" t="inlineStr">
        <is>
          <t>kava</t>
        </is>
      </c>
      <c r="BW9" t="inlineStr">
        <is>
          <t>TRUE</t>
        </is>
      </c>
      <c r="BX9" t="inlineStr">
        <is>
          <t>Pass 10 refreshed scoring from 1 mapped compounds | Pass 13 rescored from 1 mapped compounds</t>
        </is>
      </c>
      <c r="BY9" t="inlineStr">
        <is>
          <t>unclassified</t>
        </is>
      </c>
      <c r="CA9" t="n">
        <v>2</v>
      </c>
      <c r="CB9" t="n">
        <v>0</v>
      </c>
      <c r="CC9" t="n">
        <v>0</v>
      </c>
      <c r="CD9" t="inlineStr">
        <is>
          <t>kavain; unclassified</t>
        </is>
      </c>
      <c r="CE9" t="inlineStr">
        <is>
          <t>Pass 13 rescored after herb-name normalization and real top-herb compound sweep</t>
        </is>
      </c>
      <c r="CF9" t="inlineStr">
        <is>
          <t>General</t>
        </is>
      </c>
      <c r="CH9" s="68" t="inlineStr">
        <is>
          <t>Start low; usually evening or split use</t>
        </is>
      </c>
      <c r="CI9" s="68" t="inlineStr">
        <is>
          <t>Prefer evening or split dosing; avoid stacking with other sedative-heavy products by default.</t>
        </is>
      </c>
      <c r="CJ9" s="68" t="inlineStr">
        <is>
          <t>hepatic-caution; lactation; pregnancy; sedation-cns</t>
        </is>
      </c>
      <c r="CK9" s="68" t="inlineStr">
        <is>
          <t>breastfeeding; liver disease; pregnancy</t>
        </is>
      </c>
      <c r="CL9" s="68" t="inlineStr">
        <is>
          <t>Elevated</t>
        </is>
      </c>
      <c r="CM9" s="68" t="inlineStr">
        <is>
          <t>Review</t>
        </is>
      </c>
      <c r="CN9" s="68" t="inlineStr">
        <is>
          <t>More context-sensitive herb for default product use</t>
        </is>
      </c>
      <c r="CO9" s="68" t="inlineStr">
        <is>
          <t>Pass 21 herb-level safety and dose framing</t>
        </is>
      </c>
      <c r="CP9" t="inlineStr">
        <is>
          <t>Elevated</t>
        </is>
      </c>
      <c r="CQ9" t="inlineStr">
        <is>
          <t>Review</t>
        </is>
      </c>
      <c r="CR9" t="inlineStr">
        <is>
          <t>Context-sensitive herb kept conservative for default product stacks</t>
        </is>
      </c>
      <c r="CS9" t="inlineStr">
        <is>
          <t>Pass 22 refined safety rule severity and reduced broad keyword over-flagging</t>
        </is>
      </c>
      <c r="CT9" t="inlineStr">
        <is>
          <t>General</t>
        </is>
      </c>
      <c r="CU9" t="inlineStr">
        <is>
          <t>gabaergic</t>
        </is>
      </c>
      <c r="CV9" t="inlineStr">
        <is>
          <t>Human</t>
        </is>
      </c>
      <c r="CW9" t="inlineStr">
        <is>
          <t>Pass 26 normalization: categories, mechanisms, evidence tiers</t>
        </is>
      </c>
      <c r="CX9" t="inlineStr">
        <is>
          <t>Human + preclinical</t>
        </is>
      </c>
      <c r="CY9" t="inlineStr">
        <is>
          <t>Rare but serious liver injury has been reported, especially with nontraditional extracts or concurrent alcohol/hepatotoxic drug use.</t>
        </is>
      </c>
      <c r="CZ9" t="inlineStr">
        <is>
          <t>Additive sedation with CNS depressants and alcohol; Possible hepatic enzyme interactions</t>
        </is>
      </c>
      <c r="DA9" t="inlineStr">
        <is>
          <t>Liver disease, pregnancy, breastfeeding, concurrent CNS depressants or hepatotoxic drugs</t>
        </is>
      </c>
      <c r="DB9" t="inlineStr">
        <is>
          <t>Pass 28 normalized evidence and safety-related free text</t>
        </is>
      </c>
      <c r="DD9" t="inlineStr">
        <is>
          <t>~250 mg/day total kavalactones upper practical limit</t>
        </is>
      </c>
      <c r="DE9" t="inlineStr">
        <is>
          <t>Traditional aqueous root beverage; modern standardized root extracts.</t>
        </is>
      </c>
      <c r="DF9" t="inlineStr">
        <is>
          <t>Avoid stems/leaves; extraction method matters.</t>
        </is>
      </c>
      <c r="DG9" t="inlineStr">
        <is>
          <t>Moderate to high</t>
        </is>
      </c>
      <c r="DH9" t="inlineStr">
        <is>
          <t>Pass 29 completeness repair</t>
        </is>
      </c>
      <c r="DI9" t="n">
        <v>9</v>
      </c>
      <c r="DJ9" t="inlineStr">
        <is>
          <t>General</t>
        </is>
      </c>
      <c r="DK9" t="inlineStr">
        <is>
          <t>kavain</t>
        </is>
      </c>
      <c r="DL9" t="inlineStr">
        <is>
          <t>Agarikon; Ajwain; Angelica Root; Artichoke; Ashoka</t>
        </is>
      </c>
      <c r="DM9" t="inlineStr">
        <is>
          <t>Pass 31 relationship intelligence: density, cluster, anchor class, nearest herbs</t>
        </is>
      </c>
      <c r="DN9" t="inlineStr">
        <is>
          <t>Agarikon; Ajwain; Angelica Root; Garlic; Ginger</t>
        </is>
      </c>
      <c r="DO9" t="inlineStr">
        <is>
          <t>Agarikon (1 shared pathways) | Ajwain (1 shared pathways) | Angelica Root (1 shared pathways)</t>
        </is>
      </c>
      <c r="DP9" t="inlineStr">
        <is>
          <t>Generalist</t>
        </is>
      </c>
      <c r="DQ9" t="inlineStr">
        <is>
          <t>Pass 32 substitute engine + cluster cleanup</t>
        </is>
      </c>
      <c r="DR9" t="inlineStr">
        <is>
          <t>Agarikon</t>
        </is>
      </c>
      <c r="DS9" t="inlineStr">
        <is>
          <t>Ajwain</t>
        </is>
      </c>
      <c r="DT9" t="inlineStr">
        <is>
          <t>same cluster; lower safety burden; similarity-backed</t>
        </is>
      </c>
      <c r="DU9" t="inlineStr">
        <is>
          <t>Recommended</t>
        </is>
      </c>
      <c r="DV9" t="inlineStr">
        <is>
          <t>Pass 33 fallback replacement engine</t>
        </is>
      </c>
      <c r="DW9" t="inlineStr">
        <is>
          <t>Angelica Root</t>
        </is>
      </c>
      <c r="DX9" t="inlineStr">
        <is>
          <t>Agarikon; Ajwain; Angelica Root; Ashoka; Blue Lotus; Artichoke; Rosemary; Sage</t>
        </is>
      </c>
      <c r="DY9" t="inlineStr">
        <is>
          <t>Pass 35 expanded fallback pool with second-pass candidate exploration</t>
        </is>
      </c>
      <c r="EA9" t="inlineStr">
        <is>
          <t>General</t>
        </is>
      </c>
      <c r="EB9" t="inlineStr">
        <is>
          <t>unclassified</t>
        </is>
      </c>
      <c r="EC9" t="inlineStr">
        <is>
          <t>Medium</t>
        </is>
      </c>
      <c r="ED9" t="inlineStr">
        <is>
          <t>Pass 40 reinforced weak-category herb data</t>
        </is>
      </c>
      <c r="EG9" t="n">
        <v>3</v>
      </c>
      <c r="EH9" t="n">
        <v>3</v>
      </c>
      <c r="EI9" t="n">
        <v>0</v>
      </c>
      <c r="EJ9" t="n">
        <v>0</v>
      </c>
      <c r="EK9" t="n">
        <v>11</v>
      </c>
      <c r="EL9" t="n">
        <v>7</v>
      </c>
      <c r="EM9" t="inlineStr">
        <is>
          <t>kavain</t>
        </is>
      </c>
      <c r="EN9" t="inlineStr">
        <is>
          <t>Pass 48 rolled compound scores into herb-level scoring</t>
        </is>
      </c>
    </row>
    <row r="10">
      <c r="A10" s="68" t="inlineStr">
        <is>
          <t>Lemon Balm</t>
        </is>
      </c>
      <c r="B10" s="68" t="inlineStr">
        <is>
          <t>lemon-balm</t>
        </is>
      </c>
      <c r="C10" s="68" t="inlineStr">
        <is>
          <t>Melissa officinalis</t>
        </is>
      </c>
      <c r="D10" s="68" t="inlineStr">
        <is>
          <t>herb</t>
        </is>
      </c>
      <c r="E10" s="68" t="inlineStr">
        <is>
          <t>herb</t>
        </is>
      </c>
      <c r="F10" s="68" t="inlineStr">
        <is>
          <t>leaf; aerial parts</t>
        </is>
      </c>
      <c r="G10" s="68" t="n"/>
      <c r="H10" s="68" t="inlineStr">
        <is>
          <t>Europe, Mediterranean</t>
        </is>
      </c>
      <c r="I10" s="68" t="inlineStr">
        <is>
          <t>Lemon Balm (Melissa officinalis) is a herb monograph focused on the leaf; aerial parts used in herbal preparations. It is associated with Europe, Mediterranean. GABAergic (GABA transaminase inhibition); mild cholinergic activity. Generally safe; mild sedation possible.</t>
        </is>
      </c>
      <c r="J10" s="68" t="inlineStr">
        <is>
          <t>Lemon Balm is represented here as a monograph-style entry centered on the leaf; aerial parts. Key reported compounds include rosmarinic acid; citral; citronellal; linalool; flavonoids. Typical preparation forms: Leaf extracts, teas, tinctures. GABAergic (GABA transaminase inhibition); mild cholinergic activity. Interaction profile: Sedatives, thyroid medications. Use caution or avoid in: Hypothyroidism (caution).</t>
        </is>
      </c>
      <c r="K10" s="68" t="inlineStr">
        <is>
          <t>rosmarinic acid</t>
        </is>
      </c>
      <c r="L10" s="68" t="inlineStr">
        <is>
          <t>rosmarinic acid</t>
        </is>
      </c>
      <c r="M10" s="68" t="inlineStr">
        <is>
          <t>GABAergic (GABA transaminase inhibition); mild cholinergic activity</t>
        </is>
      </c>
      <c r="N10" s="68" t="inlineStr">
        <is>
          <t>anxiolytic; antiviral; calming</t>
        </is>
      </c>
      <c r="O10" s="68" t="inlineStr">
        <is>
          <t>preclinical + limited human</t>
        </is>
      </c>
      <c r="P10" s="68" t="inlineStr">
        <is>
          <t>Generally safe; mild sedation possible</t>
        </is>
      </c>
      <c r="Q10" s="68" t="inlineStr">
        <is>
          <t>Sedatives, thyroid medications</t>
        </is>
      </c>
      <c r="R10" s="68" t="inlineStr">
        <is>
          <t>Hypothyroidism (caution)</t>
        </is>
      </c>
      <c r="S10" s="68" t="inlineStr">
        <is>
          <t>Leaf extracts, teas, tinctures</t>
        </is>
      </c>
      <c r="T10" s="68" t="n"/>
      <c r="U10" s="68" t="inlineStr">
        <is>
          <t>Rosmarinic acid content</t>
        </is>
      </c>
      <c r="V10" s="68" t="n"/>
      <c r="W10" s="68" t="inlineStr">
        <is>
          <t>Medium</t>
        </is>
      </c>
      <c r="X10" s="68" t="inlineStr">
        <is>
          <t>validated</t>
        </is>
      </c>
      <c r="Y10" s="68" t="inlineStr">
        <is>
          <t>EMA herbal monograph; NCCIH</t>
        </is>
      </c>
      <c r="Z10" s="68" t="inlineStr">
        <is>
          <t>present</t>
        </is>
      </c>
      <c r="AA10" s="68" t="inlineStr">
        <is>
          <t>NCCIH; EMA</t>
        </is>
      </c>
      <c r="AB10" s="68" t="inlineStr">
        <is>
          <t>EMA herbal monograph; NCCIH</t>
        </is>
      </c>
      <c r="AC10" s="68" t="inlineStr">
        <is>
          <t>EMA herbal monograph; NCCIH</t>
        </is>
      </c>
      <c r="AD10" s="68" t="inlineStr">
        <is>
          <t>EMA herbal monograph; NCCIH</t>
        </is>
      </c>
      <c r="AE10" s="68" t="inlineStr">
        <is>
          <t>EMA herbal monograph; NCCIH</t>
        </is>
      </c>
      <c r="AF10" s="68" t="inlineStr">
        <is>
          <t>Carried forward from batch CSV; needs source-linked monograph expansion.</t>
        </is>
      </c>
      <c r="AG10" s="68" t="n">
        <v>2</v>
      </c>
      <c r="AH10" s="68" t="n">
        <v>3</v>
      </c>
      <c r="AI10" s="68" t="n">
        <v>3</v>
      </c>
      <c r="AJ10" s="68" t="n">
        <v>8</v>
      </c>
      <c r="AK10" s="68" t="inlineStr">
        <is>
          <t>Medium</t>
        </is>
      </c>
      <c r="AL10" s="68" t="inlineStr">
        <is>
          <t>Missing</t>
        </is>
      </c>
      <c r="AM10" s="68" t="inlineStr">
        <is>
          <t>Linked primary/secondary</t>
        </is>
      </c>
      <c r="AN10" s="68" t="n">
        <v>0.9285714285714286</v>
      </c>
      <c r="AO10" s="68" t="inlineStr">
        <is>
          <t>Ready</t>
        </is>
      </c>
      <c r="AP10" s="68" t="inlineStr">
        <is>
          <t>Editorial</t>
        </is>
      </c>
      <c r="AQ10" s="68" t="n"/>
      <c r="AR10" s="68" t="inlineStr">
        <is>
          <t>Ready for QA</t>
        </is>
      </c>
      <c r="AS10" s="68" t="inlineStr">
        <is>
          <t>Not started</t>
        </is>
      </c>
      <c r="AT10" s="68" t="inlineStr">
        <is>
          <t>Yes</t>
        </is>
      </c>
      <c r="AU10" s="68" t="inlineStr">
        <is>
          <t>Yes</t>
        </is>
      </c>
      <c r="AV10" s="68" t="inlineStr">
        <is>
          <t>Yes</t>
        </is>
      </c>
      <c r="AW10" s="68" t="n"/>
      <c r="AX10" s="68" t="n">
        <v>1</v>
      </c>
      <c r="AY10" s="68" t="n"/>
      <c r="AZ10" s="68" t="n"/>
      <c r="BA10" s="68" t="n"/>
      <c r="BB10" s="68" t="n"/>
      <c r="BC10" s="68" t="n"/>
      <c r="BD10" s="68" t="n"/>
      <c r="BE10" s="68" t="inlineStr">
        <is>
          <t>2026-04-10</t>
        </is>
      </c>
      <c r="BF10" s="68" t="inlineStr">
        <is>
          <t>Metadata normalized from internal workbook links</t>
        </is>
      </c>
      <c r="BG10" s="68" t="inlineStr">
        <is>
          <t>lemon-balm|2026-04-10</t>
        </is>
      </c>
      <c r="BH10" s="68" t="inlineStr">
        <is>
          <t>2026-04-10:auto-normalized</t>
        </is>
      </c>
      <c r="BI10" t="inlineStr">
        <is>
          <t>lemon-balm</t>
        </is>
      </c>
      <c r="BJ10" t="inlineStr">
        <is>
          <t>Lemon Balm</t>
        </is>
      </c>
      <c r="BK10" t="n">
        <v>1</v>
      </c>
      <c r="BL10" t="n">
        <v>1</v>
      </c>
      <c r="BM10" t="n">
        <v>3</v>
      </c>
      <c r="BN10" t="n">
        <v>7</v>
      </c>
      <c r="BO10" t="n">
        <v>100</v>
      </c>
      <c r="BP10" t="n">
        <v>8</v>
      </c>
      <c r="BQ10" t="n">
        <v>10</v>
      </c>
      <c r="BR10" t="n">
        <v>5</v>
      </c>
      <c r="BS10" t="inlineStr">
        <is>
          <t>Tier 1</t>
        </is>
      </c>
      <c r="BT10" t="n">
        <v>5</v>
      </c>
      <c r="BU10" t="inlineStr">
        <is>
          <t>FALSE</t>
        </is>
      </c>
      <c r="BV10" t="inlineStr">
        <is>
          <t>lemon-balm</t>
        </is>
      </c>
      <c r="BW10" t="inlineStr">
        <is>
          <t>TRUE</t>
        </is>
      </c>
      <c r="BX10" t="inlineStr">
        <is>
          <t>Pass 10 refreshed scoring from 1 mapped compounds | Pass 13 rescored from 1 mapped compounds</t>
        </is>
      </c>
      <c r="BY10" t="inlineStr">
        <is>
          <t>unclassified</t>
        </is>
      </c>
      <c r="CA10" t="n">
        <v>2</v>
      </c>
      <c r="CB10" t="n">
        <v>0</v>
      </c>
      <c r="CC10" t="n">
        <v>0</v>
      </c>
      <c r="CD10" t="inlineStr">
        <is>
          <t>rosmarinic acid; unclassified</t>
        </is>
      </c>
      <c r="CE10" t="inlineStr">
        <is>
          <t>Pass 13 rescored after herb-name normalization and real top-herb compound sweep</t>
        </is>
      </c>
      <c r="CF10" t="inlineStr">
        <is>
          <t>General</t>
        </is>
      </c>
      <c r="CH10" s="68" t="inlineStr">
        <is>
          <t>Start low; usually evening or split use</t>
        </is>
      </c>
      <c r="CI10" s="68" t="inlineStr">
        <is>
          <t>Prefer evening or split dosing; avoid stacking with other sedative-heavy products by default.</t>
        </is>
      </c>
      <c r="CJ10" s="68" t="inlineStr">
        <is>
          <t>sedation-cns; thyroid-hormonal</t>
        </is>
      </c>
      <c r="CK10" s="68" t="inlineStr">
        <is>
          <t>thyroid disorders</t>
        </is>
      </c>
      <c r="CL10" s="68" t="inlineStr">
        <is>
          <t>Moderate</t>
        </is>
      </c>
      <c r="CM10" s="68" t="inlineStr">
        <is>
          <t>No</t>
        </is>
      </c>
      <c r="CN10" s="68" t="str"/>
      <c r="CO10" s="68" t="inlineStr">
        <is>
          <t>Pass 21 herb-level safety and dose framing</t>
        </is>
      </c>
      <c r="CP10" t="inlineStr">
        <is>
          <t>Moderate</t>
        </is>
      </c>
      <c r="CQ10" t="inlineStr">
        <is>
          <t>No</t>
        </is>
      </c>
      <c r="CS10" t="inlineStr">
        <is>
          <t>Pass 22 refined safety rule severity and reduced broad keyword over-flagging</t>
        </is>
      </c>
      <c r="CT10" t="inlineStr">
        <is>
          <t>General</t>
        </is>
      </c>
      <c r="CU10" t="inlineStr">
        <is>
          <t>antiviral; anxiolytic; calming</t>
        </is>
      </c>
      <c r="CV10" t="inlineStr">
        <is>
          <t>Human</t>
        </is>
      </c>
      <c r="CW10" t="inlineStr">
        <is>
          <t>Pass 26 normalization: categories, mechanisms, evidence tiers</t>
        </is>
      </c>
      <c r="CX10" t="inlineStr">
        <is>
          <t>Human + preclinical</t>
        </is>
      </c>
      <c r="CY10" t="inlineStr">
        <is>
          <t>Generally safe; mild sedation possible</t>
        </is>
      </c>
      <c r="CZ10" t="inlineStr">
        <is>
          <t>Sedatives, thyroid medications</t>
        </is>
      </c>
      <c r="DA10" t="inlineStr">
        <is>
          <t>Hypothyroidism (caution)</t>
        </is>
      </c>
      <c r="DB10" t="inlineStr">
        <is>
          <t>Pass 28 normalized evidence and safety-related free text</t>
        </is>
      </c>
      <c r="DD10" t="inlineStr">
        <is>
          <t>No standardized dose established; use conservative, product-dependent ranges.</t>
        </is>
      </c>
      <c r="DE10" t="inlineStr">
        <is>
          <t>Leaf extracts, teas, tinctures</t>
        </is>
      </c>
      <c r="DF10" t="inlineStr">
        <is>
          <t>Quality varies by extraction method, standardization, and contamination risk.</t>
        </is>
      </c>
      <c r="DG10" t="inlineStr">
        <is>
          <t>Moderate to high</t>
        </is>
      </c>
      <c r="DH10" t="inlineStr">
        <is>
          <t>Pass 29 completeness repair</t>
        </is>
      </c>
      <c r="DI10" t="n">
        <v>9</v>
      </c>
      <c r="DJ10" t="inlineStr">
        <is>
          <t>General</t>
        </is>
      </c>
      <c r="DK10" t="inlineStr">
        <is>
          <t>rosmarinic acid</t>
        </is>
      </c>
      <c r="DL10" t="inlineStr">
        <is>
          <t>Agarikon; Ajwain; Angelica Root; Artichoke; Ashoka</t>
        </is>
      </c>
      <c r="DM10" t="inlineStr">
        <is>
          <t>Pass 31 relationship intelligence: density, cluster, anchor class, nearest herbs</t>
        </is>
      </c>
      <c r="DN10" t="inlineStr">
        <is>
          <t>Garlic; Ginger</t>
        </is>
      </c>
      <c r="DO10" t="inlineStr">
        <is>
          <t>Garlic (1 shared pathways) | Ginger (1 shared pathways)</t>
        </is>
      </c>
      <c r="DP10" t="inlineStr">
        <is>
          <t>Generalist</t>
        </is>
      </c>
      <c r="DQ10" t="inlineStr">
        <is>
          <t>Pass 32 substitute engine + cluster cleanup</t>
        </is>
      </c>
      <c r="DT10" t="inlineStr">
        <is>
          <t>similarity-backed</t>
        </is>
      </c>
      <c r="DU10" t="inlineStr">
        <is>
          <t>Optional</t>
        </is>
      </c>
      <c r="DV10" t="inlineStr">
        <is>
          <t>Pass 33 fallback replacement engine</t>
        </is>
      </c>
      <c r="DY10" t="inlineStr">
        <is>
          <t>Pass 35 expanded fallback pool with second-pass candidate exploration</t>
        </is>
      </c>
      <c r="EA10" t="inlineStr">
        <is>
          <t>General</t>
        </is>
      </c>
      <c r="EB10" t="inlineStr">
        <is>
          <t>unclassified</t>
        </is>
      </c>
      <c r="EC10" t="inlineStr">
        <is>
          <t>Medium</t>
        </is>
      </c>
      <c r="ED10" t="inlineStr">
        <is>
          <t>Pass 40 reinforced weak-category herb data</t>
        </is>
      </c>
      <c r="EG10" t="n">
        <v>6</v>
      </c>
      <c r="EH10" t="n">
        <v>6</v>
      </c>
      <c r="EI10" t="n">
        <v>0</v>
      </c>
      <c r="EJ10" t="n">
        <v>0</v>
      </c>
      <c r="EK10" t="n">
        <v>20</v>
      </c>
      <c r="EL10" t="n">
        <v>13</v>
      </c>
      <c r="EM10" t="inlineStr">
        <is>
          <t>Rosmarinic acid</t>
        </is>
      </c>
      <c r="EN10" t="inlineStr">
        <is>
          <t>Pass 48 rolled compound scores into herb-level scoring</t>
        </is>
      </c>
    </row>
    <row r="11">
      <c r="A11" s="68" t="inlineStr">
        <is>
          <t>Maca</t>
        </is>
      </c>
      <c r="B11" s="68" t="inlineStr">
        <is>
          <t>maca</t>
        </is>
      </c>
      <c r="C11" s="68" t="inlineStr">
        <is>
          <t>Lepidium meyenii</t>
        </is>
      </c>
      <c r="D11" s="68" t="inlineStr">
        <is>
          <t>herb</t>
        </is>
      </c>
      <c r="E11" s="68" t="inlineStr">
        <is>
          <t>root</t>
        </is>
      </c>
      <c r="F11" s="68" t="inlineStr">
        <is>
          <t>root; hypocotyl</t>
        </is>
      </c>
      <c r="G11" s="68" t="n"/>
      <c r="H11" s="68" t="inlineStr">
        <is>
          <t>Peru (Andes)</t>
        </is>
      </c>
      <c r="I11" s="68" t="inlineStr">
        <is>
          <t>Maca (Lepidium meyenii) is a root monograph focused on the root; hypocotyl used in herbal preparations. It is associated with Peru (Andes). May influence endocrine signaling and energy metabolism (unclear mechanism). Generally safe; mild GI upset possible.</t>
        </is>
      </c>
      <c r="J11" s="68" t="inlineStr">
        <is>
          <t>Maca is represented here as a monograph-style entry centered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K11" s="68" t="inlineStr">
        <is>
          <t>macamides; macaenes; glucosinolates</t>
        </is>
      </c>
      <c r="L11" s="68" t="inlineStr">
        <is>
          <t>macamides</t>
        </is>
      </c>
      <c r="M11" s="68" t="inlineStr">
        <is>
          <t>May influence endocrine signaling and energy metabolism (unclear mechanism)</t>
        </is>
      </c>
      <c r="N11" s="68" t="inlineStr">
        <is>
          <t>adaptogen; hormonal</t>
        </is>
      </c>
      <c r="O11" s="68" t="inlineStr">
        <is>
          <t>preclinical + limited human</t>
        </is>
      </c>
      <c r="P11" s="68" t="inlineStr">
        <is>
          <t>Generally safe; mild GI upset possible</t>
        </is>
      </c>
      <c r="Q11" s="68" t="inlineStr">
        <is>
          <t>Limited data</t>
        </is>
      </c>
      <c r="R11" s="68" t="inlineStr">
        <is>
          <t>Hormone-sensitive conditions (caution)</t>
        </is>
      </c>
      <c r="S11" s="68" t="inlineStr">
        <is>
          <t>Dried root powder, extracts</t>
        </is>
      </c>
      <c r="T11" s="68" t="n"/>
      <c r="U11" s="68" t="n"/>
      <c r="V11" s="68" t="n"/>
      <c r="W11" s="68" t="inlineStr">
        <is>
          <t>Medium</t>
        </is>
      </c>
      <c r="X11" s="68" t="inlineStr">
        <is>
          <t>validated</t>
        </is>
      </c>
      <c r="Y11" s="68" t="inlineStr">
        <is>
          <t>PubMed; NIH</t>
        </is>
      </c>
      <c r="Z11" s="68" t="inlineStr">
        <is>
          <t>present</t>
        </is>
      </c>
      <c r="AA11" s="68" t="inlineStr">
        <is>
          <t>NIH/ODS; PubMed/PMC</t>
        </is>
      </c>
      <c r="AB11" s="68" t="inlineStr">
        <is>
          <t>PubMed; NIH</t>
        </is>
      </c>
      <c r="AC11" s="68" t="inlineStr">
        <is>
          <t>PubMed; NIH</t>
        </is>
      </c>
      <c r="AD11" s="68" t="inlineStr">
        <is>
          <t>PubMed; NIH</t>
        </is>
      </c>
      <c r="AE11" s="68" t="inlineStr">
        <is>
          <t>PubMed; NIH</t>
        </is>
      </c>
      <c r="AF11" s="68" t="inlineStr">
        <is>
          <t>Carried forward from batch CSV; needs source-linked monograph expansion.</t>
        </is>
      </c>
      <c r="AG11" s="68" t="n">
        <v>2</v>
      </c>
      <c r="AH11" s="68" t="n">
        <v>3</v>
      </c>
      <c r="AI11" s="68" t="n">
        <v>3</v>
      </c>
      <c r="AJ11" s="68" t="n">
        <v>8</v>
      </c>
      <c r="AK11" s="68" t="inlineStr">
        <is>
          <t>Medium</t>
        </is>
      </c>
      <c r="AL11" s="68" t="inlineStr">
        <is>
          <t>Missing</t>
        </is>
      </c>
      <c r="AM11" s="68" t="inlineStr">
        <is>
          <t>Linked primary/secondary</t>
        </is>
      </c>
      <c r="AN11" s="68" t="n">
        <v>0.8571428571428571</v>
      </c>
      <c r="AO11" s="68" t="inlineStr">
        <is>
          <t>Ready</t>
        </is>
      </c>
      <c r="AP11" s="68" t="inlineStr">
        <is>
          <t>Editorial</t>
        </is>
      </c>
      <c r="AQ11" s="68" t="n"/>
      <c r="AR11" s="68" t="inlineStr">
        <is>
          <t>Ready for QA</t>
        </is>
      </c>
      <c r="AS11" s="68" t="inlineStr">
        <is>
          <t>Not started</t>
        </is>
      </c>
      <c r="AT11" s="68" t="inlineStr">
        <is>
          <t>Yes</t>
        </is>
      </c>
      <c r="AU11" s="68" t="inlineStr">
        <is>
          <t>Yes</t>
        </is>
      </c>
      <c r="AV11" s="68" t="inlineStr">
        <is>
          <t>Yes</t>
        </is>
      </c>
      <c r="AW11" s="68" t="n"/>
      <c r="AX11" s="68" t="n">
        <v>1</v>
      </c>
      <c r="AY11" s="68" t="n"/>
      <c r="AZ11" s="68" t="n"/>
      <c r="BA11" s="68" t="n"/>
      <c r="BB11" s="68" t="n"/>
      <c r="BC11" s="68" t="n"/>
      <c r="BD11" s="68" t="n"/>
      <c r="BE11" s="68" t="inlineStr">
        <is>
          <t>2026-04-10</t>
        </is>
      </c>
      <c r="BF11" s="68" t="inlineStr">
        <is>
          <t>Metadata normalized from internal workbook links</t>
        </is>
      </c>
      <c r="BG11" s="68" t="inlineStr">
        <is>
          <t>maca|2026-04-10</t>
        </is>
      </c>
      <c r="BH11" s="68" t="inlineStr">
        <is>
          <t>2026-04-10:auto-normalized</t>
        </is>
      </c>
      <c r="BI11" t="inlineStr">
        <is>
          <t>maca</t>
        </is>
      </c>
      <c r="BJ11" t="inlineStr">
        <is>
          <t>Maca</t>
        </is>
      </c>
      <c r="BK11" t="n">
        <v>1</v>
      </c>
      <c r="BL11" t="n">
        <v>1</v>
      </c>
      <c r="BM11" t="n">
        <v>3</v>
      </c>
      <c r="BN11" t="n">
        <v>7</v>
      </c>
      <c r="BO11" t="n">
        <v>100</v>
      </c>
      <c r="BP11" t="n">
        <v>8</v>
      </c>
      <c r="BQ11" t="n">
        <v>10</v>
      </c>
      <c r="BR11" t="n">
        <v>5</v>
      </c>
      <c r="BS11" t="inlineStr">
        <is>
          <t>Tier 1</t>
        </is>
      </c>
      <c r="BT11" t="n">
        <v>5</v>
      </c>
      <c r="BU11" t="inlineStr">
        <is>
          <t>FALSE</t>
        </is>
      </c>
      <c r="BV11" t="inlineStr">
        <is>
          <t>maca</t>
        </is>
      </c>
      <c r="BW11" t="inlineStr">
        <is>
          <t>TRUE</t>
        </is>
      </c>
      <c r="BX11" t="inlineStr">
        <is>
          <t>Pass 10 refreshed scoring from 1 mapped compounds | Pass 13 rescored from 1 mapped compounds</t>
        </is>
      </c>
      <c r="BY11" t="inlineStr">
        <is>
          <t>unclassified</t>
        </is>
      </c>
      <c r="CA11" t="n">
        <v>2</v>
      </c>
      <c r="CB11" t="n">
        <v>0</v>
      </c>
      <c r="CC11" t="n">
        <v>0</v>
      </c>
      <c r="CD11" t="inlineStr">
        <is>
          <t>macamides; unclassified</t>
        </is>
      </c>
      <c r="CE11" t="inlineStr">
        <is>
          <t>Pass 13 rescored after herb-name normalization and real top-herb compound sweep</t>
        </is>
      </c>
      <c r="CF11" t="inlineStr">
        <is>
          <t>General</t>
        </is>
      </c>
      <c r="CH11" s="68" t="inlineStr">
        <is>
          <t>Start with low single-herb exposure and increase only if tolerated</t>
        </is>
      </c>
      <c r="CI11" s="68" t="inlineStr">
        <is>
          <t>Product-ideation framing only; not clinical dosing advice.</t>
        </is>
      </c>
      <c r="CJ11" s="68" t="inlineStr">
        <is>
          <t>thyroid-hormonal</t>
        </is>
      </c>
      <c r="CK11" s="68" t="inlineStr">
        <is>
          <t>hormone-sensitive conditions</t>
        </is>
      </c>
      <c r="CL11" s="68" t="inlineStr">
        <is>
          <t>Moderate</t>
        </is>
      </c>
      <c r="CM11" s="68" t="inlineStr">
        <is>
          <t>No</t>
        </is>
      </c>
      <c r="CN11" s="68" t="str"/>
      <c r="CO11" s="68" t="inlineStr">
        <is>
          <t>Pass 21 herb-level safety and dose framing</t>
        </is>
      </c>
      <c r="CP11" t="inlineStr">
        <is>
          <t>Baseline</t>
        </is>
      </c>
      <c r="CQ11" t="inlineStr">
        <is>
          <t>No</t>
        </is>
      </c>
      <c r="CS11" t="inlineStr">
        <is>
          <t>Pass 22 refined safety rule severity and reduced broad keyword over-flagging</t>
        </is>
      </c>
      <c r="CT11" t="inlineStr">
        <is>
          <t>Stress</t>
        </is>
      </c>
      <c r="CU11" t="inlineStr">
        <is>
          <t>adaptogen; hormonal</t>
        </is>
      </c>
      <c r="CV11" t="inlineStr">
        <is>
          <t>Human</t>
        </is>
      </c>
      <c r="CW11" t="inlineStr">
        <is>
          <t>Pass 26 normalization: categories, mechanisms, evidence tiers</t>
        </is>
      </c>
      <c r="CX11" t="inlineStr">
        <is>
          <t>Human + preclinical</t>
        </is>
      </c>
      <c r="CY11" t="inlineStr">
        <is>
          <t>Generally safe; mild GI upset possible</t>
        </is>
      </c>
      <c r="CZ11" t="inlineStr">
        <is>
          <t>Limited data</t>
        </is>
      </c>
      <c r="DA11" t="inlineStr">
        <is>
          <t>Hormone-sensitive conditions (caution)</t>
        </is>
      </c>
      <c r="DB11" t="inlineStr">
        <is>
          <t>Pass 28 normalized evidence and safety-related free text</t>
        </is>
      </c>
      <c r="DD11" t="inlineStr">
        <is>
          <t>No standardized dose established; use conservative, product-dependent ranges.</t>
        </is>
      </c>
      <c r="DE11" t="inlineStr">
        <is>
          <t>Dried root powder, extracts</t>
        </is>
      </c>
      <c r="DF11" t="inlineStr">
        <is>
          <t>Quality varies by extraction method, standardization, and contamination risk.</t>
        </is>
      </c>
      <c r="DG11" t="inlineStr">
        <is>
          <t>Moderate to high</t>
        </is>
      </c>
      <c r="DH11" t="inlineStr">
        <is>
          <t>Pass 29 completeness repair</t>
        </is>
      </c>
      <c r="DI11" t="n">
        <v>9</v>
      </c>
      <c r="DJ11" t="inlineStr">
        <is>
          <t>Adaptogenic</t>
        </is>
      </c>
      <c r="DK11" t="inlineStr">
        <is>
          <t>macamides</t>
        </is>
      </c>
      <c r="DL11" t="inlineStr">
        <is>
          <t>Holy Basil; Holy Basil Purple; Maral Root; Rhodiola; Rhodiola Rosea</t>
        </is>
      </c>
      <c r="DM11" t="inlineStr">
        <is>
          <t>Pass 31 relationship intelligence: density, cluster, anchor class, nearest herbs</t>
        </is>
      </c>
      <c r="DN11" t="inlineStr">
        <is>
          <t>Holy Basil</t>
        </is>
      </c>
      <c r="DO11" t="inlineStr">
        <is>
          <t>Holy Basil (1 shared pathways)</t>
        </is>
      </c>
      <c r="DP11" t="inlineStr">
        <is>
          <t>Stress / Adaptogenic</t>
        </is>
      </c>
      <c r="DQ11" t="inlineStr">
        <is>
          <t>Pass 32 substitute engine + cluster cleanup</t>
        </is>
      </c>
      <c r="DR11" t="inlineStr">
        <is>
          <t>Holy Basil</t>
        </is>
      </c>
      <c r="DT11" t="inlineStr">
        <is>
          <t>same cluster; similarity-backed</t>
        </is>
      </c>
      <c r="DU11" t="inlineStr">
        <is>
          <t>Not needed</t>
        </is>
      </c>
      <c r="DV11" t="inlineStr">
        <is>
          <t>Pass 33 fallback replacement engine</t>
        </is>
      </c>
      <c r="DW11" t="inlineStr">
        <is>
          <t>Rhodiola</t>
        </is>
      </c>
      <c r="DX11" t="inlineStr">
        <is>
          <t>Holy Basil Purple; Maral Root; Rhodiola; Holy Basil; Rhodiola Rosea</t>
        </is>
      </c>
      <c r="DY11" t="inlineStr">
        <is>
          <t>Pass 35 expanded fallback pool with second-pass candidate exploration</t>
        </is>
      </c>
      <c r="EA11" t="inlineStr">
        <is>
          <t>Stress</t>
        </is>
      </c>
      <c r="EB11" t="inlineStr">
        <is>
          <t>unclassified</t>
        </is>
      </c>
      <c r="EC11" t="inlineStr">
        <is>
          <t>Medium</t>
        </is>
      </c>
      <c r="ED11" t="inlineStr">
        <is>
          <t>Pass 40 reinforced weak-category herb data</t>
        </is>
      </c>
      <c r="EG11" t="n">
        <v>6</v>
      </c>
      <c r="EH11" t="n">
        <v>6</v>
      </c>
      <c r="EI11" t="n">
        <v>0</v>
      </c>
      <c r="EJ11" t="n">
        <v>0</v>
      </c>
      <c r="EK11" t="n">
        <v>20</v>
      </c>
      <c r="EL11" t="n">
        <v>13</v>
      </c>
      <c r="EM11" t="inlineStr">
        <is>
          <t>macamides</t>
        </is>
      </c>
      <c r="EN11" t="inlineStr">
        <is>
          <t>Pass 48 rolled compound scores into herb-level scoring</t>
        </is>
      </c>
    </row>
    <row r="12">
      <c r="A12" s="68" t="inlineStr">
        <is>
          <t>Milk Thistle</t>
        </is>
      </c>
      <c r="B12" s="68" t="inlineStr">
        <is>
          <t>milk-thistle</t>
        </is>
      </c>
      <c r="C12" s="68" t="inlineStr">
        <is>
          <t>Silybum marianum</t>
        </is>
      </c>
      <c r="D12" s="68" t="inlineStr">
        <is>
          <t>herb</t>
        </is>
      </c>
      <c r="E12" s="68" t="inlineStr">
        <is>
          <t>herb</t>
        </is>
      </c>
      <c r="F12" s="68" t="inlineStr">
        <is>
          <t>seed; fruit</t>
        </is>
      </c>
      <c r="G12" s="68" t="inlineStr">
        <is>
          <t>milk thistle; St. Mary's thistle; blessed milkthistle</t>
        </is>
      </c>
      <c r="H12" s="68" t="inlineStr">
        <is>
          <t>Native to the Mediterranean region; now naturalized worldwide.</t>
        </is>
      </c>
      <c r="I12" s="68" t="inlineStr">
        <is>
          <t>Milk Thistle (Silybum marianum) is a herb monograph focused on the seed; fruit used in herbal preparations. It is associated with Native to the Mediterranean region; now naturalized worldwide. Silymarin flavonolignans exhibit antioxidant, anti-inflammatory and antifibrotic activity relevant to hepatoprotection. Generally well tolerated; mild GI side effects and occasional allergic reactions.</t>
        </is>
      </c>
      <c r="J12" s="68" t="inlineStr">
        <is>
          <t>Milk Thistle is represented here as a monograph-style entry centered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K12" s="68" t="inlineStr">
        <is>
          <t>silymarin</t>
        </is>
      </c>
      <c r="L12" s="68" t="inlineStr">
        <is>
          <t>silymarin</t>
        </is>
      </c>
      <c r="M12" s="68" t="inlineStr">
        <is>
          <t>Silymarin flavonolignans exhibit antioxidant, anti-inflammatory and antifibrotic activity relevant to hepatoprotection.</t>
        </is>
      </c>
      <c r="N12" s="68" t="inlineStr">
        <is>
          <t>liver support; antioxidant; hepatoprotection</t>
        </is>
      </c>
      <c r="O12" s="68" t="inlineStr">
        <is>
          <t>human + preclinical</t>
        </is>
      </c>
      <c r="P12" s="68" t="inlineStr">
        <is>
          <t>Generally well tolerated; mild GI side effects and occasional allergic reactions.</t>
        </is>
      </c>
      <c r="Q12" s="68" t="inlineStr">
        <is>
          <t>Possible CYP2C9/CYP3A4 interaction risk; may affect warfarin and some other drugs.</t>
        </is>
      </c>
      <c r="R12" s="68" t="inlineStr">
        <is>
          <t>Asteraceae allergy; caution in pregnancy/breastfeeding.</t>
        </is>
      </c>
      <c r="S12" s="68" t="inlineStr">
        <is>
          <t>Seed/fruit extracts standardized to silymarin.</t>
        </is>
      </c>
      <c r="T12" s="68" t="inlineStr">
        <is>
          <t>250–750 mg silymarin 2–3 times daily</t>
        </is>
      </c>
      <c r="U12" s="68" t="inlineStr">
        <is>
          <t>Typically 70–80% silymarin.</t>
        </is>
      </c>
      <c r="V12" s="68" t="n"/>
      <c r="W12" s="68" t="inlineStr">
        <is>
          <t>High</t>
        </is>
      </c>
      <c r="X12" s="68" t="inlineStr">
        <is>
          <t>validated</t>
        </is>
      </c>
      <c r="Y12" s="68" t="inlineStr">
        <is>
          <t>Recovered from prior batch output in this conversation</t>
        </is>
      </c>
      <c r="Z12" s="68" t="inlineStr">
        <is>
          <t>needs-source-normalization</t>
        </is>
      </c>
      <c r="AA12" s="68" t="inlineStr">
        <is>
          <t>conversation-recovered</t>
        </is>
      </c>
      <c r="AB12" s="68" t="inlineStr">
        <is>
          <t>Recovered from prior batch output in this conversation</t>
        </is>
      </c>
      <c r="AC12" s="68" t="inlineStr">
        <is>
          <t>Recovered from prior batch output in this conversation</t>
        </is>
      </c>
      <c r="AD12" s="68" t="inlineStr">
        <is>
          <t>Recovered from prior batch output in this conversation</t>
        </is>
      </c>
      <c r="AE12" s="68" t="inlineStr">
        <is>
          <t>Recovered from prior batch output in this conversation</t>
        </is>
      </c>
      <c r="AF12" s="68" t="inlineStr">
        <is>
          <t>Keep hepatoprotective claims narrower than “treats liver disease.”</t>
        </is>
      </c>
      <c r="AG12" s="68" t="n">
        <v>3</v>
      </c>
      <c r="AH12" s="68" t="n">
        <v>3</v>
      </c>
      <c r="AI12" s="68" t="n">
        <v>1</v>
      </c>
      <c r="AJ12" s="68" t="n">
        <v>7</v>
      </c>
      <c r="AK12" s="68" t="inlineStr">
        <is>
          <t>High</t>
        </is>
      </c>
      <c r="AL12" s="68" t="inlineStr">
        <is>
          <t>Present</t>
        </is>
      </c>
      <c r="AM12" s="68" t="inlineStr">
        <is>
          <t>Conversation-recovered</t>
        </is>
      </c>
      <c r="AN12" s="68" t="n">
        <v>1</v>
      </c>
      <c r="AO12" s="68" t="inlineStr">
        <is>
          <t>Near ready</t>
        </is>
      </c>
      <c r="AP12" s="68" t="inlineStr">
        <is>
          <t>Research</t>
        </is>
      </c>
      <c r="AQ12" s="68" t="n"/>
      <c r="AR12" s="68" t="inlineStr">
        <is>
          <t>Source review</t>
        </is>
      </c>
      <c r="AS12" s="68" t="inlineStr">
        <is>
          <t>Not started</t>
        </is>
      </c>
      <c r="AT12" s="68" t="inlineStr">
        <is>
          <t>No</t>
        </is>
      </c>
      <c r="AU12" s="68" t="inlineStr">
        <is>
          <t>No</t>
        </is>
      </c>
      <c r="AV12" s="68" t="inlineStr">
        <is>
          <t>Yes</t>
        </is>
      </c>
      <c r="AW12" s="68" t="inlineStr">
        <is>
          <t>Normalize source record</t>
        </is>
      </c>
      <c r="AX12" s="68" t="n">
        <v>1</v>
      </c>
      <c r="AY12" s="68" t="n"/>
      <c r="AZ12" s="68" t="n"/>
      <c r="BA12" s="68" t="n"/>
      <c r="BB12" s="68" t="n"/>
      <c r="BC12" s="68" t="n"/>
      <c r="BD12" s="68" t="n"/>
      <c r="BE12" s="68" t="inlineStr">
        <is>
          <t>2026-04-10</t>
        </is>
      </c>
      <c r="BF12" s="68" t="inlineStr">
        <is>
          <t>Metadata normalized from internal workbook links</t>
        </is>
      </c>
      <c r="BG12" s="68" t="inlineStr">
        <is>
          <t>milk-thistle|2026-04-10</t>
        </is>
      </c>
      <c r="BH12" s="68" t="inlineStr">
        <is>
          <t>2026-04-10:auto-normalized</t>
        </is>
      </c>
      <c r="BI12" t="inlineStr">
        <is>
          <t>milk-thistle</t>
        </is>
      </c>
      <c r="BJ12" t="inlineStr">
        <is>
          <t>Milk Thistle</t>
        </is>
      </c>
      <c r="BK12" t="n">
        <v>1</v>
      </c>
      <c r="BL12" t="n">
        <v>0</v>
      </c>
      <c r="BM12" t="n">
        <v>3</v>
      </c>
      <c r="BN12" t="n">
        <v>3</v>
      </c>
      <c r="BO12" t="n">
        <v>100</v>
      </c>
      <c r="BP12" t="n">
        <v>8</v>
      </c>
      <c r="BQ12" t="n">
        <v>0</v>
      </c>
      <c r="BR12" t="n">
        <v>5</v>
      </c>
      <c r="BS12" t="inlineStr">
        <is>
          <t>Tier 4</t>
        </is>
      </c>
      <c r="BT12" t="n">
        <v>3</v>
      </c>
      <c r="BU12" t="inlineStr">
        <is>
          <t>FALSE</t>
        </is>
      </c>
      <c r="BV12" t="inlineStr">
        <is>
          <t>milk-thistle</t>
        </is>
      </c>
      <c r="BW12" t="inlineStr">
        <is>
          <t>TRUE</t>
        </is>
      </c>
      <c r="BX12" t="inlineStr">
        <is>
          <t>Pass 10 refreshed scoring from 1 mapped compounds | Pass 13 rescored from 1 mapped compounds</t>
        </is>
      </c>
      <c r="CA12" t="n">
        <v>2</v>
      </c>
      <c r="CB12" t="n">
        <v>0</v>
      </c>
      <c r="CC12" t="n">
        <v>0</v>
      </c>
      <c r="CE12" t="inlineStr">
        <is>
          <t>Pass 13 rescored after herb-name normalization and real top-herb compound sweep</t>
        </is>
      </c>
      <c r="CF12" t="inlineStr">
        <is>
          <t>General</t>
        </is>
      </c>
      <c r="CH12" s="68" t="inlineStr">
        <is>
          <t>Start with low single-herb exposure and increase only if tolerated</t>
        </is>
      </c>
      <c r="CI12" s="68" t="inlineStr">
        <is>
          <t>Keep conservative around surgery, anticoagulants, or antiplatelet use.</t>
        </is>
      </c>
      <c r="CJ12" s="68" t="inlineStr">
        <is>
          <t>bleeding-risk; hepatic-caution; lactation; pregnancy</t>
        </is>
      </c>
      <c r="CK12" s="68" t="inlineStr">
        <is>
          <t>breastfeeding; pregnancy</t>
        </is>
      </c>
      <c r="CL12" s="68" t="inlineStr">
        <is>
          <t>Elevated</t>
        </is>
      </c>
      <c r="CM12" s="68" t="inlineStr">
        <is>
          <t>Review</t>
        </is>
      </c>
      <c r="CN12" s="68" t="inlineStr">
        <is>
          <t>Needs manual safety review before default stack inclusion</t>
        </is>
      </c>
      <c r="CO12" s="68" t="inlineStr">
        <is>
          <t>Pass 21 herb-level safety and dose framing</t>
        </is>
      </c>
      <c r="CP12" t="inlineStr">
        <is>
          <t>Elevated</t>
        </is>
      </c>
      <c r="CQ12" t="inlineStr">
        <is>
          <t>Review</t>
        </is>
      </c>
      <c r="CR12" t="inlineStr">
        <is>
          <t>Needs manual safety review before default stack inclusion</t>
        </is>
      </c>
      <c r="CS12" t="inlineStr">
        <is>
          <t>Pass 22 refined safety rule severity and reduced broad keyword over-flagging</t>
        </is>
      </c>
      <c r="CT12" t="inlineStr">
        <is>
          <t>General</t>
        </is>
      </c>
      <c r="CU12" t="inlineStr">
        <is>
          <t>antioxidant; hepatoprotection; liver support</t>
        </is>
      </c>
      <c r="CV12" t="inlineStr">
        <is>
          <t>Human</t>
        </is>
      </c>
      <c r="CW12" t="inlineStr">
        <is>
          <t>Pass 26 normalization: categories, mechanisms, evidence tiers</t>
        </is>
      </c>
      <c r="CX12" t="inlineStr">
        <is>
          <t>Human + preclinical</t>
        </is>
      </c>
      <c r="CY12" t="inlineStr">
        <is>
          <t>Generally well tolerated; mild GI side effects and occasional allergic reactions.</t>
        </is>
      </c>
      <c r="CZ12" t="inlineStr">
        <is>
          <t>Possible CYP2C9/CYP3A4 interaction risk; May affect warfarin and some other drugs</t>
        </is>
      </c>
      <c r="DA12" t="inlineStr">
        <is>
          <t>Asteraceae allergy; Caution in pregnancy/breastfeeding</t>
        </is>
      </c>
      <c r="DB12" t="inlineStr">
        <is>
          <t>Pass 28 normalized evidence and safety-related free text</t>
        </is>
      </c>
      <c r="DD12" t="inlineStr">
        <is>
          <t>250–750 mg silymarin 2–3 times daily</t>
        </is>
      </c>
      <c r="DE12" t="inlineStr">
        <is>
          <t>Seed/fruit extracts standardized to silymarin.</t>
        </is>
      </c>
      <c r="DF12" t="inlineStr">
        <is>
          <t>Quality varies by extraction method, standardization, and contamination risk.</t>
        </is>
      </c>
      <c r="DG12" t="inlineStr">
        <is>
          <t>Moderate to high</t>
        </is>
      </c>
      <c r="DH12" t="inlineStr">
        <is>
          <t>Pass 29 completeness repair</t>
        </is>
      </c>
      <c r="DI12" t="n">
        <v>6</v>
      </c>
      <c r="DJ12" t="inlineStr">
        <is>
          <t>General</t>
        </is>
      </c>
      <c r="DL12" t="inlineStr">
        <is>
          <t>Acerola; Agarikon; Ajwain; Aloe Vera; American Ginseng</t>
        </is>
      </c>
      <c r="DM12" t="inlineStr">
        <is>
          <t>Pass 31 relationship intelligence: density, cluster, anchor class, nearest herbs</t>
        </is>
      </c>
      <c r="DP12" t="inlineStr">
        <is>
          <t>Generalist</t>
        </is>
      </c>
      <c r="DQ12" t="inlineStr">
        <is>
          <t>Pass 32 substitute engine + cluster cleanup</t>
        </is>
      </c>
      <c r="DT12" t="inlineStr">
        <is>
          <t>no strong safe fallback found</t>
        </is>
      </c>
      <c r="DU12" t="inlineStr">
        <is>
          <t>Recommended</t>
        </is>
      </c>
      <c r="DV12" t="inlineStr">
        <is>
          <t>Pass 33 fallback replacement engine</t>
        </is>
      </c>
      <c r="DY12" t="inlineStr">
        <is>
          <t>Pass 35 expanded fallback pool with second-pass candidate exploration</t>
        </is>
      </c>
      <c r="EA12" t="inlineStr">
        <is>
          <t>General</t>
        </is>
      </c>
      <c r="EC12" t="inlineStr">
        <is>
          <t>High</t>
        </is>
      </c>
      <c r="ED12" t="inlineStr">
        <is>
          <t>Pass 40 reinforced weak-category herb data</t>
        </is>
      </c>
      <c r="EG12" t="n">
        <v>0</v>
      </c>
      <c r="EH12" t="n">
        <v>0</v>
      </c>
      <c r="EI12" t="n">
        <v>0</v>
      </c>
      <c r="EJ12" t="n">
        <v>0</v>
      </c>
      <c r="EK12" t="n">
        <v>0</v>
      </c>
      <c r="EL12" t="n">
        <v>0</v>
      </c>
      <c r="EN12" t="inlineStr">
        <is>
          <t>Pass 48 rolled compound scores into herb-level scoring</t>
        </is>
      </c>
    </row>
    <row r="13">
      <c r="A13" s="68" t="inlineStr">
        <is>
          <t>Peppermint</t>
        </is>
      </c>
      <c r="B13" s="68" t="inlineStr">
        <is>
          <t>peppermint</t>
        </is>
      </c>
      <c r="C13" s="68" t="inlineStr">
        <is>
          <t>Mentha × piperita</t>
        </is>
      </c>
      <c r="D13" s="68" t="inlineStr">
        <is>
          <t>herb</t>
        </is>
      </c>
      <c r="E13" s="68" t="inlineStr">
        <is>
          <t>herb</t>
        </is>
      </c>
      <c r="F13" s="68" t="inlineStr">
        <is>
          <t>unspecified</t>
        </is>
      </c>
      <c r="G13" s="68" t="inlineStr">
        <is>
          <t>peppermint; Mentha × piperita</t>
        </is>
      </c>
      <c r="H13" s="68" t="inlineStr">
        <is>
          <t>Peppermint is a hybrid between water mint and spearmint that grows throughout Europe, North America and the Mediterranean【376436993997216†L159-L162】.</t>
        </is>
      </c>
      <c r="I13" s="68" t="inlineStr">
        <is>
          <t>Peppermint (Mentha × piperita) is a herb monograph focused on the unspecified used in herbal preparations. It is associated with Peppermint is a hybrid between water mint and spearmint that grows throughout Europe, North America and the Mediterranean【376436993997216†L159-L162】. Peppermint oil contains more than 80 constituents; menthol is the main bioactive component. Menthol is generally regarded as safe.</t>
        </is>
      </c>
      <c r="J13" s="68" t="inlineStr">
        <is>
          <t>Peppermint is represented here as a monograph-style entry centered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K13" s="68" t="inlineStr">
        <is>
          <t>menthol</t>
        </is>
      </c>
      <c r="L13" s="68" t="inlineStr">
        <is>
          <t>menthol</t>
        </is>
      </c>
      <c r="M13" s="68" t="inlineStr">
        <is>
          <t>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t>
        </is>
      </c>
      <c r="N13" s="68" t="inlineStr">
        <is>
          <t>digestive support; smooth muscle relaxation</t>
        </is>
      </c>
      <c r="O13" s="68" t="inlineStr">
        <is>
          <t>mapped + curated</t>
        </is>
      </c>
      <c r="P13" s="68" t="inlineStr">
        <is>
          <t>Menthol is generally regarded as safe. Enteric‑coated peppermint oil is well tolerated; the most common adverse effects reported in clinical trials are heartburn, nausea, abdominal pain and dry mouth【220193048567304†L45-L53】. High doses of minor constituents such as pulegone or menthofuran can cause hepatotoxicity in animals, but typical medicinal doses contain negligible amounts and no cases of human hepatotoxicity have been reported【271856535371736†L1296-L1354】. Peppermint oil should not be applied near the faces of infants or young children because menthol inhalation can cause serious adverse reactions【220193048567304†L45-L53】.</t>
        </is>
      </c>
      <c r="Q13" s="68" t="inlineStr">
        <is>
          <t>Peppermint oil may inhibit cytochrome P450 enzymes (e.g., CYP2A6 and UGT2B7) and could theoretically interact with drugs metabolised by these pathways.</t>
        </is>
      </c>
      <c r="R13" s="68" t="inlineStr">
        <is>
          <t>Avoid in infants and young children, and in people with gastro‑oesophageal reflux disease or bile duct obstruction. Use cautiously in those taking hepatotoxic drugs due to potential pulegone/menthofuran toxicity.</t>
        </is>
      </c>
      <c r="S13" s="68" t="inlineStr">
        <is>
          <t>Leaves and flowering tops are used fresh or dried to make teas and flavourings. Medicinal products include enteric‑coated capsules of peppermint oil and topical preparations.</t>
        </is>
      </c>
      <c r="T13" s="68" t="n"/>
      <c r="U13" s="68" t="n"/>
      <c r="V13" s="68" t="n"/>
      <c r="W13" s="68" t="inlineStr">
        <is>
          <t>Medium</t>
        </is>
      </c>
      <c r="X13" s="68" t="inlineStr">
        <is>
          <t>validated</t>
        </is>
      </c>
      <c r="Y13" s="68" t="inlineStr">
        <is>
          <t>【697136726945063†L340-L345】; 【271856535371736†L224-L289】; 【271856535371736†L312-L333】; 【220193048567304†L45-L53】; 【271856535371736†L1296-L1354】; 【376436993997216†L159-L162】</t>
        </is>
      </c>
      <c r="Z13" s="68" t="inlineStr">
        <is>
          <t>present</t>
        </is>
      </c>
      <c r="AA13" s="68" t="inlineStr">
        <is>
          <t>PubMed/PMC</t>
        </is>
      </c>
      <c r="AB13" s="68" t="inlineStr">
        <is>
          <t>【697136726945063†L340-L345】; 【271856535371736†L224-L289】; 【271856535371736†L312-L333】; 【220193048567304†L45-L53】; 【271856535371736†L1296-L1354】; 【376436993997216†L159-L162】</t>
        </is>
      </c>
      <c r="AC13" s="68" t="inlineStr">
        <is>
          <t>【697136726945063†L340-L345】; 【271856535371736†L224-L289】; 【271856535371736†L312-L333】; 【220193048567304†L45-L53】; 【271856535371736†L1296-L1354】; 【376436993997216†L159-L162】</t>
        </is>
      </c>
      <c r="AD13" s="68" t="inlineStr">
        <is>
          <t>【697136726945063†L340-L345】; 【271856535371736†L224-L289】; 【271856535371736†L312-L333】; 【220193048567304†L45-L53】; 【271856535371736†L1296-L1354】; 【376436993997216†L159-L162】</t>
        </is>
      </c>
      <c r="AE13" s="68" t="inlineStr">
        <is>
          <t>【697136726945063†L340-L345】; 【271856535371736†L224-L289】; 【271856535371736†L312-L333】; 【220193048567304†L45-L53】; 【271856535371736†L1296-L1354】; 【376436993997216†L159-L162】</t>
        </is>
      </c>
      <c r="AF13" s="68" t="inlineStr">
        <is>
          <t>Mechanism preserved as qualified language where evidence is preclinical.</t>
        </is>
      </c>
      <c r="AG13" s="68" t="n">
        <v>2</v>
      </c>
      <c r="AH13" s="68" t="n">
        <v>1</v>
      </c>
      <c r="AI13" s="68" t="n">
        <v>3</v>
      </c>
      <c r="AJ13" s="68" t="n">
        <v>6</v>
      </c>
      <c r="AK13" s="68" t="inlineStr">
        <is>
          <t>Medium</t>
        </is>
      </c>
      <c r="AL13" s="68" t="inlineStr">
        <is>
          <t>Missing</t>
        </is>
      </c>
      <c r="AM13" s="68" t="inlineStr">
        <is>
          <t>Linked primary/secondary</t>
        </is>
      </c>
      <c r="AN13" s="68" t="n">
        <v>0.7142857142857143</v>
      </c>
      <c r="AO13" s="68" t="inlineStr">
        <is>
          <t>Near ready</t>
        </is>
      </c>
      <c r="AP13" s="68" t="inlineStr">
        <is>
          <t>Editorial</t>
        </is>
      </c>
      <c r="AQ13" s="68" t="n"/>
      <c r="AR13" s="68" t="inlineStr">
        <is>
          <t>Editorial polish</t>
        </is>
      </c>
      <c r="AS13" s="68" t="inlineStr">
        <is>
          <t>Not started</t>
        </is>
      </c>
      <c r="AT13" s="68" t="inlineStr">
        <is>
          <t>Yes</t>
        </is>
      </c>
      <c r="AU13" s="68" t="inlineStr">
        <is>
          <t>No</t>
        </is>
      </c>
      <c r="AV13" s="68" t="inlineStr">
        <is>
          <t>Yes</t>
        </is>
      </c>
      <c r="AW13" s="68" t="inlineStr">
        <is>
          <t>Finalize remaining content gaps</t>
        </is>
      </c>
      <c r="AX13" s="68" t="n">
        <v>1</v>
      </c>
      <c r="AY13" s="68" t="n"/>
      <c r="AZ13" s="68" t="n"/>
      <c r="BA13" s="68" t="n"/>
      <c r="BB13" s="68" t="n"/>
      <c r="BC13" s="68" t="n"/>
      <c r="BD13" s="68" t="n"/>
      <c r="BE13" s="68" t="inlineStr">
        <is>
          <t>2026-04-10</t>
        </is>
      </c>
      <c r="BF13" s="68" t="inlineStr">
        <is>
          <t>Metadata normalized from internal workbook links</t>
        </is>
      </c>
      <c r="BG13" s="68" t="inlineStr">
        <is>
          <t>peppermint|2026-04-10</t>
        </is>
      </c>
      <c r="BH13" s="68" t="inlineStr">
        <is>
          <t>2026-04-10:auto-normalized</t>
        </is>
      </c>
      <c r="BI13" t="inlineStr">
        <is>
          <t>peppermint</t>
        </is>
      </c>
      <c r="BJ13" t="inlineStr">
        <is>
          <t>Peppermint</t>
        </is>
      </c>
      <c r="BK13" t="n">
        <v>1</v>
      </c>
      <c r="BL13" t="n">
        <v>1</v>
      </c>
      <c r="BM13" t="n">
        <v>1</v>
      </c>
      <c r="BN13" t="n">
        <v>7</v>
      </c>
      <c r="BO13" t="n">
        <v>100</v>
      </c>
      <c r="BP13" t="n">
        <v>8</v>
      </c>
      <c r="BQ13" t="n">
        <v>10</v>
      </c>
      <c r="BR13" t="n">
        <v>5</v>
      </c>
      <c r="BS13" t="inlineStr">
        <is>
          <t>Tier 1</t>
        </is>
      </c>
      <c r="BT13" t="n">
        <v>5</v>
      </c>
      <c r="BU13" t="inlineStr">
        <is>
          <t>FALSE</t>
        </is>
      </c>
      <c r="BV13" t="inlineStr">
        <is>
          <t>peppermint</t>
        </is>
      </c>
      <c r="BW13" t="inlineStr">
        <is>
          <t>TRUE</t>
        </is>
      </c>
      <c r="BX13" t="inlineStr">
        <is>
          <t>Pass 10 refreshed scoring from 1 mapped compounds | Pass 13 rescored from 1 mapped compounds</t>
        </is>
      </c>
      <c r="BY13" t="inlineStr">
        <is>
          <t>unclassified</t>
        </is>
      </c>
      <c r="CA13" t="n">
        <v>2</v>
      </c>
      <c r="CB13" t="n">
        <v>0</v>
      </c>
      <c r="CC13" t="n">
        <v>0</v>
      </c>
      <c r="CD13" t="inlineStr">
        <is>
          <t>menthol; unclassified</t>
        </is>
      </c>
      <c r="CE13" t="inlineStr">
        <is>
          <t>Pass 13 rescored after herb-name normalization and real top-herb compound sweep</t>
        </is>
      </c>
      <c r="CF13" t="inlineStr">
        <is>
          <t>General</t>
        </is>
      </c>
      <c r="CH13" s="68" t="inlineStr">
        <is>
          <t>Start with low single-herb exposure and increase only if tolerated</t>
        </is>
      </c>
      <c r="CI13" s="68" t="inlineStr">
        <is>
          <t>Prefer conservative use and avoid default inclusion in liver-sensitive audiences.</t>
        </is>
      </c>
      <c r="CJ13" s="68" t="inlineStr">
        <is>
          <t>hepatic-caution</t>
        </is>
      </c>
      <c r="CK13" s="68" t="str"/>
      <c r="CL13" s="68" t="inlineStr">
        <is>
          <t>Baseline</t>
        </is>
      </c>
      <c r="CM13" s="68" t="inlineStr">
        <is>
          <t>No</t>
        </is>
      </c>
      <c r="CN13" s="68" t="str"/>
      <c r="CO13" s="68" t="inlineStr">
        <is>
          <t>Pass 21 herb-level safety and dose framing</t>
        </is>
      </c>
      <c r="CP13" t="inlineStr">
        <is>
          <t>Moderate</t>
        </is>
      </c>
      <c r="CQ13" t="inlineStr">
        <is>
          <t>No</t>
        </is>
      </c>
      <c r="CS13" t="inlineStr">
        <is>
          <t>Pass 22 refined safety rule severity and reduced broad keyword over-flagging</t>
        </is>
      </c>
      <c r="CT13" t="inlineStr">
        <is>
          <t>General</t>
        </is>
      </c>
      <c r="CU13" t="inlineStr">
        <is>
          <t>digestive support; smooth muscle relaxation</t>
        </is>
      </c>
      <c r="CV13" t="inlineStr">
        <is>
          <t>Unknown</t>
        </is>
      </c>
      <c r="CW13" t="inlineStr">
        <is>
          <t>Pass 26 normalization: categories, mechanisms, evidence tiers</t>
        </is>
      </c>
      <c r="CX13" t="inlineStr">
        <is>
          <t>Mapped + curated</t>
        </is>
      </c>
      <c r="CY13" t="inlineStr">
        <is>
          <t>Menthol is generally regarded as safe. Enteric‑coated peppermint oil is well tolerated; the most common adverse effects reported in clinical trials are heartburn, nausea, abdominal pain and dry mouth【220193048567304†L45-L53】. High doses of minor constituents such as pulegone or menthofuran can cause hepatotoxicity in animals, but typical medicinal doses contain negligible amounts and no cases of human hepatotoxicity have been reported【271856535371736†L1296-L1354】. Peppermint oil should not be applied near the faces of infants or young children because menthol inhalation can cause serious adverse reactions【220193048567304†L45-L53】.</t>
        </is>
      </c>
      <c r="CZ13" t="inlineStr">
        <is>
          <t>Peppermint oil may inhibit cytochrome P450 enzymes (e.g., CYP2A6 and UGT2B7) and could theoretically interact with drugs metabolised by these pathways</t>
        </is>
      </c>
      <c r="DA13" t="inlineStr">
        <is>
          <t>Avoid in infants and young children, and in people with gastro‑oesophageal reflux disease or bile duct obstruction. Use cautiously in those taking hepatotoxic drugs due to potential pulegone/menthofuran toxicity</t>
        </is>
      </c>
      <c r="DB13" t="inlineStr">
        <is>
          <t>Pass 28 normalized evidence and safety-related free text</t>
        </is>
      </c>
      <c r="DD13" t="inlineStr">
        <is>
          <t>No standardized dose established; use conservative, product-dependent ranges.</t>
        </is>
      </c>
      <c r="DE13" t="inlineStr">
        <is>
          <t>Leaves and flowering tops are used fresh or dried to make teas and flavourings. Medicinal products include enteric‑coated capsules of peppermint oil and topical preparations.</t>
        </is>
      </c>
      <c r="DF13" t="inlineStr">
        <is>
          <t>Quality varies by extraction method, standardization, and contamination risk.</t>
        </is>
      </c>
      <c r="DG13" t="inlineStr">
        <is>
          <t>Low</t>
        </is>
      </c>
      <c r="DH13" t="inlineStr">
        <is>
          <t>Pass 29 completeness repair</t>
        </is>
      </c>
      <c r="DI13" t="n">
        <v>9</v>
      </c>
      <c r="DJ13" t="inlineStr">
        <is>
          <t>General</t>
        </is>
      </c>
      <c r="DL13" t="inlineStr">
        <is>
          <t>Agarikon; Ajwain; Angelica Root; Artichoke; Ashoka</t>
        </is>
      </c>
      <c r="DM13" t="inlineStr">
        <is>
          <t>Pass 31 relationship intelligence: density, cluster, anchor class, nearest herbs</t>
        </is>
      </c>
      <c r="DN13" t="inlineStr">
        <is>
          <t>Garlic; Ginger</t>
        </is>
      </c>
      <c r="DO13" t="inlineStr">
        <is>
          <t>Garlic (1 shared pathways) | Ginger (1 shared pathways)</t>
        </is>
      </c>
      <c r="DP13" t="inlineStr">
        <is>
          <t>Generalist</t>
        </is>
      </c>
      <c r="DQ13" t="inlineStr">
        <is>
          <t>Pass 32 substitute engine + cluster cleanup</t>
        </is>
      </c>
      <c r="DT13" t="inlineStr">
        <is>
          <t>similarity-backed</t>
        </is>
      </c>
      <c r="DU13" t="inlineStr">
        <is>
          <t>Optional</t>
        </is>
      </c>
      <c r="DV13" t="inlineStr">
        <is>
          <t>Pass 33 fallback replacement engine</t>
        </is>
      </c>
      <c r="DY13" t="inlineStr">
        <is>
          <t>Pass 35 expanded fallback pool with second-pass candidate exploration</t>
        </is>
      </c>
      <c r="EA13" t="inlineStr">
        <is>
          <t>General</t>
        </is>
      </c>
      <c r="EB13" t="inlineStr">
        <is>
          <t>unclassified</t>
        </is>
      </c>
      <c r="EC13" t="inlineStr">
        <is>
          <t>Medium</t>
        </is>
      </c>
      <c r="ED13" t="inlineStr">
        <is>
          <t>Pass 40 reinforced weak-category herb data</t>
        </is>
      </c>
      <c r="EG13" t="n">
        <v>0</v>
      </c>
      <c r="EH13" t="n">
        <v>0</v>
      </c>
      <c r="EI13" t="n">
        <v>0</v>
      </c>
      <c r="EJ13" t="n">
        <v>0</v>
      </c>
      <c r="EK13" t="n">
        <v>0</v>
      </c>
      <c r="EL13" t="n">
        <v>0</v>
      </c>
      <c r="EN13" t="inlineStr">
        <is>
          <t>Pass 48 rolled compound scores into herb-level scoring</t>
        </is>
      </c>
    </row>
    <row r="14">
      <c r="A14" s="68" t="inlineStr">
        <is>
          <t>Rhodiola Rosea</t>
        </is>
      </c>
      <c r="B14" s="68" t="inlineStr">
        <is>
          <t>rhodiola-rosea</t>
        </is>
      </c>
      <c r="C14" s="68" t="inlineStr">
        <is>
          <t>Rhodiola rosea</t>
        </is>
      </c>
      <c r="D14" s="68" t="inlineStr">
        <is>
          <t>herb</t>
        </is>
      </c>
      <c r="E14" s="68" t="inlineStr">
        <is>
          <t>adaptogenic root</t>
        </is>
      </c>
      <c r="F14" s="68" t="inlineStr">
        <is>
          <t>root</t>
        </is>
      </c>
      <c r="G14" s="68" t="n"/>
      <c r="H14" s="68" t="inlineStr">
        <is>
          <t>Europe, Asia (cold regions)</t>
        </is>
      </c>
      <c r="I14" s="68" t="inlineStr">
        <is>
          <t>Rhodiola Rosea (Rhodiola rosea) is a adaptogenic root monograph focused on the root used in herbal preparations. It is associated with Europe, Asia (cold regions). Adaptogen; modulates HPA axis; influences serotonin, dopamine, norepinephrine; antioxidant. Generally well tolerated; possible dizziness, dry mouth, insomnia.</t>
        </is>
      </c>
      <c r="J14" s="68" t="inlineStr">
        <is>
          <t>Rhodiola Rosea is represented here as a monograph-style entry centered on the root. Key reported compounds include rosavin; rosarin; rosin; salidroside; tyrosol. Typical preparation forms: Standardized root extracts. Adaptogen; modulates HPA axis; influences serotonin, dopamine, norepinephrine; antioxidant. Interaction profile: SSRIs, MAOIs, stimulants. Use caution or avoid in: Bipolar disorder; avoid high doses before sleep.</t>
        </is>
      </c>
      <c r="K14" s="68" t="inlineStr">
        <is>
          <t>rosavin; rosarin; rosin; salidroside; tyrosol</t>
        </is>
      </c>
      <c r="L14" s="68" t="inlineStr">
        <is>
          <t>rosavins; salidroside</t>
        </is>
      </c>
      <c r="M14" s="68" t="inlineStr">
        <is>
          <t>Adaptogen; modulates HPA axis; influences serotonin, dopamine, norepinephrine; antioxidant</t>
        </is>
      </c>
      <c r="N14" s="68" t="inlineStr">
        <is>
          <t>adaptogen; serotonergic; dopaminergic; antioxidant</t>
        </is>
      </c>
      <c r="O14" s="68" t="inlineStr">
        <is>
          <t>preclinical + limited human</t>
        </is>
      </c>
      <c r="P14" s="68" t="inlineStr">
        <is>
          <t>Generally well tolerated; possible dizziness, dry mouth, insomnia</t>
        </is>
      </c>
      <c r="Q14" s="68" t="inlineStr">
        <is>
          <t>SSRIs, MAOIs, stimulants</t>
        </is>
      </c>
      <c r="R14" s="68" t="inlineStr">
        <is>
          <t>Bipolar disorder; avoid high doses before sleep</t>
        </is>
      </c>
      <c r="S14" s="68" t="inlineStr">
        <is>
          <t>Standardized root extracts</t>
        </is>
      </c>
      <c r="T14" s="68" t="n"/>
      <c r="U14" s="68" t="inlineStr">
        <is>
          <t>Typically 3% rosavins, 1% salidroside</t>
        </is>
      </c>
      <c r="V14" s="68" t="n"/>
      <c r="W14" s="68" t="inlineStr">
        <is>
          <t>Medium</t>
        </is>
      </c>
      <c r="X14" s="68" t="inlineStr">
        <is>
          <t>validated</t>
        </is>
      </c>
      <c r="Y14" s="68" t="inlineStr">
        <is>
          <t>NCCIH; PubMed adaptogen reviews</t>
        </is>
      </c>
      <c r="Z14" s="68" t="inlineStr">
        <is>
          <t>present</t>
        </is>
      </c>
      <c r="AA14" s="68" t="inlineStr">
        <is>
          <t>NCCIH; PubMed/PMC</t>
        </is>
      </c>
      <c r="AB14" s="68" t="inlineStr">
        <is>
          <t>NCCIH; PubMed adaptogen reviews</t>
        </is>
      </c>
      <c r="AC14" s="68" t="inlineStr">
        <is>
          <t>NCCIH; PubMed adaptogen reviews</t>
        </is>
      </c>
      <c r="AD14" s="68" t="inlineStr">
        <is>
          <t>NCCIH; PubMed adaptogen reviews</t>
        </is>
      </c>
      <c r="AE14" s="68" t="inlineStr">
        <is>
          <t>NCCIH; PubMed adaptogen reviews</t>
        </is>
      </c>
      <c r="AF14" s="68" t="inlineStr">
        <is>
          <t>Carried forward from batch CSV; needs source-linked monograph expansion.</t>
        </is>
      </c>
      <c r="AG14" s="68" t="n">
        <v>2</v>
      </c>
      <c r="AH14" s="68" t="n">
        <v>3</v>
      </c>
      <c r="AI14" s="68" t="n">
        <v>3</v>
      </c>
      <c r="AJ14" s="68" t="n">
        <v>8</v>
      </c>
      <c r="AK14" s="68" t="inlineStr">
        <is>
          <t>Medium</t>
        </is>
      </c>
      <c r="AL14" s="68" t="inlineStr">
        <is>
          <t>Missing</t>
        </is>
      </c>
      <c r="AM14" s="68" t="inlineStr">
        <is>
          <t>Linked primary/secondary</t>
        </is>
      </c>
      <c r="AN14" s="68" t="n">
        <v>0.9285714285714286</v>
      </c>
      <c r="AO14" s="68" t="inlineStr">
        <is>
          <t>Ready</t>
        </is>
      </c>
      <c r="AP14" s="68" t="inlineStr">
        <is>
          <t>Editorial</t>
        </is>
      </c>
      <c r="AQ14" s="68" t="n"/>
      <c r="AR14" s="68" t="inlineStr">
        <is>
          <t>Ready for QA</t>
        </is>
      </c>
      <c r="AS14" s="68" t="inlineStr">
        <is>
          <t>Not started</t>
        </is>
      </c>
      <c r="AT14" s="68" t="inlineStr">
        <is>
          <t>Yes</t>
        </is>
      </c>
      <c r="AU14" s="68" t="inlineStr">
        <is>
          <t>Yes</t>
        </is>
      </c>
      <c r="AV14" s="68" t="inlineStr">
        <is>
          <t>Yes</t>
        </is>
      </c>
      <c r="AW14" s="68" t="n"/>
      <c r="AX14" s="68" t="n">
        <v>1</v>
      </c>
      <c r="AY14" s="68" t="n"/>
      <c r="AZ14" s="68" t="n"/>
      <c r="BA14" s="68" t="n"/>
      <c r="BB14" s="68" t="n"/>
      <c r="BC14" s="68" t="n"/>
      <c r="BD14" s="68" t="n"/>
      <c r="BE14" s="68" t="inlineStr">
        <is>
          <t>2026-04-10</t>
        </is>
      </c>
      <c r="BF14" s="68" t="inlineStr">
        <is>
          <t>Metadata normalized from internal workbook links</t>
        </is>
      </c>
      <c r="BG14" s="68" t="inlineStr">
        <is>
          <t>rhodiola-rosea|2026-04-10</t>
        </is>
      </c>
      <c r="BH14" s="68" t="inlineStr">
        <is>
          <t>2026-04-10:auto-normalized</t>
        </is>
      </c>
      <c r="BI14" t="inlineStr">
        <is>
          <t>rhodiola-rosea</t>
        </is>
      </c>
      <c r="BJ14" t="inlineStr">
        <is>
          <t>Rhodiola Rosea</t>
        </is>
      </c>
      <c r="BK14" t="n">
        <v>1</v>
      </c>
      <c r="BL14" t="n">
        <v>1</v>
      </c>
      <c r="BM14" t="n">
        <v>3</v>
      </c>
      <c r="BN14" t="n">
        <v>7</v>
      </c>
      <c r="BO14" t="n">
        <v>100</v>
      </c>
      <c r="BP14" t="n">
        <v>8</v>
      </c>
      <c r="BQ14" t="n">
        <v>10</v>
      </c>
      <c r="BR14" t="n">
        <v>5</v>
      </c>
      <c r="BS14" t="inlineStr">
        <is>
          <t>Tier 1</t>
        </is>
      </c>
      <c r="BT14" t="n">
        <v>5</v>
      </c>
      <c r="BU14" t="inlineStr">
        <is>
          <t>FALSE</t>
        </is>
      </c>
      <c r="BV14" t="inlineStr">
        <is>
          <t>rhodiola-rosea</t>
        </is>
      </c>
      <c r="BW14" t="inlineStr">
        <is>
          <t>TRUE</t>
        </is>
      </c>
      <c r="BX14" t="inlineStr">
        <is>
          <t>Pass 10 refreshed scoring from 1 mapped compounds | Pass 13 rescored from 1 mapped compounds</t>
        </is>
      </c>
      <c r="BY14" t="inlineStr">
        <is>
          <t>unclassified</t>
        </is>
      </c>
      <c r="CA14" t="n">
        <v>2</v>
      </c>
      <c r="CB14" t="n">
        <v>0</v>
      </c>
      <c r="CC14" t="n">
        <v>0</v>
      </c>
      <c r="CD14" t="inlineStr">
        <is>
          <t>rosavin; unclassified</t>
        </is>
      </c>
      <c r="CE14" t="inlineStr">
        <is>
          <t>Pass 13 rescored after herb-name normalization and real top-herb compound sweep</t>
        </is>
      </c>
      <c r="CF14" t="inlineStr">
        <is>
          <t>General</t>
        </is>
      </c>
      <c r="CH14" s="68" t="inlineStr">
        <is>
          <t>Start low; usually evening or split use</t>
        </is>
      </c>
      <c r="CI14" s="68" t="inlineStr">
        <is>
          <t>Prefer evening or split dosing; avoid stacking with other sedative-heavy products by default.</t>
        </is>
      </c>
      <c r="CJ14" s="68" t="inlineStr">
        <is>
          <t>monoamine-neuro; sedation-cns</t>
        </is>
      </c>
      <c r="CK14" s="68" t="str"/>
      <c r="CL14" s="68" t="inlineStr">
        <is>
          <t>Moderate</t>
        </is>
      </c>
      <c r="CM14" s="68" t="inlineStr">
        <is>
          <t>No</t>
        </is>
      </c>
      <c r="CN14" s="68" t="str"/>
      <c r="CO14" s="68" t="inlineStr">
        <is>
          <t>Pass 21 herb-level safety and dose framing</t>
        </is>
      </c>
      <c r="CP14" t="inlineStr">
        <is>
          <t>Moderate</t>
        </is>
      </c>
      <c r="CQ14" t="inlineStr">
        <is>
          <t>No</t>
        </is>
      </c>
      <c r="CS14" t="inlineStr">
        <is>
          <t>Pass 22 refined safety rule severity and reduced broad keyword over-flagging</t>
        </is>
      </c>
      <c r="CT14" t="inlineStr">
        <is>
          <t>Stress</t>
        </is>
      </c>
      <c r="CU14" t="inlineStr">
        <is>
          <t>adaptogen; antioxidant; dopaminergic; serotonergic</t>
        </is>
      </c>
      <c r="CV14" t="inlineStr">
        <is>
          <t>Human</t>
        </is>
      </c>
      <c r="CW14" t="inlineStr">
        <is>
          <t>Pass 26 normalization: categories, mechanisms, evidence tiers</t>
        </is>
      </c>
      <c r="CX14" t="inlineStr">
        <is>
          <t>Human + preclinical</t>
        </is>
      </c>
      <c r="CY14" t="inlineStr">
        <is>
          <t>Generally well tolerated; possible dizziness, dry mouth, insomnia</t>
        </is>
      </c>
      <c r="CZ14" t="inlineStr">
        <is>
          <t>SSRIs, MAOIs, stimulants</t>
        </is>
      </c>
      <c r="DA14" t="inlineStr">
        <is>
          <t>Bipolar disorder; Avoid high doses before sleep</t>
        </is>
      </c>
      <c r="DB14" t="inlineStr">
        <is>
          <t>Pass 28 normalized evidence and safety-related free text</t>
        </is>
      </c>
      <c r="DD14" t="inlineStr">
        <is>
          <t>No standardized dose established; use conservative, product-dependent ranges.</t>
        </is>
      </c>
      <c r="DE14" t="inlineStr">
        <is>
          <t>Standardized root extracts</t>
        </is>
      </c>
      <c r="DF14" t="inlineStr">
        <is>
          <t>Quality varies by extraction method, standardization, and contamination risk.</t>
        </is>
      </c>
      <c r="DG14" t="inlineStr">
        <is>
          <t>Moderate to high</t>
        </is>
      </c>
      <c r="DH14" t="inlineStr">
        <is>
          <t>Pass 29 completeness repair</t>
        </is>
      </c>
      <c r="DI14" t="n">
        <v>9</v>
      </c>
      <c r="DJ14" t="inlineStr">
        <is>
          <t>Adaptogenic</t>
        </is>
      </c>
      <c r="DK14" t="inlineStr">
        <is>
          <t>rosavin</t>
        </is>
      </c>
      <c r="DL14" t="inlineStr">
        <is>
          <t>Holy Basil; Holy Basil Purple; Maca; Maral Root; Rhodiola</t>
        </is>
      </c>
      <c r="DM14" t="inlineStr">
        <is>
          <t>Pass 31 relationship intelligence: density, cluster, anchor class, nearest herbs</t>
        </is>
      </c>
      <c r="DN14" t="inlineStr">
        <is>
          <t>Holy Basil</t>
        </is>
      </c>
      <c r="DO14" t="inlineStr">
        <is>
          <t>Holy Basil (1 shared pathways)</t>
        </is>
      </c>
      <c r="DP14" t="inlineStr">
        <is>
          <t>Stress / Adaptogenic</t>
        </is>
      </c>
      <c r="DQ14" t="inlineStr">
        <is>
          <t>Pass 32 substitute engine + cluster cleanup</t>
        </is>
      </c>
      <c r="DR14" t="inlineStr">
        <is>
          <t>Holy Basil</t>
        </is>
      </c>
      <c r="DT14" t="inlineStr">
        <is>
          <t>same cluster; similarity-backed</t>
        </is>
      </c>
      <c r="DU14" t="inlineStr">
        <is>
          <t>Optional</t>
        </is>
      </c>
      <c r="DV14" t="inlineStr">
        <is>
          <t>Pass 33 fallback replacement engine</t>
        </is>
      </c>
      <c r="DW14" t="inlineStr">
        <is>
          <t>Maral Root</t>
        </is>
      </c>
      <c r="DX14" t="inlineStr">
        <is>
          <t>Holy Basil Purple; Maca; Maral Root; Rhodiola; Holy Basil</t>
        </is>
      </c>
      <c r="DY14" t="inlineStr">
        <is>
          <t>Pass 35 expanded fallback pool with second-pass candidate exploration</t>
        </is>
      </c>
      <c r="EA14" t="inlineStr">
        <is>
          <t>Stress</t>
        </is>
      </c>
      <c r="EB14" t="inlineStr">
        <is>
          <t>unclassified</t>
        </is>
      </c>
      <c r="EC14" t="inlineStr">
        <is>
          <t>Medium</t>
        </is>
      </c>
      <c r="ED14" t="inlineStr">
        <is>
          <t>Pass 40 reinforced weak-category herb data</t>
        </is>
      </c>
      <c r="EG14" t="n">
        <v>8</v>
      </c>
      <c r="EH14" t="n">
        <v>8</v>
      </c>
      <c r="EI14" t="n">
        <v>0</v>
      </c>
      <c r="EJ14" t="n">
        <v>1</v>
      </c>
      <c r="EK14" t="n">
        <v>26</v>
      </c>
      <c r="EL14" t="n">
        <v>21</v>
      </c>
      <c r="EM14" t="inlineStr">
        <is>
          <t>Rosavin</t>
        </is>
      </c>
      <c r="EN14" t="inlineStr">
        <is>
          <t>Pass 48 rolled compound scores into herb-level scoring</t>
        </is>
      </c>
    </row>
    <row r="15">
      <c r="A15" s="68" t="inlineStr">
        <is>
          <t>Saw Palmetto</t>
        </is>
      </c>
      <c r="B15" s="68" t="inlineStr">
        <is>
          <t>saw-palmetto</t>
        </is>
      </c>
      <c r="C15" s="68" t="inlineStr">
        <is>
          <t>Serenoa repens</t>
        </is>
      </c>
      <c r="D15" s="68" t="inlineStr">
        <is>
          <t>herb</t>
        </is>
      </c>
      <c r="E15" s="68" t="inlineStr">
        <is>
          <t>berry extract</t>
        </is>
      </c>
      <c r="F15" s="68" t="inlineStr">
        <is>
          <t>berry</t>
        </is>
      </c>
      <c r="G15" s="68" t="n"/>
      <c r="H15" s="68" t="inlineStr">
        <is>
          <t>Southeastern United States</t>
        </is>
      </c>
      <c r="I15" s="68" t="inlineStr">
        <is>
          <t>Saw Palmetto (Serenoa repens) is a berry extract monograph focused on the berry used in herbal preparations. It is associated with Southeastern United States. 5-alpha-reductase inhibition; anti-androgenic effects. Generally safe; mild GI upset, headache.</t>
        </is>
      </c>
      <c r="J15" s="68" t="inlineStr">
        <is>
          <t>Saw Palmetto is represented here as a monograph-style entry centered on the berry. Key reported compounds include fatty acids; phytosterols (beta-sitosterol). Typical preparation forms: Berry extracts. 5-alpha-reductase inhibition; anti-androgenic effects. Interaction profile: Hormonal therapies, anticoagulants. Use caution or avoid in: Pregnancy.</t>
        </is>
      </c>
      <c r="K15" s="68" t="inlineStr">
        <is>
          <t>fatty acids; phytosterols (beta-sitosterol)</t>
        </is>
      </c>
      <c r="L15" s="68" t="inlineStr">
        <is>
          <t>fatty acids; beta-sitosterol</t>
        </is>
      </c>
      <c r="M15" s="68" t="inlineStr">
        <is>
          <t>5-alpha-reductase inhibition; anti-androgenic effects</t>
        </is>
      </c>
      <c r="N15" s="68" t="inlineStr">
        <is>
          <t>hormonal; anti-androgenic</t>
        </is>
      </c>
      <c r="O15" s="68" t="inlineStr">
        <is>
          <t>preclinical + limited human</t>
        </is>
      </c>
      <c r="P15" s="68" t="inlineStr">
        <is>
          <t>Generally safe; mild GI upset, headache</t>
        </is>
      </c>
      <c r="Q15" s="68" t="inlineStr">
        <is>
          <t>Hormonal therapies, anticoagulants</t>
        </is>
      </c>
      <c r="R15" s="68" t="inlineStr">
        <is>
          <t>Pregnancy</t>
        </is>
      </c>
      <c r="S15" s="68" t="inlineStr">
        <is>
          <t>Berry extracts</t>
        </is>
      </c>
      <c r="T15" s="68" t="n"/>
      <c r="U15" s="68" t="inlineStr">
        <is>
          <t>Standardized to fatty acid content</t>
        </is>
      </c>
      <c r="V15" s="68" t="n"/>
      <c r="W15" s="68" t="inlineStr">
        <is>
          <t>Medium</t>
        </is>
      </c>
      <c r="X15" s="68" t="inlineStr">
        <is>
          <t>validated</t>
        </is>
      </c>
      <c r="Y15" s="68" t="inlineStr">
        <is>
          <t>NIH ODS; EMA</t>
        </is>
      </c>
      <c r="Z15" s="68" t="inlineStr">
        <is>
          <t>present</t>
        </is>
      </c>
      <c r="AA15" s="68" t="inlineStr">
        <is>
          <t>NIH/ODS; EMA</t>
        </is>
      </c>
      <c r="AB15" s="68" t="inlineStr">
        <is>
          <t>NIH ODS; EMA</t>
        </is>
      </c>
      <c r="AC15" s="68" t="inlineStr">
        <is>
          <t>NIH ODS; EMA</t>
        </is>
      </c>
      <c r="AD15" s="68" t="inlineStr">
        <is>
          <t>NIH ODS; EMA</t>
        </is>
      </c>
      <c r="AE15" s="68" t="inlineStr">
        <is>
          <t>NIH ODS; EMA</t>
        </is>
      </c>
      <c r="AF15" s="68" t="inlineStr">
        <is>
          <t>Carried forward from batch CSV; needs source-linked monograph expansion.</t>
        </is>
      </c>
      <c r="AG15" s="68" t="n">
        <v>2</v>
      </c>
      <c r="AH15" s="68" t="n">
        <v>3</v>
      </c>
      <c r="AI15" s="68" t="n">
        <v>3</v>
      </c>
      <c r="AJ15" s="68" t="n">
        <v>8</v>
      </c>
      <c r="AK15" s="68" t="inlineStr">
        <is>
          <t>Medium</t>
        </is>
      </c>
      <c r="AL15" s="68" t="inlineStr">
        <is>
          <t>Missing</t>
        </is>
      </c>
      <c r="AM15" s="68" t="inlineStr">
        <is>
          <t>Linked primary/secondary</t>
        </is>
      </c>
      <c r="AN15" s="68" t="n">
        <v>0.9285714285714286</v>
      </c>
      <c r="AO15" s="68" t="inlineStr">
        <is>
          <t>Ready</t>
        </is>
      </c>
      <c r="AP15" s="68" t="inlineStr">
        <is>
          <t>Editorial</t>
        </is>
      </c>
      <c r="AQ15" s="68" t="n"/>
      <c r="AR15" s="68" t="inlineStr">
        <is>
          <t>Ready for QA</t>
        </is>
      </c>
      <c r="AS15" s="68" t="inlineStr">
        <is>
          <t>Not started</t>
        </is>
      </c>
      <c r="AT15" s="68" t="inlineStr">
        <is>
          <t>Yes</t>
        </is>
      </c>
      <c r="AU15" s="68" t="inlineStr">
        <is>
          <t>Yes</t>
        </is>
      </c>
      <c r="AV15" s="68" t="inlineStr">
        <is>
          <t>Yes</t>
        </is>
      </c>
      <c r="AW15" s="68" t="n"/>
      <c r="AX15" s="68" t="n">
        <v>1</v>
      </c>
      <c r="AY15" s="68" t="n"/>
      <c r="AZ15" s="68" t="n"/>
      <c r="BA15" s="68" t="n"/>
      <c r="BB15" s="68" t="n"/>
      <c r="BC15" s="68" t="n"/>
      <c r="BD15" s="68" t="n"/>
      <c r="BE15" s="68" t="inlineStr">
        <is>
          <t>2026-04-10</t>
        </is>
      </c>
      <c r="BF15" s="68" t="inlineStr">
        <is>
          <t>Metadata normalized from internal workbook links</t>
        </is>
      </c>
      <c r="BG15" s="68" t="inlineStr">
        <is>
          <t>saw-palmetto|2026-04-10</t>
        </is>
      </c>
      <c r="BH15" s="68" t="inlineStr">
        <is>
          <t>2026-04-10:auto-normalized</t>
        </is>
      </c>
      <c r="BI15" t="inlineStr">
        <is>
          <t>saw-palmetto</t>
        </is>
      </c>
      <c r="BJ15" t="inlineStr">
        <is>
          <t>Saw Palmetto</t>
        </is>
      </c>
      <c r="BK15" t="n">
        <v>1</v>
      </c>
      <c r="BL15" t="n">
        <v>0</v>
      </c>
      <c r="BM15" t="n">
        <v>3</v>
      </c>
      <c r="BN15" t="n">
        <v>3</v>
      </c>
      <c r="BO15" t="n">
        <v>100</v>
      </c>
      <c r="BP15" t="n">
        <v>8</v>
      </c>
      <c r="BQ15" t="n">
        <v>0</v>
      </c>
      <c r="BR15" t="n">
        <v>5</v>
      </c>
      <c r="BS15" t="inlineStr">
        <is>
          <t>Tier 4</t>
        </is>
      </c>
      <c r="BT15" t="n">
        <v>3</v>
      </c>
      <c r="BU15" t="inlineStr">
        <is>
          <t>FALSE</t>
        </is>
      </c>
      <c r="BV15" t="inlineStr">
        <is>
          <t>saw-palmetto</t>
        </is>
      </c>
      <c r="BW15" t="inlineStr">
        <is>
          <t>TRUE</t>
        </is>
      </c>
      <c r="BX15" t="inlineStr">
        <is>
          <t>Pass 10 refreshed scoring from 1 mapped compounds | Pass 13 rescored from 1 mapped compounds</t>
        </is>
      </c>
      <c r="CA15" t="n">
        <v>2</v>
      </c>
      <c r="CB15" t="n">
        <v>0</v>
      </c>
      <c r="CC15" t="n">
        <v>0</v>
      </c>
      <c r="CE15" t="inlineStr">
        <is>
          <t>Pass 13 rescored after herb-name normalization and real top-herb compound sweep</t>
        </is>
      </c>
      <c r="CF15" t="inlineStr">
        <is>
          <t>General</t>
        </is>
      </c>
      <c r="CH15" s="68" t="inlineStr">
        <is>
          <t>Start with low single-herb exposure and increase only if tolerated</t>
        </is>
      </c>
      <c r="CI15" s="68" t="inlineStr">
        <is>
          <t>Keep conservative around surgery, anticoagulants, or antiplatelet use.</t>
        </is>
      </c>
      <c r="CJ15" s="68" t="inlineStr">
        <is>
          <t>bleeding-risk; pregnancy; thyroid-hormonal</t>
        </is>
      </c>
      <c r="CK15" s="68" t="inlineStr">
        <is>
          <t>pregnancy</t>
        </is>
      </c>
      <c r="CL15" s="68" t="inlineStr">
        <is>
          <t>Moderate</t>
        </is>
      </c>
      <c r="CM15" s="68" t="inlineStr">
        <is>
          <t>No</t>
        </is>
      </c>
      <c r="CN15" s="68" t="str"/>
      <c r="CO15" s="68" t="inlineStr">
        <is>
          <t>Pass 21 herb-level safety and dose framing</t>
        </is>
      </c>
      <c r="CP15" t="inlineStr">
        <is>
          <t>Moderate</t>
        </is>
      </c>
      <c r="CQ15" t="inlineStr">
        <is>
          <t>No</t>
        </is>
      </c>
      <c r="CS15" t="inlineStr">
        <is>
          <t>Pass 22 refined safety rule severity and reduced broad keyword over-flagging</t>
        </is>
      </c>
      <c r="CT15" t="inlineStr">
        <is>
          <t>General</t>
        </is>
      </c>
      <c r="CU15" t="inlineStr">
        <is>
          <t>anti-androgenic; hormonal</t>
        </is>
      </c>
      <c r="CV15" t="inlineStr">
        <is>
          <t>Human</t>
        </is>
      </c>
      <c r="CW15" t="inlineStr">
        <is>
          <t>Pass 26 normalization: categories, mechanisms, evidence tiers</t>
        </is>
      </c>
      <c r="CX15" t="inlineStr">
        <is>
          <t>Human + preclinical</t>
        </is>
      </c>
      <c r="CY15" t="inlineStr">
        <is>
          <t>Generally safe; mild GI upset, headache</t>
        </is>
      </c>
      <c r="CZ15" t="inlineStr">
        <is>
          <t>Hormonal therapies, anticoagulants</t>
        </is>
      </c>
      <c r="DA15" t="inlineStr">
        <is>
          <t>Pregnancy</t>
        </is>
      </c>
      <c r="DB15" t="inlineStr">
        <is>
          <t>Pass 28 normalized evidence and safety-related free text</t>
        </is>
      </c>
      <c r="DD15" t="inlineStr">
        <is>
          <t>No standardized dose established; use conservative, product-dependent ranges.</t>
        </is>
      </c>
      <c r="DE15" t="inlineStr">
        <is>
          <t>Berry extracts</t>
        </is>
      </c>
      <c r="DF15" t="inlineStr">
        <is>
          <t>Quality varies by extraction method, standardization, and contamination risk.</t>
        </is>
      </c>
      <c r="DG15" t="inlineStr">
        <is>
          <t>Moderate to high</t>
        </is>
      </c>
      <c r="DH15" t="inlineStr">
        <is>
          <t>Pass 29 completeness repair</t>
        </is>
      </c>
      <c r="DI15" t="n">
        <v>6</v>
      </c>
      <c r="DJ15" t="inlineStr">
        <is>
          <t>General</t>
        </is>
      </c>
      <c r="DL15" t="inlineStr">
        <is>
          <t>Acerola; Agarikon; Ajwain; Aloe Vera; American Ginseng</t>
        </is>
      </c>
      <c r="DM15" t="inlineStr">
        <is>
          <t>Pass 31 relationship intelligence: density, cluster, anchor class, nearest herbs</t>
        </is>
      </c>
      <c r="DP15" t="inlineStr">
        <is>
          <t>Generalist</t>
        </is>
      </c>
      <c r="DQ15" t="inlineStr">
        <is>
          <t>Pass 32 substitute engine + cluster cleanup</t>
        </is>
      </c>
      <c r="DT15" t="inlineStr">
        <is>
          <t>no strong safe fallback found</t>
        </is>
      </c>
      <c r="DU15" t="inlineStr">
        <is>
          <t>Optional</t>
        </is>
      </c>
      <c r="DV15" t="inlineStr">
        <is>
          <t>Pass 33 fallback replacement engine</t>
        </is>
      </c>
      <c r="DY15" t="inlineStr">
        <is>
          <t>Pass 35 expanded fallback pool with second-pass candidate exploration</t>
        </is>
      </c>
      <c r="EA15" t="inlineStr">
        <is>
          <t>General</t>
        </is>
      </c>
      <c r="EC15" t="inlineStr">
        <is>
          <t>Medium</t>
        </is>
      </c>
      <c r="ED15" t="inlineStr">
        <is>
          <t>Pass 40 reinforced weak-category herb data</t>
        </is>
      </c>
      <c r="EG15" t="n">
        <v>0</v>
      </c>
      <c r="EH15" t="n">
        <v>0</v>
      </c>
      <c r="EI15" t="n">
        <v>0</v>
      </c>
      <c r="EJ15" t="n">
        <v>0</v>
      </c>
      <c r="EK15" t="n">
        <v>0</v>
      </c>
      <c r="EL15" t="n">
        <v>0</v>
      </c>
      <c r="EN15" t="inlineStr">
        <is>
          <t>Pass 48 rolled compound scores into herb-level scoring</t>
        </is>
      </c>
    </row>
    <row r="16">
      <c r="A16" s="68" t="inlineStr">
        <is>
          <t>St Johns Wort</t>
        </is>
      </c>
      <c r="B16" s="68" t="inlineStr">
        <is>
          <t>st-johns-wort</t>
        </is>
      </c>
      <c r="C16" s="68" t="inlineStr">
        <is>
          <t>Hypericum perforatum</t>
        </is>
      </c>
      <c r="D16" s="68" t="inlineStr">
        <is>
          <t>herb</t>
        </is>
      </c>
      <c r="E16" s="68" t="inlineStr">
        <is>
          <t>herb</t>
        </is>
      </c>
      <c r="F16" s="68" t="inlineStr">
        <is>
          <t>flowering tops</t>
        </is>
      </c>
      <c r="G16" s="68" t="inlineStr">
        <is>
          <t>St. John's wort; Hypericum; goatweed</t>
        </is>
      </c>
      <c r="H16" s="68" t="inlineStr">
        <is>
          <t>Native to Europe and West Asia; naturalized in North America and other temperate regions.</t>
        </is>
      </c>
      <c r="I16" s="68" t="inlineStr">
        <is>
          <t>St. John's wort (Hypericum perforatum) is a herb monograph focused on the flowering tops used in herbal preparations. It is associated with Native to Europe and West Asia; naturalized in North America and other temperate regions. Hyperforin and related compounds inhibit monoamine reuptake and affect TRPC6-linked neuroplasticity; additional monoamine oxidase and stress-pathway effects have been proposed. Can cause photosensitivity, GI upset, dizziness, insomnia, restlessness.</t>
        </is>
      </c>
      <c r="J16" s="68" t="inlineStr">
        <is>
          <t>St. John's wort is represented here as a monograph-style entry centered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K16" s="68" t="inlineStr">
        <is>
          <t>hyperforin; hypericin; pseudohypericin; quercetin; rutin; kaempferol</t>
        </is>
      </c>
      <c r="L16" s="68" t="inlineStr">
        <is>
          <t>hyperforin; hypericin</t>
        </is>
      </c>
      <c r="M16" s="68" t="inlineStr">
        <is>
          <t>Hyperforin and related compounds inhibit monoamine reuptake and affect TRPC6-linked neuroplasticity; additional monoamine oxidase and stress-pathway effects have been proposed.</t>
        </is>
      </c>
      <c r="N16" s="68" t="inlineStr">
        <is>
          <t>serotonergic; dopaminergic</t>
        </is>
      </c>
      <c r="O16" s="68" t="inlineStr">
        <is>
          <t>human + preclinical</t>
        </is>
      </c>
      <c r="P16" s="68" t="inlineStr">
        <is>
          <t>Can cause photosensitivity, GI upset, dizziness, insomnia, restlessness. Strong inducer of CYP3A4 and P-gp.</t>
        </is>
      </c>
      <c r="Q16" s="68" t="inlineStr">
        <is>
          <t>Major interactions with antidepressants, oral contraceptives, cyclosporine, tacrolimus, HIV meds, anticancer drugs, warfarin, digoxin and others.</t>
        </is>
      </c>
      <c r="R16" s="68" t="inlineStr">
        <is>
          <t>Pregnancy, breastfeeding, bipolar disorder, concomitant prescription meds with CYP/P-gp liability.</t>
        </is>
      </c>
      <c r="S16" s="68" t="inlineStr">
        <is>
          <t>Dried flowering tops or standardized extracts.</t>
        </is>
      </c>
      <c r="T16" s="68" t="inlineStr">
        <is>
          <t>300 mg extract three times daily</t>
        </is>
      </c>
      <c r="U16" s="68" t="inlineStr">
        <is>
          <t>Often 0.3% hypericin or 2–5% hyperforin.</t>
        </is>
      </c>
      <c r="V16" s="68" t="n"/>
      <c r="W16" s="68" t="inlineStr">
        <is>
          <t>High</t>
        </is>
      </c>
      <c r="X16" s="68" t="inlineStr">
        <is>
          <t>validated</t>
        </is>
      </c>
      <c r="Y16" s="68" t="inlineStr">
        <is>
          <t>Recovered from prior batch output in this conversation</t>
        </is>
      </c>
      <c r="Z16" s="68" t="inlineStr">
        <is>
          <t>needs-source-normalization</t>
        </is>
      </c>
      <c r="AA16" s="68" t="inlineStr">
        <is>
          <t>conversation-recovered</t>
        </is>
      </c>
      <c r="AB16" s="68" t="inlineStr">
        <is>
          <t>Recovered from prior batch output in this conversation</t>
        </is>
      </c>
      <c r="AC16" s="68" t="inlineStr">
        <is>
          <t>Recovered from prior batch output in this conversation</t>
        </is>
      </c>
      <c r="AD16" s="68" t="inlineStr">
        <is>
          <t>Recovered from prior batch output in this conversation</t>
        </is>
      </c>
      <c r="AE16" s="68" t="inlineStr">
        <is>
          <t>Recovered from prior batch output in this conversation</t>
        </is>
      </c>
      <c r="AF16" s="68" t="inlineStr">
        <is>
          <t>Flag as high-interaction herb.</t>
        </is>
      </c>
      <c r="AG16" s="68" t="n">
        <v>3</v>
      </c>
      <c r="AH16" s="68" t="n">
        <v>3</v>
      </c>
      <c r="AI16" s="68" t="n">
        <v>1</v>
      </c>
      <c r="AJ16" s="68" t="n">
        <v>7</v>
      </c>
      <c r="AK16" s="68" t="inlineStr">
        <is>
          <t>High</t>
        </is>
      </c>
      <c r="AL16" s="68" t="inlineStr">
        <is>
          <t>Present</t>
        </is>
      </c>
      <c r="AM16" s="68" t="inlineStr">
        <is>
          <t>Conversation-recovered</t>
        </is>
      </c>
      <c r="AN16" s="68" t="n">
        <v>1</v>
      </c>
      <c r="AO16" s="68" t="inlineStr">
        <is>
          <t>Near ready</t>
        </is>
      </c>
      <c r="AP16" s="68" t="inlineStr">
        <is>
          <t>Research</t>
        </is>
      </c>
      <c r="AQ16" s="68" t="n"/>
      <c r="AR16" s="68" t="inlineStr">
        <is>
          <t>Source review</t>
        </is>
      </c>
      <c r="AS16" s="68" t="inlineStr">
        <is>
          <t>Not started</t>
        </is>
      </c>
      <c r="AT16" s="68" t="inlineStr">
        <is>
          <t>No</t>
        </is>
      </c>
      <c r="AU16" s="68" t="inlineStr">
        <is>
          <t>No</t>
        </is>
      </c>
      <c r="AV16" s="68" t="inlineStr">
        <is>
          <t>Yes</t>
        </is>
      </c>
      <c r="AW16" s="68" t="inlineStr">
        <is>
          <t>Normalize source record</t>
        </is>
      </c>
      <c r="AX16" s="68" t="n">
        <v>1</v>
      </c>
      <c r="AY16" s="68" t="n"/>
      <c r="AZ16" s="68" t="n"/>
      <c r="BA16" s="68" t="n"/>
      <c r="BB16" s="68" t="n"/>
      <c r="BC16" s="68" t="n"/>
      <c r="BD16" s="68" t="n"/>
      <c r="BE16" s="68" t="inlineStr">
        <is>
          <t>2026-04-10</t>
        </is>
      </c>
      <c r="BF16" s="68" t="inlineStr">
        <is>
          <t>Metadata normalized from internal workbook links</t>
        </is>
      </c>
      <c r="BG16" s="68" t="inlineStr">
        <is>
          <t>st-johns-wort|2026-04-10</t>
        </is>
      </c>
      <c r="BH16" s="68" t="inlineStr">
        <is>
          <t>2026-04-10:auto-normalized</t>
        </is>
      </c>
      <c r="BI16" t="inlineStr">
        <is>
          <t>st-johns-wort</t>
        </is>
      </c>
      <c r="BJ16" t="inlineStr">
        <is>
          <t>St Johns Wort</t>
        </is>
      </c>
      <c r="BK16" t="n">
        <v>1</v>
      </c>
      <c r="BL16" t="n">
        <v>1</v>
      </c>
      <c r="BM16" t="n">
        <v>3</v>
      </c>
      <c r="BN16" t="n">
        <v>7</v>
      </c>
      <c r="BO16" t="n">
        <v>100</v>
      </c>
      <c r="BP16" t="n">
        <v>8</v>
      </c>
      <c r="BQ16" t="n">
        <v>10</v>
      </c>
      <c r="BR16" t="n">
        <v>5</v>
      </c>
      <c r="BS16" t="inlineStr">
        <is>
          <t>Tier 1</t>
        </is>
      </c>
      <c r="BT16" t="n">
        <v>5</v>
      </c>
      <c r="BU16" t="inlineStr">
        <is>
          <t>FALSE</t>
        </is>
      </c>
      <c r="BV16" t="inlineStr">
        <is>
          <t>st-johns-wort</t>
        </is>
      </c>
      <c r="BW16" t="inlineStr">
        <is>
          <t>TRUE</t>
        </is>
      </c>
      <c r="BX16" t="inlineStr">
        <is>
          <t>Pass 10 refreshed scoring from 1 mapped compounds | Pass 13 rescored from 1 mapped compounds</t>
        </is>
      </c>
      <c r="BY16" t="inlineStr">
        <is>
          <t>unclassified</t>
        </is>
      </c>
      <c r="CA16" t="n">
        <v>2</v>
      </c>
      <c r="CB16" t="n">
        <v>0</v>
      </c>
      <c r="CC16" t="n">
        <v>0</v>
      </c>
      <c r="CD16" t="inlineStr">
        <is>
          <t>hyperforin; unclassified</t>
        </is>
      </c>
      <c r="CE16" t="inlineStr">
        <is>
          <t>Pass 13 rescored after herb-name normalization and real top-herb compound sweep</t>
        </is>
      </c>
      <c r="CF16" t="inlineStr">
        <is>
          <t>General</t>
        </is>
      </c>
      <c r="CH16" s="68" t="inlineStr">
        <is>
          <t>Start low; usually daytime use</t>
        </is>
      </c>
      <c r="CI16" s="68" t="inlineStr">
        <is>
          <t>Keep conservative around surgery, anticoagulants, or antiplatelet use.</t>
        </is>
      </c>
      <c r="CJ16" s="68" t="inlineStr">
        <is>
          <t>bleeding-risk; lactation; monoamine-neuro; pregnancy</t>
        </is>
      </c>
      <c r="CK16" s="68" t="inlineStr">
        <is>
          <t>breastfeeding; pregnancy</t>
        </is>
      </c>
      <c r="CL16" s="68" t="inlineStr">
        <is>
          <t>Elevated</t>
        </is>
      </c>
      <c r="CM16" s="68" t="inlineStr">
        <is>
          <t>Review</t>
        </is>
      </c>
      <c r="CN16" s="68" t="inlineStr">
        <is>
          <t>Needs manual safety review before default stack inclusion</t>
        </is>
      </c>
      <c r="CO16" s="68" t="inlineStr">
        <is>
          <t>Pass 21 herb-level safety and dose framing</t>
        </is>
      </c>
      <c r="CP16" t="inlineStr">
        <is>
          <t>Elevated</t>
        </is>
      </c>
      <c r="CQ16" t="inlineStr">
        <is>
          <t>Review</t>
        </is>
      </c>
      <c r="CR16" t="inlineStr">
        <is>
          <t>Needs manual safety review before default stack inclusion</t>
        </is>
      </c>
      <c r="CS16" t="inlineStr">
        <is>
          <t>Pass 22 refined safety rule severity and reduced broad keyword over-flagging</t>
        </is>
      </c>
      <c r="CT16" t="inlineStr">
        <is>
          <t>General</t>
        </is>
      </c>
      <c r="CU16" t="inlineStr">
        <is>
          <t>dopaminergic; serotonergic</t>
        </is>
      </c>
      <c r="CV16" t="inlineStr">
        <is>
          <t>Human</t>
        </is>
      </c>
      <c r="CW16" t="inlineStr">
        <is>
          <t>Pass 26 normalization: categories, mechanisms, evidence tiers</t>
        </is>
      </c>
      <c r="CX16" t="inlineStr">
        <is>
          <t>Human + preclinical</t>
        </is>
      </c>
      <c r="CY16" t="inlineStr">
        <is>
          <t>Can cause photosensitivity, GI upset, dizziness, insomnia, restlessness. Strong inducer of CYP3A4 and P-gp.</t>
        </is>
      </c>
      <c r="CZ16" t="inlineStr">
        <is>
          <t>Major interactions with antidepressants, oral contraceptives, cyclosporine, tacrolimus, HIV meds, anticancer drugs, warfarin, digoxin and others</t>
        </is>
      </c>
      <c r="DA16" t="inlineStr">
        <is>
          <t>Pregnancy, breastfeeding, bipolar disorder, concomitant prescription meds with CYP/P-gp liability</t>
        </is>
      </c>
      <c r="DB16" t="inlineStr">
        <is>
          <t>Pass 28 normalized evidence and safety-related free text</t>
        </is>
      </c>
      <c r="DD16" t="inlineStr">
        <is>
          <t>300 mg extract three times daily</t>
        </is>
      </c>
      <c r="DE16" t="inlineStr">
        <is>
          <t>Dried flowering tops or standardized extracts.</t>
        </is>
      </c>
      <c r="DF16" t="inlineStr">
        <is>
          <t>Quality varies by extraction method, standardization, and contamination risk.</t>
        </is>
      </c>
      <c r="DG16" t="inlineStr">
        <is>
          <t>Moderate to high</t>
        </is>
      </c>
      <c r="DH16" t="inlineStr">
        <is>
          <t>Pass 29 completeness repair</t>
        </is>
      </c>
      <c r="DI16" t="n">
        <v>9</v>
      </c>
      <c r="DJ16" t="inlineStr">
        <is>
          <t>General</t>
        </is>
      </c>
      <c r="DK16" t="inlineStr">
        <is>
          <t>hyperforin</t>
        </is>
      </c>
      <c r="DL16" t="inlineStr">
        <is>
          <t>Agarikon; Ajwain; Angelica Root; Artichoke; Ashoka</t>
        </is>
      </c>
      <c r="DM16" t="inlineStr">
        <is>
          <t>Pass 31 relationship intelligence: density, cluster, anchor class, nearest herbs</t>
        </is>
      </c>
      <c r="DN16" t="inlineStr">
        <is>
          <t>Garlic; Ginger</t>
        </is>
      </c>
      <c r="DO16" t="inlineStr">
        <is>
          <t>Garlic (1 shared pathways) | Ginger (1 shared pathways)</t>
        </is>
      </c>
      <c r="DP16" t="inlineStr">
        <is>
          <t>Generalist</t>
        </is>
      </c>
      <c r="DQ16" t="inlineStr">
        <is>
          <t>Pass 32 substitute engine + cluster cleanup</t>
        </is>
      </c>
      <c r="DT16" t="inlineStr">
        <is>
          <t>similarity-backed</t>
        </is>
      </c>
      <c r="DU16" t="inlineStr">
        <is>
          <t>Recommended</t>
        </is>
      </c>
      <c r="DV16" t="inlineStr">
        <is>
          <t>Pass 33 fallback replacement engine</t>
        </is>
      </c>
      <c r="DY16" t="inlineStr">
        <is>
          <t>Pass 35 expanded fallback pool with second-pass candidate exploration</t>
        </is>
      </c>
      <c r="EA16" t="inlineStr">
        <is>
          <t>General</t>
        </is>
      </c>
      <c r="EB16" t="inlineStr">
        <is>
          <t>unclassified</t>
        </is>
      </c>
      <c r="EC16" t="inlineStr">
        <is>
          <t>High</t>
        </is>
      </c>
      <c r="ED16" t="inlineStr">
        <is>
          <t>Pass 40 reinforced weak-category herb data</t>
        </is>
      </c>
      <c r="EG16" t="n">
        <v>9</v>
      </c>
      <c r="EH16" t="n">
        <v>9</v>
      </c>
      <c r="EI16" t="n">
        <v>0</v>
      </c>
      <c r="EJ16" t="n">
        <v>1</v>
      </c>
      <c r="EK16" t="n">
        <v>29</v>
      </c>
      <c r="EL16" t="n">
        <v>23</v>
      </c>
      <c r="EM16" t="inlineStr">
        <is>
          <t>Hyperforin</t>
        </is>
      </c>
      <c r="EN16" t="inlineStr">
        <is>
          <t>Pass 48 rolled compound scores into herb-level scoring</t>
        </is>
      </c>
    </row>
    <row r="17">
      <c r="A17" s="68" t="inlineStr">
        <is>
          <t>Turmeric</t>
        </is>
      </c>
      <c r="B17" s="68" t="inlineStr">
        <is>
          <t>turmeric</t>
        </is>
      </c>
      <c r="C17" s="68" t="inlineStr">
        <is>
          <t>Curcuma longa</t>
        </is>
      </c>
      <c r="D17" s="68" t="inlineStr">
        <is>
          <t>herb</t>
        </is>
      </c>
      <c r="E17" s="68" t="inlineStr">
        <is>
          <t>rhizome</t>
        </is>
      </c>
      <c r="F17" s="68" t="inlineStr">
        <is>
          <t>unspecified</t>
        </is>
      </c>
      <c r="G17" s="68" t="inlineStr">
        <is>
          <t>turmeric; Curcuma longa</t>
        </is>
      </c>
      <c r="H17" s="68" t="inlineStr">
        <is>
          <t>Native to India and cultivated throughout the tropics; turmeric is not found in the wild and is grown as a domesticated plant【754431674042811†L224-L241】.</t>
        </is>
      </c>
      <c r="I17" s="68" t="inlineStr">
        <is>
          <t>Turmeric (Curcuma longa) is a rhizome monograph focused on the unspecified used in herbal preparations. It is associated with Native to India and cultivated throughout the tropics; turmeric is not found in the wild and is grown as a domesticated plant【754431674042811†L224-L241】. The golden rhizomes of turmeric contain non‑volatile curcuminoids—curcumin (curcumin I), demethoxycurcumin (curcumin II) and bisdemethoxycurcumin (curcumin III)—as well as volatile mono‑ and sesquiterpenoids【768158627760254†L420-L432】【768158627760254†L442-L468】. Conventional oral preparations of turmeric or curcumin appear safe for up to 2–3 months.</t>
        </is>
      </c>
      <c r="J17" s="68" t="inlineStr">
        <is>
          <t>Turmeric is represented here as a monograph-style entry centered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K17" s="68" t="inlineStr">
        <is>
          <t>curcumin; demethoxycurcumin</t>
        </is>
      </c>
      <c r="L17" s="68" t="inlineStr">
        <is>
          <t>curcumin</t>
        </is>
      </c>
      <c r="M17" s="68" t="inlineStr">
        <is>
          <t>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t>
        </is>
      </c>
      <c r="N17" s="68" t="inlineStr">
        <is>
          <t>anti-inflammatory; antioxidant; nf-kb modulation</t>
        </is>
      </c>
      <c r="O17" s="68" t="inlineStr">
        <is>
          <t>mapped</t>
        </is>
      </c>
      <c r="P17" s="68"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uncertain【628537290338832†L207-L223】.</t>
        </is>
      </c>
      <c r="Q17" s="68" t="inlineStr">
        <is>
          <t>Curcumin may enhance the effects of anticoagulant, antiplatelet or antidiabetic drugs and could interact with drugs metabolized by cytochrome P450 enzymes; caution is advised.</t>
        </is>
      </c>
      <c r="R17" s="68" t="inlineStr">
        <is>
          <t>Avoid high‑dose turmeric supplements in people with gallbladder obstruction, bleeding disorders or those taking anticoagulant or antiplatelet medications. Use is not recommended during pregnancy or breastfeeding.</t>
        </is>
      </c>
      <c r="S17" s="68" t="inlineStr">
        <is>
          <t>The rhizomes are boiled, dried and ground into powder used as a spice, dye and supplement. Extracts standardized for curcuminoid content are available as capsules or tablets.</t>
        </is>
      </c>
      <c r="T17" s="68" t="n"/>
      <c r="U17" s="68" t="n"/>
      <c r="V17" s="68" t="n"/>
      <c r="W17" s="68" t="inlineStr">
        <is>
          <t>Medium</t>
        </is>
      </c>
      <c r="X17" s="68" t="inlineStr">
        <is>
          <t>validated</t>
        </is>
      </c>
      <c r="Y17" s="68" t="inlineStr">
        <is>
          <t>【768158627760254†L420-L432】; 【768158627760254†L442-L468】; 【628537290338832†L207-L223】; 【754431674042811†L224-L241】</t>
        </is>
      </c>
      <c r="Z17" s="68" t="inlineStr">
        <is>
          <t>present</t>
        </is>
      </c>
      <c r="AA17" s="68" t="inlineStr">
        <is>
          <t>PubMed/PMC</t>
        </is>
      </c>
      <c r="AB17" s="68" t="inlineStr">
        <is>
          <t>【768158627760254†L420-L432】; 【768158627760254†L442-L468】; 【628537290338832†L207-L223】; 【754431674042811†L224-L241】</t>
        </is>
      </c>
      <c r="AC17" s="68" t="inlineStr">
        <is>
          <t>【768158627760254†L420-L432】; 【768158627760254†L442-L468】; 【628537290338832†L207-L223】; 【754431674042811†L224-L241】</t>
        </is>
      </c>
      <c r="AD17" s="68" t="inlineStr">
        <is>
          <t>【768158627760254†L420-L432】; 【768158627760254†L442-L468】; 【628537290338832†L207-L223】; 【754431674042811†L224-L241】</t>
        </is>
      </c>
      <c r="AE17" s="68" t="inlineStr">
        <is>
          <t>【768158627760254†L420-L432】; 【768158627760254†L442-L468】; 【628537290338832†L207-L223】; 【754431674042811†L224-L241】</t>
        </is>
      </c>
      <c r="AF17" s="68" t="inlineStr">
        <is>
          <t>Mechanism preserved as qualified language where evidence is preclinical.</t>
        </is>
      </c>
      <c r="AG17" s="68" t="n">
        <v>2</v>
      </c>
      <c r="AH17" s="68" t="n">
        <v>1</v>
      </c>
      <c r="AI17" s="68" t="n">
        <v>3</v>
      </c>
      <c r="AJ17" s="68" t="n">
        <v>6</v>
      </c>
      <c r="AK17" s="68" t="inlineStr">
        <is>
          <t>Medium</t>
        </is>
      </c>
      <c r="AL17" s="68" t="inlineStr">
        <is>
          <t>Missing</t>
        </is>
      </c>
      <c r="AM17" s="68" t="inlineStr">
        <is>
          <t>Linked primary/secondary</t>
        </is>
      </c>
      <c r="AN17" s="68" t="n">
        <v>0.7142857142857143</v>
      </c>
      <c r="AO17" s="68" t="inlineStr">
        <is>
          <t>Near ready</t>
        </is>
      </c>
      <c r="AP17" s="68" t="inlineStr">
        <is>
          <t>Editorial</t>
        </is>
      </c>
      <c r="AQ17" s="68" t="n"/>
      <c r="AR17" s="68" t="inlineStr">
        <is>
          <t>Editorial polish</t>
        </is>
      </c>
      <c r="AS17" s="68" t="inlineStr">
        <is>
          <t>Not started</t>
        </is>
      </c>
      <c r="AT17" s="68" t="inlineStr">
        <is>
          <t>Yes</t>
        </is>
      </c>
      <c r="AU17" s="68" t="inlineStr">
        <is>
          <t>No</t>
        </is>
      </c>
      <c r="AV17" s="68" t="inlineStr">
        <is>
          <t>Yes</t>
        </is>
      </c>
      <c r="AW17" s="68" t="inlineStr">
        <is>
          <t>Finalize remaining content gaps</t>
        </is>
      </c>
      <c r="AX17" s="68" t="n">
        <v>1</v>
      </c>
      <c r="AY17" s="68" t="n"/>
      <c r="AZ17" s="68" t="n"/>
      <c r="BA17" s="68" t="n"/>
      <c r="BB17" s="68" t="n"/>
      <c r="BC17" s="68" t="n"/>
      <c r="BD17" s="68" t="n"/>
      <c r="BE17" s="68" t="inlineStr">
        <is>
          <t>2026-04-10</t>
        </is>
      </c>
      <c r="BF17" s="68" t="inlineStr">
        <is>
          <t>Metadata normalized from internal workbook links</t>
        </is>
      </c>
      <c r="BG17" s="68" t="inlineStr">
        <is>
          <t>turmeric|2026-04-10</t>
        </is>
      </c>
      <c r="BH17" s="68" t="inlineStr">
        <is>
          <t>2026-04-10:auto-normalized</t>
        </is>
      </c>
      <c r="BI17" t="inlineStr">
        <is>
          <t>turmeric</t>
        </is>
      </c>
      <c r="BJ17" t="inlineStr">
        <is>
          <t>Turmeric</t>
        </is>
      </c>
      <c r="BK17" t="n">
        <v>6</v>
      </c>
      <c r="BL17" t="n">
        <v>1</v>
      </c>
      <c r="BM17" t="n">
        <v>1</v>
      </c>
      <c r="BN17" t="n">
        <v>24</v>
      </c>
      <c r="BO17" t="n">
        <v>100</v>
      </c>
      <c r="BP17" t="n">
        <v>50</v>
      </c>
      <c r="BQ17" t="n">
        <v>10</v>
      </c>
      <c r="BR17" t="n">
        <v>30</v>
      </c>
      <c r="BS17" t="inlineStr">
        <is>
          <t>Tier 1</t>
        </is>
      </c>
      <c r="BT17" t="n">
        <v>22</v>
      </c>
      <c r="BU17" t="inlineStr">
        <is>
          <t>FALSE</t>
        </is>
      </c>
      <c r="BV17" t="inlineStr">
        <is>
          <t>turmeric</t>
        </is>
      </c>
      <c r="BW17" t="inlineStr">
        <is>
          <t>TRUE</t>
        </is>
      </c>
      <c r="BX17" t="inlineStr">
        <is>
          <t>Pass 10 refreshed scoring from 1 mapped compounds | Pass 13 rescored from 6 mapped compounds</t>
        </is>
      </c>
      <c r="BY17" t="inlineStr">
        <is>
          <t>unclassified</t>
        </is>
      </c>
      <c r="CA17" t="n">
        <v>12</v>
      </c>
      <c r="CB17" t="n">
        <v>0</v>
      </c>
      <c r="CC17" t="n">
        <v>0</v>
      </c>
      <c r="CD17" t="inlineStr">
        <is>
          <t>Polyphenol; bisdemethoxycurcumin; curcumin; unclassified</t>
        </is>
      </c>
      <c r="CE17" t="inlineStr">
        <is>
          <t>Pass 13 rescored after herb-name normalization and real top-herb compound sweep</t>
        </is>
      </c>
      <c r="CF17" t="inlineStr">
        <is>
          <t>General</t>
        </is>
      </c>
      <c r="CH17" s="68" t="inlineStr">
        <is>
          <t>Start with low single-herb exposure and increase only if tolerated</t>
        </is>
      </c>
      <c r="CI17" s="68" t="inlineStr">
        <is>
          <t>Keep conservative around surgery, anticoagulants, or antiplatelet use.</t>
        </is>
      </c>
      <c r="CJ17" s="68" t="inlineStr">
        <is>
          <t>bleeding-risk; glucose-lowering; hepatic-caution; lactation; pregnancy</t>
        </is>
      </c>
      <c r="CK17" s="68" t="inlineStr">
        <is>
          <t>bleeding disorders; breastfeeding; pregnancy</t>
        </is>
      </c>
      <c r="CL17" s="68" t="inlineStr">
        <is>
          <t>Elevated</t>
        </is>
      </c>
      <c r="CM17" s="68" t="inlineStr">
        <is>
          <t>Review</t>
        </is>
      </c>
      <c r="CN17" s="68" t="inlineStr">
        <is>
          <t>Needs manual safety review before default stack inclusion</t>
        </is>
      </c>
      <c r="CO17" s="68" t="inlineStr">
        <is>
          <t>Pass 21 herb-level safety and dose framing</t>
        </is>
      </c>
      <c r="CP17" t="inlineStr">
        <is>
          <t>Elevated</t>
        </is>
      </c>
      <c r="CQ17" t="inlineStr">
        <is>
          <t>Review</t>
        </is>
      </c>
      <c r="CR17" t="inlineStr">
        <is>
          <t>Needs manual safety review before default stack inclusion</t>
        </is>
      </c>
      <c r="CS17" t="inlineStr">
        <is>
          <t>Pass 22 refined safety rule severity and reduced broad keyword over-flagging</t>
        </is>
      </c>
      <c r="CT17" t="inlineStr">
        <is>
          <t>General</t>
        </is>
      </c>
      <c r="CU17" t="inlineStr">
        <is>
          <t>anti-inflammatory; antioxidant; nf-kb modulation</t>
        </is>
      </c>
      <c r="CV17" t="inlineStr">
        <is>
          <t>Unknown</t>
        </is>
      </c>
      <c r="CW17" t="inlineStr">
        <is>
          <t>Pass 26 normalization: categories, mechanisms, evidence tiers</t>
        </is>
      </c>
      <c r="CX17" t="inlineStr">
        <is>
          <t>Mapped</t>
        </is>
      </c>
      <c r="CY17"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uncertain【628537290338832†L207-L223】.</t>
        </is>
      </c>
      <c r="CZ17" t="inlineStr">
        <is>
          <t>Curcumin may enhance the effects of anticoagulant, antiplatelet or antidiabetic drugs and could interact with drugs metabolized by cytochrome P450 enzymes; Caution is advised</t>
        </is>
      </c>
      <c r="DA17" t="inlineStr">
        <is>
          <t>Avoid high‑dose turmeric supplements in people with gallbladder obstruction, bleeding disorders or those taking anticoagulant or antiplatelet medications. Use is not recommended during pregnancy or breastfeeding</t>
        </is>
      </c>
      <c r="DB17" t="inlineStr">
        <is>
          <t>Pass 28 normalized evidence and safety-related free text</t>
        </is>
      </c>
      <c r="DD17" t="inlineStr">
        <is>
          <t>No standardized dose established; use conservative, product-dependent ranges.</t>
        </is>
      </c>
      <c r="DE17" t="inlineStr">
        <is>
          <t>The rhizomes are boiled, dried and ground into powder used as a spice, dye and supplement. Extracts standardized for curcuminoid content are available as capsules or tablets.</t>
        </is>
      </c>
      <c r="DF17" t="inlineStr">
        <is>
          <t>Quality varies by extraction method, standardization, and contamination risk.</t>
        </is>
      </c>
      <c r="DG17" t="inlineStr">
        <is>
          <t>Low</t>
        </is>
      </c>
      <c r="DH17" t="inlineStr">
        <is>
          <t>Pass 29 completeness repair</t>
        </is>
      </c>
      <c r="DI17" t="n">
        <v>33</v>
      </c>
      <c r="DJ17" t="inlineStr">
        <is>
          <t>General</t>
        </is>
      </c>
      <c r="DK17" t="inlineStr">
        <is>
          <t>Polyphenol</t>
        </is>
      </c>
      <c r="DL17" t="inlineStr">
        <is>
          <t>Dong Quai; Agarikon; Ajwain; Angelica Root; Artichoke</t>
        </is>
      </c>
      <c r="DM17" t="inlineStr">
        <is>
          <t>Pass 31 relationship intelligence: density, cluster, anchor class, nearest herbs</t>
        </is>
      </c>
      <c r="DN17" t="inlineStr">
        <is>
          <t>Dong Quai; Garlic; Ginger</t>
        </is>
      </c>
      <c r="DO17" t="inlineStr">
        <is>
          <t>Dong Quai (1 shared compounds; 1 shared pathways) | Garlic (1 shared pathways) | Ginger (1 shared pathways)</t>
        </is>
      </c>
      <c r="DP17" t="inlineStr">
        <is>
          <t>Generalist</t>
        </is>
      </c>
      <c r="DQ17" t="inlineStr">
        <is>
          <t>Pass 32 substitute engine + cluster cleanup</t>
        </is>
      </c>
      <c r="DR17" t="inlineStr">
        <is>
          <t>Dong Quai</t>
        </is>
      </c>
      <c r="DT17" t="inlineStr">
        <is>
          <t>same cluster; similarity-backed</t>
        </is>
      </c>
      <c r="DU17" t="inlineStr">
        <is>
          <t>Recommended</t>
        </is>
      </c>
      <c r="DV17" t="inlineStr">
        <is>
          <t>Pass 33 fallback replacement engine</t>
        </is>
      </c>
      <c r="DW17" t="inlineStr">
        <is>
          <t>Angelica Root</t>
        </is>
      </c>
      <c r="DX17" t="inlineStr">
        <is>
          <t>Agarikon; Ajwain; Angelica Root; Dong Quai; Artichoke</t>
        </is>
      </c>
      <c r="DY17" t="inlineStr">
        <is>
          <t>Pass 35 expanded fallback pool with second-pass candidate exploration</t>
        </is>
      </c>
      <c r="EA17" t="inlineStr">
        <is>
          <t>General</t>
        </is>
      </c>
      <c r="EB17" t="inlineStr">
        <is>
          <t>unclassified</t>
        </is>
      </c>
      <c r="EC17" t="inlineStr">
        <is>
          <t>Medium</t>
        </is>
      </c>
      <c r="ED17" t="inlineStr">
        <is>
          <t>Pass 40 reinforced weak-category herb data</t>
        </is>
      </c>
      <c r="EG17" t="n">
        <v>17</v>
      </c>
      <c r="EH17" t="n">
        <v>5.67</v>
      </c>
      <c r="EI17" t="n">
        <v>0</v>
      </c>
      <c r="EJ17" t="n">
        <v>2</v>
      </c>
      <c r="EK17" t="n">
        <v>34</v>
      </c>
      <c r="EL17" t="n">
        <v>30</v>
      </c>
      <c r="EM17" t="inlineStr">
        <is>
          <t>Bisdemethoxycurcumin; Demethoxycurcumin; curcumin</t>
        </is>
      </c>
      <c r="EN17" t="inlineStr">
        <is>
          <t>Pass 48 rolled compound scores into herb-level scoring</t>
        </is>
      </c>
    </row>
    <row r="18">
      <c r="A18" s="68" t="inlineStr">
        <is>
          <t>Valerian</t>
        </is>
      </c>
      <c r="B18" s="68" t="inlineStr">
        <is>
          <t>valerian</t>
        </is>
      </c>
      <c r="C18" s="68" t="inlineStr">
        <is>
          <t>Valeriana officinalis</t>
        </is>
      </c>
      <c r="D18" s="68" t="inlineStr">
        <is>
          <t>herb</t>
        </is>
      </c>
      <c r="E18" s="68" t="inlineStr">
        <is>
          <t>herb</t>
        </is>
      </c>
      <c r="F18" s="68" t="inlineStr">
        <is>
          <t>root; rhizome</t>
        </is>
      </c>
      <c r="G18" s="68" t="inlineStr">
        <is>
          <t>valerian; all-heal; garden heliotrope</t>
        </is>
      </c>
      <c r="H18" s="68" t="inlineStr">
        <is>
          <t>Native to Europe and Asia; naturalized in North America and other temperate regions.</t>
        </is>
      </c>
      <c r="I18" s="68" t="inlineStr">
        <is>
          <t>Valerian (Valeriana officinalis) is a herb monograph focused on the root; rhizome used in herbal preparations. It is associated with Native to Europe and Asia; naturalized in North America and other temperate regions. Valerenic acid derivatives modulate GABA-A signaling and may inhibit GABA breakdown. Short-term use appears safe; side effects include headache, GI upset, mental dullness, excitability, vivid dreams.</t>
        </is>
      </c>
      <c r="J18" s="68" t="inlineStr">
        <is>
          <t>Valerian is represented here as a monograph-style entry centered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K18" s="68" t="inlineStr">
        <is>
          <t>valerenic acid</t>
        </is>
      </c>
      <c r="L18" s="68" t="inlineStr">
        <is>
          <t>valerenic acid</t>
        </is>
      </c>
      <c r="M18" s="68" t="inlineStr">
        <is>
          <t>Valerenic acid derivatives modulate GABA-A signaling and may inhibit GABA breakdown.</t>
        </is>
      </c>
      <c r="N18" s="68" t="inlineStr">
        <is>
          <t>sedative; sleep support; gaba modulation</t>
        </is>
      </c>
      <c r="O18" s="68" t="inlineStr">
        <is>
          <t>preclinical + limited human</t>
        </is>
      </c>
      <c r="P18" s="68" t="inlineStr">
        <is>
          <t>Short-term use appears safe; side effects include headache, GI upset, mental dullness, excitability, vivid dreams. Rare liver injury reported.</t>
        </is>
      </c>
      <c r="Q18" s="68" t="inlineStr">
        <is>
          <t>May potentiate sedatives and alcohol.</t>
        </is>
      </c>
      <c r="R18" s="68" t="inlineStr">
        <is>
          <t>Pregnancy, breastfeeding, liver disease, concurrent CNS depressants.</t>
        </is>
      </c>
      <c r="S18" s="68" t="inlineStr">
        <is>
          <t>Dried roots/rhizomes as teas, tinctures, or extracts.</t>
        </is>
      </c>
      <c r="T18" s="68" t="inlineStr">
        <is>
          <t>300–600 mg extract</t>
        </is>
      </c>
      <c r="U18" s="68" t="n"/>
      <c r="V18" s="68" t="n"/>
      <c r="W18" s="68" t="inlineStr">
        <is>
          <t>Medium</t>
        </is>
      </c>
      <c r="X18" s="68" t="inlineStr">
        <is>
          <t>validated</t>
        </is>
      </c>
      <c r="Y18" s="68" t="inlineStr">
        <is>
          <t>Recovered from prior batch output in this conversation</t>
        </is>
      </c>
      <c r="Z18" s="68" t="inlineStr">
        <is>
          <t>needs-source-normalization</t>
        </is>
      </c>
      <c r="AA18" s="68" t="inlineStr">
        <is>
          <t>conversation-recovered</t>
        </is>
      </c>
      <c r="AB18" s="68" t="inlineStr">
        <is>
          <t>Recovered from prior batch output in this conversation</t>
        </is>
      </c>
      <c r="AC18" s="68" t="inlineStr">
        <is>
          <t>Recovered from prior batch output in this conversation</t>
        </is>
      </c>
      <c r="AD18" s="68" t="inlineStr">
        <is>
          <t>Recovered from prior batch output in this conversation</t>
        </is>
      </c>
      <c r="AE18" s="68" t="inlineStr">
        <is>
          <t>Recovered from prior batch output in this conversation</t>
        </is>
      </c>
      <c r="AF18" s="68" t="inlineStr">
        <is>
          <t>Mechanism should stay qualified, not stated as established in humans.</t>
        </is>
      </c>
      <c r="AG18" s="68" t="n">
        <v>2</v>
      </c>
      <c r="AH18" s="68" t="n">
        <v>3</v>
      </c>
      <c r="AI18" s="68" t="n">
        <v>1</v>
      </c>
      <c r="AJ18" s="68" t="n">
        <v>6</v>
      </c>
      <c r="AK18" s="68" t="inlineStr">
        <is>
          <t>High</t>
        </is>
      </c>
      <c r="AL18" s="68" t="inlineStr">
        <is>
          <t>Present</t>
        </is>
      </c>
      <c r="AM18" s="68" t="inlineStr">
        <is>
          <t>Conversation-recovered</t>
        </is>
      </c>
      <c r="AN18" s="68" t="n">
        <v>0.9285714285714286</v>
      </c>
      <c r="AO18" s="68" t="inlineStr">
        <is>
          <t>Near ready</t>
        </is>
      </c>
      <c r="AP18" s="68" t="inlineStr">
        <is>
          <t>Research</t>
        </is>
      </c>
      <c r="AQ18" s="68" t="n"/>
      <c r="AR18" s="68" t="inlineStr">
        <is>
          <t>Source review</t>
        </is>
      </c>
      <c r="AS18" s="68" t="inlineStr">
        <is>
          <t>Not started</t>
        </is>
      </c>
      <c r="AT18" s="68" t="inlineStr">
        <is>
          <t>No</t>
        </is>
      </c>
      <c r="AU18" s="68" t="inlineStr">
        <is>
          <t>No</t>
        </is>
      </c>
      <c r="AV18" s="68" t="inlineStr">
        <is>
          <t>Yes</t>
        </is>
      </c>
      <c r="AW18" s="68" t="inlineStr">
        <is>
          <t>Normalize source record</t>
        </is>
      </c>
      <c r="AX18" s="68" t="n">
        <v>1</v>
      </c>
      <c r="AY18" s="68" t="n"/>
      <c r="AZ18" s="68" t="n"/>
      <c r="BA18" s="68" t="n"/>
      <c r="BB18" s="68" t="n"/>
      <c r="BC18" s="68" t="n"/>
      <c r="BD18" s="68" t="n"/>
      <c r="BE18" s="68" t="inlineStr">
        <is>
          <t>2026-04-10</t>
        </is>
      </c>
      <c r="BF18" s="68" t="inlineStr">
        <is>
          <t>Metadata normalized from internal workbook links</t>
        </is>
      </c>
      <c r="BG18" s="68" t="inlineStr">
        <is>
          <t>valerian|2026-04-10</t>
        </is>
      </c>
      <c r="BH18" s="68" t="inlineStr">
        <is>
          <t>2026-04-10:auto-normalized</t>
        </is>
      </c>
      <c r="BI18" t="inlineStr">
        <is>
          <t>valerian</t>
        </is>
      </c>
      <c r="BJ18" t="inlineStr">
        <is>
          <t>Valerian</t>
        </is>
      </c>
      <c r="BK18" t="n">
        <v>1</v>
      </c>
      <c r="BL18" t="n">
        <v>1</v>
      </c>
      <c r="BM18" t="n">
        <v>3</v>
      </c>
      <c r="BN18" t="n">
        <v>7</v>
      </c>
      <c r="BO18" t="n">
        <v>100</v>
      </c>
      <c r="BP18" t="n">
        <v>8</v>
      </c>
      <c r="BQ18" t="n">
        <v>10</v>
      </c>
      <c r="BR18" t="n">
        <v>5</v>
      </c>
      <c r="BS18" t="inlineStr">
        <is>
          <t>Tier 1</t>
        </is>
      </c>
      <c r="BT18" t="n">
        <v>5</v>
      </c>
      <c r="BU18" t="inlineStr">
        <is>
          <t>FALSE</t>
        </is>
      </c>
      <c r="BV18" t="inlineStr">
        <is>
          <t>valerian</t>
        </is>
      </c>
      <c r="BW18" t="inlineStr">
        <is>
          <t>TRUE</t>
        </is>
      </c>
      <c r="BX18" t="inlineStr">
        <is>
          <t>Pass 10 refreshed scoring from 1 mapped compounds | Pass 13 rescored from 1 mapped compounds</t>
        </is>
      </c>
      <c r="BY18" t="inlineStr">
        <is>
          <t>unclassified</t>
        </is>
      </c>
      <c r="CA18" t="n">
        <v>2</v>
      </c>
      <c r="CB18" t="n">
        <v>0</v>
      </c>
      <c r="CC18" t="n">
        <v>0</v>
      </c>
      <c r="CD18" t="inlineStr">
        <is>
          <t>valerenic acid; unclassified</t>
        </is>
      </c>
      <c r="CE18" t="inlineStr">
        <is>
          <t>Pass 13 rescored after herb-name normalization and real top-herb compound sweep</t>
        </is>
      </c>
      <c r="CF18" t="inlineStr">
        <is>
          <t>General</t>
        </is>
      </c>
      <c r="CH18" s="68" t="inlineStr">
        <is>
          <t>Start low; usually evening or split use</t>
        </is>
      </c>
      <c r="CI18" s="68" t="inlineStr">
        <is>
          <t>Prefer evening or split dosing; avoid stacking with other sedative-heavy products by default.</t>
        </is>
      </c>
      <c r="CJ18" s="68" t="inlineStr">
        <is>
          <t>hepatic-caution; lactation; pregnancy; sedation-cns</t>
        </is>
      </c>
      <c r="CK18" s="68" t="inlineStr">
        <is>
          <t>breastfeeding; liver disease; pregnancy</t>
        </is>
      </c>
      <c r="CL18" s="68" t="inlineStr">
        <is>
          <t>Elevated</t>
        </is>
      </c>
      <c r="CM18" s="68" t="inlineStr">
        <is>
          <t>Review</t>
        </is>
      </c>
      <c r="CN18" s="68" t="inlineStr">
        <is>
          <t>Needs manual safety review before default stack inclusion</t>
        </is>
      </c>
      <c r="CO18" s="68" t="inlineStr">
        <is>
          <t>Pass 21 herb-level safety and dose framing</t>
        </is>
      </c>
      <c r="CP18" t="inlineStr">
        <is>
          <t>Elevated</t>
        </is>
      </c>
      <c r="CQ18" t="inlineStr">
        <is>
          <t>Review</t>
        </is>
      </c>
      <c r="CR18" t="inlineStr">
        <is>
          <t>Needs manual safety review before default stack inclusion</t>
        </is>
      </c>
      <c r="CS18" t="inlineStr">
        <is>
          <t>Pass 22 refined safety rule severity and reduced broad keyword over-flagging</t>
        </is>
      </c>
      <c r="CT18" t="inlineStr">
        <is>
          <t>General</t>
        </is>
      </c>
      <c r="CU18" t="inlineStr">
        <is>
          <t>gaba modulation; sedative; sleep support</t>
        </is>
      </c>
      <c r="CV18" t="inlineStr">
        <is>
          <t>Human</t>
        </is>
      </c>
      <c r="CW18" t="inlineStr">
        <is>
          <t>Pass 26 normalization: categories, mechanisms, evidence tiers</t>
        </is>
      </c>
      <c r="CX18" t="inlineStr">
        <is>
          <t>Human + preclinical</t>
        </is>
      </c>
      <c r="CY18" t="inlineStr">
        <is>
          <t>Short-term use appears safe; side effects include headache, GI upset, mental dullness, excitability, vivid dreams. Rare liver injury reported.</t>
        </is>
      </c>
      <c r="CZ18" t="inlineStr">
        <is>
          <t>May potentiate sedatives and alcohol</t>
        </is>
      </c>
      <c r="DA18" t="inlineStr">
        <is>
          <t>Pregnancy, breastfeeding, liver disease, concurrent CNS depressants</t>
        </is>
      </c>
      <c r="DB18" t="inlineStr">
        <is>
          <t>Pass 28 normalized evidence and safety-related free text</t>
        </is>
      </c>
      <c r="DD18" t="inlineStr">
        <is>
          <t>300–600 mg extract</t>
        </is>
      </c>
      <c r="DE18" t="inlineStr">
        <is>
          <t>Dried roots/rhizomes as teas, tinctures, or extracts.</t>
        </is>
      </c>
      <c r="DF18" t="inlineStr">
        <is>
          <t>Quality varies by extraction method, standardization, and contamination risk.</t>
        </is>
      </c>
      <c r="DG18" t="inlineStr">
        <is>
          <t>Moderate to high</t>
        </is>
      </c>
      <c r="DH18" t="inlineStr">
        <is>
          <t>Pass 29 completeness repair</t>
        </is>
      </c>
      <c r="DI18" t="n">
        <v>9</v>
      </c>
      <c r="DJ18" t="inlineStr">
        <is>
          <t>General</t>
        </is>
      </c>
      <c r="DK18" t="inlineStr">
        <is>
          <t>valerenic acid</t>
        </is>
      </c>
      <c r="DL18" t="inlineStr">
        <is>
          <t>Agarikon; Ajwain; Angelica Root; Artichoke; Ashoka</t>
        </is>
      </c>
      <c r="DM18" t="inlineStr">
        <is>
          <t>Pass 31 relationship intelligence: density, cluster, anchor class, nearest herbs</t>
        </is>
      </c>
      <c r="DN18" t="inlineStr">
        <is>
          <t>Garlic; Ginger</t>
        </is>
      </c>
      <c r="DO18" t="inlineStr">
        <is>
          <t>Garlic (1 shared pathways) | Ginger (1 shared pathways)</t>
        </is>
      </c>
      <c r="DP18" t="inlineStr">
        <is>
          <t>Generalist</t>
        </is>
      </c>
      <c r="DQ18" t="inlineStr">
        <is>
          <t>Pass 32 substitute engine + cluster cleanup</t>
        </is>
      </c>
      <c r="DT18" t="inlineStr">
        <is>
          <t>similarity-backed</t>
        </is>
      </c>
      <c r="DU18" t="inlineStr">
        <is>
          <t>Recommended</t>
        </is>
      </c>
      <c r="DV18" t="inlineStr">
        <is>
          <t>Pass 33 fallback replacement engine</t>
        </is>
      </c>
      <c r="DY18" t="inlineStr">
        <is>
          <t>Pass 35 expanded fallback pool with second-pass candidate exploration</t>
        </is>
      </c>
      <c r="EA18" t="inlineStr">
        <is>
          <t>General</t>
        </is>
      </c>
      <c r="EB18" t="inlineStr">
        <is>
          <t>unclassified</t>
        </is>
      </c>
      <c r="EC18" t="inlineStr">
        <is>
          <t>Medium</t>
        </is>
      </c>
      <c r="ED18" t="inlineStr">
        <is>
          <t>Pass 40 reinforced weak-category herb data</t>
        </is>
      </c>
      <c r="EG18" t="n">
        <v>3</v>
      </c>
      <c r="EH18" t="n">
        <v>3</v>
      </c>
      <c r="EI18" t="n">
        <v>0</v>
      </c>
      <c r="EJ18" t="n">
        <v>0</v>
      </c>
      <c r="EK18" t="n">
        <v>11</v>
      </c>
      <c r="EL18" t="n">
        <v>7</v>
      </c>
      <c r="EM18" t="inlineStr">
        <is>
          <t>valerenic acid</t>
        </is>
      </c>
      <c r="EN18" t="inlineStr">
        <is>
          <t>Pass 48 rolled compound scores into herb-level scoring</t>
        </is>
      </c>
    </row>
    <row r="19">
      <c r="A19" s="68" t="inlineStr">
        <is>
          <t>Guarana</t>
        </is>
      </c>
      <c r="B19" s="68" t="inlineStr">
        <is>
          <t>guarana</t>
        </is>
      </c>
      <c r="C19" s="68" t="inlineStr">
        <is>
          <t>Paullinia cupana</t>
        </is>
      </c>
      <c r="D19" s="68" t="inlineStr">
        <is>
          <t>herb</t>
        </is>
      </c>
      <c r="E19" s="68" t="inlineStr">
        <is>
          <t>plant</t>
        </is>
      </c>
      <c r="F19" s="68" t="inlineStr">
        <is>
          <t>seed</t>
        </is>
      </c>
      <c r="G19" s="68" t="inlineStr">
        <is>
          <t>Guarana</t>
        </is>
      </c>
      <c r="H19" s="68" t="inlineStr">
        <is>
          <t>global</t>
        </is>
      </c>
      <c r="I19" s="68" t="inlineStr">
        <is>
          <t>Guarana positioned for primary functional support.</t>
        </is>
      </c>
      <c r="J19" s="68" t="inlineStr">
        <is>
          <t>Conservative evidence framing applied.</t>
        </is>
      </c>
      <c r="K19" s="68" t="inlineStr">
        <is>
          <t>caffeine</t>
        </is>
      </c>
      <c r="L19" s="68" t="inlineStr">
        <is>
          <t>caffeine</t>
        </is>
      </c>
      <c r="M19" s="68" t="inlineStr">
        <is>
          <t>Mechanistic activity supported by mixed evidence.</t>
        </is>
      </c>
      <c r="N19" s="68" t="inlineStr">
        <is>
          <t>energy support; cognition; metabolic support</t>
        </is>
      </c>
      <c r="O19" s="68" t="inlineStr">
        <is>
          <t>mixed human-preclinical</t>
        </is>
      </c>
      <c r="P19" s="68" t="inlineStr">
        <is>
          <t>Use caution with stimulant sensitivity, anxiety, or insomnia-prone contexts.</t>
        </is>
      </c>
      <c r="Q19" s="68" t="inlineStr">
        <is>
          <t>May stack strongly with caffeine-heavy or stimulant-heavy formulas.</t>
        </is>
      </c>
      <c r="R19" s="68" t="inlineStr">
        <is>
          <t>Use caution in uncontrolled blood pressure-sensitive contexts.</t>
        </is>
      </c>
      <c r="S19" s="68" t="n"/>
      <c r="T19" s="68" t="n"/>
      <c r="U19" s="68" t="n"/>
      <c r="V19" s="68" t="n"/>
      <c r="W19" s="68" t="inlineStr">
        <is>
          <t>High</t>
        </is>
      </c>
      <c r="X19" s="68" t="inlineStr">
        <is>
          <t>validated</t>
        </is>
      </c>
      <c r="Y19" s="68" t="n"/>
      <c r="Z19" s="68" t="inlineStr">
        <is>
          <t>present</t>
        </is>
      </c>
      <c r="AA19" s="68" t="inlineStr">
        <is>
          <t>Internal workbook + enrichment queue</t>
        </is>
      </c>
      <c r="AB19" s="68" t="n"/>
      <c r="AC19" s="68" t="n"/>
      <c r="AD19" s="68" t="n"/>
      <c r="AE19" s="68" t="n"/>
      <c r="AF19" s="68" t="n"/>
      <c r="AG19" s="68" t="n">
        <v>3</v>
      </c>
      <c r="AH19" s="68" t="n">
        <v>3</v>
      </c>
      <c r="AI19" s="68" t="n">
        <v>3</v>
      </c>
      <c r="AJ19" s="68" t="n">
        <v>9</v>
      </c>
      <c r="AK19" s="68" t="inlineStr">
        <is>
          <t>Medium</t>
        </is>
      </c>
      <c r="AL19" s="68" t="n"/>
      <c r="AM19" s="68" t="inlineStr">
        <is>
          <t>Linked primary/secondary</t>
        </is>
      </c>
      <c r="AN19" s="68" t="n">
        <v>0.9</v>
      </c>
      <c r="AO19" s="68" t="inlineStr">
        <is>
          <t>Ready</t>
        </is>
      </c>
      <c r="AP19" s="68" t="n"/>
      <c r="AQ19" s="68" t="n"/>
      <c r="AR19" s="68" t="inlineStr">
        <is>
          <t>Ready for QA</t>
        </is>
      </c>
      <c r="AS19" s="68" t="inlineStr">
        <is>
          <t>Not started</t>
        </is>
      </c>
      <c r="AT19" s="68" t="n"/>
      <c r="AU19" s="68" t="n"/>
      <c r="AV19" s="68" t="n"/>
      <c r="AW19" s="68" t="n"/>
      <c r="AX19" s="68" t="n"/>
      <c r="AY19" s="68" t="n"/>
      <c r="AZ19" s="68" t="n"/>
      <c r="BA19" s="68" t="n"/>
      <c r="BB19" s="68" t="n"/>
      <c r="BC19" s="68" t="n"/>
      <c r="BD19" s="68" t="n"/>
      <c r="BE19" s="68" t="inlineStr">
        <is>
          <t>2026-04-10</t>
        </is>
      </c>
      <c r="BF19" s="68" t="inlineStr">
        <is>
          <t>Metadata normalized from internal workbook links</t>
        </is>
      </c>
      <c r="BG19" s="68" t="inlineStr">
        <is>
          <t>guarana|2026-04-10</t>
        </is>
      </c>
      <c r="BH19" s="68" t="inlineStr">
        <is>
          <t>2026-04-10:auto-normalized</t>
        </is>
      </c>
      <c r="BI19" t="inlineStr">
        <is>
          <t>guarana</t>
        </is>
      </c>
      <c r="BJ19" t="inlineStr">
        <is>
          <t>Guarana</t>
        </is>
      </c>
      <c r="BK19" t="n">
        <v>1</v>
      </c>
      <c r="BL19" t="n">
        <v>1</v>
      </c>
      <c r="BM19" t="n">
        <v>3</v>
      </c>
      <c r="BN19" t="n">
        <v>7</v>
      </c>
      <c r="BO19" t="n">
        <v>100</v>
      </c>
      <c r="BP19" t="n">
        <v>8</v>
      </c>
      <c r="BQ19" t="n">
        <v>10</v>
      </c>
      <c r="BR19" t="n">
        <v>5</v>
      </c>
      <c r="BS19" t="inlineStr">
        <is>
          <t>Tier 1</t>
        </is>
      </c>
      <c r="BT19" t="n">
        <v>5</v>
      </c>
      <c r="BU19" t="inlineStr">
        <is>
          <t>FALSE</t>
        </is>
      </c>
      <c r="BV19" t="inlineStr">
        <is>
          <t>guarana</t>
        </is>
      </c>
      <c r="BW19" t="inlineStr">
        <is>
          <t>TRUE</t>
        </is>
      </c>
      <c r="BX19" t="inlineStr">
        <is>
          <t>Pass 10 refreshed scoring from 1 mapped compounds | Pass 13 rescored from 1 mapped compounds</t>
        </is>
      </c>
      <c r="BY19" t="inlineStr">
        <is>
          <t>unclassified</t>
        </is>
      </c>
      <c r="CA19" t="n">
        <v>2</v>
      </c>
      <c r="CB19" t="n">
        <v>0</v>
      </c>
      <c r="CC19" t="n">
        <v>0</v>
      </c>
      <c r="CD19" t="inlineStr">
        <is>
          <t>caffeine; unclassified</t>
        </is>
      </c>
      <c r="CE19" t="inlineStr">
        <is>
          <t>Pass 13 rescored after herb-name normalization and real top-herb compound sweep</t>
        </is>
      </c>
      <c r="CF19" t="inlineStr">
        <is>
          <t>General</t>
        </is>
      </c>
      <c r="CH19" s="68" t="inlineStr">
        <is>
          <t>Start low; usually daytime use</t>
        </is>
      </c>
      <c r="CI19" s="68" t="inlineStr">
        <is>
          <t>Product-ideation framing only; not clinical dosing advice.</t>
        </is>
      </c>
      <c r="CJ19" s="68" t="inlineStr">
        <is>
          <t>blood-pressure</t>
        </is>
      </c>
      <c r="CK19" s="68" t="str"/>
      <c r="CL19" s="68" t="inlineStr">
        <is>
          <t>Baseline</t>
        </is>
      </c>
      <c r="CM19" s="68" t="inlineStr">
        <is>
          <t>No</t>
        </is>
      </c>
      <c r="CN19" s="68" t="str"/>
      <c r="CO19" s="68" t="inlineStr">
        <is>
          <t>Pass 21 herb-level safety and dose framing</t>
        </is>
      </c>
      <c r="CP19" t="inlineStr">
        <is>
          <t>Baseline</t>
        </is>
      </c>
      <c r="CQ19" t="inlineStr">
        <is>
          <t>No</t>
        </is>
      </c>
      <c r="CS19" t="inlineStr">
        <is>
          <t>Pass 22 refined safety rule severity and reduced broad keyword over-flagging</t>
        </is>
      </c>
      <c r="CT19" t="inlineStr">
        <is>
          <t>Metabolic Support</t>
        </is>
      </c>
      <c r="CU19" t="inlineStr">
        <is>
          <t>cognition; energy support; metabolic support</t>
        </is>
      </c>
      <c r="CV19" t="inlineStr">
        <is>
          <t>Human</t>
        </is>
      </c>
      <c r="CW19" t="inlineStr">
        <is>
          <t>Pass 26 normalization: categories, mechanisms, evidence tiers</t>
        </is>
      </c>
      <c r="CX19" t="inlineStr">
        <is>
          <t>Human + preclinical</t>
        </is>
      </c>
      <c r="CY19" t="inlineStr">
        <is>
          <t>Use caution with stimulant sensitivity, anxiety, or insomnia-prone contexts.</t>
        </is>
      </c>
      <c r="CZ19" t="inlineStr">
        <is>
          <t>May stack strongly with caffeine-heavy or stimulant-heavy formulas</t>
        </is>
      </c>
      <c r="DA19" t="inlineStr">
        <is>
          <t>Use caution in uncontrolled blood pressure-sensitive contexts</t>
        </is>
      </c>
      <c r="DB19" t="inlineStr">
        <is>
          <t>Pass 28 normalized evidence and safety-related free text</t>
        </is>
      </c>
      <c r="DD19" t="inlineStr">
        <is>
          <t>No standardized dose established; use conservative, product-dependent ranges.</t>
        </is>
      </c>
      <c r="DE19" t="inlineStr">
        <is>
          <t>Common forms include extracts, powders, or teas depending on herb part.</t>
        </is>
      </c>
      <c r="DF19" t="inlineStr">
        <is>
          <t>Quality varies by extraction method, standardization, and contamination risk.</t>
        </is>
      </c>
      <c r="DG19" t="inlineStr">
        <is>
          <t>Moderate to high</t>
        </is>
      </c>
      <c r="DH19" t="inlineStr">
        <is>
          <t>Pass 29 completeness repair</t>
        </is>
      </c>
      <c r="DI19" t="n">
        <v>9</v>
      </c>
      <c r="DJ19" t="inlineStr">
        <is>
          <t>Metabolic</t>
        </is>
      </c>
      <c r="DK19" t="inlineStr">
        <is>
          <t>caffeine</t>
        </is>
      </c>
      <c r="DL19" t="inlineStr">
        <is>
          <t>Ashitaba; Banaba; Curry Leaf; Eucommia; Kuding Tea</t>
        </is>
      </c>
      <c r="DM19" t="inlineStr">
        <is>
          <t>Pass 31 relationship intelligence: density, cluster, anchor class, nearest herbs</t>
        </is>
      </c>
      <c r="DN19" t="inlineStr">
        <is>
          <t>Ashitaba; Banaba; Curry Leaf; Eucommia; Kuding Tea</t>
        </is>
      </c>
      <c r="DO19" t="inlineStr">
        <is>
          <t>Ashitaba (1 shared pathways) | Banaba (1 shared pathways) | Curry Leaf (1 shared pathways)</t>
        </is>
      </c>
      <c r="DP19" t="inlineStr">
        <is>
          <t>Metabolic</t>
        </is>
      </c>
      <c r="DQ19" t="inlineStr">
        <is>
          <t>Pass 32 substitute engine + cluster cleanup</t>
        </is>
      </c>
      <c r="DR19" t="inlineStr">
        <is>
          <t>Ashitaba</t>
        </is>
      </c>
      <c r="DS19" t="inlineStr">
        <is>
          <t>Banaba</t>
        </is>
      </c>
      <c r="DT19" t="inlineStr">
        <is>
          <t>same cluster; lower safety burden; similarity-backed</t>
        </is>
      </c>
      <c r="DU19" t="inlineStr">
        <is>
          <t>Not needed</t>
        </is>
      </c>
      <c r="DV19" t="inlineStr">
        <is>
          <t>Pass 33 fallback replacement engine</t>
        </is>
      </c>
      <c r="DW19" t="inlineStr">
        <is>
          <t>Curry Leaf</t>
        </is>
      </c>
      <c r="DX19" t="inlineStr">
        <is>
          <t>Ashitaba; Banaba; Curry Leaf; Eucommia; Kuding Tea</t>
        </is>
      </c>
      <c r="DY19" t="inlineStr">
        <is>
          <t>Pass 35 expanded fallback pool with second-pass candidate exploration</t>
        </is>
      </c>
      <c r="EG19" t="n">
        <v>6</v>
      </c>
      <c r="EH19" t="n">
        <v>6</v>
      </c>
      <c r="EI19" t="n">
        <v>0</v>
      </c>
      <c r="EJ19" t="n">
        <v>0</v>
      </c>
      <c r="EK19" t="n">
        <v>20</v>
      </c>
      <c r="EL19" t="n">
        <v>13</v>
      </c>
      <c r="EM19" t="inlineStr">
        <is>
          <t>Caffeine</t>
        </is>
      </c>
      <c r="EN19" t="inlineStr">
        <is>
          <t>Pass 48 rolled compound scores into herb-level scoring</t>
        </is>
      </c>
    </row>
    <row r="20">
      <c r="A20" s="68" t="inlineStr">
        <is>
          <t>Yerba Mate</t>
        </is>
      </c>
      <c r="B20" s="68" t="inlineStr">
        <is>
          <t>yerba-mate</t>
        </is>
      </c>
      <c r="C20" s="68" t="inlineStr">
        <is>
          <t>Ilex paraguariensis</t>
        </is>
      </c>
      <c r="D20" s="68" t="inlineStr">
        <is>
          <t>herb</t>
        </is>
      </c>
      <c r="E20" s="68" t="inlineStr">
        <is>
          <t>plant</t>
        </is>
      </c>
      <c r="F20" s="68" t="inlineStr">
        <is>
          <t>leaf</t>
        </is>
      </c>
      <c r="G20" s="68" t="inlineStr">
        <is>
          <t>Yerba Mate</t>
        </is>
      </c>
      <c r="H20" s="68" t="inlineStr">
        <is>
          <t>global</t>
        </is>
      </c>
      <c r="I20" s="68" t="inlineStr">
        <is>
          <t>Yerba Mate positioned for primary functional support.</t>
        </is>
      </c>
      <c r="J20" s="68" t="inlineStr">
        <is>
          <t>Conservative evidence framing applied.</t>
        </is>
      </c>
      <c r="K20" s="68" t="inlineStr">
        <is>
          <t>caffeine; polyphenols</t>
        </is>
      </c>
      <c r="L20" s="68" t="inlineStr">
        <is>
          <t>caffeine</t>
        </is>
      </c>
      <c r="M20" s="68" t="inlineStr">
        <is>
          <t>Mechanistic activity supported by mixed evidence.</t>
        </is>
      </c>
      <c r="N20" s="68" t="inlineStr">
        <is>
          <t>energy support; cognition; metabolic support</t>
        </is>
      </c>
      <c r="O20" s="68" t="inlineStr">
        <is>
          <t>mixed human-preclinical</t>
        </is>
      </c>
      <c r="P20" s="68" t="inlineStr">
        <is>
          <t>Use caution with stimulant sensitivity or insomnia-prone contexts.</t>
        </is>
      </c>
      <c r="Q20" s="68" t="inlineStr">
        <is>
          <t>May stack strongly with caffeine-heavy formulas.</t>
        </is>
      </c>
      <c r="R20" s="68" t="inlineStr">
        <is>
          <t>Use caution in uncontrolled blood pressure-sensitive contexts.</t>
        </is>
      </c>
      <c r="S20" s="68" t="n"/>
      <c r="T20" s="68" t="n"/>
      <c r="U20" s="68" t="n"/>
      <c r="V20" s="68" t="n"/>
      <c r="W20" s="68" t="inlineStr">
        <is>
          <t>High</t>
        </is>
      </c>
      <c r="X20" s="68" t="inlineStr">
        <is>
          <t>validated</t>
        </is>
      </c>
      <c r="Y20" s="68" t="n"/>
      <c r="Z20" s="68" t="inlineStr">
        <is>
          <t>present</t>
        </is>
      </c>
      <c r="AA20" s="68" t="inlineStr">
        <is>
          <t>Internal workbook + enrichment queue</t>
        </is>
      </c>
      <c r="AB20" s="68" t="n"/>
      <c r="AC20" s="68" t="n"/>
      <c r="AD20" s="68" t="n"/>
      <c r="AE20" s="68" t="n"/>
      <c r="AF20" s="68" t="n"/>
      <c r="AG20" s="68" t="n">
        <v>3</v>
      </c>
      <c r="AH20" s="68" t="n">
        <v>1</v>
      </c>
      <c r="AI20" s="68" t="n">
        <v>3</v>
      </c>
      <c r="AJ20" s="68" t="n">
        <v>7</v>
      </c>
      <c r="AK20" s="68" t="inlineStr">
        <is>
          <t>Medium</t>
        </is>
      </c>
      <c r="AL20" s="68" t="n"/>
      <c r="AM20" s="68" t="inlineStr">
        <is>
          <t>Linked primary/secondary</t>
        </is>
      </c>
      <c r="AN20" s="68" t="n">
        <v>0.9</v>
      </c>
      <c r="AO20" s="68" t="inlineStr">
        <is>
          <t>Near ready</t>
        </is>
      </c>
      <c r="AP20" s="68" t="n"/>
      <c r="AQ20" s="68" t="n"/>
      <c r="AR20" s="68" t="inlineStr">
        <is>
          <t>Editorial polish</t>
        </is>
      </c>
      <c r="AS20" s="68" t="inlineStr">
        <is>
          <t>Not started</t>
        </is>
      </c>
      <c r="AT20" s="68" t="n"/>
      <c r="AU20" s="68" t="n"/>
      <c r="AV20" s="68" t="n"/>
      <c r="AW20" s="68" t="n"/>
      <c r="AX20" s="68" t="n"/>
      <c r="AY20" s="68" t="n"/>
      <c r="AZ20" s="68" t="n"/>
      <c r="BA20" s="68" t="n"/>
      <c r="BB20" s="68" t="n"/>
      <c r="BC20" s="68" t="n"/>
      <c r="BD20" s="68" t="n"/>
      <c r="BE20" s="68" t="inlineStr">
        <is>
          <t>2026-04-10</t>
        </is>
      </c>
      <c r="BF20" s="68" t="inlineStr">
        <is>
          <t>Metadata normalized from internal workbook links</t>
        </is>
      </c>
      <c r="BG20" s="68" t="inlineStr">
        <is>
          <t>yerba-mate|2026-04-10</t>
        </is>
      </c>
      <c r="BH20" s="68" t="inlineStr">
        <is>
          <t>2026-04-10:auto-normalized</t>
        </is>
      </c>
      <c r="BI20" t="inlineStr">
        <is>
          <t>yerba-mate</t>
        </is>
      </c>
      <c r="BJ20" t="inlineStr">
        <is>
          <t>Yerba Mate</t>
        </is>
      </c>
      <c r="BK20" t="n">
        <v>1</v>
      </c>
      <c r="BL20" t="n">
        <v>1</v>
      </c>
      <c r="BM20" t="n">
        <v>3</v>
      </c>
      <c r="BN20" t="n">
        <v>7</v>
      </c>
      <c r="BO20" t="n">
        <v>100</v>
      </c>
      <c r="BP20" t="n">
        <v>8</v>
      </c>
      <c r="BQ20" t="n">
        <v>10</v>
      </c>
      <c r="BR20" t="n">
        <v>5</v>
      </c>
      <c r="BS20" t="inlineStr">
        <is>
          <t>Tier 1</t>
        </is>
      </c>
      <c r="BT20" t="n">
        <v>5</v>
      </c>
      <c r="BU20" t="inlineStr">
        <is>
          <t>FALSE</t>
        </is>
      </c>
      <c r="BV20" t="inlineStr">
        <is>
          <t>yerba-mate</t>
        </is>
      </c>
      <c r="BW20" t="inlineStr">
        <is>
          <t>TRUE</t>
        </is>
      </c>
      <c r="BX20" t="inlineStr">
        <is>
          <t>Pass 10 refreshed scoring from 1 mapped compounds | Pass 13 rescored from 1 mapped compounds</t>
        </is>
      </c>
      <c r="BY20" t="inlineStr">
        <is>
          <t>unclassified</t>
        </is>
      </c>
      <c r="CA20" t="n">
        <v>2</v>
      </c>
      <c r="CB20" t="n">
        <v>0</v>
      </c>
      <c r="CC20" t="n">
        <v>0</v>
      </c>
      <c r="CD20" t="inlineStr">
        <is>
          <t>apigenin; unclassified</t>
        </is>
      </c>
      <c r="CE20" t="inlineStr">
        <is>
          <t>Pass 13 rescored after herb-name normalization and real top-herb compound sweep</t>
        </is>
      </c>
      <c r="CF20" t="inlineStr">
        <is>
          <t>General</t>
        </is>
      </c>
      <c r="CH20" s="68" t="inlineStr">
        <is>
          <t>Start low; usually daytime use</t>
        </is>
      </c>
      <c r="CI20" s="68" t="inlineStr">
        <is>
          <t>Product-ideation framing only; not clinical dosing advice.</t>
        </is>
      </c>
      <c r="CJ20" s="68" t="inlineStr">
        <is>
          <t>blood-pressure</t>
        </is>
      </c>
      <c r="CK20" s="68" t="str"/>
      <c r="CL20" s="68" t="inlineStr">
        <is>
          <t>Baseline</t>
        </is>
      </c>
      <c r="CM20" s="68" t="inlineStr">
        <is>
          <t>No</t>
        </is>
      </c>
      <c r="CN20" s="68" t="str"/>
      <c r="CO20" s="68" t="inlineStr">
        <is>
          <t>Pass 21 herb-level safety and dose framing</t>
        </is>
      </c>
      <c r="CP20" t="inlineStr">
        <is>
          <t>Baseline</t>
        </is>
      </c>
      <c r="CQ20" t="inlineStr">
        <is>
          <t>No</t>
        </is>
      </c>
      <c r="CS20" t="inlineStr">
        <is>
          <t>Pass 22 refined safety rule severity and reduced broad keyword over-flagging</t>
        </is>
      </c>
      <c r="CT20" t="inlineStr">
        <is>
          <t>Metabolic Support</t>
        </is>
      </c>
      <c r="CU20" t="inlineStr">
        <is>
          <t>cognition; energy support; metabolic support</t>
        </is>
      </c>
      <c r="CV20" t="inlineStr">
        <is>
          <t>Human</t>
        </is>
      </c>
      <c r="CW20" t="inlineStr">
        <is>
          <t>Pass 26 normalization: categories, mechanisms, evidence tiers</t>
        </is>
      </c>
      <c r="CX20" t="inlineStr">
        <is>
          <t>Human + preclinical</t>
        </is>
      </c>
      <c r="CY20" t="inlineStr">
        <is>
          <t>Use caution with stimulant sensitivity or insomnia-prone contexts.</t>
        </is>
      </c>
      <c r="CZ20" t="inlineStr">
        <is>
          <t>May stack strongly with caffeine-heavy formulas</t>
        </is>
      </c>
      <c r="DA20" t="inlineStr">
        <is>
          <t>Use caution in uncontrolled blood pressure-sensitive contexts</t>
        </is>
      </c>
      <c r="DB20" t="inlineStr">
        <is>
          <t>Pass 28 normalized evidence and safety-related free text</t>
        </is>
      </c>
      <c r="DD20" t="inlineStr">
        <is>
          <t>No standardized dose established; use conservative, product-dependent ranges.</t>
        </is>
      </c>
      <c r="DE20" t="inlineStr">
        <is>
          <t>Common forms include extracts, powders, or teas depending on herb part.</t>
        </is>
      </c>
      <c r="DF20" t="inlineStr">
        <is>
          <t>Quality varies by extraction method, standardization, and contamination risk.</t>
        </is>
      </c>
      <c r="DG20" t="inlineStr">
        <is>
          <t>Moderate to high</t>
        </is>
      </c>
      <c r="DH20" t="inlineStr">
        <is>
          <t>Pass 29 completeness repair</t>
        </is>
      </c>
      <c r="DI20" t="n">
        <v>9</v>
      </c>
      <c r="DJ20" t="inlineStr">
        <is>
          <t>Metabolic</t>
        </is>
      </c>
      <c r="DK20" t="inlineStr">
        <is>
          <t>apigenin</t>
        </is>
      </c>
      <c r="DL20" t="inlineStr">
        <is>
          <t>Ashitaba; Banaba; Curry Leaf; Eucommia; Guarana</t>
        </is>
      </c>
      <c r="DM20" t="inlineStr">
        <is>
          <t>Pass 31 relationship intelligence: density, cluster, anchor class, nearest herbs</t>
        </is>
      </c>
      <c r="DN20" t="inlineStr">
        <is>
          <t>Guarana</t>
        </is>
      </c>
      <c r="DO20" t="inlineStr">
        <is>
          <t>Guarana (1 shared pathways)</t>
        </is>
      </c>
      <c r="DP20" t="inlineStr">
        <is>
          <t>Metabolic</t>
        </is>
      </c>
      <c r="DQ20" t="inlineStr">
        <is>
          <t>Pass 32 substitute engine + cluster cleanup</t>
        </is>
      </c>
      <c r="DR20" t="inlineStr">
        <is>
          <t>Guarana</t>
        </is>
      </c>
      <c r="DT20" t="inlineStr">
        <is>
          <t>same cluster; lower safety burden; similarity-backed</t>
        </is>
      </c>
      <c r="DU20" t="inlineStr">
        <is>
          <t>Not needed</t>
        </is>
      </c>
      <c r="DV20" t="inlineStr">
        <is>
          <t>Pass 33 fallback replacement engine</t>
        </is>
      </c>
      <c r="DW20" t="inlineStr">
        <is>
          <t>Banaba</t>
        </is>
      </c>
      <c r="DX20" t="inlineStr">
        <is>
          <t>Guarana; Ashitaba; Banaba; Curry Leaf; Eucommia; Kuding Tea</t>
        </is>
      </c>
      <c r="DY20" t="inlineStr">
        <is>
          <t>Pass 35 expanded fallback pool with second-pass candidate exploration</t>
        </is>
      </c>
      <c r="EG20" t="n">
        <v>6</v>
      </c>
      <c r="EH20" t="n">
        <v>6</v>
      </c>
      <c r="EI20" t="n">
        <v>0</v>
      </c>
      <c r="EJ20" t="n">
        <v>0</v>
      </c>
      <c r="EK20" t="n">
        <v>20</v>
      </c>
      <c r="EL20" t="n">
        <v>13</v>
      </c>
      <c r="EM20" t="inlineStr">
        <is>
          <t>Apigenin</t>
        </is>
      </c>
      <c r="EN20" t="inlineStr">
        <is>
          <t>Pass 48 rolled compound scores into herb-level scoring</t>
        </is>
      </c>
    </row>
    <row r="21">
      <c r="A21" s="68" t="inlineStr">
        <is>
          <t>Damiana</t>
        </is>
      </c>
      <c r="B21" s="68" t="inlineStr">
        <is>
          <t>damiana</t>
        </is>
      </c>
      <c r="C21" s="68" t="inlineStr">
        <is>
          <t>Turnera diffusa</t>
        </is>
      </c>
      <c r="D21" s="68" t="inlineStr">
        <is>
          <t>herb</t>
        </is>
      </c>
      <c r="E21" s="68" t="inlineStr">
        <is>
          <t>plant</t>
        </is>
      </c>
      <c r="F21" s="68" t="inlineStr">
        <is>
          <t>leaf</t>
        </is>
      </c>
      <c r="G21" s="68" t="inlineStr">
        <is>
          <t>Damiana</t>
        </is>
      </c>
      <c r="H21" s="68" t="inlineStr">
        <is>
          <t>global</t>
        </is>
      </c>
      <c r="I21" s="68" t="inlineStr">
        <is>
          <t>Damiana positioned for primary functional support.</t>
        </is>
      </c>
      <c r="J21" s="68" t="inlineStr">
        <is>
          <t>Conservative evidence framing applied.</t>
        </is>
      </c>
      <c r="K21" s="68" t="inlineStr">
        <is>
          <t>flavonoids</t>
        </is>
      </c>
      <c r="L21" s="68" t="inlineStr">
        <is>
          <t>apigenin</t>
        </is>
      </c>
      <c r="M21" s="68" t="inlineStr">
        <is>
          <t>Mechanistic activity supported by mixed evidence.</t>
        </is>
      </c>
      <c r="N21" s="68" t="inlineStr">
        <is>
          <t>mood support; calming support; libido support</t>
        </is>
      </c>
      <c r="O21" s="68" t="inlineStr">
        <is>
          <t>traditional-preclinical</t>
        </is>
      </c>
      <c r="P21" s="68" t="inlineStr">
        <is>
          <t>General use caution; review stimulating vs calming stack context.</t>
        </is>
      </c>
      <c r="Q21" s="68" t="inlineStr">
        <is>
          <t>Use caution in complex mood stacks.</t>
        </is>
      </c>
      <c r="R21" s="68" t="inlineStr">
        <is>
          <t>Use caution in pregnancy-sensitive contexts.</t>
        </is>
      </c>
      <c r="S21" s="68" t="n"/>
      <c r="T21" s="68" t="n"/>
      <c r="U21" s="68" t="n"/>
      <c r="V21" s="68" t="n"/>
      <c r="W21" s="68" t="inlineStr">
        <is>
          <t>High</t>
        </is>
      </c>
      <c r="X21" s="68" t="inlineStr">
        <is>
          <t>validated</t>
        </is>
      </c>
      <c r="Y21" s="68" t="n"/>
      <c r="Z21" s="68" t="inlineStr">
        <is>
          <t>present</t>
        </is>
      </c>
      <c r="AA21" s="68" t="inlineStr">
        <is>
          <t>Internal workbook + enrichment queue</t>
        </is>
      </c>
      <c r="AB21" s="68" t="n"/>
      <c r="AC21" s="68" t="n"/>
      <c r="AD21" s="68" t="n"/>
      <c r="AE21" s="68" t="n"/>
      <c r="AF21" s="68" t="n"/>
      <c r="AG21" s="68" t="n">
        <v>3</v>
      </c>
      <c r="AH21" s="68" t="n">
        <v>1</v>
      </c>
      <c r="AI21" s="68" t="n">
        <v>3</v>
      </c>
      <c r="AJ21" s="68" t="n">
        <v>7</v>
      </c>
      <c r="AK21" s="68" t="inlineStr">
        <is>
          <t>Medium</t>
        </is>
      </c>
      <c r="AL21" s="68" t="n"/>
      <c r="AM21" s="68" t="inlineStr">
        <is>
          <t>Linked primary/secondary</t>
        </is>
      </c>
      <c r="AN21" s="68" t="n">
        <v>0.9</v>
      </c>
      <c r="AO21" s="68" t="inlineStr">
        <is>
          <t>Near ready</t>
        </is>
      </c>
      <c r="AP21" s="68" t="n"/>
      <c r="AQ21" s="68" t="n"/>
      <c r="AR21" s="68" t="inlineStr">
        <is>
          <t>Editorial polish</t>
        </is>
      </c>
      <c r="AS21" s="68" t="inlineStr">
        <is>
          <t>Not started</t>
        </is>
      </c>
      <c r="AT21" s="68" t="n"/>
      <c r="AU21" s="68" t="n"/>
      <c r="AV21" s="68" t="n"/>
      <c r="AW21" s="68" t="n"/>
      <c r="AX21" s="68" t="n"/>
      <c r="AY21" s="68" t="n"/>
      <c r="AZ21" s="68" t="n"/>
      <c r="BA21" s="68" t="n"/>
      <c r="BB21" s="68" t="n"/>
      <c r="BC21" s="68" t="n"/>
      <c r="BD21" s="68" t="n"/>
      <c r="BE21" s="68" t="inlineStr">
        <is>
          <t>2026-04-10</t>
        </is>
      </c>
      <c r="BF21" s="68" t="inlineStr">
        <is>
          <t>Metadata normalized from internal workbook links</t>
        </is>
      </c>
      <c r="BG21" s="68" t="inlineStr">
        <is>
          <t>damiana|2026-04-10</t>
        </is>
      </c>
      <c r="BH21" s="68" t="inlineStr">
        <is>
          <t>2026-04-10:auto-normalized</t>
        </is>
      </c>
      <c r="BI21" t="inlineStr">
        <is>
          <t>damiana</t>
        </is>
      </c>
      <c r="BJ21" t="inlineStr">
        <is>
          <t>Damiana</t>
        </is>
      </c>
      <c r="BK21" t="n">
        <v>1</v>
      </c>
      <c r="BL21" t="n">
        <v>1</v>
      </c>
      <c r="BM21" t="n">
        <v>3</v>
      </c>
      <c r="BN21" t="n">
        <v>7</v>
      </c>
      <c r="BO21" t="n">
        <v>100</v>
      </c>
      <c r="BP21" t="n">
        <v>8</v>
      </c>
      <c r="BQ21" t="n">
        <v>10</v>
      </c>
      <c r="BR21" t="n">
        <v>5</v>
      </c>
      <c r="BS21" t="inlineStr">
        <is>
          <t>Tier 1</t>
        </is>
      </c>
      <c r="BT21" t="n">
        <v>5</v>
      </c>
      <c r="BU21" t="inlineStr">
        <is>
          <t>FALSE</t>
        </is>
      </c>
      <c r="BV21" t="inlineStr">
        <is>
          <t>damiana</t>
        </is>
      </c>
      <c r="BW21" t="inlineStr">
        <is>
          <t>TRUE</t>
        </is>
      </c>
      <c r="BX21" t="inlineStr">
        <is>
          <t>Pass 10 refreshed scoring from 1 mapped compounds | Pass 13 rescored from 1 mapped compounds</t>
        </is>
      </c>
      <c r="BY21" t="inlineStr">
        <is>
          <t>unclassified</t>
        </is>
      </c>
      <c r="CA21" t="n">
        <v>2</v>
      </c>
      <c r="CB21" t="n">
        <v>0</v>
      </c>
      <c r="CC21" t="n">
        <v>0</v>
      </c>
      <c r="CD21" t="inlineStr">
        <is>
          <t>nuciferine; unclassified</t>
        </is>
      </c>
      <c r="CE21" t="inlineStr">
        <is>
          <t>Pass 13 rescored after herb-name normalization and real top-herb compound sweep</t>
        </is>
      </c>
      <c r="CF21" t="inlineStr">
        <is>
          <t>General</t>
        </is>
      </c>
      <c r="CH21" s="68" t="inlineStr">
        <is>
          <t>Start with low single-herb exposure and increase only if tolerated</t>
        </is>
      </c>
      <c r="CI21" s="68" t="inlineStr">
        <is>
          <t>Product-ideation framing only; not clinical dosing advice.</t>
        </is>
      </c>
      <c r="CJ21" s="68" t="inlineStr">
        <is>
          <t>pregnancy</t>
        </is>
      </c>
      <c r="CK21" s="68" t="inlineStr">
        <is>
          <t>pregnancy</t>
        </is>
      </c>
      <c r="CL21" s="68" t="inlineStr">
        <is>
          <t>Baseline</t>
        </is>
      </c>
      <c r="CM21" s="68" t="inlineStr">
        <is>
          <t>No</t>
        </is>
      </c>
      <c r="CN21" s="68" t="str"/>
      <c r="CO21" s="68" t="inlineStr">
        <is>
          <t>Pass 21 herb-level safety and dose framing</t>
        </is>
      </c>
      <c r="CP21" t="inlineStr">
        <is>
          <t>Baseline</t>
        </is>
      </c>
      <c r="CQ21" t="inlineStr">
        <is>
          <t>No</t>
        </is>
      </c>
      <c r="CS21" t="inlineStr">
        <is>
          <t>Pass 22 refined safety rule severity and reduced broad keyword over-flagging</t>
        </is>
      </c>
      <c r="CT21" t="inlineStr">
        <is>
          <t>General</t>
        </is>
      </c>
      <c r="CU21" t="inlineStr">
        <is>
          <t>calming support; libido support; mood support</t>
        </is>
      </c>
      <c r="CV21" t="inlineStr">
        <is>
          <t>Preclinical</t>
        </is>
      </c>
      <c r="CW21" t="inlineStr">
        <is>
          <t>Pass 26 normalization: categories, mechanisms, evidence tiers</t>
        </is>
      </c>
      <c r="CX21" t="inlineStr">
        <is>
          <t>Preclinical</t>
        </is>
      </c>
      <c r="CY21" t="inlineStr">
        <is>
          <t>General use caution; review stimulating vs calming stack context.</t>
        </is>
      </c>
      <c r="CZ21" t="inlineStr">
        <is>
          <t>Use caution in complex mood stacks</t>
        </is>
      </c>
      <c r="DA21" t="inlineStr">
        <is>
          <t>Use caution in pregnancy-sensitive contexts</t>
        </is>
      </c>
      <c r="DB21" t="inlineStr">
        <is>
          <t>Pass 28 normalized evidence and safety-related free text</t>
        </is>
      </c>
      <c r="DD21" t="inlineStr">
        <is>
          <t>No standardized dose established; use conservative, product-dependent ranges.</t>
        </is>
      </c>
      <c r="DE21" t="inlineStr">
        <is>
          <t>Common forms include extracts, powders, or teas depending on herb part.</t>
        </is>
      </c>
      <c r="DF21" t="inlineStr">
        <is>
          <t>Quality varies by extraction method, standardization, and contamination risk.</t>
        </is>
      </c>
      <c r="DG21" t="inlineStr">
        <is>
          <t>Low to moderate</t>
        </is>
      </c>
      <c r="DH21" t="inlineStr">
        <is>
          <t>Pass 29 completeness repair</t>
        </is>
      </c>
      <c r="DI21" t="n">
        <v>9</v>
      </c>
      <c r="DJ21" t="inlineStr">
        <is>
          <t>General</t>
        </is>
      </c>
      <c r="DK21" t="inlineStr">
        <is>
          <t>nuciferine</t>
        </is>
      </c>
      <c r="DL21" t="inlineStr">
        <is>
          <t>Blue Lotus; Agarikon; Ajwain; Angelica Root; Artichoke</t>
        </is>
      </c>
      <c r="DM21" t="inlineStr">
        <is>
          <t>Pass 31 relationship intelligence: density, cluster, anchor class, nearest herbs</t>
        </is>
      </c>
      <c r="DN21" t="inlineStr">
        <is>
          <t>Blue Lotus; Agarikon; Ajwain; Angelica Root; Artichoke</t>
        </is>
      </c>
      <c r="DO21" t="inlineStr">
        <is>
          <t>Blue Lotus (1 shared compounds; 1 shared pathways) | Agarikon (1 shared pathways) | Ajwain (1 shared pathways)</t>
        </is>
      </c>
      <c r="DP21" t="inlineStr">
        <is>
          <t>Generalist</t>
        </is>
      </c>
      <c r="DQ21" t="inlineStr">
        <is>
          <t>Pass 32 substitute engine + cluster cleanup</t>
        </is>
      </c>
      <c r="DR21" t="inlineStr">
        <is>
          <t>Agarikon</t>
        </is>
      </c>
      <c r="DS21" t="inlineStr">
        <is>
          <t>Ajwain</t>
        </is>
      </c>
      <c r="DT21" t="inlineStr">
        <is>
          <t>same cluster; lower safety burden; similarity-backed</t>
        </is>
      </c>
      <c r="DU21" t="inlineStr">
        <is>
          <t>Not needed</t>
        </is>
      </c>
      <c r="DV21" t="inlineStr">
        <is>
          <t>Pass 33 fallback replacement engine</t>
        </is>
      </c>
      <c r="DW21" t="inlineStr">
        <is>
          <t>Angelica Root</t>
        </is>
      </c>
      <c r="DX21" t="inlineStr">
        <is>
          <t>Agarikon; Ajwain; Angelica Root; Blue Lotus; Ashoka; Artichoke; Rosemary; Sage</t>
        </is>
      </c>
      <c r="DY21" t="inlineStr">
        <is>
          <t>Pass 35 expanded fallback pool with second-pass candidate exploration</t>
        </is>
      </c>
      <c r="EA21" t="inlineStr">
        <is>
          <t>General</t>
        </is>
      </c>
      <c r="EB21" t="inlineStr">
        <is>
          <t>unclassified</t>
        </is>
      </c>
      <c r="EC21" t="inlineStr">
        <is>
          <t>High</t>
        </is>
      </c>
      <c r="ED21" t="inlineStr">
        <is>
          <t>Pass 40 reinforced weak-category herb data</t>
        </is>
      </c>
      <c r="EG21" t="n">
        <v>3</v>
      </c>
      <c r="EH21" t="n">
        <v>3</v>
      </c>
      <c r="EI21" t="n">
        <v>0</v>
      </c>
      <c r="EJ21" t="n">
        <v>0</v>
      </c>
      <c r="EK21" t="n">
        <v>11</v>
      </c>
      <c r="EL21" t="n">
        <v>7</v>
      </c>
      <c r="EM21" t="inlineStr">
        <is>
          <t>nuciferine</t>
        </is>
      </c>
      <c r="EN21" t="inlineStr">
        <is>
          <t>Pass 48 rolled compound scores into herb-level scoring</t>
        </is>
      </c>
    </row>
    <row r="22">
      <c r="A22" s="68" t="inlineStr">
        <is>
          <t>Blue Lotus</t>
        </is>
      </c>
      <c r="B22" s="68" t="inlineStr">
        <is>
          <t>blue-lotus</t>
        </is>
      </c>
      <c r="C22" s="68" t="inlineStr">
        <is>
          <t>Nymphaea caerulea</t>
        </is>
      </c>
      <c r="D22" s="68" t="inlineStr">
        <is>
          <t>herb</t>
        </is>
      </c>
      <c r="E22" s="68" t="inlineStr">
        <is>
          <t>plant</t>
        </is>
      </c>
      <c r="F22" s="68" t="inlineStr">
        <is>
          <t>flower</t>
        </is>
      </c>
      <c r="G22" s="68" t="inlineStr">
        <is>
          <t>Blue Lotus</t>
        </is>
      </c>
      <c r="H22" s="68" t="inlineStr">
        <is>
          <t>global</t>
        </is>
      </c>
      <c r="I22" s="68" t="inlineStr">
        <is>
          <t>Blue Lotus positioned for primary functional support.</t>
        </is>
      </c>
      <c r="J22" s="68" t="inlineStr">
        <is>
          <t>Conservative evidence framing applied.</t>
        </is>
      </c>
      <c r="K22" s="68" t="inlineStr">
        <is>
          <t>aporphine alkaloids</t>
        </is>
      </c>
      <c r="L22" s="68" t="inlineStr">
        <is>
          <t>nuciferine</t>
        </is>
      </c>
      <c r="M22" s="68" t="inlineStr">
        <is>
          <t>Mechanistic activity supported by mixed evidence.</t>
        </is>
      </c>
      <c r="N22" s="68" t="inlineStr">
        <is>
          <t>calming support; mood support; sleep support</t>
        </is>
      </c>
      <c r="O22" s="68" t="inlineStr">
        <is>
          <t>traditional-preclinical</t>
        </is>
      </c>
      <c r="P22" s="68" t="inlineStr">
        <is>
          <t>Use caution with sedative-sensitive contexts and stacked calming formulas.</t>
        </is>
      </c>
      <c r="Q22" s="68" t="inlineStr">
        <is>
          <t>May compound sedative effects in calming/sleep stacks.</t>
        </is>
      </c>
      <c r="R22" s="68" t="inlineStr">
        <is>
          <t>Avoid high-sedation contexts without clear need.</t>
        </is>
      </c>
      <c r="S22" s="68" t="n"/>
      <c r="T22" s="68" t="n"/>
      <c r="U22" s="68" t="n"/>
      <c r="V22" s="68" t="n"/>
      <c r="W22" s="68" t="inlineStr">
        <is>
          <t>High</t>
        </is>
      </c>
      <c r="X22" s="68" t="inlineStr">
        <is>
          <t>validated</t>
        </is>
      </c>
      <c r="Y22" s="68" t="n"/>
      <c r="Z22" s="68" t="inlineStr">
        <is>
          <t>present</t>
        </is>
      </c>
      <c r="AA22" s="68" t="inlineStr">
        <is>
          <t>Internal workbook + enrichment queue</t>
        </is>
      </c>
      <c r="AB22" s="68" t="n"/>
      <c r="AC22" s="68" t="n"/>
      <c r="AD22" s="68" t="n"/>
      <c r="AE22" s="68" t="n"/>
      <c r="AF22" s="68" t="n"/>
      <c r="AG22" s="68" t="n">
        <v>3</v>
      </c>
      <c r="AH22" s="68" t="n">
        <v>1</v>
      </c>
      <c r="AI22" s="68" t="n">
        <v>3</v>
      </c>
      <c r="AJ22" s="68" t="n">
        <v>7</v>
      </c>
      <c r="AK22" s="68" t="inlineStr">
        <is>
          <t>Medium</t>
        </is>
      </c>
      <c r="AL22" s="68" t="n"/>
      <c r="AM22" s="68" t="inlineStr">
        <is>
          <t>Linked primary/secondary</t>
        </is>
      </c>
      <c r="AN22" s="68" t="n">
        <v>0.9</v>
      </c>
      <c r="AO22" s="68" t="inlineStr">
        <is>
          <t>Near ready</t>
        </is>
      </c>
      <c r="AP22" s="68" t="n"/>
      <c r="AQ22" s="68" t="n"/>
      <c r="AR22" s="68" t="inlineStr">
        <is>
          <t>Editorial polish</t>
        </is>
      </c>
      <c r="AS22" s="68" t="inlineStr">
        <is>
          <t>Not started</t>
        </is>
      </c>
      <c r="AT22" s="68" t="n"/>
      <c r="AU22" s="68" t="n"/>
      <c r="AV22" s="68" t="n"/>
      <c r="AW22" s="68" t="n"/>
      <c r="AX22" s="68" t="n"/>
      <c r="AY22" s="68" t="n"/>
      <c r="AZ22" s="68" t="n"/>
      <c r="BA22" s="68" t="n"/>
      <c r="BB22" s="68" t="n"/>
      <c r="BC22" s="68" t="n"/>
      <c r="BD22" s="68" t="n"/>
      <c r="BE22" s="68" t="inlineStr">
        <is>
          <t>2026-04-10</t>
        </is>
      </c>
      <c r="BF22" s="68" t="inlineStr">
        <is>
          <t>Metadata normalized from internal workbook links</t>
        </is>
      </c>
      <c r="BG22" s="68" t="inlineStr">
        <is>
          <t>blue-lotus|2026-04-10</t>
        </is>
      </c>
      <c r="BH22" s="68" t="inlineStr">
        <is>
          <t>2026-04-10:auto-normalized</t>
        </is>
      </c>
      <c r="BI22" t="inlineStr">
        <is>
          <t>blue-lotus</t>
        </is>
      </c>
      <c r="BJ22" t="inlineStr">
        <is>
          <t>Blue Lotus</t>
        </is>
      </c>
      <c r="BK22" t="n">
        <v>5</v>
      </c>
      <c r="BL22" t="n">
        <v>1</v>
      </c>
      <c r="BM22" t="n">
        <v>3</v>
      </c>
      <c r="BN22" t="n">
        <v>20</v>
      </c>
      <c r="BO22" t="n">
        <v>100</v>
      </c>
      <c r="BP22" t="n">
        <v>42</v>
      </c>
      <c r="BQ22" t="n">
        <v>10</v>
      </c>
      <c r="BR22" t="n">
        <v>25</v>
      </c>
      <c r="BS22" t="inlineStr">
        <is>
          <t>Tier 1</t>
        </is>
      </c>
      <c r="BT22" t="n">
        <v>18</v>
      </c>
      <c r="BU22" t="inlineStr">
        <is>
          <t>FALSE</t>
        </is>
      </c>
      <c r="BV22" t="inlineStr">
        <is>
          <t>blue-lotus</t>
        </is>
      </c>
      <c r="BW22" t="inlineStr">
        <is>
          <t>TRUE</t>
        </is>
      </c>
      <c r="BX22" t="inlineStr">
        <is>
          <t>Pass 10 refreshed scoring from 1 mapped compounds | Pass 13 rescored from 5 mapped compounds</t>
        </is>
      </c>
      <c r="BY22" t="inlineStr">
        <is>
          <t>unclassified</t>
        </is>
      </c>
      <c r="CA22" t="n">
        <v>10</v>
      </c>
      <c r="CB22" t="n">
        <v>0</v>
      </c>
      <c r="CC22" t="n">
        <v>0</v>
      </c>
      <c r="CD22" t="inlineStr">
        <is>
          <t>apomorphine; nuciferine; puerarin; unclassified</t>
        </is>
      </c>
      <c r="CE22" t="inlineStr">
        <is>
          <t>Pass 13 rescored after herb-name normalization and real top-herb compound sweep</t>
        </is>
      </c>
      <c r="CF22" t="inlineStr">
        <is>
          <t>General</t>
        </is>
      </c>
      <c r="CH22" s="68" t="inlineStr">
        <is>
          <t>Start low; usually evening or split use</t>
        </is>
      </c>
      <c r="CI22" s="68" t="inlineStr">
        <is>
          <t>Prefer evening or split dosing; avoid stacking with other sedative-heavy products by default.</t>
        </is>
      </c>
      <c r="CJ22" s="68" t="inlineStr">
        <is>
          <t>sedation-cns</t>
        </is>
      </c>
      <c r="CK22" s="68" t="str"/>
      <c r="CL22" s="68" t="inlineStr">
        <is>
          <t>Baseline</t>
        </is>
      </c>
      <c r="CM22" s="68" t="inlineStr">
        <is>
          <t>No</t>
        </is>
      </c>
      <c r="CN22" s="68" t="str"/>
      <c r="CO22" s="68" t="inlineStr">
        <is>
          <t>Pass 21 herb-level safety and dose framing</t>
        </is>
      </c>
      <c r="CP22" t="inlineStr">
        <is>
          <t>Baseline</t>
        </is>
      </c>
      <c r="CQ22" t="inlineStr">
        <is>
          <t>No</t>
        </is>
      </c>
      <c r="CS22" t="inlineStr">
        <is>
          <t>Pass 22 refined safety rule severity and reduced broad keyword over-flagging</t>
        </is>
      </c>
      <c r="CT22" t="inlineStr">
        <is>
          <t>General</t>
        </is>
      </c>
      <c r="CU22" t="inlineStr">
        <is>
          <t>calming support; mood support; sleep support</t>
        </is>
      </c>
      <c r="CV22" t="inlineStr">
        <is>
          <t>Preclinical</t>
        </is>
      </c>
      <c r="CW22" t="inlineStr">
        <is>
          <t>Pass 26 normalization: categories, mechanisms, evidence tiers</t>
        </is>
      </c>
      <c r="CX22" t="inlineStr">
        <is>
          <t>Preclinical</t>
        </is>
      </c>
      <c r="CY22" t="inlineStr">
        <is>
          <t>Use caution with sedative-sensitive contexts and stacked calming formulas.</t>
        </is>
      </c>
      <c r="CZ22" t="inlineStr">
        <is>
          <t>May compound sedative effects in calming/sleep stacks</t>
        </is>
      </c>
      <c r="DA22" t="inlineStr">
        <is>
          <t>Avoid high-sedation contexts without clear need</t>
        </is>
      </c>
      <c r="DB22" t="inlineStr">
        <is>
          <t>Pass 28 normalized evidence and safety-related free text</t>
        </is>
      </c>
      <c r="DD22" t="inlineStr">
        <is>
          <t>No standardized dose established; use conservative, product-dependent ranges.</t>
        </is>
      </c>
      <c r="DE22" t="inlineStr">
        <is>
          <t>Common forms include extracts, powders, or teas depending on herb part.</t>
        </is>
      </c>
      <c r="DF22" t="inlineStr">
        <is>
          <t>Quality varies by extraction method, standardization, and contamination risk.</t>
        </is>
      </c>
      <c r="DG22" t="inlineStr">
        <is>
          <t>Low to moderate</t>
        </is>
      </c>
      <c r="DH22" t="inlineStr">
        <is>
          <t>Pass 29 completeness repair</t>
        </is>
      </c>
      <c r="DI22" t="n">
        <v>33</v>
      </c>
      <c r="DJ22" t="inlineStr">
        <is>
          <t>General</t>
        </is>
      </c>
      <c r="DK22" t="inlineStr">
        <is>
          <t>apomorphine</t>
        </is>
      </c>
      <c r="DL22" t="inlineStr">
        <is>
          <t>Damiana; Agarikon; Ajwain; Angelica Root; Artichoke</t>
        </is>
      </c>
      <c r="DM22" t="inlineStr">
        <is>
          <t>Pass 31 relationship intelligence: density, cluster, anchor class, nearest herbs</t>
        </is>
      </c>
      <c r="DN22" t="inlineStr">
        <is>
          <t>Damiana; Agarikon; Ajwain; Angelica Root; Artichoke</t>
        </is>
      </c>
      <c r="DO22" t="inlineStr">
        <is>
          <t>Damiana (1 shared compounds; 1 shared pathways) | Agarikon (1 shared pathways) | Ajwain (1 shared pathways)</t>
        </is>
      </c>
      <c r="DP22" t="inlineStr">
        <is>
          <t>Generalist</t>
        </is>
      </c>
      <c r="DQ22" t="inlineStr">
        <is>
          <t>Pass 32 substitute engine + cluster cleanup</t>
        </is>
      </c>
      <c r="DR22" t="inlineStr">
        <is>
          <t>Agarikon</t>
        </is>
      </c>
      <c r="DS22" t="inlineStr">
        <is>
          <t>Ajwain</t>
        </is>
      </c>
      <c r="DT22" t="inlineStr">
        <is>
          <t>same cluster; lower safety burden; similarity-backed</t>
        </is>
      </c>
      <c r="DU22" t="inlineStr">
        <is>
          <t>Not needed</t>
        </is>
      </c>
      <c r="DV22" t="inlineStr">
        <is>
          <t>Pass 33 fallback replacement engine</t>
        </is>
      </c>
      <c r="DW22" t="inlineStr">
        <is>
          <t>Angelica Root</t>
        </is>
      </c>
      <c r="DX22" t="inlineStr">
        <is>
          <t>Agarikon; Ajwain; Angelica Root; Damiana; Ashoka; Artichoke; Rosemary; Sage</t>
        </is>
      </c>
      <c r="DY22" t="inlineStr">
        <is>
          <t>Pass 35 expanded fallback pool with second-pass candidate exploration</t>
        </is>
      </c>
      <c r="EA22" t="inlineStr">
        <is>
          <t>General</t>
        </is>
      </c>
      <c r="EB22" t="inlineStr">
        <is>
          <t>unclassified</t>
        </is>
      </c>
      <c r="EC22" t="inlineStr">
        <is>
          <t>High</t>
        </is>
      </c>
      <c r="ED22" t="inlineStr">
        <is>
          <t>Pass 40 reinforced weak-category herb data</t>
        </is>
      </c>
      <c r="EG22" t="n">
        <v>9</v>
      </c>
      <c r="EH22" t="n">
        <v>3</v>
      </c>
      <c r="EI22" t="n">
        <v>0</v>
      </c>
      <c r="EJ22" t="n">
        <v>0</v>
      </c>
      <c r="EK22" t="n">
        <v>21</v>
      </c>
      <c r="EL22" t="n">
        <v>14</v>
      </c>
      <c r="EM22" t="inlineStr">
        <is>
          <t>apomorphine; nuciferine; puerarin</t>
        </is>
      </c>
      <c r="EN22" t="inlineStr">
        <is>
          <t>Pass 48 rolled compound scores into herb-level scoring</t>
        </is>
      </c>
    </row>
    <row r="23">
      <c r="A23" s="68" t="inlineStr">
        <is>
          <t>Kudzu</t>
        </is>
      </c>
      <c r="B23" s="68" t="inlineStr">
        <is>
          <t>kudzu</t>
        </is>
      </c>
      <c r="C23" s="68" t="inlineStr">
        <is>
          <t>Pueraria lobata</t>
        </is>
      </c>
      <c r="D23" s="68" t="inlineStr">
        <is>
          <t>herb</t>
        </is>
      </c>
      <c r="E23" s="68" t="inlineStr">
        <is>
          <t>plant</t>
        </is>
      </c>
      <c r="F23" s="68" t="inlineStr">
        <is>
          <t>root</t>
        </is>
      </c>
      <c r="G23" s="68" t="inlineStr">
        <is>
          <t>Kudzu</t>
        </is>
      </c>
      <c r="H23" s="68" t="inlineStr">
        <is>
          <t>global</t>
        </is>
      </c>
      <c r="I23" s="68" t="inlineStr">
        <is>
          <t>Kudzu positioned for primary functional support.</t>
        </is>
      </c>
      <c r="J23" s="68" t="inlineStr">
        <is>
          <t>Conservative evidence framing applied.</t>
        </is>
      </c>
      <c r="K23" s="68" t="inlineStr">
        <is>
          <t>isoflavones</t>
        </is>
      </c>
      <c r="L23" s="68" t="inlineStr">
        <is>
          <t>puerarin</t>
        </is>
      </c>
      <c r="M23" s="68" t="inlineStr">
        <is>
          <t>Mechanistic activity supported by mixed evidence.</t>
        </is>
      </c>
      <c r="N23" s="68" t="inlineStr">
        <is>
          <t>multi-domain</t>
        </is>
      </c>
      <c r="O23" s="68" t="inlineStr">
        <is>
          <t>mixed</t>
        </is>
      </c>
      <c r="P23" s="68" t="inlineStr">
        <is>
          <t>Generally well tolerated.</t>
        </is>
      </c>
      <c r="Q23" s="68" t="inlineStr">
        <is>
          <t>Use caution in stacked contexts.</t>
        </is>
      </c>
      <c r="R23" s="68" t="n"/>
      <c r="S23" s="68" t="n"/>
      <c r="T23" s="68" t="n"/>
      <c r="U23" s="68" t="n"/>
      <c r="V23" s="68" t="n"/>
      <c r="W23" s="68" t="inlineStr">
        <is>
          <t>High</t>
        </is>
      </c>
      <c r="X23" s="68" t="inlineStr">
        <is>
          <t>partial</t>
        </is>
      </c>
      <c r="Y23" s="68" t="n"/>
      <c r="Z23" s="68" t="inlineStr">
        <is>
          <t>present</t>
        </is>
      </c>
      <c r="AA23" s="68" t="inlineStr">
        <is>
          <t>Internal workbook + enrichment queue</t>
        </is>
      </c>
      <c r="AB23" s="68" t="n"/>
      <c r="AC23" s="68" t="n"/>
      <c r="AD23" s="68" t="n"/>
      <c r="AE23" s="68" t="n"/>
      <c r="AF23" s="68" t="n"/>
      <c r="AG23" s="68" t="n">
        <v>3</v>
      </c>
      <c r="AH23" s="68" t="n">
        <v>1</v>
      </c>
      <c r="AI23" s="68" t="n">
        <v>3</v>
      </c>
      <c r="AJ23" s="68" t="n">
        <v>7</v>
      </c>
      <c r="AK23" s="68" t="inlineStr">
        <is>
          <t>Medium</t>
        </is>
      </c>
      <c r="AL23" s="68" t="n"/>
      <c r="AM23" s="68" t="inlineStr">
        <is>
          <t>Linked primary/secondary</t>
        </is>
      </c>
      <c r="AN23" s="68" t="n">
        <v>0.9</v>
      </c>
      <c r="AO23" s="68" t="inlineStr">
        <is>
          <t>Near ready</t>
        </is>
      </c>
      <c r="AP23" s="68" t="n"/>
      <c r="AQ23" s="68" t="n"/>
      <c r="AR23" s="68" t="inlineStr">
        <is>
          <t>Editorial polish</t>
        </is>
      </c>
      <c r="AS23" s="68" t="inlineStr">
        <is>
          <t>Not started</t>
        </is>
      </c>
      <c r="AT23" s="68" t="n"/>
      <c r="AU23" s="68" t="n"/>
      <c r="AV23" s="68" t="n"/>
      <c r="AW23" s="68" t="n"/>
      <c r="AX23" s="68" t="n"/>
      <c r="AY23" s="68" t="n"/>
      <c r="AZ23" s="68" t="n"/>
      <c r="BA23" s="68" t="n"/>
      <c r="BB23" s="68" t="n"/>
      <c r="BC23" s="68" t="n"/>
      <c r="BD23" s="68" t="n"/>
      <c r="BE23" s="68" t="inlineStr">
        <is>
          <t>2026-04-10</t>
        </is>
      </c>
      <c r="BF23" s="68" t="inlineStr">
        <is>
          <t>Metadata normalized from internal workbook links</t>
        </is>
      </c>
      <c r="BG23" s="68" t="inlineStr">
        <is>
          <t>kudzu|2026-04-10</t>
        </is>
      </c>
      <c r="BH23" s="68" t="inlineStr">
        <is>
          <t>2026-04-10:auto-normalized</t>
        </is>
      </c>
      <c r="BI23" t="inlineStr">
        <is>
          <t>kudzu</t>
        </is>
      </c>
      <c r="BJ23" t="inlineStr">
        <is>
          <t>Kudzu</t>
        </is>
      </c>
      <c r="BK23" t="n">
        <v>1</v>
      </c>
      <c r="BL23" t="n">
        <v>1</v>
      </c>
      <c r="BM23" t="n">
        <v>2</v>
      </c>
      <c r="BN23" t="n">
        <v>7</v>
      </c>
      <c r="BO23" t="n">
        <v>100</v>
      </c>
      <c r="BP23" t="n">
        <v>8</v>
      </c>
      <c r="BQ23" t="n">
        <v>10</v>
      </c>
      <c r="BR23" t="n">
        <v>5</v>
      </c>
      <c r="BS23" t="inlineStr">
        <is>
          <t>Tier 1</t>
        </is>
      </c>
      <c r="BT23" t="n">
        <v>5</v>
      </c>
      <c r="BU23" t="inlineStr">
        <is>
          <t>FALSE</t>
        </is>
      </c>
      <c r="BV23" t="inlineStr">
        <is>
          <t>kudzu</t>
        </is>
      </c>
      <c r="BW23" t="inlineStr">
        <is>
          <t>TRUE</t>
        </is>
      </c>
      <c r="BX23" t="inlineStr">
        <is>
          <t>Pass 10 refreshed scoring from 1 mapped compounds | Pass 13 rescored from 1 mapped compounds</t>
        </is>
      </c>
      <c r="BY23" t="inlineStr">
        <is>
          <t>unclassified</t>
        </is>
      </c>
      <c r="CA23" t="n">
        <v>2</v>
      </c>
      <c r="CB23" t="n">
        <v>0</v>
      </c>
      <c r="CC23" t="n">
        <v>0</v>
      </c>
      <c r="CD23" t="inlineStr">
        <is>
          <t>parthenolide; unclassified</t>
        </is>
      </c>
      <c r="CE23" t="inlineStr">
        <is>
          <t>Pass 13 rescored after herb-name normalization and real top-herb compound sweep</t>
        </is>
      </c>
      <c r="CF23" t="inlineStr">
        <is>
          <t>General</t>
        </is>
      </c>
      <c r="CH23" s="68" t="inlineStr">
        <is>
          <t>Start with low single-herb exposure and increase only if tolerated</t>
        </is>
      </c>
      <c r="CI23" s="68" t="inlineStr">
        <is>
          <t>Product-ideation framing only; not clinical dosing advice.</t>
        </is>
      </c>
      <c r="CJ23" s="68" t="str"/>
      <c r="CK23" s="68" t="str"/>
      <c r="CL23" s="68" t="inlineStr">
        <is>
          <t>Baseline</t>
        </is>
      </c>
      <c r="CM23" s="68" t="inlineStr">
        <is>
          <t>No</t>
        </is>
      </c>
      <c r="CN23" s="68" t="str"/>
      <c r="CO23" s="68" t="inlineStr">
        <is>
          <t>Pass 21 herb-level safety and dose framing</t>
        </is>
      </c>
      <c r="CP23" t="inlineStr">
        <is>
          <t>Baseline</t>
        </is>
      </c>
      <c r="CQ23" t="inlineStr">
        <is>
          <t>No</t>
        </is>
      </c>
      <c r="CS23" t="inlineStr">
        <is>
          <t>Pass 22 refined safety rule severity and reduced broad keyword over-flagging</t>
        </is>
      </c>
      <c r="CT23" t="inlineStr">
        <is>
          <t>General</t>
        </is>
      </c>
      <c r="CU23" t="inlineStr">
        <is>
          <t>multi-domain</t>
        </is>
      </c>
      <c r="CV23" t="inlineStr">
        <is>
          <t>Unknown</t>
        </is>
      </c>
      <c r="CW23" t="inlineStr">
        <is>
          <t>Pass 26 normalization: categories, mechanisms, evidence tiers</t>
        </is>
      </c>
      <c r="CX23" t="inlineStr">
        <is>
          <t>Mixed</t>
        </is>
      </c>
      <c r="CY23" t="inlineStr">
        <is>
          <t>Generally well tolerated.</t>
        </is>
      </c>
      <c r="CZ23" t="inlineStr">
        <is>
          <t>Use caution in stacked contexts</t>
        </is>
      </c>
      <c r="DB23" t="inlineStr">
        <is>
          <t>Pass 28 normalized evidence and safety-related free text</t>
        </is>
      </c>
      <c r="DD23" t="inlineStr">
        <is>
          <t>No standardized dose established; use conservative, product-dependent ranges.</t>
        </is>
      </c>
      <c r="DE23" t="inlineStr">
        <is>
          <t>Common forms include extracts, powders, or teas depending on herb part.</t>
        </is>
      </c>
      <c r="DF23" t="inlineStr">
        <is>
          <t>Quality varies by extraction method, standardization, and contamination risk.</t>
        </is>
      </c>
      <c r="DG23" t="inlineStr">
        <is>
          <t>Low</t>
        </is>
      </c>
      <c r="DH23" t="inlineStr">
        <is>
          <t>Pass 29 completeness repair</t>
        </is>
      </c>
      <c r="DI23" t="n">
        <v>9</v>
      </c>
      <c r="DJ23" t="inlineStr">
        <is>
          <t>General</t>
        </is>
      </c>
      <c r="DK23" t="inlineStr">
        <is>
          <t>parthenolide</t>
        </is>
      </c>
      <c r="DL23" t="inlineStr">
        <is>
          <t>Agarikon; Ajwain; Angelica Root; Artichoke; Ashoka</t>
        </is>
      </c>
      <c r="DM23" t="inlineStr">
        <is>
          <t>Pass 31 relationship intelligence: density, cluster, anchor class, nearest herbs</t>
        </is>
      </c>
      <c r="DN23" t="inlineStr">
        <is>
          <t>Blue Lotus; Damiana; Garlic; Ginger</t>
        </is>
      </c>
      <c r="DO23" t="inlineStr">
        <is>
          <t>Blue Lotus (1 shared pathways) | Damiana (1 shared pathways) | Garlic (1 shared pathways)</t>
        </is>
      </c>
      <c r="DP23" t="inlineStr">
        <is>
          <t>Generalist</t>
        </is>
      </c>
      <c r="DQ23" t="inlineStr">
        <is>
          <t>Pass 32 substitute engine + cluster cleanup</t>
        </is>
      </c>
      <c r="DR23" t="inlineStr">
        <is>
          <t>Blue Lotus</t>
        </is>
      </c>
      <c r="DS23" t="inlineStr">
        <is>
          <t>Damiana</t>
        </is>
      </c>
      <c r="DT23" t="inlineStr">
        <is>
          <t>same cluster; lower safety burden; similarity-backed</t>
        </is>
      </c>
      <c r="DU23" t="inlineStr">
        <is>
          <t>Not needed</t>
        </is>
      </c>
      <c r="DV23" t="inlineStr">
        <is>
          <t>Pass 33 fallback replacement engine</t>
        </is>
      </c>
      <c r="DW23" t="inlineStr">
        <is>
          <t>Agarikon</t>
        </is>
      </c>
      <c r="DX23" t="inlineStr">
        <is>
          <t>Blue Lotus; Damiana; Agarikon; Ajwain; Angelica Root; Artichoke</t>
        </is>
      </c>
      <c r="DY23" t="inlineStr">
        <is>
          <t>Pass 35 expanded fallback pool with second-pass candidate exploration</t>
        </is>
      </c>
      <c r="EA23" t="inlineStr">
        <is>
          <t>General</t>
        </is>
      </c>
      <c r="EB23" t="inlineStr">
        <is>
          <t>unclassified</t>
        </is>
      </c>
      <c r="EC23" t="inlineStr">
        <is>
          <t>High</t>
        </is>
      </c>
      <c r="ED23" t="inlineStr">
        <is>
          <t>Pass 40 reinforced weak-category herb data</t>
        </is>
      </c>
      <c r="EG23" t="n">
        <v>3</v>
      </c>
      <c r="EH23" t="n">
        <v>3</v>
      </c>
      <c r="EI23" t="n">
        <v>0</v>
      </c>
      <c r="EJ23" t="n">
        <v>0</v>
      </c>
      <c r="EK23" t="n">
        <v>11</v>
      </c>
      <c r="EL23" t="n">
        <v>7</v>
      </c>
      <c r="EM23" t="inlineStr">
        <is>
          <t>parthenolide</t>
        </is>
      </c>
      <c r="EN23" t="inlineStr">
        <is>
          <t>Pass 48 rolled compound scores into herb-level scoring</t>
        </is>
      </c>
    </row>
    <row r="24">
      <c r="A24" s="68" t="inlineStr">
        <is>
          <t>Yarrow</t>
        </is>
      </c>
      <c r="B24" s="68" t="inlineStr">
        <is>
          <t>yarrow</t>
        </is>
      </c>
      <c r="C24" s="68" t="inlineStr">
        <is>
          <t>Achillea millefolium</t>
        </is>
      </c>
      <c r="D24" s="68" t="inlineStr">
        <is>
          <t>herb</t>
        </is>
      </c>
      <c r="E24" s="68" t="inlineStr">
        <is>
          <t>plant</t>
        </is>
      </c>
      <c r="F24" s="68" t="inlineStr">
        <is>
          <t>aerial</t>
        </is>
      </c>
      <c r="G24" s="68" t="inlineStr">
        <is>
          <t>Yarrow</t>
        </is>
      </c>
      <c r="H24" s="68" t="inlineStr">
        <is>
          <t>global</t>
        </is>
      </c>
      <c r="I24" s="68" t="inlineStr">
        <is>
          <t>Yarrow positioned for primary functional support.</t>
        </is>
      </c>
      <c r="J24" s="68" t="inlineStr">
        <is>
          <t>Conservative evidence framing applied.</t>
        </is>
      </c>
      <c r="K24" s="68" t="inlineStr">
        <is>
          <t>flavonoids</t>
        </is>
      </c>
      <c r="L24" s="68" t="inlineStr">
        <is>
          <t>apigenin</t>
        </is>
      </c>
      <c r="M24" s="68" t="inlineStr">
        <is>
          <t>Mechanistic activity supported by mixed evidence.</t>
        </is>
      </c>
      <c r="N24" s="68" t="inlineStr">
        <is>
          <t>digestive support; anti-inflammatory; women's health</t>
        </is>
      </c>
      <c r="O24" s="68" t="inlineStr">
        <is>
          <t>traditional-preclinical</t>
        </is>
      </c>
      <c r="P24" s="68" t="inlineStr">
        <is>
          <t>Review interactions and contraindications.</t>
        </is>
      </c>
      <c r="Q24" s="68" t="inlineStr">
        <is>
          <t>Use caution in anticoagulant-sensitive or complex women's health stacks.</t>
        </is>
      </c>
      <c r="R24" s="68" t="inlineStr">
        <is>
          <t>Use caution in pregnancy-sensitive contexts.</t>
        </is>
      </c>
      <c r="S24" s="68" t="n"/>
      <c r="T24" s="68" t="n"/>
      <c r="U24" s="68" t="n"/>
      <c r="V24" s="68" t="n"/>
      <c r="W24" s="68" t="inlineStr">
        <is>
          <t>High</t>
        </is>
      </c>
      <c r="X24" s="68" t="inlineStr">
        <is>
          <t>validated</t>
        </is>
      </c>
      <c r="Y24" s="68" t="n"/>
      <c r="Z24" s="68" t="inlineStr">
        <is>
          <t>present</t>
        </is>
      </c>
      <c r="AA24" s="68" t="inlineStr">
        <is>
          <t>Internal workbook + enrichment queue</t>
        </is>
      </c>
      <c r="AB24" s="68" t="n"/>
      <c r="AC24" s="68" t="n"/>
      <c r="AD24" s="68" t="n"/>
      <c r="AE24" s="68" t="n"/>
      <c r="AF24" s="68" t="n"/>
      <c r="AG24" s="68" t="n">
        <v>3</v>
      </c>
      <c r="AH24" s="68" t="n">
        <v>1</v>
      </c>
      <c r="AI24" s="68" t="n">
        <v>3</v>
      </c>
      <c r="AJ24" s="68" t="n">
        <v>7</v>
      </c>
      <c r="AK24" s="68" t="inlineStr">
        <is>
          <t>Medium</t>
        </is>
      </c>
      <c r="AL24" s="68" t="n"/>
      <c r="AM24" s="68" t="inlineStr">
        <is>
          <t>Linked primary/secondary</t>
        </is>
      </c>
      <c r="AN24" s="68" t="n">
        <v>0.9</v>
      </c>
      <c r="AO24" s="68" t="inlineStr">
        <is>
          <t>Near ready</t>
        </is>
      </c>
      <c r="AP24" s="68" t="n"/>
      <c r="AQ24" s="68" t="n"/>
      <c r="AR24" s="68" t="inlineStr">
        <is>
          <t>Editorial polish</t>
        </is>
      </c>
      <c r="AS24" s="68" t="inlineStr">
        <is>
          <t>Not started</t>
        </is>
      </c>
      <c r="AT24" s="68" t="n"/>
      <c r="AU24" s="68" t="n"/>
      <c r="AV24" s="68" t="n"/>
      <c r="AW24" s="68" t="n"/>
      <c r="AX24" s="68" t="n"/>
      <c r="AY24" s="68" t="n"/>
      <c r="AZ24" s="68" t="n"/>
      <c r="BA24" s="68" t="n"/>
      <c r="BB24" s="68" t="n"/>
      <c r="BC24" s="68" t="n"/>
      <c r="BD24" s="68" t="n"/>
      <c r="BE24" s="68" t="inlineStr">
        <is>
          <t>2026-04-10</t>
        </is>
      </c>
      <c r="BF24" s="68" t="inlineStr">
        <is>
          <t>Metadata normalized from internal workbook links</t>
        </is>
      </c>
      <c r="BG24" s="68" t="inlineStr">
        <is>
          <t>yarrow|2026-04-10</t>
        </is>
      </c>
      <c r="BH24" s="68" t="inlineStr">
        <is>
          <t>2026-04-10:auto-normalized</t>
        </is>
      </c>
      <c r="BI24" t="inlineStr">
        <is>
          <t>yarrow</t>
        </is>
      </c>
      <c r="BJ24" t="inlineStr">
        <is>
          <t>Yarrow</t>
        </is>
      </c>
      <c r="BK24" t="n">
        <v>1</v>
      </c>
      <c r="BL24" t="n">
        <v>1</v>
      </c>
      <c r="BM24" t="n">
        <v>3</v>
      </c>
      <c r="BN24" t="n">
        <v>7</v>
      </c>
      <c r="BO24" t="n">
        <v>100</v>
      </c>
      <c r="BP24" t="n">
        <v>8</v>
      </c>
      <c r="BQ24" t="n">
        <v>10</v>
      </c>
      <c r="BR24" t="n">
        <v>5</v>
      </c>
      <c r="BS24" t="inlineStr">
        <is>
          <t>Tier 1</t>
        </is>
      </c>
      <c r="BT24" t="n">
        <v>5</v>
      </c>
      <c r="BU24" t="inlineStr">
        <is>
          <t>FALSE</t>
        </is>
      </c>
      <c r="BV24" t="inlineStr">
        <is>
          <t>yarrow</t>
        </is>
      </c>
      <c r="BW24" t="inlineStr">
        <is>
          <t>TRUE</t>
        </is>
      </c>
      <c r="BX24" t="inlineStr">
        <is>
          <t>Pass 10 refreshed scoring from 1 mapped compounds | Pass 13 rescored from 1 mapped compounds</t>
        </is>
      </c>
      <c r="BY24" t="inlineStr">
        <is>
          <t>unclassified</t>
        </is>
      </c>
      <c r="CA24" t="n">
        <v>2</v>
      </c>
      <c r="CB24" t="n">
        <v>0</v>
      </c>
      <c r="CC24" t="n">
        <v>0</v>
      </c>
      <c r="CD24" t="inlineStr">
        <is>
          <t>petasin; unclassified</t>
        </is>
      </c>
      <c r="CE24" t="inlineStr">
        <is>
          <t>Pass 13 rescored after herb-name normalization and real top-herb compound sweep</t>
        </is>
      </c>
      <c r="CF24" t="inlineStr">
        <is>
          <t>General</t>
        </is>
      </c>
      <c r="CH24" s="68" t="inlineStr">
        <is>
          <t>Start with low single-herb exposure and increase only if tolerated</t>
        </is>
      </c>
      <c r="CI24" s="68" t="inlineStr">
        <is>
          <t>Keep conservative around surgery, anticoagulants, or antiplatelet use.</t>
        </is>
      </c>
      <c r="CJ24" s="68" t="inlineStr">
        <is>
          <t>bleeding-risk; pregnancy</t>
        </is>
      </c>
      <c r="CK24" s="68" t="inlineStr">
        <is>
          <t>pregnancy</t>
        </is>
      </c>
      <c r="CL24" s="68" t="inlineStr">
        <is>
          <t>Moderate</t>
        </is>
      </c>
      <c r="CM24" s="68" t="inlineStr">
        <is>
          <t>No</t>
        </is>
      </c>
      <c r="CN24" s="68" t="str"/>
      <c r="CO24" s="68" t="inlineStr">
        <is>
          <t>Pass 21 herb-level safety and dose framing</t>
        </is>
      </c>
      <c r="CP24" t="inlineStr">
        <is>
          <t>Moderate</t>
        </is>
      </c>
      <c r="CQ24" t="inlineStr">
        <is>
          <t>No</t>
        </is>
      </c>
      <c r="CS24" t="inlineStr">
        <is>
          <t>Pass 22 refined safety rule severity and reduced broad keyword over-flagging</t>
        </is>
      </c>
      <c r="CT24" t="inlineStr">
        <is>
          <t>General</t>
        </is>
      </c>
      <c r="CU24" t="inlineStr">
        <is>
          <t>anti-inflammatory; digestive support; women's health</t>
        </is>
      </c>
      <c r="CV24" t="inlineStr">
        <is>
          <t>Preclinical</t>
        </is>
      </c>
      <c r="CW24" t="inlineStr">
        <is>
          <t>Pass 26 normalization: categories, mechanisms, evidence tiers</t>
        </is>
      </c>
      <c r="CX24" t="inlineStr">
        <is>
          <t>Preclinical</t>
        </is>
      </c>
      <c r="CY24" t="inlineStr">
        <is>
          <t>Review interactions and contraindications.</t>
        </is>
      </c>
      <c r="CZ24" t="inlineStr">
        <is>
          <t>Use caution in anticoagulant-sensitive or complex women's health stacks</t>
        </is>
      </c>
      <c r="DA24" t="inlineStr">
        <is>
          <t>Use caution in pregnancy-sensitive contexts</t>
        </is>
      </c>
      <c r="DB24" t="inlineStr">
        <is>
          <t>Pass 28 normalized evidence and safety-related free text</t>
        </is>
      </c>
      <c r="DD24" t="inlineStr">
        <is>
          <t>No standardized dose established; use conservative, product-dependent ranges.</t>
        </is>
      </c>
      <c r="DE24" t="inlineStr">
        <is>
          <t>Common forms include extracts, powders, or teas depending on herb part.</t>
        </is>
      </c>
      <c r="DF24" t="inlineStr">
        <is>
          <t>Quality varies by extraction method, standardization, and contamination risk.</t>
        </is>
      </c>
      <c r="DG24" t="inlineStr">
        <is>
          <t>Low to moderate</t>
        </is>
      </c>
      <c r="DH24" t="inlineStr">
        <is>
          <t>Pass 29 completeness repair</t>
        </is>
      </c>
      <c r="DI24" t="n">
        <v>9</v>
      </c>
      <c r="DJ24" t="inlineStr">
        <is>
          <t>General</t>
        </is>
      </c>
      <c r="DK24" t="inlineStr">
        <is>
          <t>petasin</t>
        </is>
      </c>
      <c r="DL24" t="inlineStr">
        <is>
          <t>Agarikon; Ajwain; Angelica Root; Artichoke; Ashoka</t>
        </is>
      </c>
      <c r="DM24" t="inlineStr">
        <is>
          <t>Pass 31 relationship intelligence: density, cluster, anchor class, nearest herbs</t>
        </is>
      </c>
      <c r="DN24" t="inlineStr">
        <is>
          <t>Blue Lotus; Damiana; Garlic; Ginger</t>
        </is>
      </c>
      <c r="DO24" t="inlineStr">
        <is>
          <t>Blue Lotus (1 shared pathways) | Damiana (1 shared pathways) | Garlic (1 shared pathways)</t>
        </is>
      </c>
      <c r="DP24" t="inlineStr">
        <is>
          <t>Generalist</t>
        </is>
      </c>
      <c r="DQ24" t="inlineStr">
        <is>
          <t>Pass 32 substitute engine + cluster cleanup</t>
        </is>
      </c>
      <c r="DR24" t="inlineStr">
        <is>
          <t>Blue Lotus</t>
        </is>
      </c>
      <c r="DS24" t="inlineStr">
        <is>
          <t>Damiana</t>
        </is>
      </c>
      <c r="DT24" t="inlineStr">
        <is>
          <t>same cluster; lower safety burden; similarity-backed</t>
        </is>
      </c>
      <c r="DU24" t="inlineStr">
        <is>
          <t>Optional</t>
        </is>
      </c>
      <c r="DV24" t="inlineStr">
        <is>
          <t>Pass 33 fallback replacement engine</t>
        </is>
      </c>
      <c r="DW24" t="inlineStr">
        <is>
          <t>Agarikon</t>
        </is>
      </c>
      <c r="DX24" t="inlineStr">
        <is>
          <t>Blue Lotus; Damiana; Agarikon; Ajwain; Angelica Root; Artichoke</t>
        </is>
      </c>
      <c r="DY24" t="inlineStr">
        <is>
          <t>Pass 35 expanded fallback pool with second-pass candidate exploration</t>
        </is>
      </c>
      <c r="EA24" t="inlineStr">
        <is>
          <t>General</t>
        </is>
      </c>
      <c r="EB24" t="inlineStr">
        <is>
          <t>unclassified</t>
        </is>
      </c>
      <c r="EC24" t="inlineStr">
        <is>
          <t>High</t>
        </is>
      </c>
      <c r="ED24" t="inlineStr">
        <is>
          <t>Pass 40 reinforced weak-category herb data</t>
        </is>
      </c>
      <c r="EG24" t="n">
        <v>3</v>
      </c>
      <c r="EH24" t="n">
        <v>3</v>
      </c>
      <c r="EI24" t="n">
        <v>0</v>
      </c>
      <c r="EJ24" t="n">
        <v>0</v>
      </c>
      <c r="EK24" t="n">
        <v>11</v>
      </c>
      <c r="EL24" t="n">
        <v>7</v>
      </c>
      <c r="EM24" t="inlineStr">
        <is>
          <t>petasin</t>
        </is>
      </c>
      <c r="EN24" t="inlineStr">
        <is>
          <t>Pass 48 rolled compound scores into herb-level scoring</t>
        </is>
      </c>
    </row>
    <row r="25">
      <c r="A25" s="68" t="inlineStr">
        <is>
          <t>Feverfew</t>
        </is>
      </c>
      <c r="B25" s="68" t="inlineStr">
        <is>
          <t>feverfew</t>
        </is>
      </c>
      <c r="C25" s="68" t="inlineStr">
        <is>
          <t>Tanacetum parthenium</t>
        </is>
      </c>
      <c r="D25" s="68" t="inlineStr">
        <is>
          <t>herb</t>
        </is>
      </c>
      <c r="E25" s="68" t="inlineStr">
        <is>
          <t>plant</t>
        </is>
      </c>
      <c r="F25" s="68" t="inlineStr">
        <is>
          <t>leaf</t>
        </is>
      </c>
      <c r="G25" s="68" t="inlineStr">
        <is>
          <t>Feverfew</t>
        </is>
      </c>
      <c r="H25" s="68" t="inlineStr">
        <is>
          <t>global</t>
        </is>
      </c>
      <c r="I25" s="68" t="inlineStr">
        <is>
          <t>Feverfew positioned for primary functional support.</t>
        </is>
      </c>
      <c r="J25" s="68" t="inlineStr">
        <is>
          <t>Conservative evidence framing applied.</t>
        </is>
      </c>
      <c r="K25" s="68" t="inlineStr">
        <is>
          <t>parthenolide; flavonoids</t>
        </is>
      </c>
      <c r="L25" s="68" t="inlineStr">
        <is>
          <t>parthenolide</t>
        </is>
      </c>
      <c r="M25" s="68" t="inlineStr">
        <is>
          <t>Mechanistic activity supported by mixed evidence.</t>
        </is>
      </c>
      <c r="N25" s="68" t="inlineStr">
        <is>
          <t>inflammation support; headache support; vascular modulation</t>
        </is>
      </c>
      <c r="O25" s="68" t="inlineStr">
        <is>
          <t>mixed human-preclinical</t>
        </is>
      </c>
      <c r="P25" s="68" t="inlineStr">
        <is>
          <t>Review interactions and contraindications</t>
        </is>
      </c>
      <c r="Q25" s="68" t="inlineStr">
        <is>
          <t>May interact with anticoagulant-sensitive contexts</t>
        </is>
      </c>
      <c r="R25" s="68" t="inlineStr">
        <is>
          <t>Use caution in pregnancy-sensitive and surgery-sensitive contexts</t>
        </is>
      </c>
      <c r="S25" s="68" t="n"/>
      <c r="T25" s="68" t="n"/>
      <c r="U25" s="68" t="n"/>
      <c r="V25" s="68" t="n"/>
      <c r="W25" s="68" t="inlineStr">
        <is>
          <t>medium</t>
        </is>
      </c>
      <c r="X25" s="68" t="inlineStr">
        <is>
          <t>validated</t>
        </is>
      </c>
      <c r="Y25" s="68" t="n"/>
      <c r="Z25" s="68" t="inlineStr">
        <is>
          <t>present</t>
        </is>
      </c>
      <c r="AA25" s="68" t="inlineStr">
        <is>
          <t>Internal workbook + enrichment queue</t>
        </is>
      </c>
      <c r="AB25" s="68" t="n"/>
      <c r="AC25" s="68" t="n"/>
      <c r="AD25" s="68" t="n"/>
      <c r="AE25" s="68" t="n"/>
      <c r="AF25" s="68" t="n"/>
      <c r="AG25" s="68" t="n">
        <v>3</v>
      </c>
      <c r="AH25" s="68" t="n">
        <v>1</v>
      </c>
      <c r="AI25" s="68" t="n">
        <v>3</v>
      </c>
      <c r="AJ25" s="68" t="n">
        <v>7</v>
      </c>
      <c r="AK25" s="68" t="inlineStr">
        <is>
          <t>Medium</t>
        </is>
      </c>
      <c r="AL25" s="68" t="n"/>
      <c r="AM25" s="68" t="inlineStr">
        <is>
          <t>Linked primary/secondary</t>
        </is>
      </c>
      <c r="AN25" s="68" t="n">
        <v>0.9</v>
      </c>
      <c r="AO25" s="68" t="inlineStr">
        <is>
          <t>Near ready</t>
        </is>
      </c>
      <c r="AP25" s="68" t="n"/>
      <c r="AQ25" s="68" t="n"/>
      <c r="AR25" s="68" t="inlineStr">
        <is>
          <t>Editorial polish</t>
        </is>
      </c>
      <c r="AS25" s="68" t="inlineStr">
        <is>
          <t>Not started</t>
        </is>
      </c>
      <c r="AT25" s="68" t="n"/>
      <c r="AU25" s="68" t="n"/>
      <c r="AV25" s="68" t="n"/>
      <c r="AW25" s="68" t="n"/>
      <c r="AX25" s="68" t="n"/>
      <c r="AY25" s="68" t="n"/>
      <c r="AZ25" s="68" t="n"/>
      <c r="BA25" s="68" t="n"/>
      <c r="BB25" s="68" t="n"/>
      <c r="BC25" s="68" t="n"/>
      <c r="BD25" s="68" t="n"/>
      <c r="BE25" s="68" t="inlineStr">
        <is>
          <t>2026-04-10</t>
        </is>
      </c>
      <c r="BF25" s="68" t="inlineStr">
        <is>
          <t>Metadata normalized from internal workbook links</t>
        </is>
      </c>
      <c r="BG25" s="68" t="inlineStr">
        <is>
          <t>feverfew|2026-04-10</t>
        </is>
      </c>
      <c r="BH25" s="68" t="inlineStr">
        <is>
          <t>2026-04-10:auto-normalized</t>
        </is>
      </c>
      <c r="BI25" t="inlineStr">
        <is>
          <t>feverfew</t>
        </is>
      </c>
      <c r="BJ25" t="inlineStr">
        <is>
          <t>Feverfew</t>
        </is>
      </c>
      <c r="BK25" t="n">
        <v>1</v>
      </c>
      <c r="BL25" t="n">
        <v>1</v>
      </c>
      <c r="BM25" t="n">
        <v>3</v>
      </c>
      <c r="BN25" t="n">
        <v>7</v>
      </c>
      <c r="BO25" t="n">
        <v>100</v>
      </c>
      <c r="BP25" t="n">
        <v>8</v>
      </c>
      <c r="BQ25" t="n">
        <v>10</v>
      </c>
      <c r="BR25" t="n">
        <v>5</v>
      </c>
      <c r="BS25" t="inlineStr">
        <is>
          <t>Tier 1</t>
        </is>
      </c>
      <c r="BT25" t="n">
        <v>5</v>
      </c>
      <c r="BU25" t="inlineStr">
        <is>
          <t>FALSE</t>
        </is>
      </c>
      <c r="BV25" t="inlineStr">
        <is>
          <t>feverfew</t>
        </is>
      </c>
      <c r="BW25" t="inlineStr">
        <is>
          <t>TRUE</t>
        </is>
      </c>
      <c r="BX25" t="inlineStr">
        <is>
          <t>Pass 10 refreshed scoring from 1 mapped compounds | Pass 13 rescored from 1 mapped compounds</t>
        </is>
      </c>
      <c r="BY25" t="inlineStr">
        <is>
          <t>unclassified</t>
        </is>
      </c>
      <c r="CA25" t="n">
        <v>2</v>
      </c>
      <c r="CB25" t="n">
        <v>0</v>
      </c>
      <c r="CC25" t="n">
        <v>0</v>
      </c>
      <c r="CD25" t="inlineStr">
        <is>
          <t>actein; unclassified</t>
        </is>
      </c>
      <c r="CE25" t="inlineStr">
        <is>
          <t>Pass 13 rescored after herb-name normalization and real top-herb compound sweep</t>
        </is>
      </c>
      <c r="CF25" t="inlineStr">
        <is>
          <t>General</t>
        </is>
      </c>
      <c r="CH25" s="68" t="inlineStr">
        <is>
          <t>Start low; usually daytime use</t>
        </is>
      </c>
      <c r="CI25" s="68" t="inlineStr">
        <is>
          <t>Keep conservative around surgery, anticoagulants, or antiplatelet use.</t>
        </is>
      </c>
      <c r="CJ25" s="68" t="inlineStr">
        <is>
          <t>bleeding-risk; blood-pressure; pregnancy</t>
        </is>
      </c>
      <c r="CK25" s="68" t="inlineStr">
        <is>
          <t>pregnancy</t>
        </is>
      </c>
      <c r="CL25" s="68" t="inlineStr">
        <is>
          <t>Moderate</t>
        </is>
      </c>
      <c r="CM25" s="68" t="inlineStr">
        <is>
          <t>No</t>
        </is>
      </c>
      <c r="CN25" s="68" t="str"/>
      <c r="CO25" s="68" t="inlineStr">
        <is>
          <t>Pass 21 herb-level safety and dose framing</t>
        </is>
      </c>
      <c r="CP25" t="inlineStr">
        <is>
          <t>Moderate</t>
        </is>
      </c>
      <c r="CQ25" t="inlineStr">
        <is>
          <t>No</t>
        </is>
      </c>
      <c r="CS25" t="inlineStr">
        <is>
          <t>Pass 22 refined safety rule severity and reduced broad keyword over-flagging</t>
        </is>
      </c>
      <c r="CT25" t="inlineStr">
        <is>
          <t>General</t>
        </is>
      </c>
      <c r="CU25" t="inlineStr">
        <is>
          <t>headache support; inflammation support; vascular modulation</t>
        </is>
      </c>
      <c r="CV25" t="inlineStr">
        <is>
          <t>Human</t>
        </is>
      </c>
      <c r="CW25" t="inlineStr">
        <is>
          <t>Pass 26 normalization: categories, mechanisms, evidence tiers</t>
        </is>
      </c>
      <c r="CX25" t="inlineStr">
        <is>
          <t>Human + preclinical</t>
        </is>
      </c>
      <c r="CY25" t="inlineStr">
        <is>
          <t>Review interactions and contraindications</t>
        </is>
      </c>
      <c r="CZ25" t="inlineStr">
        <is>
          <t>May interact with anticoagulant-sensitive contexts</t>
        </is>
      </c>
      <c r="DA25" t="inlineStr">
        <is>
          <t>Use caution in pregnancy-sensitive and surgery-sensitive contexts</t>
        </is>
      </c>
      <c r="DB25" t="inlineStr">
        <is>
          <t>Pass 28 normalized evidence and safety-related free text</t>
        </is>
      </c>
      <c r="DD25" t="inlineStr">
        <is>
          <t>No standardized dose established; use conservative, product-dependent ranges.</t>
        </is>
      </c>
      <c r="DE25" t="inlineStr">
        <is>
          <t>Common forms include extracts, powders, or teas depending on herb part.</t>
        </is>
      </c>
      <c r="DF25" t="inlineStr">
        <is>
          <t>Quality varies by extraction method, standardization, and contamination risk.</t>
        </is>
      </c>
      <c r="DG25" t="inlineStr">
        <is>
          <t>Moderate to high</t>
        </is>
      </c>
      <c r="DH25" t="inlineStr">
        <is>
          <t>Pass 29 completeness repair</t>
        </is>
      </c>
      <c r="DI25" t="n">
        <v>9</v>
      </c>
      <c r="DJ25" t="inlineStr">
        <is>
          <t>General</t>
        </is>
      </c>
      <c r="DK25" t="inlineStr">
        <is>
          <t>actein</t>
        </is>
      </c>
      <c r="DL25" t="inlineStr">
        <is>
          <t>Agarikon; Ajwain; Angelica Root; Artichoke; Ashoka</t>
        </is>
      </c>
      <c r="DM25" t="inlineStr">
        <is>
          <t>Pass 31 relationship intelligence: density, cluster, anchor class, nearest herbs</t>
        </is>
      </c>
      <c r="DN25" t="inlineStr">
        <is>
          <t>Agarikon; Ajwain; Angelica Root; Artichoke; Ashoka</t>
        </is>
      </c>
      <c r="DO25" t="inlineStr">
        <is>
          <t>Agarikon (1 shared pathways) | Ajwain (1 shared pathways) | Angelica Root (1 shared pathways)</t>
        </is>
      </c>
      <c r="DP25" t="inlineStr">
        <is>
          <t>Generalist</t>
        </is>
      </c>
      <c r="DQ25" t="inlineStr">
        <is>
          <t>Pass 32 substitute engine + cluster cleanup</t>
        </is>
      </c>
      <c r="DR25" t="inlineStr">
        <is>
          <t>Agarikon</t>
        </is>
      </c>
      <c r="DS25" t="inlineStr">
        <is>
          <t>Ajwain</t>
        </is>
      </c>
      <c r="DT25" t="inlineStr">
        <is>
          <t>same cluster; lower safety burden; similarity-backed</t>
        </is>
      </c>
      <c r="DU25" t="inlineStr">
        <is>
          <t>Optional</t>
        </is>
      </c>
      <c r="DV25" t="inlineStr">
        <is>
          <t>Pass 33 fallback replacement engine</t>
        </is>
      </c>
      <c r="DW25" t="inlineStr">
        <is>
          <t>Angelica Root</t>
        </is>
      </c>
      <c r="DX25" t="inlineStr">
        <is>
          <t>Agarikon; Ajwain; Angelica Root; Ashoka; Blue Lotus; Artichoke; Rosemary; Sage</t>
        </is>
      </c>
      <c r="DY25" t="inlineStr">
        <is>
          <t>Pass 35 expanded fallback pool with second-pass candidate exploration</t>
        </is>
      </c>
      <c r="EA25" t="inlineStr">
        <is>
          <t>General</t>
        </is>
      </c>
      <c r="EB25" t="inlineStr">
        <is>
          <t>unclassified</t>
        </is>
      </c>
      <c r="EC25" t="inlineStr">
        <is>
          <t>medium</t>
        </is>
      </c>
      <c r="ED25" t="inlineStr">
        <is>
          <t>Pass 40 reinforced weak-category herb data</t>
        </is>
      </c>
      <c r="EG25" t="n">
        <v>7</v>
      </c>
      <c r="EH25" t="n">
        <v>7</v>
      </c>
      <c r="EI25" t="n">
        <v>0</v>
      </c>
      <c r="EJ25" t="n">
        <v>1</v>
      </c>
      <c r="EK25" t="n">
        <v>23</v>
      </c>
      <c r="EL25" t="n">
        <v>19</v>
      </c>
      <c r="EM25" t="inlineStr">
        <is>
          <t>Actein</t>
        </is>
      </c>
      <c r="EN25" t="inlineStr">
        <is>
          <t>Pass 48 rolled compound scores into herb-level scoring</t>
        </is>
      </c>
    </row>
    <row r="26">
      <c r="A26" s="68" t="inlineStr">
        <is>
          <t>Butterbur</t>
        </is>
      </c>
      <c r="B26" s="68" t="inlineStr">
        <is>
          <t>butterbur</t>
        </is>
      </c>
      <c r="C26" s="68" t="inlineStr">
        <is>
          <t>Petasites hybridus</t>
        </is>
      </c>
      <c r="D26" s="68" t="inlineStr">
        <is>
          <t>herb</t>
        </is>
      </c>
      <c r="E26" s="68" t="inlineStr">
        <is>
          <t>plant</t>
        </is>
      </c>
      <c r="F26" s="68" t="inlineStr">
        <is>
          <t>root</t>
        </is>
      </c>
      <c r="G26" s="68" t="inlineStr">
        <is>
          <t>Butterbur</t>
        </is>
      </c>
      <c r="H26" s="68" t="inlineStr">
        <is>
          <t>global</t>
        </is>
      </c>
      <c r="I26" s="68" t="inlineStr">
        <is>
          <t>Butterbur positioned for primary functional support.</t>
        </is>
      </c>
      <c r="J26" s="68" t="inlineStr">
        <is>
          <t>Conservative evidence framing applied.</t>
        </is>
      </c>
      <c r="K26" s="68" t="inlineStr">
        <is>
          <t>petasin</t>
        </is>
      </c>
      <c r="L26" s="68" t="inlineStr">
        <is>
          <t>petasin</t>
        </is>
      </c>
      <c r="M26" s="68" t="inlineStr">
        <is>
          <t>Mechanistic activity supported by mixed evidence.</t>
        </is>
      </c>
      <c r="N26" s="68" t="inlineStr">
        <is>
          <t>multi-domain</t>
        </is>
      </c>
      <c r="O26" s="68" t="inlineStr">
        <is>
          <t>mixed</t>
        </is>
      </c>
      <c r="P26" s="68" t="inlineStr">
        <is>
          <t>Generally well tolerated.</t>
        </is>
      </c>
      <c r="Q26" s="68" t="inlineStr">
        <is>
          <t>Use caution in stacked contexts.</t>
        </is>
      </c>
      <c r="R26" s="68" t="n"/>
      <c r="S26" s="68" t="n"/>
      <c r="T26" s="68" t="n"/>
      <c r="U26" s="68" t="n"/>
      <c r="V26" s="68" t="n"/>
      <c r="W26" s="68" t="inlineStr">
        <is>
          <t>High</t>
        </is>
      </c>
      <c r="X26" s="68" t="inlineStr">
        <is>
          <t>partial</t>
        </is>
      </c>
      <c r="Y26" s="68" t="n"/>
      <c r="Z26" s="68" t="inlineStr">
        <is>
          <t>present</t>
        </is>
      </c>
      <c r="AA26" s="68" t="inlineStr">
        <is>
          <t>Internal workbook + enrichment queue</t>
        </is>
      </c>
      <c r="AB26" s="68" t="n"/>
      <c r="AC26" s="68" t="n"/>
      <c r="AD26" s="68" t="n"/>
      <c r="AE26" s="68" t="n"/>
      <c r="AF26" s="68" t="n"/>
      <c r="AG26" s="68" t="n">
        <v>3</v>
      </c>
      <c r="AH26" s="68" t="n">
        <v>1</v>
      </c>
      <c r="AI26" s="68" t="n">
        <v>3</v>
      </c>
      <c r="AJ26" s="68" t="n">
        <v>7</v>
      </c>
      <c r="AK26" s="68" t="inlineStr">
        <is>
          <t>Medium</t>
        </is>
      </c>
      <c r="AL26" s="68" t="n"/>
      <c r="AM26" s="68" t="inlineStr">
        <is>
          <t>Linked primary/secondary</t>
        </is>
      </c>
      <c r="AN26" s="68" t="n">
        <v>0.9</v>
      </c>
      <c r="AO26" s="68" t="inlineStr">
        <is>
          <t>Near ready</t>
        </is>
      </c>
      <c r="AP26" s="68" t="n"/>
      <c r="AQ26" s="68" t="n"/>
      <c r="AR26" s="68" t="inlineStr">
        <is>
          <t>Editorial polish</t>
        </is>
      </c>
      <c r="AS26" s="68" t="inlineStr">
        <is>
          <t>Not started</t>
        </is>
      </c>
      <c r="AT26" s="68" t="n"/>
      <c r="AU26" s="68" t="n"/>
      <c r="AV26" s="68" t="n"/>
      <c r="AW26" s="68" t="n"/>
      <c r="AX26" s="68" t="n"/>
      <c r="AY26" s="68" t="n"/>
      <c r="AZ26" s="68" t="n"/>
      <c r="BA26" s="68" t="n"/>
      <c r="BB26" s="68" t="n"/>
      <c r="BC26" s="68" t="n"/>
      <c r="BD26" s="68" t="n"/>
      <c r="BE26" s="68" t="inlineStr">
        <is>
          <t>2026-04-10</t>
        </is>
      </c>
      <c r="BF26" s="68" t="inlineStr">
        <is>
          <t>Metadata normalized from internal workbook links</t>
        </is>
      </c>
      <c r="BG26" s="68" t="inlineStr">
        <is>
          <t>butterbur|2026-04-10</t>
        </is>
      </c>
      <c r="BH26" s="68" t="inlineStr">
        <is>
          <t>2026-04-10:auto-normalized</t>
        </is>
      </c>
      <c r="BI26" t="inlineStr">
        <is>
          <t>butterbur</t>
        </is>
      </c>
      <c r="BJ26" t="inlineStr">
        <is>
          <t>Butterbur</t>
        </is>
      </c>
      <c r="BK26" t="n">
        <v>1</v>
      </c>
      <c r="BL26" t="n">
        <v>1</v>
      </c>
      <c r="BM26" t="n">
        <v>2</v>
      </c>
      <c r="BN26" t="n">
        <v>7</v>
      </c>
      <c r="BO26" t="n">
        <v>100</v>
      </c>
      <c r="BP26" t="n">
        <v>8</v>
      </c>
      <c r="BQ26" t="n">
        <v>10</v>
      </c>
      <c r="BR26" t="n">
        <v>5</v>
      </c>
      <c r="BS26" t="inlineStr">
        <is>
          <t>Tier 1</t>
        </is>
      </c>
      <c r="BT26" t="n">
        <v>5</v>
      </c>
      <c r="BU26" t="inlineStr">
        <is>
          <t>FALSE</t>
        </is>
      </c>
      <c r="BV26" t="inlineStr">
        <is>
          <t>butterbur</t>
        </is>
      </c>
      <c r="BW26" t="inlineStr">
        <is>
          <t>TRUE</t>
        </is>
      </c>
      <c r="BX26" t="inlineStr">
        <is>
          <t>Pass 10 refreshed scoring from 1 mapped compounds | Pass 13 rescored from 1 mapped compounds</t>
        </is>
      </c>
      <c r="BY26" t="inlineStr">
        <is>
          <t>unclassified</t>
        </is>
      </c>
      <c r="CA26" t="n">
        <v>2</v>
      </c>
      <c r="CB26" t="n">
        <v>0</v>
      </c>
      <c r="CC26" t="n">
        <v>0</v>
      </c>
      <c r="CD26" t="inlineStr">
        <is>
          <t>ferulic acid; unclassified</t>
        </is>
      </c>
      <c r="CE26" t="inlineStr">
        <is>
          <t>Pass 13 rescored after herb-name normalization and real top-herb compound sweep</t>
        </is>
      </c>
      <c r="CF26" t="inlineStr">
        <is>
          <t>General</t>
        </is>
      </c>
      <c r="CH26" s="68" t="inlineStr">
        <is>
          <t>Start with low single-herb exposure and increase only if tolerated</t>
        </is>
      </c>
      <c r="CI26" s="68" t="inlineStr">
        <is>
          <t>Product-ideation framing only; not clinical dosing advice.</t>
        </is>
      </c>
      <c r="CJ26" s="68" t="str"/>
      <c r="CK26" s="68" t="str"/>
      <c r="CL26" s="68" t="inlineStr">
        <is>
          <t>Baseline</t>
        </is>
      </c>
      <c r="CM26" s="68" t="inlineStr">
        <is>
          <t>No</t>
        </is>
      </c>
      <c r="CN26" s="68" t="str"/>
      <c r="CO26" s="68" t="inlineStr">
        <is>
          <t>Pass 21 herb-level safety and dose framing</t>
        </is>
      </c>
      <c r="CP26" t="inlineStr">
        <is>
          <t>Baseline</t>
        </is>
      </c>
      <c r="CQ26" t="inlineStr">
        <is>
          <t>No</t>
        </is>
      </c>
      <c r="CS26" t="inlineStr">
        <is>
          <t>Pass 22 refined safety rule severity and reduced broad keyword over-flagging</t>
        </is>
      </c>
      <c r="CT26" t="inlineStr">
        <is>
          <t>General</t>
        </is>
      </c>
      <c r="CU26" t="inlineStr">
        <is>
          <t>multi-domain</t>
        </is>
      </c>
      <c r="CV26" t="inlineStr">
        <is>
          <t>Unknown</t>
        </is>
      </c>
      <c r="CW26" t="inlineStr">
        <is>
          <t>Pass 26 normalization: categories, mechanisms, evidence tiers</t>
        </is>
      </c>
      <c r="CX26" t="inlineStr">
        <is>
          <t>Mixed</t>
        </is>
      </c>
      <c r="CY26" t="inlineStr">
        <is>
          <t>Generally well tolerated.</t>
        </is>
      </c>
      <c r="CZ26" t="inlineStr">
        <is>
          <t>Use caution in stacked contexts</t>
        </is>
      </c>
      <c r="DB26" t="inlineStr">
        <is>
          <t>Pass 28 normalized evidence and safety-related free text</t>
        </is>
      </c>
      <c r="DD26" t="inlineStr">
        <is>
          <t>No standardized dose established; use conservative, product-dependent ranges.</t>
        </is>
      </c>
      <c r="DE26" t="inlineStr">
        <is>
          <t>Common forms include extracts, powders, or teas depending on herb part.</t>
        </is>
      </c>
      <c r="DF26" t="inlineStr">
        <is>
          <t>Quality varies by extraction method, standardization, and contamination risk.</t>
        </is>
      </c>
      <c r="DG26" t="inlineStr">
        <is>
          <t>Low</t>
        </is>
      </c>
      <c r="DH26" t="inlineStr">
        <is>
          <t>Pass 29 completeness repair</t>
        </is>
      </c>
      <c r="DI26" t="n">
        <v>9</v>
      </c>
      <c r="DJ26" t="inlineStr">
        <is>
          <t>General</t>
        </is>
      </c>
      <c r="DK26" t="inlineStr">
        <is>
          <t>ferulic acid</t>
        </is>
      </c>
      <c r="DL26" t="inlineStr">
        <is>
          <t>Agarikon; Ajwain; Angelica Root; Artichoke; Ashoka</t>
        </is>
      </c>
      <c r="DM26" t="inlineStr">
        <is>
          <t>Pass 31 relationship intelligence: density, cluster, anchor class, nearest herbs</t>
        </is>
      </c>
      <c r="DN26" t="inlineStr">
        <is>
          <t>Agarikon; Ajwain; Angelica Root; Artichoke; Ashoka</t>
        </is>
      </c>
      <c r="DO26" t="inlineStr">
        <is>
          <t>Agarikon (1 shared pathways) | Ajwain (1 shared pathways) | Angelica Root (1 shared pathways)</t>
        </is>
      </c>
      <c r="DP26" t="inlineStr">
        <is>
          <t>Generalist</t>
        </is>
      </c>
      <c r="DQ26" t="inlineStr">
        <is>
          <t>Pass 32 substitute engine + cluster cleanup</t>
        </is>
      </c>
      <c r="DR26" t="inlineStr">
        <is>
          <t>Agarikon</t>
        </is>
      </c>
      <c r="DS26" t="inlineStr">
        <is>
          <t>Ajwain</t>
        </is>
      </c>
      <c r="DT26" t="inlineStr">
        <is>
          <t>same cluster; lower safety burden; similarity-backed</t>
        </is>
      </c>
      <c r="DU26" t="inlineStr">
        <is>
          <t>Not needed</t>
        </is>
      </c>
      <c r="DV26" t="inlineStr">
        <is>
          <t>Pass 33 fallback replacement engine</t>
        </is>
      </c>
      <c r="DW26" t="inlineStr">
        <is>
          <t>Angelica Root</t>
        </is>
      </c>
      <c r="DX26" t="inlineStr">
        <is>
          <t>Agarikon; Ajwain; Angelica Root; Ashoka; Blue Lotus; Artichoke; Rosemary; Sage</t>
        </is>
      </c>
      <c r="DY26" t="inlineStr">
        <is>
          <t>Pass 35 expanded fallback pool with second-pass candidate exploration</t>
        </is>
      </c>
      <c r="EA26" t="inlineStr">
        <is>
          <t>General</t>
        </is>
      </c>
      <c r="EB26" t="inlineStr">
        <is>
          <t>unclassified</t>
        </is>
      </c>
      <c r="EC26" t="inlineStr">
        <is>
          <t>High</t>
        </is>
      </c>
      <c r="ED26" t="inlineStr">
        <is>
          <t>Pass 40 reinforced weak-category herb data</t>
        </is>
      </c>
      <c r="EG26" t="n">
        <v>3</v>
      </c>
      <c r="EH26" t="n">
        <v>3</v>
      </c>
      <c r="EI26" t="n">
        <v>0</v>
      </c>
      <c r="EJ26" t="n">
        <v>0</v>
      </c>
      <c r="EK26" t="n">
        <v>11</v>
      </c>
      <c r="EL26" t="n">
        <v>7</v>
      </c>
      <c r="EM26" t="inlineStr">
        <is>
          <t>ferulic acid</t>
        </is>
      </c>
      <c r="EN26" t="inlineStr">
        <is>
          <t>Pass 48 rolled compound scores into herb-level scoring</t>
        </is>
      </c>
    </row>
    <row r="27">
      <c r="A27" s="68" t="inlineStr">
        <is>
          <t>Dong Quai</t>
        </is>
      </c>
      <c r="B27" s="68" t="inlineStr">
        <is>
          <t>dong-quai</t>
        </is>
      </c>
      <c r="C27" s="68" t="inlineStr">
        <is>
          <t>Angelica sinensis</t>
        </is>
      </c>
      <c r="D27" s="68" t="inlineStr">
        <is>
          <t>herb</t>
        </is>
      </c>
      <c r="E27" s="68" t="inlineStr">
        <is>
          <t>plant</t>
        </is>
      </c>
      <c r="F27" s="68" t="inlineStr">
        <is>
          <t>root</t>
        </is>
      </c>
      <c r="G27" s="68" t="inlineStr">
        <is>
          <t>Dong Quai</t>
        </is>
      </c>
      <c r="H27" s="68" t="inlineStr">
        <is>
          <t>global</t>
        </is>
      </c>
      <c r="I27" s="68" t="inlineStr">
        <is>
          <t>Dong Quai positioned for primary functional support.</t>
        </is>
      </c>
      <c r="J27" s="68" t="inlineStr">
        <is>
          <t>Conservative evidence framing applied.</t>
        </is>
      </c>
      <c r="K27" s="68" t="inlineStr">
        <is>
          <t>ferulic acid</t>
        </is>
      </c>
      <c r="L27" s="68" t="inlineStr">
        <is>
          <t>ferulic acid</t>
        </is>
      </c>
      <c r="M27" s="68" t="inlineStr">
        <is>
          <t>Mechanistic activity supported by mixed evidence.</t>
        </is>
      </c>
      <c r="N27" s="68" t="inlineStr">
        <is>
          <t>circulation support; women's health; smooth muscle support</t>
        </is>
      </c>
      <c r="O27" s="68" t="inlineStr">
        <is>
          <t>mixed traditional-preclinical</t>
        </is>
      </c>
      <c r="P27" s="68" t="inlineStr">
        <is>
          <t>Review interactions and contraindications.</t>
        </is>
      </c>
      <c r="Q27" s="68" t="inlineStr">
        <is>
          <t>Use caution with anticoagulant-sensitive contexts.</t>
        </is>
      </c>
      <c r="R27" s="68" t="inlineStr">
        <is>
          <t>Avoid pregnancy-sensitive contexts unless professionally guided.</t>
        </is>
      </c>
      <c r="S27" s="68" t="n"/>
      <c r="T27" s="68" t="n"/>
      <c r="U27" s="68" t="n"/>
      <c r="V27" s="68" t="n"/>
      <c r="W27" s="68" t="inlineStr">
        <is>
          <t>High</t>
        </is>
      </c>
      <c r="X27" s="68" t="inlineStr">
        <is>
          <t>validated</t>
        </is>
      </c>
      <c r="Y27" s="68" t="n"/>
      <c r="Z27" s="68" t="inlineStr">
        <is>
          <t>present</t>
        </is>
      </c>
      <c r="AA27" s="68" t="inlineStr">
        <is>
          <t>Internal workbook + enrichment queue</t>
        </is>
      </c>
      <c r="AB27" s="68" t="n"/>
      <c r="AC27" s="68" t="n"/>
      <c r="AD27" s="68" t="n"/>
      <c r="AE27" s="68" t="n"/>
      <c r="AF27" s="68" t="n"/>
      <c r="AG27" s="68" t="n">
        <v>3</v>
      </c>
      <c r="AH27" s="68" t="n">
        <v>1</v>
      </c>
      <c r="AI27" s="68" t="n">
        <v>3</v>
      </c>
      <c r="AJ27" s="68" t="n">
        <v>7</v>
      </c>
      <c r="AK27" s="68" t="inlineStr">
        <is>
          <t>Medium</t>
        </is>
      </c>
      <c r="AL27" s="68" t="n"/>
      <c r="AM27" s="68" t="inlineStr">
        <is>
          <t>Linked primary/secondary</t>
        </is>
      </c>
      <c r="AN27" s="68" t="n">
        <v>0.9</v>
      </c>
      <c r="AO27" s="68" t="inlineStr">
        <is>
          <t>Near ready</t>
        </is>
      </c>
      <c r="AP27" s="68" t="n"/>
      <c r="AQ27" s="68" t="n"/>
      <c r="AR27" s="68" t="inlineStr">
        <is>
          <t>Editorial polish</t>
        </is>
      </c>
      <c r="AS27" s="68" t="inlineStr">
        <is>
          <t>Not started</t>
        </is>
      </c>
      <c r="AT27" s="68" t="n"/>
      <c r="AU27" s="68" t="n"/>
      <c r="AV27" s="68" t="n"/>
      <c r="AW27" s="68" t="n"/>
      <c r="AX27" s="68" t="n"/>
      <c r="AY27" s="68" t="n"/>
      <c r="AZ27" s="68" t="n"/>
      <c r="BA27" s="68" t="n"/>
      <c r="BB27" s="68" t="n"/>
      <c r="BC27" s="68" t="n"/>
      <c r="BD27" s="68" t="n"/>
      <c r="BE27" s="68" t="inlineStr">
        <is>
          <t>2026-04-10</t>
        </is>
      </c>
      <c r="BF27" s="68" t="inlineStr">
        <is>
          <t>Metadata normalized from internal workbook links</t>
        </is>
      </c>
      <c r="BG27" s="68" t="inlineStr">
        <is>
          <t>dong-quai|2026-04-10</t>
        </is>
      </c>
      <c r="BH27" s="68" t="inlineStr">
        <is>
          <t>2026-04-10:auto-normalized</t>
        </is>
      </c>
      <c r="BI27" t="inlineStr">
        <is>
          <t>dong-quai</t>
        </is>
      </c>
      <c r="BJ27" t="inlineStr">
        <is>
          <t>Dong Quai</t>
        </is>
      </c>
      <c r="BK27" t="n">
        <v>1</v>
      </c>
      <c r="BL27" t="n">
        <v>1</v>
      </c>
      <c r="BM27" t="n">
        <v>3</v>
      </c>
      <c r="BN27" t="n">
        <v>7</v>
      </c>
      <c r="BO27" t="n">
        <v>100</v>
      </c>
      <c r="BP27" t="n">
        <v>8</v>
      </c>
      <c r="BQ27" t="n">
        <v>10</v>
      </c>
      <c r="BR27" t="n">
        <v>5</v>
      </c>
      <c r="BS27" t="inlineStr">
        <is>
          <t>Tier 1</t>
        </is>
      </c>
      <c r="BT27" t="n">
        <v>5</v>
      </c>
      <c r="BU27" t="inlineStr">
        <is>
          <t>FALSE</t>
        </is>
      </c>
      <c r="BV27" t="inlineStr">
        <is>
          <t>dong-quai</t>
        </is>
      </c>
      <c r="BW27" t="inlineStr">
        <is>
          <t>TRUE</t>
        </is>
      </c>
      <c r="BX27" t="inlineStr">
        <is>
          <t>Pass 10 refreshed scoring from 1 mapped compounds | Pass 13 rescored from 1 mapped compounds</t>
        </is>
      </c>
      <c r="BY27" t="inlineStr">
        <is>
          <t>unclassified</t>
        </is>
      </c>
      <c r="CA27" t="n">
        <v>2</v>
      </c>
      <c r="CB27" t="n">
        <v>0</v>
      </c>
      <c r="CC27" t="n">
        <v>0</v>
      </c>
      <c r="CD27" t="inlineStr">
        <is>
          <t>curcumin; unclassified</t>
        </is>
      </c>
      <c r="CE27" t="inlineStr">
        <is>
          <t>Pass 13 rescored after herb-name normalization and real top-herb compound sweep</t>
        </is>
      </c>
      <c r="CF27" t="inlineStr">
        <is>
          <t>General</t>
        </is>
      </c>
      <c r="CH27" s="68" t="inlineStr">
        <is>
          <t>Start with low single-herb exposure and increase only if tolerated</t>
        </is>
      </c>
      <c r="CI27" s="68" t="inlineStr">
        <is>
          <t>Keep conservative around surgery, anticoagulants, or antiplatelet use.</t>
        </is>
      </c>
      <c r="CJ27" s="68" t="inlineStr">
        <is>
          <t>bleeding-risk; pregnancy</t>
        </is>
      </c>
      <c r="CK27" s="68" t="inlineStr">
        <is>
          <t>pregnancy</t>
        </is>
      </c>
      <c r="CL27" s="68" t="inlineStr">
        <is>
          <t>Moderate</t>
        </is>
      </c>
      <c r="CM27" s="68" t="inlineStr">
        <is>
          <t>No</t>
        </is>
      </c>
      <c r="CN27" s="68" t="str"/>
      <c r="CO27" s="68" t="inlineStr">
        <is>
          <t>Pass 21 herb-level safety and dose framing</t>
        </is>
      </c>
      <c r="CP27" t="inlineStr">
        <is>
          <t>Moderate</t>
        </is>
      </c>
      <c r="CQ27" t="inlineStr">
        <is>
          <t>No</t>
        </is>
      </c>
      <c r="CS27" t="inlineStr">
        <is>
          <t>Pass 22 refined safety rule severity and reduced broad keyword over-flagging</t>
        </is>
      </c>
      <c r="CT27" t="inlineStr">
        <is>
          <t>General</t>
        </is>
      </c>
      <c r="CU27" t="inlineStr">
        <is>
          <t>circulation support; smooth muscle support; women's health</t>
        </is>
      </c>
      <c r="CV27" t="inlineStr">
        <is>
          <t>Preclinical</t>
        </is>
      </c>
      <c r="CW27" t="inlineStr">
        <is>
          <t>Pass 26 normalization: categories, mechanisms, evidence tiers</t>
        </is>
      </c>
      <c r="CX27" t="inlineStr">
        <is>
          <t>Preclinical</t>
        </is>
      </c>
      <c r="CY27" t="inlineStr">
        <is>
          <t>Review interactions and contraindications.</t>
        </is>
      </c>
      <c r="CZ27" t="inlineStr">
        <is>
          <t>Use caution with anticoagulant-sensitive contexts</t>
        </is>
      </c>
      <c r="DA27" t="inlineStr">
        <is>
          <t>Avoid pregnancy-sensitive contexts unless professionally guided</t>
        </is>
      </c>
      <c r="DB27" t="inlineStr">
        <is>
          <t>Pass 28 normalized evidence and safety-related free text</t>
        </is>
      </c>
      <c r="DD27" t="inlineStr">
        <is>
          <t>No standardized dose established; use conservative, product-dependent ranges.</t>
        </is>
      </c>
      <c r="DE27" t="inlineStr">
        <is>
          <t>Common forms include extracts, powders, or teas depending on herb part.</t>
        </is>
      </c>
      <c r="DF27" t="inlineStr">
        <is>
          <t>Quality varies by extraction method, standardization, and contamination risk.</t>
        </is>
      </c>
      <c r="DG27" t="inlineStr">
        <is>
          <t>Low to moderate</t>
        </is>
      </c>
      <c r="DH27" t="inlineStr">
        <is>
          <t>Pass 29 completeness repair</t>
        </is>
      </c>
      <c r="DI27" t="n">
        <v>9</v>
      </c>
      <c r="DJ27" t="inlineStr">
        <is>
          <t>General</t>
        </is>
      </c>
      <c r="DK27" t="inlineStr">
        <is>
          <t>curcumin</t>
        </is>
      </c>
      <c r="DL27" t="inlineStr">
        <is>
          <t>Turmeric; Agarikon; Ajwain; Angelica Root; Artichoke</t>
        </is>
      </c>
      <c r="DM27" t="inlineStr">
        <is>
          <t>Pass 31 relationship intelligence: density, cluster, anchor class, nearest herbs</t>
        </is>
      </c>
      <c r="DN27" t="inlineStr">
        <is>
          <t>Turmeric; Agarikon; Ajwain; Angelica Root; Artichoke</t>
        </is>
      </c>
      <c r="DO27" t="inlineStr">
        <is>
          <t>Turmeric (1 shared compounds; 1 shared pathways) | Agarikon (1 shared pathways) | Ajwain (1 shared pathways)</t>
        </is>
      </c>
      <c r="DP27" t="inlineStr">
        <is>
          <t>Generalist</t>
        </is>
      </c>
      <c r="DQ27" t="inlineStr">
        <is>
          <t>Pass 32 substitute engine + cluster cleanup</t>
        </is>
      </c>
      <c r="DR27" t="inlineStr">
        <is>
          <t>Agarikon</t>
        </is>
      </c>
      <c r="DS27" t="inlineStr">
        <is>
          <t>Ajwain</t>
        </is>
      </c>
      <c r="DT27" t="inlineStr">
        <is>
          <t>same cluster; lower safety burden; similarity-backed</t>
        </is>
      </c>
      <c r="DU27" t="inlineStr">
        <is>
          <t>Optional</t>
        </is>
      </c>
      <c r="DV27" t="inlineStr">
        <is>
          <t>Pass 33 fallback replacement engine</t>
        </is>
      </c>
      <c r="DW27" t="inlineStr">
        <is>
          <t>Angelica Root</t>
        </is>
      </c>
      <c r="DX27" t="inlineStr">
        <is>
          <t>Agarikon; Ajwain; Angelica Root; Ashoka; Blue Lotus; Artichoke; Rosemary; Sage</t>
        </is>
      </c>
      <c r="DY27" t="inlineStr">
        <is>
          <t>Pass 35 expanded fallback pool with second-pass candidate exploration</t>
        </is>
      </c>
      <c r="EA27" t="inlineStr">
        <is>
          <t>General</t>
        </is>
      </c>
      <c r="EB27" t="inlineStr">
        <is>
          <t>unclassified</t>
        </is>
      </c>
      <c r="EC27" t="inlineStr">
        <is>
          <t>High</t>
        </is>
      </c>
      <c r="ED27" t="inlineStr">
        <is>
          <t>Pass 40 reinforced weak-category herb data</t>
        </is>
      </c>
      <c r="EG27" t="n">
        <v>3</v>
      </c>
      <c r="EH27" t="n">
        <v>3</v>
      </c>
      <c r="EI27" t="n">
        <v>0</v>
      </c>
      <c r="EJ27" t="n">
        <v>0</v>
      </c>
      <c r="EK27" t="n">
        <v>11</v>
      </c>
      <c r="EL27" t="n">
        <v>7</v>
      </c>
      <c r="EM27" t="inlineStr">
        <is>
          <t>curcumin</t>
        </is>
      </c>
      <c r="EN27" t="inlineStr">
        <is>
          <t>Pass 48 rolled compound scores into herb-level scoring</t>
        </is>
      </c>
    </row>
    <row r="28">
      <c r="A28" s="68" t="inlineStr">
        <is>
          <t>Rosemary</t>
        </is>
      </c>
      <c r="B28" s="68" t="inlineStr">
        <is>
          <t>rosemary</t>
        </is>
      </c>
      <c r="C28" s="68" t="inlineStr">
        <is>
          <t>Rosmarinus officinalis</t>
        </is>
      </c>
      <c r="D28" s="68" t="inlineStr">
        <is>
          <t>herb</t>
        </is>
      </c>
      <c r="E28" s="68" t="inlineStr">
        <is>
          <t>plant</t>
        </is>
      </c>
      <c r="F28" s="68" t="inlineStr">
        <is>
          <t>leaf</t>
        </is>
      </c>
      <c r="G28" s="68" t="inlineStr">
        <is>
          <t>Rosemary</t>
        </is>
      </c>
      <c r="H28" s="68" t="inlineStr">
        <is>
          <t>global</t>
        </is>
      </c>
      <c r="I28" s="68" t="inlineStr">
        <is>
          <t>Rosemary positioned for primary functional support.</t>
        </is>
      </c>
      <c r="J28" s="68" t="inlineStr">
        <is>
          <t>Conservative evidence framing applied.</t>
        </is>
      </c>
      <c r="K28" s="68" t="inlineStr">
        <is>
          <t>rosmarinic acid</t>
        </is>
      </c>
      <c r="L28" s="68" t="inlineStr">
        <is>
          <t>rosmarinic acid</t>
        </is>
      </c>
      <c r="M28" s="68" t="inlineStr">
        <is>
          <t>Mechanistic activity supported by mixed evidence.</t>
        </is>
      </c>
      <c r="N28" s="68" t="inlineStr">
        <is>
          <t>cognition; antioxidant; digestive support</t>
        </is>
      </c>
      <c r="O28" s="68" t="inlineStr">
        <is>
          <t>mixed preclinical-human</t>
        </is>
      </c>
      <c r="P28" s="68" t="inlineStr">
        <is>
          <t>Generally well tolerated; review concentrated extract use.</t>
        </is>
      </c>
      <c r="Q28" s="68" t="inlineStr">
        <is>
          <t>Use caution in complex nootropic or stimulant stacks.</t>
        </is>
      </c>
      <c r="R28" s="68" t="inlineStr">
        <is>
          <t>Use caution with seizure-sensitive contexts at concentrated intake levels.</t>
        </is>
      </c>
      <c r="S28" s="68" t="n"/>
      <c r="T28" s="68" t="n"/>
      <c r="U28" s="68" t="n"/>
      <c r="V28" s="68" t="n"/>
      <c r="W28" s="68" t="inlineStr">
        <is>
          <t>High</t>
        </is>
      </c>
      <c r="X28" s="68" t="inlineStr">
        <is>
          <t>validated</t>
        </is>
      </c>
      <c r="Y28" s="68" t="n"/>
      <c r="Z28" s="68" t="inlineStr">
        <is>
          <t>present</t>
        </is>
      </c>
      <c r="AA28" s="68" t="inlineStr">
        <is>
          <t>Internal workbook + enrichment queue</t>
        </is>
      </c>
      <c r="AB28" s="68" t="n"/>
      <c r="AC28" s="68" t="n"/>
      <c r="AD28" s="68" t="n"/>
      <c r="AE28" s="68" t="n"/>
      <c r="AF28" s="68" t="n"/>
      <c r="AG28" s="68" t="n">
        <v>3</v>
      </c>
      <c r="AH28" s="68" t="n">
        <v>1</v>
      </c>
      <c r="AI28" s="68" t="n">
        <v>3</v>
      </c>
      <c r="AJ28" s="68" t="n">
        <v>7</v>
      </c>
      <c r="AK28" s="68" t="inlineStr">
        <is>
          <t>Medium</t>
        </is>
      </c>
      <c r="AL28" s="68" t="n"/>
      <c r="AM28" s="68" t="inlineStr">
        <is>
          <t>Linked primary/secondary</t>
        </is>
      </c>
      <c r="AN28" s="68" t="n">
        <v>0.9</v>
      </c>
      <c r="AO28" s="68" t="inlineStr">
        <is>
          <t>Near ready</t>
        </is>
      </c>
      <c r="AP28" s="68" t="n"/>
      <c r="AQ28" s="68" t="n"/>
      <c r="AR28" s="68" t="inlineStr">
        <is>
          <t>Editorial polish</t>
        </is>
      </c>
      <c r="AS28" s="68" t="inlineStr">
        <is>
          <t>Not started</t>
        </is>
      </c>
      <c r="AT28" s="68" t="n"/>
      <c r="AU28" s="68" t="n"/>
      <c r="AV28" s="68" t="n"/>
      <c r="AW28" s="68" t="n"/>
      <c r="AX28" s="68" t="n"/>
      <c r="AY28" s="68" t="n"/>
      <c r="AZ28" s="68" t="n"/>
      <c r="BA28" s="68" t="n"/>
      <c r="BB28" s="68" t="n"/>
      <c r="BC28" s="68" t="n"/>
      <c r="BD28" s="68" t="n"/>
      <c r="BE28" s="68" t="inlineStr">
        <is>
          <t>2026-04-10</t>
        </is>
      </c>
      <c r="BF28" s="68" t="inlineStr">
        <is>
          <t>Metadata normalized from internal workbook links</t>
        </is>
      </c>
      <c r="BG28" s="68" t="inlineStr">
        <is>
          <t>rosemary|2026-04-10</t>
        </is>
      </c>
      <c r="BH28" s="68" t="inlineStr">
        <is>
          <t>2026-04-10:auto-normalized</t>
        </is>
      </c>
      <c r="BI28" t="inlineStr">
        <is>
          <t>rosemary</t>
        </is>
      </c>
      <c r="BJ28" t="inlineStr">
        <is>
          <t>Rosemary</t>
        </is>
      </c>
      <c r="BK28" t="n">
        <v>1</v>
      </c>
      <c r="BL28" t="n">
        <v>1</v>
      </c>
      <c r="BM28" t="n">
        <v>3</v>
      </c>
      <c r="BN28" t="n">
        <v>7</v>
      </c>
      <c r="BO28" t="n">
        <v>100</v>
      </c>
      <c r="BP28" t="n">
        <v>8</v>
      </c>
      <c r="BQ28" t="n">
        <v>10</v>
      </c>
      <c r="BR28" t="n">
        <v>5</v>
      </c>
      <c r="BS28" t="inlineStr">
        <is>
          <t>Tier 1</t>
        </is>
      </c>
      <c r="BT28" t="n">
        <v>5</v>
      </c>
      <c r="BU28" t="inlineStr">
        <is>
          <t>FALSE</t>
        </is>
      </c>
      <c r="BV28" t="inlineStr">
        <is>
          <t>rosemary</t>
        </is>
      </c>
      <c r="BW28" t="inlineStr">
        <is>
          <t>TRUE</t>
        </is>
      </c>
      <c r="BX28" t="inlineStr">
        <is>
          <t>Pass 10 refreshed scoring from 1 mapped compounds | Pass 13 rescored from 1 mapped compounds</t>
        </is>
      </c>
      <c r="BY28" t="inlineStr">
        <is>
          <t>unclassified</t>
        </is>
      </c>
      <c r="CA28" t="n">
        <v>2</v>
      </c>
      <c r="CB28" t="n">
        <v>0</v>
      </c>
      <c r="CC28" t="n">
        <v>0</v>
      </c>
      <c r="CD28" t="inlineStr">
        <is>
          <t>thymol; unclassified</t>
        </is>
      </c>
      <c r="CE28" t="inlineStr">
        <is>
          <t>Pass 13 rescored after herb-name normalization and real top-herb compound sweep</t>
        </is>
      </c>
      <c r="CF28" t="inlineStr">
        <is>
          <t>General</t>
        </is>
      </c>
      <c r="CH28" s="68" t="inlineStr">
        <is>
          <t>Start with low single-herb exposure and increase only if tolerated</t>
        </is>
      </c>
      <c r="CI28" s="68" t="inlineStr">
        <is>
          <t>Product-ideation framing only; not clinical dosing advice.</t>
        </is>
      </c>
      <c r="CJ28" s="68" t="inlineStr">
        <is>
          <t>seizure-caution</t>
        </is>
      </c>
      <c r="CK28" s="68" t="inlineStr">
        <is>
          <t>seizure history</t>
        </is>
      </c>
      <c r="CL28" s="68" t="inlineStr">
        <is>
          <t>Baseline</t>
        </is>
      </c>
      <c r="CM28" s="68" t="inlineStr">
        <is>
          <t>No</t>
        </is>
      </c>
      <c r="CN28" s="68" t="str"/>
      <c r="CO28" s="68" t="inlineStr">
        <is>
          <t>Pass 21 herb-level safety and dose framing</t>
        </is>
      </c>
      <c r="CP28" t="inlineStr">
        <is>
          <t>Moderate</t>
        </is>
      </c>
      <c r="CQ28" t="inlineStr">
        <is>
          <t>No</t>
        </is>
      </c>
      <c r="CS28" t="inlineStr">
        <is>
          <t>Pass 22 refined safety rule severity and reduced broad keyword over-flagging</t>
        </is>
      </c>
      <c r="CT28" t="inlineStr">
        <is>
          <t>General</t>
        </is>
      </c>
      <c r="CU28" t="inlineStr">
        <is>
          <t>antioxidant; cognition; digestive support</t>
        </is>
      </c>
      <c r="CV28" t="inlineStr">
        <is>
          <t>Human</t>
        </is>
      </c>
      <c r="CW28" t="inlineStr">
        <is>
          <t>Pass 26 normalization: categories, mechanisms, evidence tiers</t>
        </is>
      </c>
      <c r="CX28" t="inlineStr">
        <is>
          <t>Human + preclinical</t>
        </is>
      </c>
      <c r="CY28" t="inlineStr">
        <is>
          <t>Generally well tolerated; review concentrated extract use.</t>
        </is>
      </c>
      <c r="CZ28" t="inlineStr">
        <is>
          <t>Use caution in complex nootropic or stimulant stacks</t>
        </is>
      </c>
      <c r="DA28" t="inlineStr">
        <is>
          <t>Use caution with seizure-sensitive contexts at concentrated intake levels</t>
        </is>
      </c>
      <c r="DB28" t="inlineStr">
        <is>
          <t>Pass 28 normalized evidence and safety-related free text</t>
        </is>
      </c>
      <c r="DD28" t="inlineStr">
        <is>
          <t>No standardized dose established; use conservative, product-dependent ranges.</t>
        </is>
      </c>
      <c r="DE28" t="inlineStr">
        <is>
          <t>Common forms include extracts, powders, or teas depending on herb part.</t>
        </is>
      </c>
      <c r="DF28" t="inlineStr">
        <is>
          <t>Quality varies by extraction method, standardization, and contamination risk.</t>
        </is>
      </c>
      <c r="DG28" t="inlineStr">
        <is>
          <t>Moderate to high</t>
        </is>
      </c>
      <c r="DH28" t="inlineStr">
        <is>
          <t>Pass 29 completeness repair</t>
        </is>
      </c>
      <c r="DI28" t="n">
        <v>9</v>
      </c>
      <c r="DJ28" t="inlineStr">
        <is>
          <t>General</t>
        </is>
      </c>
      <c r="DK28" t="inlineStr">
        <is>
          <t>thymol</t>
        </is>
      </c>
      <c r="DL28" t="inlineStr">
        <is>
          <t>Ajwain; Agarikon; Angelica Root; Artichoke; Ashoka</t>
        </is>
      </c>
      <c r="DM28" t="inlineStr">
        <is>
          <t>Pass 31 relationship intelligence: density, cluster, anchor class, nearest herbs</t>
        </is>
      </c>
      <c r="DN28" t="inlineStr">
        <is>
          <t>Ajwain; Blue Lotus; Butterbur; Damiana; Dong Quai</t>
        </is>
      </c>
      <c r="DO28" t="inlineStr">
        <is>
          <t>Ajwain (1 shared compounds; 1 shared pathways) | Blue Lotus (1 shared pathways) | Butterbur (1 shared pathways)</t>
        </is>
      </c>
      <c r="DP28" t="inlineStr">
        <is>
          <t>Generalist</t>
        </is>
      </c>
      <c r="DQ28" t="inlineStr">
        <is>
          <t>Pass 32 substitute engine + cluster cleanup</t>
        </is>
      </c>
      <c r="DR28" t="inlineStr">
        <is>
          <t>Ajwain</t>
        </is>
      </c>
      <c r="DS28" t="inlineStr">
        <is>
          <t>Blue Lotus</t>
        </is>
      </c>
      <c r="DT28" t="inlineStr">
        <is>
          <t>same cluster; lower safety burden; similarity-backed</t>
        </is>
      </c>
      <c r="DU28" t="inlineStr">
        <is>
          <t>Optional</t>
        </is>
      </c>
      <c r="DV28" t="inlineStr">
        <is>
          <t>Pass 33 fallback replacement engine</t>
        </is>
      </c>
      <c r="DW28" t="inlineStr">
        <is>
          <t>Butterbur</t>
        </is>
      </c>
      <c r="DX28" t="inlineStr">
        <is>
          <t>Ajwain; Blue Lotus; Butterbur; Damiana; Agarikon; Angelica Root; Ashoka; Dong Quai</t>
        </is>
      </c>
      <c r="DY28" t="inlineStr">
        <is>
          <t>Pass 35 expanded fallback pool with second-pass candidate exploration</t>
        </is>
      </c>
      <c r="EA28" t="inlineStr">
        <is>
          <t>General</t>
        </is>
      </c>
      <c r="EB28" t="inlineStr">
        <is>
          <t>unclassified</t>
        </is>
      </c>
      <c r="EC28" t="inlineStr">
        <is>
          <t>High</t>
        </is>
      </c>
      <c r="ED28" t="inlineStr">
        <is>
          <t>Pass 40 reinforced weak-category herb data</t>
        </is>
      </c>
      <c r="EG28" t="n">
        <v>3</v>
      </c>
      <c r="EH28" t="n">
        <v>3</v>
      </c>
      <c r="EI28" t="n">
        <v>0</v>
      </c>
      <c r="EJ28" t="n">
        <v>0</v>
      </c>
      <c r="EK28" t="n">
        <v>11</v>
      </c>
      <c r="EL28" t="n">
        <v>7</v>
      </c>
      <c r="EM28" t="inlineStr">
        <is>
          <t>thymol</t>
        </is>
      </c>
      <c r="EN28" t="inlineStr">
        <is>
          <t>Pass 48 rolled compound scores into herb-level scoring</t>
        </is>
      </c>
    </row>
    <row r="29">
      <c r="A29" s="68" t="inlineStr">
        <is>
          <t>Sage</t>
        </is>
      </c>
      <c r="B29" s="68" t="inlineStr">
        <is>
          <t>sage</t>
        </is>
      </c>
      <c r="C29" s="68" t="inlineStr">
        <is>
          <t>Salvia officinalis</t>
        </is>
      </c>
      <c r="D29" s="68" t="inlineStr">
        <is>
          <t>herb</t>
        </is>
      </c>
      <c r="E29" s="68" t="inlineStr">
        <is>
          <t>plant</t>
        </is>
      </c>
      <c r="F29" s="68" t="inlineStr">
        <is>
          <t>leaf</t>
        </is>
      </c>
      <c r="G29" s="68" t="inlineStr">
        <is>
          <t>Sage</t>
        </is>
      </c>
      <c r="H29" s="68" t="inlineStr">
        <is>
          <t>global</t>
        </is>
      </c>
      <c r="I29" s="68" t="inlineStr">
        <is>
          <t>Sage positioned for primary functional support.</t>
        </is>
      </c>
      <c r="J29" s="68" t="inlineStr">
        <is>
          <t>Conservative evidence framing applied.</t>
        </is>
      </c>
      <c r="K29" s="68" t="inlineStr">
        <is>
          <t>thujone</t>
        </is>
      </c>
      <c r="L29" s="68" t="inlineStr">
        <is>
          <t>thujone</t>
        </is>
      </c>
      <c r="M29" s="68" t="inlineStr">
        <is>
          <t>Mechanistic activity supported by mixed evidence.</t>
        </is>
      </c>
      <c r="N29" s="68" t="inlineStr">
        <is>
          <t>cognition; digestive support; antioxidant</t>
        </is>
      </c>
      <c r="O29" s="68" t="inlineStr">
        <is>
          <t>mixed preclinical-human</t>
        </is>
      </c>
      <c r="P29" s="68" t="inlineStr">
        <is>
          <t>Generally well tolerated; review concentrated extract use.</t>
        </is>
      </c>
      <c r="Q29" s="68" t="inlineStr">
        <is>
          <t>Use caution in cognition-focused stacks with multiple cholinergic agents.</t>
        </is>
      </c>
      <c r="R29" s="68" t="inlineStr">
        <is>
          <t>Use caution in seizure-sensitive contexts at high-concentration intake levels.</t>
        </is>
      </c>
      <c r="S29" s="68" t="n"/>
      <c r="T29" s="68" t="n"/>
      <c r="U29" s="68" t="n"/>
      <c r="V29" s="68" t="n"/>
      <c r="W29" s="68" t="inlineStr">
        <is>
          <t>High</t>
        </is>
      </c>
      <c r="X29" s="68" t="inlineStr">
        <is>
          <t>validated</t>
        </is>
      </c>
      <c r="Y29" s="68" t="n"/>
      <c r="Z29" s="68" t="inlineStr">
        <is>
          <t>present</t>
        </is>
      </c>
      <c r="AA29" s="68" t="inlineStr">
        <is>
          <t>Internal workbook + enrichment queue</t>
        </is>
      </c>
      <c r="AB29" s="68" t="n"/>
      <c r="AC29" s="68" t="n"/>
      <c r="AD29" s="68" t="n"/>
      <c r="AE29" s="68" t="n"/>
      <c r="AF29" s="68" t="n"/>
      <c r="AG29" s="68" t="n">
        <v>3</v>
      </c>
      <c r="AH29" s="68" t="n">
        <v>1</v>
      </c>
      <c r="AI29" s="68" t="n">
        <v>3</v>
      </c>
      <c r="AJ29" s="68" t="n">
        <v>7</v>
      </c>
      <c r="AK29" s="68" t="inlineStr">
        <is>
          <t>Medium</t>
        </is>
      </c>
      <c r="AL29" s="68" t="n"/>
      <c r="AM29" s="68" t="inlineStr">
        <is>
          <t>Linked primary/secondary</t>
        </is>
      </c>
      <c r="AN29" s="68" t="n">
        <v>0.9</v>
      </c>
      <c r="AO29" s="68" t="inlineStr">
        <is>
          <t>Near ready</t>
        </is>
      </c>
      <c r="AP29" s="68" t="n"/>
      <c r="AQ29" s="68" t="n"/>
      <c r="AR29" s="68" t="inlineStr">
        <is>
          <t>Editorial polish</t>
        </is>
      </c>
      <c r="AS29" s="68" t="inlineStr">
        <is>
          <t>Not started</t>
        </is>
      </c>
      <c r="AT29" s="68" t="n"/>
      <c r="AU29" s="68" t="n"/>
      <c r="AV29" s="68" t="n"/>
      <c r="AW29" s="68" t="n"/>
      <c r="AX29" s="68" t="n"/>
      <c r="AY29" s="68" t="n"/>
      <c r="AZ29" s="68" t="n"/>
      <c r="BA29" s="68" t="n"/>
      <c r="BB29" s="68" t="n"/>
      <c r="BC29" s="68" t="n"/>
      <c r="BD29" s="68" t="n"/>
      <c r="BE29" s="68" t="inlineStr">
        <is>
          <t>2026-04-10</t>
        </is>
      </c>
      <c r="BF29" s="68" t="inlineStr">
        <is>
          <t>Metadata normalized from internal workbook links</t>
        </is>
      </c>
      <c r="BG29" s="68" t="inlineStr">
        <is>
          <t>sage|2026-04-10</t>
        </is>
      </c>
      <c r="BH29" s="68" t="inlineStr">
        <is>
          <t>2026-04-10:auto-normalized</t>
        </is>
      </c>
      <c r="BI29" t="inlineStr">
        <is>
          <t>sage</t>
        </is>
      </c>
      <c r="BJ29" t="inlineStr">
        <is>
          <t>Sage</t>
        </is>
      </c>
      <c r="BK29" t="n">
        <v>1</v>
      </c>
      <c r="BL29" t="n">
        <v>1</v>
      </c>
      <c r="BM29" t="n">
        <v>3</v>
      </c>
      <c r="BN29" t="n">
        <v>7</v>
      </c>
      <c r="BO29" t="n">
        <v>100</v>
      </c>
      <c r="BP29" t="n">
        <v>8</v>
      </c>
      <c r="BQ29" t="n">
        <v>10</v>
      </c>
      <c r="BR29" t="n">
        <v>5</v>
      </c>
      <c r="BS29" t="inlineStr">
        <is>
          <t>Tier 1</t>
        </is>
      </c>
      <c r="BT29" t="n">
        <v>5</v>
      </c>
      <c r="BU29" t="inlineStr">
        <is>
          <t>FALSE</t>
        </is>
      </c>
      <c r="BV29" t="inlineStr">
        <is>
          <t>sage</t>
        </is>
      </c>
      <c r="BW29" t="inlineStr">
        <is>
          <t>TRUE</t>
        </is>
      </c>
      <c r="BX29" t="inlineStr">
        <is>
          <t>Pass 10 refreshed scoring from 1 mapped compounds | Pass 13 rescored from 1 mapped compounds</t>
        </is>
      </c>
      <c r="BY29" t="inlineStr">
        <is>
          <t>unclassified</t>
        </is>
      </c>
      <c r="CA29" t="n">
        <v>2</v>
      </c>
      <c r="CB29" t="n">
        <v>0</v>
      </c>
      <c r="CC29" t="n">
        <v>0</v>
      </c>
      <c r="CD29" t="inlineStr">
        <is>
          <t>carvacrol; unclassified</t>
        </is>
      </c>
      <c r="CE29" t="inlineStr">
        <is>
          <t>Pass 13 rescored after herb-name normalization and real top-herb compound sweep</t>
        </is>
      </c>
      <c r="CF29" t="inlineStr">
        <is>
          <t>General</t>
        </is>
      </c>
      <c r="CH29" s="68" t="inlineStr">
        <is>
          <t>Start with low single-herb exposure and increase only if tolerated</t>
        </is>
      </c>
      <c r="CI29" s="68" t="inlineStr">
        <is>
          <t>Product-ideation framing only; not clinical dosing advice.</t>
        </is>
      </c>
      <c r="CJ29" s="68" t="inlineStr">
        <is>
          <t>seizure-caution</t>
        </is>
      </c>
      <c r="CK29" s="68" t="inlineStr">
        <is>
          <t>seizure history</t>
        </is>
      </c>
      <c r="CL29" s="68" t="inlineStr">
        <is>
          <t>Baseline</t>
        </is>
      </c>
      <c r="CM29" s="68" t="inlineStr">
        <is>
          <t>No</t>
        </is>
      </c>
      <c r="CN29" s="68" t="str"/>
      <c r="CO29" s="68" t="inlineStr">
        <is>
          <t>Pass 21 herb-level safety and dose framing</t>
        </is>
      </c>
      <c r="CP29" t="inlineStr">
        <is>
          <t>Moderate</t>
        </is>
      </c>
      <c r="CQ29" t="inlineStr">
        <is>
          <t>No</t>
        </is>
      </c>
      <c r="CS29" t="inlineStr">
        <is>
          <t>Pass 22 refined safety rule severity and reduced broad keyword over-flagging</t>
        </is>
      </c>
      <c r="CT29" t="inlineStr">
        <is>
          <t>General</t>
        </is>
      </c>
      <c r="CU29" t="inlineStr">
        <is>
          <t>antioxidant; cognition; digestive support</t>
        </is>
      </c>
      <c r="CV29" t="inlineStr">
        <is>
          <t>Human</t>
        </is>
      </c>
      <c r="CW29" t="inlineStr">
        <is>
          <t>Pass 26 normalization: categories, mechanisms, evidence tiers</t>
        </is>
      </c>
      <c r="CX29" t="inlineStr">
        <is>
          <t>Human + preclinical</t>
        </is>
      </c>
      <c r="CY29" t="inlineStr">
        <is>
          <t>Generally well tolerated; review concentrated extract use.</t>
        </is>
      </c>
      <c r="CZ29" t="inlineStr">
        <is>
          <t>Use caution in cognition-focused stacks with multiple cholinergic agents</t>
        </is>
      </c>
      <c r="DA29" t="inlineStr">
        <is>
          <t>Use caution in seizure-sensitive contexts at high-concentration intake levels</t>
        </is>
      </c>
      <c r="DB29" t="inlineStr">
        <is>
          <t>Pass 28 normalized evidence and safety-related free text</t>
        </is>
      </c>
      <c r="DD29" t="inlineStr">
        <is>
          <t>No standardized dose established; use conservative, product-dependent ranges.</t>
        </is>
      </c>
      <c r="DE29" t="inlineStr">
        <is>
          <t>Common forms include extracts, powders, or teas depending on herb part.</t>
        </is>
      </c>
      <c r="DF29" t="inlineStr">
        <is>
          <t>Quality varies by extraction method, standardization, and contamination risk.</t>
        </is>
      </c>
      <c r="DG29" t="inlineStr">
        <is>
          <t>Moderate to high</t>
        </is>
      </c>
      <c r="DH29" t="inlineStr">
        <is>
          <t>Pass 29 completeness repair</t>
        </is>
      </c>
      <c r="DI29" t="n">
        <v>9</v>
      </c>
      <c r="DJ29" t="inlineStr">
        <is>
          <t>General</t>
        </is>
      </c>
      <c r="DK29" t="inlineStr">
        <is>
          <t>carvacrol</t>
        </is>
      </c>
      <c r="DL29" t="inlineStr">
        <is>
          <t>Ajwain; Agarikon; Angelica Root; Artichoke; Ashoka</t>
        </is>
      </c>
      <c r="DM29" t="inlineStr">
        <is>
          <t>Pass 31 relationship intelligence: density, cluster, anchor class, nearest herbs</t>
        </is>
      </c>
      <c r="DN29" t="inlineStr">
        <is>
          <t>Ajwain; Blue Lotus; Butterbur; Damiana; Dong Quai</t>
        </is>
      </c>
      <c r="DO29" t="inlineStr">
        <is>
          <t>Ajwain (1 shared compounds; 1 shared pathways) | Blue Lotus (1 shared pathways) | Butterbur (1 shared pathways)</t>
        </is>
      </c>
      <c r="DP29" t="inlineStr">
        <is>
          <t>Generalist</t>
        </is>
      </c>
      <c r="DQ29" t="inlineStr">
        <is>
          <t>Pass 32 substitute engine + cluster cleanup</t>
        </is>
      </c>
      <c r="DR29" t="inlineStr">
        <is>
          <t>Ajwain</t>
        </is>
      </c>
      <c r="DS29" t="inlineStr">
        <is>
          <t>Blue Lotus</t>
        </is>
      </c>
      <c r="DT29" t="inlineStr">
        <is>
          <t>same cluster; lower safety burden; similarity-backed</t>
        </is>
      </c>
      <c r="DU29" t="inlineStr">
        <is>
          <t>Optional</t>
        </is>
      </c>
      <c r="DV29" t="inlineStr">
        <is>
          <t>Pass 33 fallback replacement engine</t>
        </is>
      </c>
      <c r="DW29" t="inlineStr">
        <is>
          <t>Butterbur</t>
        </is>
      </c>
      <c r="DX29" t="inlineStr">
        <is>
          <t>Ajwain; Blue Lotus; Butterbur; Damiana; Agarikon; Angelica Root; Ashoka; Dong Quai</t>
        </is>
      </c>
      <c r="DY29" t="inlineStr">
        <is>
          <t>Pass 35 expanded fallback pool with second-pass candidate exploration</t>
        </is>
      </c>
      <c r="EA29" t="inlineStr">
        <is>
          <t>General</t>
        </is>
      </c>
      <c r="EB29" t="inlineStr">
        <is>
          <t>unclassified</t>
        </is>
      </c>
      <c r="EC29" t="inlineStr">
        <is>
          <t>High</t>
        </is>
      </c>
      <c r="ED29" t="inlineStr">
        <is>
          <t>Pass 40 reinforced weak-category herb data</t>
        </is>
      </c>
      <c r="EG29" t="n">
        <v>6</v>
      </c>
      <c r="EH29" t="n">
        <v>6</v>
      </c>
      <c r="EI29" t="n">
        <v>0</v>
      </c>
      <c r="EJ29" t="n">
        <v>0</v>
      </c>
      <c r="EK29" t="n">
        <v>20</v>
      </c>
      <c r="EL29" t="n">
        <v>13</v>
      </c>
      <c r="EM29" t="inlineStr">
        <is>
          <t>carvacrol</t>
        </is>
      </c>
      <c r="EN29" t="inlineStr">
        <is>
          <t>Pass 48 rolled compound scores into herb-level scoring</t>
        </is>
      </c>
    </row>
    <row r="30">
      <c r="A30" s="68" t="inlineStr">
        <is>
          <t>Thyme</t>
        </is>
      </c>
      <c r="B30" s="68" t="inlineStr">
        <is>
          <t>thyme</t>
        </is>
      </c>
      <c r="C30" s="68" t="inlineStr">
        <is>
          <t>Thymus vulgaris</t>
        </is>
      </c>
      <c r="D30" s="68" t="inlineStr">
        <is>
          <t>herb</t>
        </is>
      </c>
      <c r="E30" s="68" t="inlineStr">
        <is>
          <t>plant</t>
        </is>
      </c>
      <c r="F30" s="68" t="inlineStr">
        <is>
          <t>leaf</t>
        </is>
      </c>
      <c r="G30" s="68" t="inlineStr">
        <is>
          <t>Thyme</t>
        </is>
      </c>
      <c r="H30" s="68" t="inlineStr">
        <is>
          <t>global</t>
        </is>
      </c>
      <c r="I30" s="68" t="inlineStr">
        <is>
          <t>Thyme positioned for primary functional support.</t>
        </is>
      </c>
      <c r="J30" s="68" t="inlineStr">
        <is>
          <t>Conservative evidence framing applied.</t>
        </is>
      </c>
      <c r="K30" s="68" t="inlineStr">
        <is>
          <t>thymol</t>
        </is>
      </c>
      <c r="L30" s="68" t="inlineStr">
        <is>
          <t>thymol</t>
        </is>
      </c>
      <c r="M30" s="68" t="inlineStr">
        <is>
          <t>Mechanistic activity supported by mixed evidence.</t>
        </is>
      </c>
      <c r="N30" s="68" t="inlineStr">
        <is>
          <t>respiratory support; antimicrobial; digestive support</t>
        </is>
      </c>
      <c r="O30" s="68" t="inlineStr">
        <is>
          <t>mixed traditional-preclinical</t>
        </is>
      </c>
      <c r="P30" s="68" t="inlineStr">
        <is>
          <t>Generally well tolerated; review concentrated oil use carefully.</t>
        </is>
      </c>
      <c r="Q30" s="68" t="inlineStr">
        <is>
          <t>Use caution in stacks already heavy in potent essential-oil actives.</t>
        </is>
      </c>
      <c r="R30" s="68" t="inlineStr">
        <is>
          <t>Use caution with highly sensitive GI contexts at concentrated intake.</t>
        </is>
      </c>
      <c r="S30" s="68" t="n"/>
      <c r="T30" s="68" t="n"/>
      <c r="U30" s="68" t="n"/>
      <c r="V30" s="68" t="n"/>
      <c r="W30" s="68" t="inlineStr">
        <is>
          <t>High</t>
        </is>
      </c>
      <c r="X30" s="68" t="inlineStr">
        <is>
          <t>validated</t>
        </is>
      </c>
      <c r="Y30" s="68" t="n"/>
      <c r="Z30" s="68" t="inlineStr">
        <is>
          <t>present</t>
        </is>
      </c>
      <c r="AA30" s="68" t="inlineStr">
        <is>
          <t>Internal workbook + enrichment queue</t>
        </is>
      </c>
      <c r="AB30" s="68" t="n"/>
      <c r="AC30" s="68" t="n"/>
      <c r="AD30" s="68" t="n"/>
      <c r="AE30" s="68" t="n"/>
      <c r="AF30" s="68" t="n"/>
      <c r="AG30" s="68" t="n">
        <v>3</v>
      </c>
      <c r="AH30" s="68" t="n">
        <v>1</v>
      </c>
      <c r="AI30" s="68" t="n">
        <v>3</v>
      </c>
      <c r="AJ30" s="68" t="n">
        <v>7</v>
      </c>
      <c r="AK30" s="68" t="inlineStr">
        <is>
          <t>Medium</t>
        </is>
      </c>
      <c r="AL30" s="68" t="n"/>
      <c r="AM30" s="68" t="inlineStr">
        <is>
          <t>Linked primary/secondary</t>
        </is>
      </c>
      <c r="AN30" s="68" t="n">
        <v>0.9</v>
      </c>
      <c r="AO30" s="68" t="inlineStr">
        <is>
          <t>Near ready</t>
        </is>
      </c>
      <c r="AP30" s="68" t="n"/>
      <c r="AQ30" s="68" t="n"/>
      <c r="AR30" s="68" t="inlineStr">
        <is>
          <t>Editorial polish</t>
        </is>
      </c>
      <c r="AS30" s="68" t="inlineStr">
        <is>
          <t>Not started</t>
        </is>
      </c>
      <c r="AT30" s="68" t="n"/>
      <c r="AU30" s="68" t="n"/>
      <c r="AV30" s="68" t="n"/>
      <c r="AW30" s="68" t="n"/>
      <c r="AX30" s="68" t="n"/>
      <c r="AY30" s="68" t="n"/>
      <c r="AZ30" s="68" t="n"/>
      <c r="BA30" s="68" t="n"/>
      <c r="BB30" s="68" t="n"/>
      <c r="BC30" s="68" t="n"/>
      <c r="BD30" s="68" t="n"/>
      <c r="BE30" s="68" t="inlineStr">
        <is>
          <t>2026-04-10</t>
        </is>
      </c>
      <c r="BF30" s="68" t="inlineStr">
        <is>
          <t>Metadata normalized from internal workbook links</t>
        </is>
      </c>
      <c r="BG30" s="68" t="inlineStr">
        <is>
          <t>thyme|2026-04-10</t>
        </is>
      </c>
      <c r="BH30" s="68" t="inlineStr">
        <is>
          <t>2026-04-10:auto-normalized</t>
        </is>
      </c>
      <c r="BI30" t="inlineStr">
        <is>
          <t>thyme</t>
        </is>
      </c>
      <c r="BJ30" t="inlineStr">
        <is>
          <t>Thyme</t>
        </is>
      </c>
      <c r="BK30" t="n">
        <v>1</v>
      </c>
      <c r="BL30" t="n">
        <v>1</v>
      </c>
      <c r="BM30" t="n">
        <v>3</v>
      </c>
      <c r="BN30" t="n">
        <v>7</v>
      </c>
      <c r="BO30" t="n">
        <v>100</v>
      </c>
      <c r="BP30" t="n">
        <v>8</v>
      </c>
      <c r="BQ30" t="n">
        <v>10</v>
      </c>
      <c r="BR30" t="n">
        <v>5</v>
      </c>
      <c r="BS30" t="inlineStr">
        <is>
          <t>Tier 1</t>
        </is>
      </c>
      <c r="BT30" t="n">
        <v>5</v>
      </c>
      <c r="BU30" t="inlineStr">
        <is>
          <t>FALSE</t>
        </is>
      </c>
      <c r="BV30" t="inlineStr">
        <is>
          <t>thyme</t>
        </is>
      </c>
      <c r="BW30" t="inlineStr">
        <is>
          <t>TRUE</t>
        </is>
      </c>
      <c r="BX30" t="inlineStr">
        <is>
          <t>Pass 10 refreshed scoring from 1 mapped compounds | Pass 13 rescored from 1 mapped compounds</t>
        </is>
      </c>
      <c r="BY30" t="inlineStr">
        <is>
          <t>unclassified</t>
        </is>
      </c>
      <c r="CA30" t="n">
        <v>2</v>
      </c>
      <c r="CB30" t="n">
        <v>0</v>
      </c>
      <c r="CC30" t="n">
        <v>0</v>
      </c>
      <c r="CD30" t="inlineStr">
        <is>
          <t>eucalyptol; unclassified</t>
        </is>
      </c>
      <c r="CE30" t="inlineStr">
        <is>
          <t>Pass 13 rescored after herb-name normalization and real top-herb compound sweep</t>
        </is>
      </c>
      <c r="CF30" t="inlineStr">
        <is>
          <t>General</t>
        </is>
      </c>
      <c r="CH30" s="68" t="inlineStr">
        <is>
          <t>Start with low single-herb exposure and increase only if tolerated</t>
        </is>
      </c>
      <c r="CI30" s="68" t="inlineStr">
        <is>
          <t>Product-ideation framing only; not clinical dosing advice.</t>
        </is>
      </c>
      <c r="CJ30" s="68" t="str"/>
      <c r="CK30" s="68" t="str"/>
      <c r="CL30" s="68" t="inlineStr">
        <is>
          <t>Baseline</t>
        </is>
      </c>
      <c r="CM30" s="68" t="inlineStr">
        <is>
          <t>No</t>
        </is>
      </c>
      <c r="CN30" s="68" t="str"/>
      <c r="CO30" s="68" t="inlineStr">
        <is>
          <t>Pass 21 herb-level safety and dose framing</t>
        </is>
      </c>
      <c r="CP30" t="inlineStr">
        <is>
          <t>Baseline</t>
        </is>
      </c>
      <c r="CQ30" t="inlineStr">
        <is>
          <t>No</t>
        </is>
      </c>
      <c r="CS30" t="inlineStr">
        <is>
          <t>Pass 22 refined safety rule severity and reduced broad keyword over-flagging</t>
        </is>
      </c>
      <c r="CT30" t="inlineStr">
        <is>
          <t>General</t>
        </is>
      </c>
      <c r="CU30" t="inlineStr">
        <is>
          <t>antimicrobial; digestive support; respiratory support</t>
        </is>
      </c>
      <c r="CV30" t="inlineStr">
        <is>
          <t>Preclinical</t>
        </is>
      </c>
      <c r="CW30" t="inlineStr">
        <is>
          <t>Pass 26 normalization: categories, mechanisms, evidence tiers</t>
        </is>
      </c>
      <c r="CX30" t="inlineStr">
        <is>
          <t>Preclinical</t>
        </is>
      </c>
      <c r="CY30" t="inlineStr">
        <is>
          <t>Generally well tolerated; review concentrated oil use carefully.</t>
        </is>
      </c>
      <c r="CZ30" t="inlineStr">
        <is>
          <t>Use caution in stacks already heavy in potent essential-oil actives</t>
        </is>
      </c>
      <c r="DA30" t="inlineStr">
        <is>
          <t>Use caution with highly sensitive GI contexts at concentrated intake</t>
        </is>
      </c>
      <c r="DB30" t="inlineStr">
        <is>
          <t>Pass 28 normalized evidence and safety-related free text</t>
        </is>
      </c>
      <c r="DD30" t="inlineStr">
        <is>
          <t>No standardized dose established; use conservative, product-dependent ranges.</t>
        </is>
      </c>
      <c r="DE30" t="inlineStr">
        <is>
          <t>Common forms include extracts, powders, or teas depending on herb part.</t>
        </is>
      </c>
      <c r="DF30" t="inlineStr">
        <is>
          <t>Quality varies by extraction method, standardization, and contamination risk.</t>
        </is>
      </c>
      <c r="DG30" t="inlineStr">
        <is>
          <t>Low to moderate</t>
        </is>
      </c>
      <c r="DH30" t="inlineStr">
        <is>
          <t>Pass 29 completeness repair</t>
        </is>
      </c>
      <c r="DI30" t="n">
        <v>9</v>
      </c>
      <c r="DJ30" t="inlineStr">
        <is>
          <t>General</t>
        </is>
      </c>
      <c r="DK30" t="inlineStr">
        <is>
          <t>eucalyptol</t>
        </is>
      </c>
      <c r="DL30" t="inlineStr">
        <is>
          <t>Agarikon; Ajwain; Angelica Root; Artichoke; Ashoka</t>
        </is>
      </c>
      <c r="DM30" t="inlineStr">
        <is>
          <t>Pass 31 relationship intelligence: density, cluster, anchor class, nearest herbs</t>
        </is>
      </c>
      <c r="DN30" t="inlineStr">
        <is>
          <t>Blue Lotus; Butterbur; Damiana; Dong Quai; Feverfew</t>
        </is>
      </c>
      <c r="DO30" t="inlineStr">
        <is>
          <t>Blue Lotus (1 shared pathways) | Butterbur (1 shared pathways) | Damiana (1 shared pathways)</t>
        </is>
      </c>
      <c r="DP30" t="inlineStr">
        <is>
          <t>Generalist</t>
        </is>
      </c>
      <c r="DQ30" t="inlineStr">
        <is>
          <t>Pass 32 substitute engine + cluster cleanup</t>
        </is>
      </c>
      <c r="DR30" t="inlineStr">
        <is>
          <t>Blue Lotus</t>
        </is>
      </c>
      <c r="DS30" t="inlineStr">
        <is>
          <t>Butterbur</t>
        </is>
      </c>
      <c r="DT30" t="inlineStr">
        <is>
          <t>same cluster; lower safety burden; similarity-backed</t>
        </is>
      </c>
      <c r="DU30" t="inlineStr">
        <is>
          <t>Not needed</t>
        </is>
      </c>
      <c r="DV30" t="inlineStr">
        <is>
          <t>Pass 33 fallback replacement engine</t>
        </is>
      </c>
      <c r="DW30" t="inlineStr">
        <is>
          <t>Damiana</t>
        </is>
      </c>
      <c r="DX30" t="inlineStr">
        <is>
          <t>Blue Lotus; Butterbur; Damiana; Agarikon; Ajwain; Angelica Root; Ashoka; Dong Quai</t>
        </is>
      </c>
      <c r="DY30" t="inlineStr">
        <is>
          <t>Pass 35 expanded fallback pool with second-pass candidate exploration</t>
        </is>
      </c>
      <c r="EA30" t="inlineStr">
        <is>
          <t>General</t>
        </is>
      </c>
      <c r="EB30" t="inlineStr">
        <is>
          <t>unclassified</t>
        </is>
      </c>
      <c r="EC30" t="inlineStr">
        <is>
          <t>High</t>
        </is>
      </c>
      <c r="ED30" t="inlineStr">
        <is>
          <t>Pass 40 reinforced weak-category herb data</t>
        </is>
      </c>
      <c r="EG30" t="n">
        <v>3</v>
      </c>
      <c r="EH30" t="n">
        <v>3</v>
      </c>
      <c r="EI30" t="n">
        <v>0</v>
      </c>
      <c r="EJ30" t="n">
        <v>0</v>
      </c>
      <c r="EK30" t="n">
        <v>11</v>
      </c>
      <c r="EL30" t="n">
        <v>7</v>
      </c>
      <c r="EM30" t="inlineStr">
        <is>
          <t>eucalyptol</t>
        </is>
      </c>
      <c r="EN30" t="inlineStr">
        <is>
          <t>Pass 48 rolled compound scores into herb-level scoring</t>
        </is>
      </c>
    </row>
    <row r="31">
      <c r="A31" s="68" t="inlineStr">
        <is>
          <t>Oregano</t>
        </is>
      </c>
      <c r="B31" s="68" t="inlineStr">
        <is>
          <t>oregano</t>
        </is>
      </c>
      <c r="C31" s="68" t="inlineStr">
        <is>
          <t>Origanum vulgare</t>
        </is>
      </c>
      <c r="D31" s="68" t="inlineStr">
        <is>
          <t>herb</t>
        </is>
      </c>
      <c r="E31" s="68" t="inlineStr">
        <is>
          <t>plant</t>
        </is>
      </c>
      <c r="F31" s="68" t="inlineStr">
        <is>
          <t>leaf</t>
        </is>
      </c>
      <c r="G31" s="68" t="inlineStr">
        <is>
          <t>Oregano</t>
        </is>
      </c>
      <c r="H31" s="68" t="inlineStr">
        <is>
          <t>global</t>
        </is>
      </c>
      <c r="I31" s="68" t="inlineStr">
        <is>
          <t>Oregano positioned for primary functional support.</t>
        </is>
      </c>
      <c r="J31" s="68" t="inlineStr">
        <is>
          <t>Conservative evidence framing applied.</t>
        </is>
      </c>
      <c r="K31" s="68" t="inlineStr">
        <is>
          <t>carvacrol; thymol; rosmarinic acid</t>
        </is>
      </c>
      <c r="L31" s="68" t="inlineStr">
        <is>
          <t>carvacrol; thymol</t>
        </is>
      </c>
      <c r="M31" s="68" t="inlineStr">
        <is>
          <t>Mechanistic activity supported by mixed evidence.</t>
        </is>
      </c>
      <c r="N31" s="68" t="inlineStr">
        <is>
          <t>antimicrobial; digestive support; respiratory support</t>
        </is>
      </c>
      <c r="O31" s="68" t="inlineStr">
        <is>
          <t>preclinical-traditional</t>
        </is>
      </c>
      <c r="P31" s="68" t="inlineStr">
        <is>
          <t>General use caution; concentrated extracts can be irritating</t>
        </is>
      </c>
      <c r="Q31" s="68" t="inlineStr">
        <is>
          <t>May stack strongly with other antimicrobial concentrates</t>
        </is>
      </c>
      <c r="R31" s="68" t="inlineStr">
        <is>
          <t>Use caution with gastric irritation-sensitive contexts</t>
        </is>
      </c>
      <c r="S31" s="68" t="n"/>
      <c r="T31" s="68" t="n"/>
      <c r="U31" s="68" t="n"/>
      <c r="V31" s="68" t="n"/>
      <c r="W31" s="68" t="inlineStr">
        <is>
          <t>medium</t>
        </is>
      </c>
      <c r="X31" s="68" t="inlineStr">
        <is>
          <t>validated</t>
        </is>
      </c>
      <c r="Y31" s="68" t="n"/>
      <c r="Z31" s="68" t="inlineStr">
        <is>
          <t>dataset-linked</t>
        </is>
      </c>
      <c r="AA31" s="68" t="inlineStr">
        <is>
          <t>Internal workbook cross-link</t>
        </is>
      </c>
      <c r="AB31" s="68" t="n"/>
      <c r="AC31" s="68" t="n"/>
      <c r="AD31" s="68" t="n"/>
      <c r="AE31" s="68" t="n"/>
      <c r="AF31" s="68" t="n"/>
      <c r="AG31" s="68" t="n">
        <v>1</v>
      </c>
      <c r="AH31" s="68" t="n">
        <v>1</v>
      </c>
      <c r="AI31" s="68" t="n">
        <v>1</v>
      </c>
      <c r="AJ31" s="68" t="n">
        <v>3</v>
      </c>
      <c r="AK31" s="68" t="inlineStr">
        <is>
          <t>High</t>
        </is>
      </c>
      <c r="AL31" s="68" t="n"/>
      <c r="AM31" s="68" t="inlineStr">
        <is>
          <t>Internal linked</t>
        </is>
      </c>
      <c r="AN31" s="68" t="n">
        <v>0.9</v>
      </c>
      <c r="AO31" s="68" t="inlineStr">
        <is>
          <t>Needs work</t>
        </is>
      </c>
      <c r="AP31" s="68" t="n"/>
      <c r="AQ31" s="68" t="n"/>
      <c r="AR31" s="68" t="inlineStr">
        <is>
          <t>Source review</t>
        </is>
      </c>
      <c r="AS31" s="68" t="inlineStr">
        <is>
          <t>Not started</t>
        </is>
      </c>
      <c r="AT31" s="68" t="n"/>
      <c r="AU31" s="68" t="n"/>
      <c r="AV31" s="68" t="n"/>
      <c r="AW31" s="68" t="n"/>
      <c r="AX31" s="68" t="n"/>
      <c r="AY31" s="68" t="n"/>
      <c r="AZ31" s="68" t="n"/>
      <c r="BA31" s="68" t="n"/>
      <c r="BB31" s="68" t="n"/>
      <c r="BC31" s="68" t="n"/>
      <c r="BD31" s="68" t="n"/>
      <c r="BE31" s="68" t="inlineStr">
        <is>
          <t>2026-04-10</t>
        </is>
      </c>
      <c r="BF31" s="68" t="inlineStr">
        <is>
          <t>Metadata normalized from internal workbook links</t>
        </is>
      </c>
      <c r="BG31" s="68" t="inlineStr">
        <is>
          <t>oregano|2026-04-10</t>
        </is>
      </c>
      <c r="BH31" s="68" t="inlineStr">
        <is>
          <t>2026-04-10:auto-normalized</t>
        </is>
      </c>
      <c r="BI31" t="inlineStr">
        <is>
          <t>oregano</t>
        </is>
      </c>
      <c r="BJ31" t="inlineStr">
        <is>
          <t>Oregano</t>
        </is>
      </c>
      <c r="BK31" t="n">
        <v>0</v>
      </c>
      <c r="BL31" t="n">
        <v>0</v>
      </c>
      <c r="BM31" t="n">
        <v>3</v>
      </c>
      <c r="BN31" t="n">
        <v>0</v>
      </c>
      <c r="BO31" t="n">
        <v>100</v>
      </c>
      <c r="BP31" t="n">
        <v>0</v>
      </c>
      <c r="BQ31" t="n">
        <v>0</v>
      </c>
      <c r="BR31" t="n">
        <v>0</v>
      </c>
      <c r="BS31" t="inlineStr">
        <is>
          <t>Tier 4</t>
        </is>
      </c>
      <c r="BT31" t="n">
        <v>0</v>
      </c>
      <c r="BU31" t="inlineStr">
        <is>
          <t>FALSE</t>
        </is>
      </c>
      <c r="BV31" t="inlineStr">
        <is>
          <t>oregano</t>
        </is>
      </c>
      <c r="BW31" t="inlineStr">
        <is>
          <t>FALSE</t>
        </is>
      </c>
      <c r="BX31" t="inlineStr">
        <is>
          <t>Pass 10 refreshed scoring from 0 mapped compounds | Pass 13 rescored from 0 mapped compounds</t>
        </is>
      </c>
      <c r="CA31" t="n">
        <v>0</v>
      </c>
      <c r="CB31" t="n">
        <v>0</v>
      </c>
      <c r="CC31" t="n">
        <v>0</v>
      </c>
      <c r="CE31" t="inlineStr">
        <is>
          <t>Pass 13 rescored after herb-name normalization and real top-herb compound sweep</t>
        </is>
      </c>
      <c r="CF31" t="inlineStr">
        <is>
          <t>General</t>
        </is>
      </c>
      <c r="CH31" s="68" t="inlineStr">
        <is>
          <t>Start with low single-herb exposure and increase only if tolerated</t>
        </is>
      </c>
      <c r="CI31" s="68" t="inlineStr">
        <is>
          <t>Product-ideation framing only; not clinical dosing advice.</t>
        </is>
      </c>
      <c r="CJ31" s="68" t="str"/>
      <c r="CK31" s="68" t="str"/>
      <c r="CL31" s="68" t="inlineStr">
        <is>
          <t>Baseline</t>
        </is>
      </c>
      <c r="CM31" s="68" t="inlineStr">
        <is>
          <t>No</t>
        </is>
      </c>
      <c r="CN31" s="68" t="str"/>
      <c r="CO31" s="68" t="inlineStr">
        <is>
          <t>Pass 21 herb-level safety and dose framing</t>
        </is>
      </c>
      <c r="CP31" t="inlineStr">
        <is>
          <t>Baseline</t>
        </is>
      </c>
      <c r="CQ31" t="inlineStr">
        <is>
          <t>No</t>
        </is>
      </c>
      <c r="CS31" t="inlineStr">
        <is>
          <t>Pass 22 refined safety rule severity and reduced broad keyword over-flagging</t>
        </is>
      </c>
      <c r="CT31" t="inlineStr">
        <is>
          <t>General</t>
        </is>
      </c>
      <c r="CU31" t="inlineStr">
        <is>
          <t>antimicrobial; digestive support; respiratory support</t>
        </is>
      </c>
      <c r="CV31" t="inlineStr">
        <is>
          <t>Preclinical</t>
        </is>
      </c>
      <c r="CW31" t="inlineStr">
        <is>
          <t>Pass 26 normalization: categories, mechanisms, evidence tiers</t>
        </is>
      </c>
      <c r="CX31" t="inlineStr">
        <is>
          <t>Preclinical</t>
        </is>
      </c>
      <c r="CY31" t="inlineStr">
        <is>
          <t>General use caution; concentrated extracts can be irritating</t>
        </is>
      </c>
      <c r="CZ31" t="inlineStr">
        <is>
          <t>May stack strongly with other antimicrobial concentrates</t>
        </is>
      </c>
      <c r="DA31" t="inlineStr">
        <is>
          <t>Use caution with gastric irritation-sensitive contexts</t>
        </is>
      </c>
      <c r="DB31" t="inlineStr">
        <is>
          <t>Pass 28 normalized evidence and safety-related free text</t>
        </is>
      </c>
      <c r="DD31" t="inlineStr">
        <is>
          <t>No standardized dose established; use conservative, product-dependent ranges.</t>
        </is>
      </c>
      <c r="DE31" t="inlineStr">
        <is>
          <t>Common forms include extracts, powders, or teas depending on herb part.</t>
        </is>
      </c>
      <c r="DF31" t="inlineStr">
        <is>
          <t>Quality varies by extraction method, standardization, and contamination risk.</t>
        </is>
      </c>
      <c r="DG31" t="inlineStr">
        <is>
          <t>Low to moderate</t>
        </is>
      </c>
      <c r="DH31" t="inlineStr">
        <is>
          <t>Pass 29 completeness repair</t>
        </is>
      </c>
      <c r="DI31" t="n">
        <v>0</v>
      </c>
      <c r="DJ31" t="inlineStr">
        <is>
          <t>General</t>
        </is>
      </c>
      <c r="DL31" t="inlineStr">
        <is>
          <t>Acerola; Agarikon; Ajwain; Aloe Vera; American Ginseng</t>
        </is>
      </c>
      <c r="DM31" t="inlineStr">
        <is>
          <t>Pass 31 relationship intelligence: density, cluster, anchor class, nearest herbs</t>
        </is>
      </c>
      <c r="DP31" t="inlineStr">
        <is>
          <t>Generalist</t>
        </is>
      </c>
      <c r="DQ31" t="inlineStr">
        <is>
          <t>Pass 32 substitute engine + cluster cleanup</t>
        </is>
      </c>
      <c r="DT31" t="inlineStr">
        <is>
          <t>no strong safe fallback found</t>
        </is>
      </c>
      <c r="DU31" t="inlineStr">
        <is>
          <t>Not needed</t>
        </is>
      </c>
      <c r="DV31" t="inlineStr">
        <is>
          <t>Pass 33 fallback replacement engine</t>
        </is>
      </c>
      <c r="DY31" t="inlineStr">
        <is>
          <t>Pass 35 expanded fallback pool with second-pass candidate exploration</t>
        </is>
      </c>
      <c r="EA31" t="inlineStr">
        <is>
          <t>General</t>
        </is>
      </c>
      <c r="EC31" t="inlineStr">
        <is>
          <t>medium</t>
        </is>
      </c>
      <c r="ED31" t="inlineStr">
        <is>
          <t>Pass 40 reinforced weak-category herb data</t>
        </is>
      </c>
      <c r="EG31" t="n">
        <v>0</v>
      </c>
      <c r="EH31" t="n">
        <v>0</v>
      </c>
      <c r="EI31" t="n">
        <v>0</v>
      </c>
      <c r="EJ31" t="n">
        <v>0</v>
      </c>
      <c r="EK31" t="n">
        <v>0</v>
      </c>
      <c r="EL31" t="n">
        <v>0</v>
      </c>
      <c r="EN31" t="inlineStr">
        <is>
          <t>Pass 48 rolled compound scores into herb-level scoring</t>
        </is>
      </c>
    </row>
    <row r="32">
      <c r="A32" s="68" t="inlineStr">
        <is>
          <t>Eucalyptus</t>
        </is>
      </c>
      <c r="B32" s="68" t="inlineStr">
        <is>
          <t>eucalyptus</t>
        </is>
      </c>
      <c r="C32" s="68" t="inlineStr">
        <is>
          <t>Eucalyptus globulus</t>
        </is>
      </c>
      <c r="D32" s="68" t="inlineStr">
        <is>
          <t>herb</t>
        </is>
      </c>
      <c r="E32" s="68" t="inlineStr">
        <is>
          <t>plant</t>
        </is>
      </c>
      <c r="F32" s="68" t="inlineStr">
        <is>
          <t>leaf</t>
        </is>
      </c>
      <c r="G32" s="68" t="inlineStr">
        <is>
          <t>Eucalyptus</t>
        </is>
      </c>
      <c r="H32" s="68" t="inlineStr">
        <is>
          <t>global</t>
        </is>
      </c>
      <c r="I32" s="68" t="inlineStr">
        <is>
          <t>Eucalyptus positioned for primary functional support.</t>
        </is>
      </c>
      <c r="J32" s="68" t="inlineStr">
        <is>
          <t>Conservative evidence framing applied.</t>
        </is>
      </c>
      <c r="K32" s="68" t="inlineStr">
        <is>
          <t>eucalyptol; alpha-pinene; tannins</t>
        </is>
      </c>
      <c r="L32" s="68" t="inlineStr">
        <is>
          <t>eucalyptol; alpha-pinene</t>
        </is>
      </c>
      <c r="M32" s="68" t="inlineStr">
        <is>
          <t>Mechanistic activity supported by mixed evidence.</t>
        </is>
      </c>
      <c r="N32" s="68" t="inlineStr">
        <is>
          <t>respiratory support; antimicrobial; anti-inflammatory</t>
        </is>
      </c>
      <c r="O32" s="68" t="inlineStr">
        <is>
          <t>mixed preclinical-traditional</t>
        </is>
      </c>
      <c r="P32" s="68" t="inlineStr">
        <is>
          <t>Review interactions and contraindications</t>
        </is>
      </c>
      <c r="Q32" s="68" t="inlineStr">
        <is>
          <t>May irritate when combined with strong volatile-oil protocols</t>
        </is>
      </c>
      <c r="R32" s="68" t="inlineStr">
        <is>
          <t>Use caution with young children and high-dose essential-oil contexts</t>
        </is>
      </c>
      <c r="S32" s="68" t="n"/>
      <c r="T32" s="68" t="n"/>
      <c r="U32" s="68" t="n"/>
      <c r="V32" s="68" t="n"/>
      <c r="W32" s="68" t="inlineStr">
        <is>
          <t>medium</t>
        </is>
      </c>
      <c r="X32" s="68" t="inlineStr">
        <is>
          <t>validated</t>
        </is>
      </c>
      <c r="Y32" s="68" t="n"/>
      <c r="Z32" s="68" t="inlineStr">
        <is>
          <t>dataset-linked</t>
        </is>
      </c>
      <c r="AA32" s="68" t="inlineStr">
        <is>
          <t>Internal workbook cross-link</t>
        </is>
      </c>
      <c r="AB32" s="68" t="n"/>
      <c r="AC32" s="68" t="n"/>
      <c r="AD32" s="68" t="n"/>
      <c r="AE32" s="68" t="n"/>
      <c r="AF32" s="68" t="n"/>
      <c r="AG32" s="68" t="n">
        <v>1</v>
      </c>
      <c r="AH32" s="68" t="n">
        <v>1</v>
      </c>
      <c r="AI32" s="68" t="n">
        <v>1</v>
      </c>
      <c r="AJ32" s="68" t="n">
        <v>3</v>
      </c>
      <c r="AK32" s="68" t="inlineStr">
        <is>
          <t>High</t>
        </is>
      </c>
      <c r="AL32" s="68" t="n"/>
      <c r="AM32" s="68" t="inlineStr">
        <is>
          <t>Internal linked</t>
        </is>
      </c>
      <c r="AN32" s="68" t="n">
        <v>0.9</v>
      </c>
      <c r="AO32" s="68" t="inlineStr">
        <is>
          <t>Needs work</t>
        </is>
      </c>
      <c r="AP32" s="68" t="n"/>
      <c r="AQ32" s="68" t="n"/>
      <c r="AR32" s="68" t="inlineStr">
        <is>
          <t>Source review</t>
        </is>
      </c>
      <c r="AS32" s="68" t="inlineStr">
        <is>
          <t>Not started</t>
        </is>
      </c>
      <c r="AT32" s="68" t="n"/>
      <c r="AU32" s="68" t="n"/>
      <c r="AV32" s="68" t="n"/>
      <c r="AW32" s="68" t="n"/>
      <c r="AX32" s="68" t="n"/>
      <c r="AY32" s="68" t="n"/>
      <c r="AZ32" s="68" t="n"/>
      <c r="BA32" s="68" t="n"/>
      <c r="BB32" s="68" t="n"/>
      <c r="BC32" s="68" t="n"/>
      <c r="BD32" s="68" t="n"/>
      <c r="BE32" s="68" t="inlineStr">
        <is>
          <t>2026-04-10</t>
        </is>
      </c>
      <c r="BF32" s="68" t="inlineStr">
        <is>
          <t>Metadata normalized from internal workbook links</t>
        </is>
      </c>
      <c r="BG32" s="68" t="inlineStr">
        <is>
          <t>eucalyptus|2026-04-10</t>
        </is>
      </c>
      <c r="BH32" s="68" t="inlineStr">
        <is>
          <t>2026-04-10:auto-normalized</t>
        </is>
      </c>
      <c r="BI32" t="inlineStr">
        <is>
          <t>eucalyptus</t>
        </is>
      </c>
      <c r="BJ32" t="inlineStr">
        <is>
          <t>Eucalyptus</t>
        </is>
      </c>
      <c r="BK32" t="n">
        <v>0</v>
      </c>
      <c r="BL32" t="n">
        <v>0</v>
      </c>
      <c r="BM32" t="n">
        <v>3</v>
      </c>
      <c r="BN32" t="n">
        <v>0</v>
      </c>
      <c r="BO32" t="n">
        <v>100</v>
      </c>
      <c r="BP32" t="n">
        <v>0</v>
      </c>
      <c r="BQ32" t="n">
        <v>0</v>
      </c>
      <c r="BR32" t="n">
        <v>0</v>
      </c>
      <c r="BS32" t="inlineStr">
        <is>
          <t>Tier 4</t>
        </is>
      </c>
      <c r="BT32" t="n">
        <v>0</v>
      </c>
      <c r="BU32" t="inlineStr">
        <is>
          <t>FALSE</t>
        </is>
      </c>
      <c r="BV32" t="inlineStr">
        <is>
          <t>eucalyptus</t>
        </is>
      </c>
      <c r="BW32" t="inlineStr">
        <is>
          <t>FALSE</t>
        </is>
      </c>
      <c r="BX32" t="inlineStr">
        <is>
          <t>Pass 10 refreshed scoring from 0 mapped compounds | Pass 13 rescored from 0 mapped compounds</t>
        </is>
      </c>
      <c r="CA32" t="n">
        <v>0</v>
      </c>
      <c r="CB32" t="n">
        <v>0</v>
      </c>
      <c r="CC32" t="n">
        <v>0</v>
      </c>
      <c r="CE32" t="inlineStr">
        <is>
          <t>Pass 13 rescored after herb-name normalization and real top-herb compound sweep</t>
        </is>
      </c>
      <c r="CF32" t="inlineStr">
        <is>
          <t>General</t>
        </is>
      </c>
      <c r="CH32" s="68" t="inlineStr">
        <is>
          <t>Start with low single-herb exposure and increase only if tolerated</t>
        </is>
      </c>
      <c r="CI32" s="68" t="inlineStr">
        <is>
          <t>Product-ideation framing only; not clinical dosing advice.</t>
        </is>
      </c>
      <c r="CJ32" s="68" t="str"/>
      <c r="CK32" s="68" t="str"/>
      <c r="CL32" s="68" t="inlineStr">
        <is>
          <t>Baseline</t>
        </is>
      </c>
      <c r="CM32" s="68" t="inlineStr">
        <is>
          <t>No</t>
        </is>
      </c>
      <c r="CN32" s="68" t="str"/>
      <c r="CO32" s="68" t="inlineStr">
        <is>
          <t>Pass 21 herb-level safety and dose framing</t>
        </is>
      </c>
      <c r="CP32" t="inlineStr">
        <is>
          <t>Baseline</t>
        </is>
      </c>
      <c r="CQ32" t="inlineStr">
        <is>
          <t>No</t>
        </is>
      </c>
      <c r="CS32" t="inlineStr">
        <is>
          <t>Pass 22 refined safety rule severity and reduced broad keyword over-flagging</t>
        </is>
      </c>
      <c r="CT32" t="inlineStr">
        <is>
          <t>General</t>
        </is>
      </c>
      <c r="CU32" t="inlineStr">
        <is>
          <t>anti-inflammatory; antimicrobial; respiratory support</t>
        </is>
      </c>
      <c r="CV32" t="inlineStr">
        <is>
          <t>Preclinical</t>
        </is>
      </c>
      <c r="CW32" t="inlineStr">
        <is>
          <t>Pass 26 normalization: categories, mechanisms, evidence tiers</t>
        </is>
      </c>
      <c r="CX32" t="inlineStr">
        <is>
          <t>Preclinical</t>
        </is>
      </c>
      <c r="CY32" t="inlineStr">
        <is>
          <t>Review interactions and contraindications</t>
        </is>
      </c>
      <c r="CZ32" t="inlineStr">
        <is>
          <t>May irritate when combined with strong volatile-oil protocols</t>
        </is>
      </c>
      <c r="DA32" t="inlineStr">
        <is>
          <t>Use caution with young children and high-dose essential-oil contexts</t>
        </is>
      </c>
      <c r="DB32" t="inlineStr">
        <is>
          <t>Pass 28 normalized evidence and safety-related free text</t>
        </is>
      </c>
      <c r="DD32" t="inlineStr">
        <is>
          <t>No standardized dose established; use conservative, product-dependent ranges.</t>
        </is>
      </c>
      <c r="DE32" t="inlineStr">
        <is>
          <t>Common forms include extracts, powders, or teas depending on herb part.</t>
        </is>
      </c>
      <c r="DF32" t="inlineStr">
        <is>
          <t>Quality varies by extraction method, standardization, and contamination risk.</t>
        </is>
      </c>
      <c r="DG32" t="inlineStr">
        <is>
          <t>Low to moderate</t>
        </is>
      </c>
      <c r="DH32" t="inlineStr">
        <is>
          <t>Pass 29 completeness repair</t>
        </is>
      </c>
      <c r="DI32" t="n">
        <v>0</v>
      </c>
      <c r="DJ32" t="inlineStr">
        <is>
          <t>General</t>
        </is>
      </c>
      <c r="DL32" t="inlineStr">
        <is>
          <t>Acerola; Agarikon; Ajwain; Aloe Vera; American Ginseng</t>
        </is>
      </c>
      <c r="DM32" t="inlineStr">
        <is>
          <t>Pass 31 relationship intelligence: density, cluster, anchor class, nearest herbs</t>
        </is>
      </c>
      <c r="DP32" t="inlineStr">
        <is>
          <t>Generalist</t>
        </is>
      </c>
      <c r="DQ32" t="inlineStr">
        <is>
          <t>Pass 32 substitute engine + cluster cleanup</t>
        </is>
      </c>
      <c r="DT32" t="inlineStr">
        <is>
          <t>no strong safe fallback found</t>
        </is>
      </c>
      <c r="DU32" t="inlineStr">
        <is>
          <t>Not needed</t>
        </is>
      </c>
      <c r="DV32" t="inlineStr">
        <is>
          <t>Pass 33 fallback replacement engine</t>
        </is>
      </c>
      <c r="DY32" t="inlineStr">
        <is>
          <t>Pass 35 expanded fallback pool with second-pass candidate exploration</t>
        </is>
      </c>
      <c r="EA32" t="inlineStr">
        <is>
          <t>General</t>
        </is>
      </c>
      <c r="EC32" t="inlineStr">
        <is>
          <t>medium</t>
        </is>
      </c>
      <c r="ED32" t="inlineStr">
        <is>
          <t>Pass 40 reinforced weak-category herb data</t>
        </is>
      </c>
      <c r="EG32" t="n">
        <v>0</v>
      </c>
      <c r="EH32" t="n">
        <v>0</v>
      </c>
      <c r="EI32" t="n">
        <v>0</v>
      </c>
      <c r="EJ32" t="n">
        <v>0</v>
      </c>
      <c r="EK32" t="n">
        <v>0</v>
      </c>
      <c r="EL32" t="n">
        <v>0</v>
      </c>
      <c r="EN32" t="inlineStr">
        <is>
          <t>Pass 48 rolled compound scores into herb-level scoring</t>
        </is>
      </c>
    </row>
    <row r="33">
      <c r="A33" s="68" t="inlineStr">
        <is>
          <t>Artichoke</t>
        </is>
      </c>
      <c r="B33" s="68" t="inlineStr">
        <is>
          <t>artichoke</t>
        </is>
      </c>
      <c r="C33" s="68" t="inlineStr">
        <is>
          <t>Cynara scolymus</t>
        </is>
      </c>
      <c r="D33" s="68" t="inlineStr">
        <is>
          <t>herb</t>
        </is>
      </c>
      <c r="E33" s="68" t="inlineStr">
        <is>
          <t>leaf</t>
        </is>
      </c>
      <c r="F33" s="68" t="inlineStr">
        <is>
          <t>leaf</t>
        </is>
      </c>
      <c r="G33" s="68" t="inlineStr">
        <is>
          <t>artichoke leaf</t>
        </is>
      </c>
      <c r="H33" s="68" t="inlineStr">
        <is>
          <t>Mediterranean; cultivated broadly</t>
        </is>
      </c>
      <c r="I33" s="68" t="inlineStr">
        <is>
          <t>Artichoke is a leaf monograph positioned for hepatobiliary and digestive support.</t>
        </is>
      </c>
      <c r="J33" s="68" t="inlineStr">
        <is>
          <t>It is best framed around bitter-compound and phenolic support for digestion and bile-related positioning rather than broad detox claims.</t>
        </is>
      </c>
      <c r="K33" s="68" t="inlineStr">
        <is>
          <t>cynarin; chlorogenic acid</t>
        </is>
      </c>
      <c r="L33" s="68" t="inlineStr">
        <is>
          <t>cynarin</t>
        </is>
      </c>
      <c r="M33" s="68" t="inlineStr">
        <is>
          <t>Phenolic compounds are associated with choleretic and hepatometabolic-support positioning.</t>
        </is>
      </c>
      <c r="N33" s="68" t="inlineStr">
        <is>
          <t>digestive support; hepatobiliary support</t>
        </is>
      </c>
      <c r="O33" s="68" t="inlineStr">
        <is>
          <t>mixed human + preclinical</t>
        </is>
      </c>
      <c r="P33" s="68" t="inlineStr">
        <is>
          <t>Generally well tolerated.</t>
        </is>
      </c>
      <c r="Q33" s="68" t="inlineStr">
        <is>
          <t>Avoid with bile-duct obstruction or severe gallbladder issues.</t>
        </is>
      </c>
      <c r="R33" s="68" t="n"/>
      <c r="S33" s="68" t="n"/>
      <c r="T33" s="68" t="n"/>
      <c r="U33" s="68" t="n"/>
      <c r="V33" s="68" t="n"/>
      <c r="W33" s="68" t="inlineStr">
        <is>
          <t>High</t>
        </is>
      </c>
      <c r="X33" s="68" t="inlineStr">
        <is>
          <t>validated</t>
        </is>
      </c>
      <c r="Y33" s="68" t="n"/>
      <c r="Z33" s="68" t="inlineStr">
        <is>
          <t>present</t>
        </is>
      </c>
      <c r="AA33" s="68" t="inlineStr">
        <is>
          <t>Internal workbook + enrichment queue</t>
        </is>
      </c>
      <c r="AB33" s="68" t="n"/>
      <c r="AC33" s="68" t="n"/>
      <c r="AD33" s="68" t="n"/>
      <c r="AE33" s="68" t="n"/>
      <c r="AF33" s="68" t="n"/>
      <c r="AG33" s="68" t="n">
        <v>3</v>
      </c>
      <c r="AH33" s="68" t="n">
        <v>1</v>
      </c>
      <c r="AI33" s="68" t="n">
        <v>3</v>
      </c>
      <c r="AJ33" s="68" t="n">
        <v>7</v>
      </c>
      <c r="AK33" s="68" t="inlineStr">
        <is>
          <t>Medium</t>
        </is>
      </c>
      <c r="AL33" s="68" t="n"/>
      <c r="AM33" s="68" t="inlineStr">
        <is>
          <t>Linked primary/secondary</t>
        </is>
      </c>
      <c r="AN33" s="68" t="n">
        <v>0.9</v>
      </c>
      <c r="AO33" s="68" t="inlineStr">
        <is>
          <t>Near ready</t>
        </is>
      </c>
      <c r="AP33" s="68" t="n"/>
      <c r="AQ33" s="68" t="n"/>
      <c r="AR33" s="68" t="inlineStr">
        <is>
          <t>Editorial polish</t>
        </is>
      </c>
      <c r="AS33" s="68" t="inlineStr">
        <is>
          <t>Not started</t>
        </is>
      </c>
      <c r="AT33" s="68" t="n"/>
      <c r="AU33" s="68" t="n"/>
      <c r="AV33" s="68" t="n"/>
      <c r="AW33" s="68" t="n"/>
      <c r="AX33" s="68" t="n"/>
      <c r="AY33" s="68" t="n"/>
      <c r="AZ33" s="68" t="n"/>
      <c r="BA33" s="68" t="n"/>
      <c r="BB33" s="68" t="n"/>
      <c r="BC33" s="68" t="n"/>
      <c r="BD33" s="68" t="n"/>
      <c r="BE33" s="68" t="inlineStr">
        <is>
          <t>2026-04-10</t>
        </is>
      </c>
      <c r="BF33" s="68" t="inlineStr">
        <is>
          <t>Metadata normalized from internal workbook links</t>
        </is>
      </c>
      <c r="BG33" s="68" t="inlineStr">
        <is>
          <t>artichoke|2026-04-10</t>
        </is>
      </c>
      <c r="BH33" s="68" t="inlineStr">
        <is>
          <t>2026-04-10:auto-normalized</t>
        </is>
      </c>
      <c r="BI33" t="inlineStr">
        <is>
          <t>artichoke</t>
        </is>
      </c>
      <c r="BJ33" t="inlineStr">
        <is>
          <t>Artichoke</t>
        </is>
      </c>
      <c r="BK33" t="n">
        <v>1</v>
      </c>
      <c r="BL33" t="n">
        <v>1</v>
      </c>
      <c r="BM33" t="n">
        <v>3</v>
      </c>
      <c r="BN33" t="n">
        <v>7</v>
      </c>
      <c r="BO33" t="n">
        <v>100</v>
      </c>
      <c r="BP33" t="n">
        <v>8</v>
      </c>
      <c r="BQ33" t="n">
        <v>10</v>
      </c>
      <c r="BR33" t="n">
        <v>5</v>
      </c>
      <c r="BS33" t="inlineStr">
        <is>
          <t>Tier 1</t>
        </is>
      </c>
      <c r="BT33" t="n">
        <v>5</v>
      </c>
      <c r="BU33" t="inlineStr">
        <is>
          <t>FALSE</t>
        </is>
      </c>
      <c r="BV33" t="inlineStr">
        <is>
          <t>artichoke</t>
        </is>
      </c>
      <c r="BW33" t="inlineStr">
        <is>
          <t>TRUE</t>
        </is>
      </c>
      <c r="BX33" t="inlineStr">
        <is>
          <t>Pass 10 refreshed scoring from 1 mapped compounds | Pass 13 rescored from 1 mapped compounds</t>
        </is>
      </c>
      <c r="BY33" t="inlineStr">
        <is>
          <t>unclassified</t>
        </is>
      </c>
      <c r="CA33" t="n">
        <v>2</v>
      </c>
      <c r="CB33" t="n">
        <v>0</v>
      </c>
      <c r="CC33" t="n">
        <v>0</v>
      </c>
      <c r="CD33" t="inlineStr">
        <is>
          <t>cynarin; unclassified</t>
        </is>
      </c>
      <c r="CE33" t="inlineStr">
        <is>
          <t>Pass 13 rescored after herb-name normalization and real top-herb compound sweep</t>
        </is>
      </c>
      <c r="CF33" t="inlineStr">
        <is>
          <t>General</t>
        </is>
      </c>
      <c r="CH33" s="68" t="inlineStr">
        <is>
          <t>Start with low single-herb exposure and increase only if tolerated</t>
        </is>
      </c>
      <c r="CI33" s="68" t="inlineStr">
        <is>
          <t>Prefer conservative use and avoid default inclusion in liver-sensitive audiences.</t>
        </is>
      </c>
      <c r="CJ33" s="68" t="inlineStr">
        <is>
          <t>hepatic-caution</t>
        </is>
      </c>
      <c r="CK33" s="68" t="str"/>
      <c r="CL33" s="68" t="inlineStr">
        <is>
          <t>Baseline</t>
        </is>
      </c>
      <c r="CM33" s="68" t="inlineStr">
        <is>
          <t>No</t>
        </is>
      </c>
      <c r="CN33" s="68" t="str"/>
      <c r="CO33" s="68" t="inlineStr">
        <is>
          <t>Pass 21 herb-level safety and dose framing</t>
        </is>
      </c>
      <c r="CP33" t="inlineStr">
        <is>
          <t>Moderate</t>
        </is>
      </c>
      <c r="CQ33" t="inlineStr">
        <is>
          <t>No</t>
        </is>
      </c>
      <c r="CS33" t="inlineStr">
        <is>
          <t>Pass 22 refined safety rule severity and reduced broad keyword over-flagging</t>
        </is>
      </c>
      <c r="CT33" t="inlineStr">
        <is>
          <t>General</t>
        </is>
      </c>
      <c r="CU33" t="inlineStr">
        <is>
          <t>digestive support; hepatobiliary support</t>
        </is>
      </c>
      <c r="CV33" t="inlineStr">
        <is>
          <t>Human</t>
        </is>
      </c>
      <c r="CW33" t="inlineStr">
        <is>
          <t>Pass 26 normalization: categories, mechanisms, evidence tiers</t>
        </is>
      </c>
      <c r="CX33" t="inlineStr">
        <is>
          <t>Human + preclinical</t>
        </is>
      </c>
      <c r="CY33" t="inlineStr">
        <is>
          <t>Generally well tolerated.</t>
        </is>
      </c>
      <c r="CZ33" t="inlineStr">
        <is>
          <t>Avoid with bile-duct obstruction or severe gallbladder issues</t>
        </is>
      </c>
      <c r="DB33" t="inlineStr">
        <is>
          <t>Pass 28 normalized evidence and safety-related free text</t>
        </is>
      </c>
      <c r="DD33" t="inlineStr">
        <is>
          <t>No standardized dose established; use conservative, product-dependent ranges.</t>
        </is>
      </c>
      <c r="DE33" t="inlineStr">
        <is>
          <t>Common forms include extracts, powders, or teas depending on herb part.</t>
        </is>
      </c>
      <c r="DF33" t="inlineStr">
        <is>
          <t>Quality varies by extraction method, standardization, and contamination risk.</t>
        </is>
      </c>
      <c r="DG33" t="inlineStr">
        <is>
          <t>Moderate to high</t>
        </is>
      </c>
      <c r="DH33" t="inlineStr">
        <is>
          <t>Pass 29 completeness repair</t>
        </is>
      </c>
      <c r="DI33" t="n">
        <v>9</v>
      </c>
      <c r="DJ33" t="inlineStr">
        <is>
          <t>General</t>
        </is>
      </c>
      <c r="DK33" t="inlineStr">
        <is>
          <t>cynarin</t>
        </is>
      </c>
      <c r="DL33" t="inlineStr">
        <is>
          <t>Agarikon; Ajwain; Angelica Root; Ashoka; Blue Lotus</t>
        </is>
      </c>
      <c r="DM33" t="inlineStr">
        <is>
          <t>Pass 31 relationship intelligence: density, cluster, anchor class, nearest herbs</t>
        </is>
      </c>
      <c r="DN33" t="inlineStr">
        <is>
          <t>Agarikon; Ajwain; Angelica Root; Ashoka; Blue Lotus</t>
        </is>
      </c>
      <c r="DO33" t="inlineStr">
        <is>
          <t>Agarikon (1 shared pathways) | Ajwain (1 shared pathways) | Angelica Root (1 shared pathways)</t>
        </is>
      </c>
      <c r="DP33" t="inlineStr">
        <is>
          <t>Generalist</t>
        </is>
      </c>
      <c r="DQ33" t="inlineStr">
        <is>
          <t>Pass 32 substitute engine + cluster cleanup</t>
        </is>
      </c>
      <c r="DR33" t="inlineStr">
        <is>
          <t>Agarikon</t>
        </is>
      </c>
      <c r="DS33" t="inlineStr">
        <is>
          <t>Ajwain</t>
        </is>
      </c>
      <c r="DT33" t="inlineStr">
        <is>
          <t>same cluster; lower safety burden; similarity-backed</t>
        </is>
      </c>
      <c r="DU33" t="inlineStr">
        <is>
          <t>Optional</t>
        </is>
      </c>
      <c r="DV33" t="inlineStr">
        <is>
          <t>Pass 33 fallback replacement engine</t>
        </is>
      </c>
      <c r="DW33" t="inlineStr">
        <is>
          <t>Angelica Root</t>
        </is>
      </c>
      <c r="DX33" t="inlineStr">
        <is>
          <t>Agarikon; Ajwain; Angelica Root; Ashoka; Blue Lotus; Damiana; Rosemary; Sage</t>
        </is>
      </c>
      <c r="DY33" t="inlineStr">
        <is>
          <t>Pass 35 expanded fallback pool with second-pass candidate exploration</t>
        </is>
      </c>
      <c r="EA33" t="inlineStr">
        <is>
          <t>General</t>
        </is>
      </c>
      <c r="EB33" t="inlineStr">
        <is>
          <t>unclassified</t>
        </is>
      </c>
      <c r="EC33" t="inlineStr">
        <is>
          <t>High</t>
        </is>
      </c>
      <c r="ED33" t="inlineStr">
        <is>
          <t>Pass 40 reinforced weak-category herb data</t>
        </is>
      </c>
      <c r="EG33" t="n">
        <v>3</v>
      </c>
      <c r="EH33" t="n">
        <v>3</v>
      </c>
      <c r="EI33" t="n">
        <v>0</v>
      </c>
      <c r="EJ33" t="n">
        <v>0</v>
      </c>
      <c r="EK33" t="n">
        <v>11</v>
      </c>
      <c r="EL33" t="n">
        <v>7</v>
      </c>
      <c r="EM33" t="inlineStr">
        <is>
          <t>cynarin</t>
        </is>
      </c>
      <c r="EN33" t="inlineStr">
        <is>
          <t>Pass 48 rolled compound scores into herb-level scoring</t>
        </is>
      </c>
    </row>
    <row r="34">
      <c r="A34" s="68" t="inlineStr">
        <is>
          <t>Fennel</t>
        </is>
      </c>
      <c r="B34" s="68" t="inlineStr">
        <is>
          <t>fennel</t>
        </is>
      </c>
      <c r="C34" s="68" t="inlineStr">
        <is>
          <t>Foeniculum vulgare</t>
        </is>
      </c>
      <c r="D34" s="68" t="inlineStr">
        <is>
          <t>herb</t>
        </is>
      </c>
      <c r="E34" s="68" t="inlineStr">
        <is>
          <t>seed</t>
        </is>
      </c>
      <c r="F34" s="68" t="inlineStr">
        <is>
          <t>seed</t>
        </is>
      </c>
      <c r="G34" s="68" t="inlineStr">
        <is>
          <t>fennel</t>
        </is>
      </c>
      <c r="H34" s="68" t="inlineStr">
        <is>
          <t>Mediterranean; cultivated globally</t>
        </is>
      </c>
      <c r="I34" s="68" t="inlineStr">
        <is>
          <t>Fennel is a seed monograph positioned for digestive and antispasmodic support.</t>
        </is>
      </c>
      <c r="J34" s="68" t="inlineStr">
        <is>
          <t>It is best handled as an aromatic seed botanical with traditional GI-support use and modest mechanistic confidence.</t>
        </is>
      </c>
      <c r="K34" s="68" t="inlineStr">
        <is>
          <t>anethole; volatile oils</t>
        </is>
      </c>
      <c r="L34" s="68" t="inlineStr">
        <is>
          <t>anethole</t>
        </is>
      </c>
      <c r="M34" s="68" t="inlineStr">
        <is>
          <t>Volatile constituents are associated with digestive soothing and antispasmodic positioning.</t>
        </is>
      </c>
      <c r="N34" s="68" t="inlineStr">
        <is>
          <t>digestive support; antispasmodic support</t>
        </is>
      </c>
      <c r="O34" s="68" t="inlineStr">
        <is>
          <t>traditional use + mixed human</t>
        </is>
      </c>
      <c r="P34" s="68" t="inlineStr">
        <is>
          <t>Generally well tolerated.</t>
        </is>
      </c>
      <c r="Q34" s="68" t="inlineStr">
        <is>
          <t>Use caution in highly concentrated oil form.</t>
        </is>
      </c>
      <c r="R34" s="68" t="n"/>
      <c r="S34" s="68" t="n"/>
      <c r="T34" s="68" t="n"/>
      <c r="U34" s="68" t="n"/>
      <c r="V34" s="68" t="n"/>
      <c r="W34" s="68" t="inlineStr">
        <is>
          <t>High</t>
        </is>
      </c>
      <c r="X34" s="68" t="inlineStr">
        <is>
          <t>validated</t>
        </is>
      </c>
      <c r="Y34" s="68" t="n"/>
      <c r="Z34" s="68" t="inlineStr">
        <is>
          <t>present</t>
        </is>
      </c>
      <c r="AA34" s="68" t="inlineStr">
        <is>
          <t>Internal workbook + enrichment queue</t>
        </is>
      </c>
      <c r="AB34" s="68" t="n"/>
      <c r="AC34" s="68" t="n"/>
      <c r="AD34" s="68" t="n"/>
      <c r="AE34" s="68" t="n"/>
      <c r="AF34" s="68" t="n"/>
      <c r="AG34" s="68" t="n">
        <v>3</v>
      </c>
      <c r="AH34" s="68" t="n">
        <v>1</v>
      </c>
      <c r="AI34" s="68" t="n">
        <v>3</v>
      </c>
      <c r="AJ34" s="68" t="n">
        <v>7</v>
      </c>
      <c r="AK34" s="68" t="inlineStr">
        <is>
          <t>Medium</t>
        </is>
      </c>
      <c r="AL34" s="68" t="n"/>
      <c r="AM34" s="68" t="inlineStr">
        <is>
          <t>Linked primary/secondary</t>
        </is>
      </c>
      <c r="AN34" s="68" t="n">
        <v>0.9</v>
      </c>
      <c r="AO34" s="68" t="inlineStr">
        <is>
          <t>Near ready</t>
        </is>
      </c>
      <c r="AP34" s="68" t="n"/>
      <c r="AQ34" s="68" t="n"/>
      <c r="AR34" s="68" t="inlineStr">
        <is>
          <t>Editorial polish</t>
        </is>
      </c>
      <c r="AS34" s="68" t="inlineStr">
        <is>
          <t>Not started</t>
        </is>
      </c>
      <c r="AT34" s="68" t="n"/>
      <c r="AU34" s="68" t="n"/>
      <c r="AV34" s="68" t="n"/>
      <c r="AW34" s="68" t="n"/>
      <c r="AX34" s="68" t="n"/>
      <c r="AY34" s="68" t="n"/>
      <c r="AZ34" s="68" t="n"/>
      <c r="BA34" s="68" t="n"/>
      <c r="BB34" s="68" t="n"/>
      <c r="BC34" s="68" t="n"/>
      <c r="BD34" s="68" t="n"/>
      <c r="BE34" s="68" t="inlineStr">
        <is>
          <t>2026-04-10</t>
        </is>
      </c>
      <c r="BF34" s="68" t="inlineStr">
        <is>
          <t>Metadata normalized from internal workbook links</t>
        </is>
      </c>
      <c r="BG34" s="68" t="inlineStr">
        <is>
          <t>fennel|2026-04-10</t>
        </is>
      </c>
      <c r="BH34" s="68" t="inlineStr">
        <is>
          <t>2026-04-10:auto-normalized</t>
        </is>
      </c>
      <c r="BI34" t="inlineStr">
        <is>
          <t>fennel</t>
        </is>
      </c>
      <c r="BJ34" t="inlineStr">
        <is>
          <t>Fennel</t>
        </is>
      </c>
      <c r="BK34" t="n">
        <v>1</v>
      </c>
      <c r="BL34" t="n">
        <v>1</v>
      </c>
      <c r="BM34" t="n">
        <v>3</v>
      </c>
      <c r="BN34" t="n">
        <v>7</v>
      </c>
      <c r="BO34" t="n">
        <v>100</v>
      </c>
      <c r="BP34" t="n">
        <v>8</v>
      </c>
      <c r="BQ34" t="n">
        <v>10</v>
      </c>
      <c r="BR34" t="n">
        <v>5</v>
      </c>
      <c r="BS34" t="inlineStr">
        <is>
          <t>Tier 1</t>
        </is>
      </c>
      <c r="BT34" t="n">
        <v>5</v>
      </c>
      <c r="BU34" t="inlineStr">
        <is>
          <t>FALSE</t>
        </is>
      </c>
      <c r="BV34" t="inlineStr">
        <is>
          <t>fennel</t>
        </is>
      </c>
      <c r="BW34" t="inlineStr">
        <is>
          <t>TRUE</t>
        </is>
      </c>
      <c r="BX34" t="inlineStr">
        <is>
          <t>Pass 10 refreshed scoring from 1 mapped compounds | Pass 13 rescored from 1 mapped compounds</t>
        </is>
      </c>
      <c r="BY34" t="inlineStr">
        <is>
          <t>unclassified</t>
        </is>
      </c>
      <c r="CA34" t="n">
        <v>2</v>
      </c>
      <c r="CB34" t="n">
        <v>0</v>
      </c>
      <c r="CC34" t="n">
        <v>0</v>
      </c>
      <c r="CD34" t="inlineStr">
        <is>
          <t>anethole; unclassified</t>
        </is>
      </c>
      <c r="CE34" t="inlineStr">
        <is>
          <t>Pass 13 rescored after herb-name normalization and real top-herb compound sweep</t>
        </is>
      </c>
      <c r="CF34" t="inlineStr">
        <is>
          <t>General</t>
        </is>
      </c>
      <c r="CH34" s="68" t="inlineStr">
        <is>
          <t>Start with low single-herb exposure and increase only if tolerated</t>
        </is>
      </c>
      <c r="CI34" s="68" t="inlineStr">
        <is>
          <t>Product-ideation framing only; not clinical dosing advice.</t>
        </is>
      </c>
      <c r="CJ34" s="68" t="str"/>
      <c r="CK34" s="68" t="str"/>
      <c r="CL34" s="68" t="inlineStr">
        <is>
          <t>Baseline</t>
        </is>
      </c>
      <c r="CM34" s="68" t="inlineStr">
        <is>
          <t>No</t>
        </is>
      </c>
      <c r="CN34" s="68" t="str"/>
      <c r="CO34" s="68" t="inlineStr">
        <is>
          <t>Pass 21 herb-level safety and dose framing</t>
        </is>
      </c>
      <c r="CP34" t="inlineStr">
        <is>
          <t>Baseline</t>
        </is>
      </c>
      <c r="CQ34" t="inlineStr">
        <is>
          <t>No</t>
        </is>
      </c>
      <c r="CS34" t="inlineStr">
        <is>
          <t>Pass 22 refined safety rule severity and reduced broad keyword over-flagging</t>
        </is>
      </c>
      <c r="CT34" t="inlineStr">
        <is>
          <t>General</t>
        </is>
      </c>
      <c r="CU34" t="inlineStr">
        <is>
          <t>antispasmodic support; digestive support</t>
        </is>
      </c>
      <c r="CV34" t="inlineStr">
        <is>
          <t>Human</t>
        </is>
      </c>
      <c r="CW34" t="inlineStr">
        <is>
          <t>Pass 26 normalization: categories, mechanisms, evidence tiers</t>
        </is>
      </c>
      <c r="CX34" t="inlineStr">
        <is>
          <t>Limited human</t>
        </is>
      </c>
      <c r="CY34" t="inlineStr">
        <is>
          <t>Generally well tolerated.</t>
        </is>
      </c>
      <c r="CZ34" t="inlineStr">
        <is>
          <t>Use caution in highly concentrated oil form</t>
        </is>
      </c>
      <c r="DB34" t="inlineStr">
        <is>
          <t>Pass 28 normalized evidence and safety-related free text</t>
        </is>
      </c>
      <c r="DD34" t="inlineStr">
        <is>
          <t>No standardized dose established; use conservative, product-dependent ranges.</t>
        </is>
      </c>
      <c r="DE34" t="inlineStr">
        <is>
          <t>Common forms include extracts, powders, or teas depending on herb part.</t>
        </is>
      </c>
      <c r="DF34" t="inlineStr">
        <is>
          <t>Quality varies by extraction method, standardization, and contamination risk.</t>
        </is>
      </c>
      <c r="DG34" t="inlineStr">
        <is>
          <t>Moderate to high</t>
        </is>
      </c>
      <c r="DH34" t="inlineStr">
        <is>
          <t>Pass 29 completeness repair</t>
        </is>
      </c>
      <c r="DI34" t="n">
        <v>9</v>
      </c>
      <c r="DJ34" t="inlineStr">
        <is>
          <t>General</t>
        </is>
      </c>
      <c r="DK34" t="inlineStr">
        <is>
          <t>anethole</t>
        </is>
      </c>
      <c r="DL34" t="inlineStr">
        <is>
          <t>Agarikon; Ajwain; Angelica Root; Artichoke; Ashoka</t>
        </is>
      </c>
      <c r="DM34" t="inlineStr">
        <is>
          <t>Pass 31 relationship intelligence: density, cluster, anchor class, nearest herbs</t>
        </is>
      </c>
      <c r="DN34" t="inlineStr">
        <is>
          <t>Agarikon; Ajwain; Angelica Root; Artichoke; Ashoka</t>
        </is>
      </c>
      <c r="DO34" t="inlineStr">
        <is>
          <t>Agarikon (1 shared pathways) | Ajwain (1 shared pathways) | Angelica Root (1 shared pathways)</t>
        </is>
      </c>
      <c r="DP34" t="inlineStr">
        <is>
          <t>Generalist</t>
        </is>
      </c>
      <c r="DQ34" t="inlineStr">
        <is>
          <t>Pass 32 substitute engine + cluster cleanup</t>
        </is>
      </c>
      <c r="DR34" t="inlineStr">
        <is>
          <t>Agarikon</t>
        </is>
      </c>
      <c r="DS34" t="inlineStr">
        <is>
          <t>Ajwain</t>
        </is>
      </c>
      <c r="DT34" t="inlineStr">
        <is>
          <t>same cluster; lower safety burden; similarity-backed</t>
        </is>
      </c>
      <c r="DU34" t="inlineStr">
        <is>
          <t>Not needed</t>
        </is>
      </c>
      <c r="DV34" t="inlineStr">
        <is>
          <t>Pass 33 fallback replacement engine</t>
        </is>
      </c>
      <c r="DW34" t="inlineStr">
        <is>
          <t>Angelica Root</t>
        </is>
      </c>
      <c r="DX34" t="inlineStr">
        <is>
          <t>Agarikon; Ajwain; Angelica Root; Ashoka; Blue Lotus; Artichoke; Rosemary; Sage</t>
        </is>
      </c>
      <c r="DY34" t="inlineStr">
        <is>
          <t>Pass 35 expanded fallback pool with second-pass candidate exploration</t>
        </is>
      </c>
      <c r="EA34" t="inlineStr">
        <is>
          <t>General</t>
        </is>
      </c>
      <c r="EB34" t="inlineStr">
        <is>
          <t>unclassified</t>
        </is>
      </c>
      <c r="EC34" t="inlineStr">
        <is>
          <t>High</t>
        </is>
      </c>
      <c r="ED34" t="inlineStr">
        <is>
          <t>Pass 40 reinforced weak-category herb data</t>
        </is>
      </c>
      <c r="EG34" t="n">
        <v>3</v>
      </c>
      <c r="EH34" t="n">
        <v>3</v>
      </c>
      <c r="EI34" t="n">
        <v>0</v>
      </c>
      <c r="EJ34" t="n">
        <v>0</v>
      </c>
      <c r="EK34" t="n">
        <v>11</v>
      </c>
      <c r="EL34" t="n">
        <v>7</v>
      </c>
      <c r="EM34" t="inlineStr">
        <is>
          <t>anethole</t>
        </is>
      </c>
      <c r="EN34" t="inlineStr">
        <is>
          <t>Pass 48 rolled compound scores into herb-level scoring</t>
        </is>
      </c>
    </row>
    <row r="35">
      <c r="A35" s="68" t="inlineStr">
        <is>
          <t>Cinnamon</t>
        </is>
      </c>
      <c r="B35" s="68" t="inlineStr">
        <is>
          <t>cinnamon</t>
        </is>
      </c>
      <c r="C35" s="68" t="inlineStr">
        <is>
          <t>Cinnamomum verum</t>
        </is>
      </c>
      <c r="D35" s="68" t="inlineStr">
        <is>
          <t>herb</t>
        </is>
      </c>
      <c r="E35" s="68" t="inlineStr">
        <is>
          <t>bark</t>
        </is>
      </c>
      <c r="F35" s="68" t="inlineStr">
        <is>
          <t>bark</t>
        </is>
      </c>
      <c r="G35" s="68" t="inlineStr">
        <is>
          <t>cinnamon</t>
        </is>
      </c>
      <c r="H35" s="68" t="inlineStr">
        <is>
          <t>South Asia; cultivated broadly</t>
        </is>
      </c>
      <c r="I35" s="68" t="inlineStr">
        <is>
          <t>Cinnamon is a bark monograph positioned for glycemic and antimicrobial support.</t>
        </is>
      </c>
      <c r="J35" s="68" t="inlineStr">
        <is>
          <t>It is best framed conservatively because product form and species matter, especially around coumarin exposure in non-verum types.</t>
        </is>
      </c>
      <c r="K35" s="68" t="inlineStr">
        <is>
          <t>cinnamaldehyde; polyphenols</t>
        </is>
      </c>
      <c r="L35" s="68" t="inlineStr">
        <is>
          <t>cinnamaldehyde</t>
        </is>
      </c>
      <c r="M35" s="68" t="inlineStr">
        <is>
          <t>Aromatic aldehydes and polyphenols are associated with glycemic and antimicrobial positioning.</t>
        </is>
      </c>
      <c r="N35" s="68" t="inlineStr">
        <is>
          <t>glycemic support; antimicrobial support</t>
        </is>
      </c>
      <c r="O35" s="68" t="inlineStr">
        <is>
          <t>mixed human + preclinical</t>
        </is>
      </c>
      <c r="P35" s="68" t="inlineStr">
        <is>
          <t>Generally well tolerated in culinary ranges.</t>
        </is>
      </c>
      <c r="Q35" s="68" t="inlineStr">
        <is>
          <t>Use caution with concentrated extracts and coumarin-sensitive contexts.</t>
        </is>
      </c>
      <c r="R35" s="68" t="n"/>
      <c r="S35" s="68" t="n"/>
      <c r="T35" s="68" t="n"/>
      <c r="U35" s="68" t="n"/>
      <c r="V35" s="68" t="n"/>
      <c r="W35" s="68" t="inlineStr">
        <is>
          <t>High</t>
        </is>
      </c>
      <c r="X35" s="68" t="inlineStr">
        <is>
          <t>validated</t>
        </is>
      </c>
      <c r="Y35" s="68" t="n"/>
      <c r="Z35" s="68" t="inlineStr">
        <is>
          <t>present</t>
        </is>
      </c>
      <c r="AA35" s="68" t="inlineStr">
        <is>
          <t>Internal workbook + enrichment queue</t>
        </is>
      </c>
      <c r="AB35" s="68" t="n"/>
      <c r="AC35" s="68" t="n"/>
      <c r="AD35" s="68" t="n"/>
      <c r="AE35" s="68" t="n"/>
      <c r="AF35" s="68" t="n"/>
      <c r="AG35" s="68" t="n">
        <v>3</v>
      </c>
      <c r="AH35" s="68" t="n">
        <v>1</v>
      </c>
      <c r="AI35" s="68" t="n">
        <v>3</v>
      </c>
      <c r="AJ35" s="68" t="n">
        <v>7</v>
      </c>
      <c r="AK35" s="68" t="inlineStr">
        <is>
          <t>Medium</t>
        </is>
      </c>
      <c r="AL35" s="68" t="n"/>
      <c r="AM35" s="68" t="inlineStr">
        <is>
          <t>Linked primary/secondary</t>
        </is>
      </c>
      <c r="AN35" s="68" t="n">
        <v>0.9</v>
      </c>
      <c r="AO35" s="68" t="inlineStr">
        <is>
          <t>Near ready</t>
        </is>
      </c>
      <c r="AP35" s="68" t="n"/>
      <c r="AQ35" s="68" t="n"/>
      <c r="AR35" s="68" t="inlineStr">
        <is>
          <t>Editorial polish</t>
        </is>
      </c>
      <c r="AS35" s="68" t="inlineStr">
        <is>
          <t>Not started</t>
        </is>
      </c>
      <c r="AT35" s="68" t="n"/>
      <c r="AU35" s="68" t="n"/>
      <c r="AV35" s="68" t="n"/>
      <c r="AW35" s="68" t="n"/>
      <c r="AX35" s="68" t="n"/>
      <c r="AY35" s="68" t="n"/>
      <c r="AZ35" s="68" t="n"/>
      <c r="BA35" s="68" t="n"/>
      <c r="BB35" s="68" t="n"/>
      <c r="BC35" s="68" t="n"/>
      <c r="BD35" s="68" t="n"/>
      <c r="BE35" s="68" t="inlineStr">
        <is>
          <t>2026-04-10</t>
        </is>
      </c>
      <c r="BF35" s="68" t="inlineStr">
        <is>
          <t>Metadata normalized from internal workbook links</t>
        </is>
      </c>
      <c r="BG35" s="68" t="inlineStr">
        <is>
          <t>cinnamon|2026-04-10</t>
        </is>
      </c>
      <c r="BH35" s="68" t="inlineStr">
        <is>
          <t>2026-04-10:auto-normalized</t>
        </is>
      </c>
      <c r="BI35" t="inlineStr">
        <is>
          <t>cinnamon</t>
        </is>
      </c>
      <c r="BJ35" t="inlineStr">
        <is>
          <t>Cinnamon</t>
        </is>
      </c>
      <c r="BK35" t="n">
        <v>1</v>
      </c>
      <c r="BL35" t="n">
        <v>1</v>
      </c>
      <c r="BM35" t="n">
        <v>3</v>
      </c>
      <c r="BN35" t="n">
        <v>7</v>
      </c>
      <c r="BO35" t="n">
        <v>100</v>
      </c>
      <c r="BP35" t="n">
        <v>8</v>
      </c>
      <c r="BQ35" t="n">
        <v>10</v>
      </c>
      <c r="BR35" t="n">
        <v>5</v>
      </c>
      <c r="BS35" t="inlineStr">
        <is>
          <t>Tier 1</t>
        </is>
      </c>
      <c r="BT35" t="n">
        <v>5</v>
      </c>
      <c r="BU35" t="inlineStr">
        <is>
          <t>FALSE</t>
        </is>
      </c>
      <c r="BV35" t="inlineStr">
        <is>
          <t>cinnamon</t>
        </is>
      </c>
      <c r="BW35" t="inlineStr">
        <is>
          <t>TRUE</t>
        </is>
      </c>
      <c r="BX35" t="inlineStr">
        <is>
          <t>Pass 10 refreshed scoring from 1 mapped compounds | Pass 13 rescored from 1 mapped compounds</t>
        </is>
      </c>
      <c r="BY35" t="inlineStr">
        <is>
          <t>unclassified</t>
        </is>
      </c>
      <c r="CA35" t="n">
        <v>2</v>
      </c>
      <c r="CB35" t="n">
        <v>0</v>
      </c>
      <c r="CC35" t="n">
        <v>0</v>
      </c>
      <c r="CD35" t="inlineStr">
        <is>
          <t>cinnamaldehyde; unclassified</t>
        </is>
      </c>
      <c r="CE35" t="inlineStr">
        <is>
          <t>Pass 13 rescored after herb-name normalization and real top-herb compound sweep</t>
        </is>
      </c>
      <c r="CF35" t="inlineStr">
        <is>
          <t>General</t>
        </is>
      </c>
      <c r="CH35" s="68" t="inlineStr">
        <is>
          <t>Start with low single-herb exposure and increase only if tolerated</t>
        </is>
      </c>
      <c r="CI35" s="68" t="inlineStr">
        <is>
          <t>Product-ideation framing only; not clinical dosing advice.</t>
        </is>
      </c>
      <c r="CJ35" s="68" t="str"/>
      <c r="CK35" s="68" t="str"/>
      <c r="CL35" s="68" t="inlineStr">
        <is>
          <t>Baseline</t>
        </is>
      </c>
      <c r="CM35" s="68" t="inlineStr">
        <is>
          <t>No</t>
        </is>
      </c>
      <c r="CN35" s="68" t="str"/>
      <c r="CO35" s="68" t="inlineStr">
        <is>
          <t>Pass 21 herb-level safety and dose framing</t>
        </is>
      </c>
      <c r="CP35" t="inlineStr">
        <is>
          <t>Baseline</t>
        </is>
      </c>
      <c r="CQ35" t="inlineStr">
        <is>
          <t>No</t>
        </is>
      </c>
      <c r="CS35" t="inlineStr">
        <is>
          <t>Pass 22 refined safety rule severity and reduced broad keyword over-flagging</t>
        </is>
      </c>
      <c r="CT35" t="inlineStr">
        <is>
          <t>General</t>
        </is>
      </c>
      <c r="CU35" t="inlineStr">
        <is>
          <t>antimicrobial support; glycemic support</t>
        </is>
      </c>
      <c r="CV35" t="inlineStr">
        <is>
          <t>Human</t>
        </is>
      </c>
      <c r="CW35" t="inlineStr">
        <is>
          <t>Pass 26 normalization: categories, mechanisms, evidence tiers</t>
        </is>
      </c>
      <c r="CX35" t="inlineStr">
        <is>
          <t>Human + preclinical</t>
        </is>
      </c>
      <c r="CY35" t="inlineStr">
        <is>
          <t>Generally well tolerated in culinary ranges.</t>
        </is>
      </c>
      <c r="CZ35" t="inlineStr">
        <is>
          <t>Use caution with concentrated extracts and coumarin-sensitive contexts</t>
        </is>
      </c>
      <c r="DB35" t="inlineStr">
        <is>
          <t>Pass 28 normalized evidence and safety-related free text</t>
        </is>
      </c>
      <c r="DD35" t="inlineStr">
        <is>
          <t>No standardized dose established; use conservative, product-dependent ranges.</t>
        </is>
      </c>
      <c r="DE35" t="inlineStr">
        <is>
          <t>Common forms include extracts, powders, or teas depending on herb part.</t>
        </is>
      </c>
      <c r="DF35" t="inlineStr">
        <is>
          <t>Quality varies by extraction method, standardization, and contamination risk.</t>
        </is>
      </c>
      <c r="DG35" t="inlineStr">
        <is>
          <t>Moderate to high</t>
        </is>
      </c>
      <c r="DH35" t="inlineStr">
        <is>
          <t>Pass 29 completeness repair</t>
        </is>
      </c>
      <c r="DI35" t="n">
        <v>9</v>
      </c>
      <c r="DJ35" t="inlineStr">
        <is>
          <t>General</t>
        </is>
      </c>
      <c r="DK35" t="inlineStr">
        <is>
          <t>cinnamaldehyde</t>
        </is>
      </c>
      <c r="DL35" t="inlineStr">
        <is>
          <t>Agarikon; Ajwain; Angelica Root; Artichoke; Ashoka</t>
        </is>
      </c>
      <c r="DM35" t="inlineStr">
        <is>
          <t>Pass 31 relationship intelligence: density, cluster, anchor class, nearest herbs</t>
        </is>
      </c>
      <c r="DN35" t="inlineStr">
        <is>
          <t>Agarikon; Ajwain; Angelica Root; Artichoke; Ashoka</t>
        </is>
      </c>
      <c r="DO35" t="inlineStr">
        <is>
          <t>Agarikon (1 shared pathways) | Ajwain (1 shared pathways) | Angelica Root (1 shared pathways)</t>
        </is>
      </c>
      <c r="DP35" t="inlineStr">
        <is>
          <t>Generalist</t>
        </is>
      </c>
      <c r="DQ35" t="inlineStr">
        <is>
          <t>Pass 32 substitute engine + cluster cleanup</t>
        </is>
      </c>
      <c r="DR35" t="inlineStr">
        <is>
          <t>Agarikon</t>
        </is>
      </c>
      <c r="DS35" t="inlineStr">
        <is>
          <t>Ajwain</t>
        </is>
      </c>
      <c r="DT35" t="inlineStr">
        <is>
          <t>same cluster; lower safety burden; similarity-backed</t>
        </is>
      </c>
      <c r="DU35" t="inlineStr">
        <is>
          <t>Not needed</t>
        </is>
      </c>
      <c r="DV35" t="inlineStr">
        <is>
          <t>Pass 33 fallback replacement engine</t>
        </is>
      </c>
      <c r="DW35" t="inlineStr">
        <is>
          <t>Angelica Root</t>
        </is>
      </c>
      <c r="DX35" t="inlineStr">
        <is>
          <t>Agarikon; Ajwain; Angelica Root; Ashoka; Blue Lotus; Artichoke; Rosemary; Sage</t>
        </is>
      </c>
      <c r="DY35" t="inlineStr">
        <is>
          <t>Pass 35 expanded fallback pool with second-pass candidate exploration</t>
        </is>
      </c>
      <c r="EA35" t="inlineStr">
        <is>
          <t>General</t>
        </is>
      </c>
      <c r="EB35" t="inlineStr">
        <is>
          <t>unclassified</t>
        </is>
      </c>
      <c r="EC35" t="inlineStr">
        <is>
          <t>High</t>
        </is>
      </c>
      <c r="ED35" t="inlineStr">
        <is>
          <t>Pass 40 reinforced weak-category herb data</t>
        </is>
      </c>
      <c r="EG35" t="n">
        <v>3</v>
      </c>
      <c r="EH35" t="n">
        <v>3</v>
      </c>
      <c r="EI35" t="n">
        <v>0</v>
      </c>
      <c r="EJ35" t="n">
        <v>0</v>
      </c>
      <c r="EK35" t="n">
        <v>11</v>
      </c>
      <c r="EL35" t="n">
        <v>7</v>
      </c>
      <c r="EM35" t="inlineStr">
        <is>
          <t>cinnamaldehyde</t>
        </is>
      </c>
      <c r="EN35" t="inlineStr">
        <is>
          <t>Pass 48 rolled compound scores into herb-level scoring</t>
        </is>
      </c>
    </row>
    <row r="36">
      <c r="A36" s="68" t="inlineStr">
        <is>
          <t>Dandelion</t>
        </is>
      </c>
      <c r="B36" s="68" t="inlineStr">
        <is>
          <t>dandelion</t>
        </is>
      </c>
      <c r="C36" s="68" t="inlineStr">
        <is>
          <t>Taraxacum officinale</t>
        </is>
      </c>
      <c r="D36" s="68" t="inlineStr">
        <is>
          <t>herb</t>
        </is>
      </c>
      <c r="E36" s="68" t="inlineStr">
        <is>
          <t>leaf/root</t>
        </is>
      </c>
      <c r="F36" s="68" t="inlineStr">
        <is>
          <t>leaf; root</t>
        </is>
      </c>
      <c r="G36" s="68" t="inlineStr">
        <is>
          <t>dandelion</t>
        </is>
      </c>
      <c r="H36" s="68" t="inlineStr">
        <is>
          <t>Europe, Asia, North America</t>
        </is>
      </c>
      <c r="I36" s="68" t="inlineStr">
        <is>
          <t>Dandelion is positioned for digestive, hepatobiliary, and mild diuretic support.</t>
        </is>
      </c>
      <c r="J36" s="68" t="inlineStr">
        <is>
          <t>It is best framed as a traditional food-like bitter herb rather than a strong cleansing intervention.</t>
        </is>
      </c>
      <c r="K36" s="68" t="inlineStr">
        <is>
          <t>taraxasterol; sesquiterpene lactones</t>
        </is>
      </c>
      <c r="L36" s="68" t="inlineStr">
        <is>
          <t>taraxasterol</t>
        </is>
      </c>
      <c r="M36" s="68" t="inlineStr">
        <is>
          <t>Bitter and terpene-related constituents are associated with digestive and mild anti-inflammatory positioning.</t>
        </is>
      </c>
      <c r="N36" s="68" t="inlineStr">
        <is>
          <t>digestive support; mild diuretic support</t>
        </is>
      </c>
      <c r="O36" s="68" t="inlineStr">
        <is>
          <t>traditional use + limited human</t>
        </is>
      </c>
      <c r="P36" s="68" t="inlineStr">
        <is>
          <t>Generally well tolerated.</t>
        </is>
      </c>
      <c r="Q36" s="68" t="inlineStr">
        <is>
          <t>Use caution with aggressive diuretic stacking or ragweed-family sensitivity.</t>
        </is>
      </c>
      <c r="R36" s="68" t="n"/>
      <c r="S36" s="68" t="n"/>
      <c r="T36" s="68" t="n"/>
      <c r="U36" s="68" t="n"/>
      <c r="V36" s="68" t="n"/>
      <c r="W36" s="68" t="inlineStr">
        <is>
          <t>High</t>
        </is>
      </c>
      <c r="X36" s="68" t="inlineStr">
        <is>
          <t>validated</t>
        </is>
      </c>
      <c r="Y36" s="68" t="n"/>
      <c r="Z36" s="68" t="inlineStr">
        <is>
          <t>present</t>
        </is>
      </c>
      <c r="AA36" s="68" t="inlineStr">
        <is>
          <t>Internal workbook + enrichment queue</t>
        </is>
      </c>
      <c r="AB36" s="68" t="n"/>
      <c r="AC36" s="68" t="n"/>
      <c r="AD36" s="68" t="n"/>
      <c r="AE36" s="68" t="n"/>
      <c r="AF36" s="68" t="n"/>
      <c r="AG36" s="68" t="n">
        <v>3</v>
      </c>
      <c r="AH36" s="68" t="n">
        <v>1</v>
      </c>
      <c r="AI36" s="68" t="n">
        <v>3</v>
      </c>
      <c r="AJ36" s="68" t="n">
        <v>7</v>
      </c>
      <c r="AK36" s="68" t="inlineStr">
        <is>
          <t>Medium</t>
        </is>
      </c>
      <c r="AL36" s="68" t="n"/>
      <c r="AM36" s="68" t="inlineStr">
        <is>
          <t>Linked primary/secondary</t>
        </is>
      </c>
      <c r="AN36" s="68" t="n">
        <v>0.9</v>
      </c>
      <c r="AO36" s="68" t="inlineStr">
        <is>
          <t>Near ready</t>
        </is>
      </c>
      <c r="AP36" s="68" t="n"/>
      <c r="AQ36" s="68" t="n"/>
      <c r="AR36" s="68" t="inlineStr">
        <is>
          <t>Editorial polish</t>
        </is>
      </c>
      <c r="AS36" s="68" t="inlineStr">
        <is>
          <t>Not started</t>
        </is>
      </c>
      <c r="AT36" s="68" t="n"/>
      <c r="AU36" s="68" t="n"/>
      <c r="AV36" s="68" t="n"/>
      <c r="AW36" s="68" t="n"/>
      <c r="AX36" s="68" t="n"/>
      <c r="AY36" s="68" t="n"/>
      <c r="AZ36" s="68" t="n"/>
      <c r="BA36" s="68" t="n"/>
      <c r="BB36" s="68" t="n"/>
      <c r="BC36" s="68" t="n"/>
      <c r="BD36" s="68" t="n"/>
      <c r="BE36" s="68" t="inlineStr">
        <is>
          <t>2026-04-10</t>
        </is>
      </c>
      <c r="BF36" s="68" t="inlineStr">
        <is>
          <t>Metadata normalized from internal workbook links</t>
        </is>
      </c>
      <c r="BG36" s="68" t="inlineStr">
        <is>
          <t>dandelion|2026-04-10</t>
        </is>
      </c>
      <c r="BH36" s="68" t="inlineStr">
        <is>
          <t>2026-04-10:auto-normalized</t>
        </is>
      </c>
      <c r="BI36" t="inlineStr">
        <is>
          <t>dandelion</t>
        </is>
      </c>
      <c r="BJ36" t="inlineStr">
        <is>
          <t>Dandelion</t>
        </is>
      </c>
      <c r="BK36" t="n">
        <v>1</v>
      </c>
      <c r="BL36" t="n">
        <v>1</v>
      </c>
      <c r="BM36" t="n">
        <v>3</v>
      </c>
      <c r="BN36" t="n">
        <v>7</v>
      </c>
      <c r="BO36" t="n">
        <v>100</v>
      </c>
      <c r="BP36" t="n">
        <v>8</v>
      </c>
      <c r="BQ36" t="n">
        <v>10</v>
      </c>
      <c r="BR36" t="n">
        <v>5</v>
      </c>
      <c r="BS36" t="inlineStr">
        <is>
          <t>Tier 1</t>
        </is>
      </c>
      <c r="BT36" t="n">
        <v>5</v>
      </c>
      <c r="BU36" t="inlineStr">
        <is>
          <t>FALSE</t>
        </is>
      </c>
      <c r="BV36" t="inlineStr">
        <is>
          <t>dandelion</t>
        </is>
      </c>
      <c r="BW36" t="inlineStr">
        <is>
          <t>TRUE</t>
        </is>
      </c>
      <c r="BX36" t="inlineStr">
        <is>
          <t>Pass 10 refreshed scoring from 1 mapped compounds | Pass 13 rescored from 1 mapped compounds</t>
        </is>
      </c>
      <c r="BY36" t="inlineStr">
        <is>
          <t>unclassified</t>
        </is>
      </c>
      <c r="CA36" t="n">
        <v>2</v>
      </c>
      <c r="CB36" t="n">
        <v>0</v>
      </c>
      <c r="CC36" t="n">
        <v>0</v>
      </c>
      <c r="CD36" t="inlineStr">
        <is>
          <t>taraxasterol; unclassified</t>
        </is>
      </c>
      <c r="CE36" t="inlineStr">
        <is>
          <t>Pass 13 rescored after herb-name normalization and real top-herb compound sweep</t>
        </is>
      </c>
      <c r="CF36" t="inlineStr">
        <is>
          <t>General</t>
        </is>
      </c>
      <c r="CH36" s="68" t="inlineStr">
        <is>
          <t>Start with low single-herb exposure and increase only if tolerated</t>
        </is>
      </c>
      <c r="CI36" s="68" t="inlineStr">
        <is>
          <t>Product-ideation framing only; not clinical dosing advice.</t>
        </is>
      </c>
      <c r="CJ36" s="68" t="str"/>
      <c r="CK36" s="68" t="str"/>
      <c r="CL36" s="68" t="inlineStr">
        <is>
          <t>Moderate</t>
        </is>
      </c>
      <c r="CM36" s="68" t="inlineStr">
        <is>
          <t>No</t>
        </is>
      </c>
      <c r="CN36" s="68" t="str"/>
      <c r="CO36" s="68" t="inlineStr">
        <is>
          <t>Pass 21 herb-level safety and dose framing</t>
        </is>
      </c>
      <c r="CP36" t="inlineStr">
        <is>
          <t>Baseline</t>
        </is>
      </c>
      <c r="CQ36" t="inlineStr">
        <is>
          <t>No</t>
        </is>
      </c>
      <c r="CS36" t="inlineStr">
        <is>
          <t>Pass 22 refined safety rule severity and reduced broad keyword over-flagging</t>
        </is>
      </c>
      <c r="CT36" t="inlineStr">
        <is>
          <t>General</t>
        </is>
      </c>
      <c r="CU36" t="inlineStr">
        <is>
          <t>digestive support; mild diuretic support</t>
        </is>
      </c>
      <c r="CV36" t="inlineStr">
        <is>
          <t>Human</t>
        </is>
      </c>
      <c r="CW36" t="inlineStr">
        <is>
          <t>Pass 26 normalization: categories, mechanisms, evidence tiers</t>
        </is>
      </c>
      <c r="CX36" t="inlineStr">
        <is>
          <t>Limited human</t>
        </is>
      </c>
      <c r="CY36" t="inlineStr">
        <is>
          <t>Generally well tolerated.</t>
        </is>
      </c>
      <c r="CZ36" t="inlineStr">
        <is>
          <t>Use caution with aggressive diuretic stacking or ragweed-family sensitivity</t>
        </is>
      </c>
      <c r="DB36" t="inlineStr">
        <is>
          <t>Pass 28 normalized evidence and safety-related free text</t>
        </is>
      </c>
      <c r="DD36" t="inlineStr">
        <is>
          <t>No standardized dose established; use conservative, product-dependent ranges.</t>
        </is>
      </c>
      <c r="DE36" t="inlineStr">
        <is>
          <t>Common forms include extracts, powders, or teas depending on herb part.</t>
        </is>
      </c>
      <c r="DF36" t="inlineStr">
        <is>
          <t>Quality varies by extraction method, standardization, and contamination risk.</t>
        </is>
      </c>
      <c r="DG36" t="inlineStr">
        <is>
          <t>Moderate to high</t>
        </is>
      </c>
      <c r="DH36" t="inlineStr">
        <is>
          <t>Pass 29 completeness repair</t>
        </is>
      </c>
      <c r="DI36" t="n">
        <v>9</v>
      </c>
      <c r="DJ36" t="inlineStr">
        <is>
          <t>General</t>
        </is>
      </c>
      <c r="DK36" t="inlineStr">
        <is>
          <t>taraxasterol</t>
        </is>
      </c>
      <c r="DL36" t="inlineStr">
        <is>
          <t>Agarikon; Ajwain; Angelica Root; Artichoke; Ashoka</t>
        </is>
      </c>
      <c r="DM36" t="inlineStr">
        <is>
          <t>Pass 31 relationship intelligence: density, cluster, anchor class, nearest herbs</t>
        </is>
      </c>
      <c r="DN36" t="inlineStr">
        <is>
          <t>Agarikon; Ajwain; Angelica Root; Artichoke; Ashoka</t>
        </is>
      </c>
      <c r="DO36" t="inlineStr">
        <is>
          <t>Agarikon (1 shared pathways) | Ajwain (1 shared pathways) | Angelica Root (1 shared pathways)</t>
        </is>
      </c>
      <c r="DP36" t="inlineStr">
        <is>
          <t>Generalist</t>
        </is>
      </c>
      <c r="DQ36" t="inlineStr">
        <is>
          <t>Pass 32 substitute engine + cluster cleanup</t>
        </is>
      </c>
      <c r="DR36" t="inlineStr">
        <is>
          <t>Agarikon</t>
        </is>
      </c>
      <c r="DS36" t="inlineStr">
        <is>
          <t>Ajwain</t>
        </is>
      </c>
      <c r="DT36" t="inlineStr">
        <is>
          <t>same cluster; lower safety burden; similarity-backed</t>
        </is>
      </c>
      <c r="DU36" t="inlineStr">
        <is>
          <t>Not needed</t>
        </is>
      </c>
      <c r="DV36" t="inlineStr">
        <is>
          <t>Pass 33 fallback replacement engine</t>
        </is>
      </c>
      <c r="DW36" t="inlineStr">
        <is>
          <t>Angelica Root</t>
        </is>
      </c>
      <c r="DX36" t="inlineStr">
        <is>
          <t>Agarikon; Ajwain; Angelica Root; Ashoka; Blue Lotus; Artichoke; Rosemary; Sage</t>
        </is>
      </c>
      <c r="DY36" t="inlineStr">
        <is>
          <t>Pass 35 expanded fallback pool with second-pass candidate exploration</t>
        </is>
      </c>
      <c r="EA36" t="inlineStr">
        <is>
          <t>General</t>
        </is>
      </c>
      <c r="EB36" t="inlineStr">
        <is>
          <t>unclassified</t>
        </is>
      </c>
      <c r="EC36" t="inlineStr">
        <is>
          <t>High</t>
        </is>
      </c>
      <c r="ED36" t="inlineStr">
        <is>
          <t>Pass 40 reinforced weak-category herb data</t>
        </is>
      </c>
      <c r="EG36" t="n">
        <v>3</v>
      </c>
      <c r="EH36" t="n">
        <v>3</v>
      </c>
      <c r="EI36" t="n">
        <v>0</v>
      </c>
      <c r="EJ36" t="n">
        <v>0</v>
      </c>
      <c r="EK36" t="n">
        <v>11</v>
      </c>
      <c r="EL36" t="n">
        <v>7</v>
      </c>
      <c r="EM36" t="inlineStr">
        <is>
          <t>taraxasterol</t>
        </is>
      </c>
      <c r="EN36" t="inlineStr">
        <is>
          <t>Pass 48 rolled compound scores into herb-level scoring</t>
        </is>
      </c>
    </row>
    <row r="37">
      <c r="A37" s="68" t="inlineStr">
        <is>
          <t>Burdock</t>
        </is>
      </c>
      <c r="B37" s="68" t="inlineStr">
        <is>
          <t>burdock</t>
        </is>
      </c>
      <c r="C37" s="68" t="inlineStr">
        <is>
          <t>Arctium lappa</t>
        </is>
      </c>
      <c r="D37" s="68" t="inlineStr">
        <is>
          <t>herb</t>
        </is>
      </c>
      <c r="E37" s="68" t="inlineStr">
        <is>
          <t>root</t>
        </is>
      </c>
      <c r="F37" s="68" t="inlineStr">
        <is>
          <t>root</t>
        </is>
      </c>
      <c r="G37" s="68" t="inlineStr">
        <is>
          <t>burdock</t>
        </is>
      </c>
      <c r="H37" s="68" t="inlineStr">
        <is>
          <t>Europe and Asia; cultivated broadly</t>
        </is>
      </c>
      <c r="I37" s="68" t="inlineStr">
        <is>
          <t>Burdock root is positioned for traditional skin, digestive, and anti-inflammatory support.</t>
        </is>
      </c>
      <c r="J37" s="68" t="inlineStr">
        <is>
          <t>It is best framed as a traditional root botanical with modest modern evidence rather than a definitive detox herb.</t>
        </is>
      </c>
      <c r="K37" s="68" t="inlineStr">
        <is>
          <t>arctiin; lignans</t>
        </is>
      </c>
      <c r="L37" s="68" t="inlineStr">
        <is>
          <t>arctiin</t>
        </is>
      </c>
      <c r="M37" s="68" t="inlineStr">
        <is>
          <t>Lignans and polyphenols are associated with antioxidant and anti-inflammatory positioning.</t>
        </is>
      </c>
      <c r="N37" s="68" t="inlineStr">
        <is>
          <t>traditional skin support; anti-inflammatory</t>
        </is>
      </c>
      <c r="O37" s="68" t="inlineStr">
        <is>
          <t>traditional use + limited human</t>
        </is>
      </c>
      <c r="P37" s="68" t="inlineStr">
        <is>
          <t>Generally well tolerated.</t>
        </is>
      </c>
      <c r="Q37" s="68" t="inlineStr">
        <is>
          <t>Use caution with daisy-family sensitivities.</t>
        </is>
      </c>
      <c r="R37" s="68" t="n"/>
      <c r="S37" s="68" t="n"/>
      <c r="T37" s="68" t="n"/>
      <c r="U37" s="68" t="n"/>
      <c r="V37" s="68" t="n"/>
      <c r="W37" s="68" t="inlineStr">
        <is>
          <t>High</t>
        </is>
      </c>
      <c r="X37" s="68" t="inlineStr">
        <is>
          <t>validated</t>
        </is>
      </c>
      <c r="Y37" s="68" t="n"/>
      <c r="Z37" s="68" t="inlineStr">
        <is>
          <t>present</t>
        </is>
      </c>
      <c r="AA37" s="68" t="inlineStr">
        <is>
          <t>Internal workbook + enrichment queue</t>
        </is>
      </c>
      <c r="AB37" s="68" t="n"/>
      <c r="AC37" s="68" t="n"/>
      <c r="AD37" s="68" t="n"/>
      <c r="AE37" s="68" t="n"/>
      <c r="AF37" s="68" t="n"/>
      <c r="AG37" s="68" t="n">
        <v>3</v>
      </c>
      <c r="AH37" s="68" t="n">
        <v>1</v>
      </c>
      <c r="AI37" s="68" t="n">
        <v>3</v>
      </c>
      <c r="AJ37" s="68" t="n">
        <v>7</v>
      </c>
      <c r="AK37" s="68" t="inlineStr">
        <is>
          <t>Medium</t>
        </is>
      </c>
      <c r="AL37" s="68" t="n"/>
      <c r="AM37" s="68" t="inlineStr">
        <is>
          <t>Linked primary/secondary</t>
        </is>
      </c>
      <c r="AN37" s="68" t="n">
        <v>0.9</v>
      </c>
      <c r="AO37" s="68" t="inlineStr">
        <is>
          <t>Near ready</t>
        </is>
      </c>
      <c r="AP37" s="68" t="n"/>
      <c r="AQ37" s="68" t="n"/>
      <c r="AR37" s="68" t="inlineStr">
        <is>
          <t>Editorial polish</t>
        </is>
      </c>
      <c r="AS37" s="68" t="inlineStr">
        <is>
          <t>Not started</t>
        </is>
      </c>
      <c r="AT37" s="68" t="n"/>
      <c r="AU37" s="68" t="n"/>
      <c r="AV37" s="68" t="n"/>
      <c r="AW37" s="68" t="n"/>
      <c r="AX37" s="68" t="n"/>
      <c r="AY37" s="68" t="n"/>
      <c r="AZ37" s="68" t="n"/>
      <c r="BA37" s="68" t="n"/>
      <c r="BB37" s="68" t="n"/>
      <c r="BC37" s="68" t="n"/>
      <c r="BD37" s="68" t="n"/>
      <c r="BE37" s="68" t="inlineStr">
        <is>
          <t>2026-04-10</t>
        </is>
      </c>
      <c r="BF37" s="68" t="inlineStr">
        <is>
          <t>Metadata normalized from internal workbook links</t>
        </is>
      </c>
      <c r="BG37" s="68" t="inlineStr">
        <is>
          <t>burdock|2026-04-10</t>
        </is>
      </c>
      <c r="BH37" s="68" t="inlineStr">
        <is>
          <t>2026-04-10:auto-normalized</t>
        </is>
      </c>
      <c r="BI37" t="inlineStr">
        <is>
          <t>burdock</t>
        </is>
      </c>
      <c r="BJ37" t="inlineStr">
        <is>
          <t>Burdock</t>
        </is>
      </c>
      <c r="BK37" t="n">
        <v>1</v>
      </c>
      <c r="BL37" t="n">
        <v>1</v>
      </c>
      <c r="BM37" t="n">
        <v>3</v>
      </c>
      <c r="BN37" t="n">
        <v>7</v>
      </c>
      <c r="BO37" t="n">
        <v>100</v>
      </c>
      <c r="BP37" t="n">
        <v>8</v>
      </c>
      <c r="BQ37" t="n">
        <v>10</v>
      </c>
      <c r="BR37" t="n">
        <v>5</v>
      </c>
      <c r="BS37" t="inlineStr">
        <is>
          <t>Tier 1</t>
        </is>
      </c>
      <c r="BT37" t="n">
        <v>5</v>
      </c>
      <c r="BU37" t="inlineStr">
        <is>
          <t>FALSE</t>
        </is>
      </c>
      <c r="BV37" t="inlineStr">
        <is>
          <t>burdock</t>
        </is>
      </c>
      <c r="BW37" t="inlineStr">
        <is>
          <t>TRUE</t>
        </is>
      </c>
      <c r="BX37" t="inlineStr">
        <is>
          <t>Pass 10 refreshed scoring from 1 mapped compounds | Pass 13 rescored from 1 mapped compounds</t>
        </is>
      </c>
      <c r="BY37" t="inlineStr">
        <is>
          <t>unclassified</t>
        </is>
      </c>
      <c r="CA37" t="n">
        <v>2</v>
      </c>
      <c r="CB37" t="n">
        <v>0</v>
      </c>
      <c r="CC37" t="n">
        <v>0</v>
      </c>
      <c r="CD37" t="inlineStr">
        <is>
          <t>arctiin; unclassified</t>
        </is>
      </c>
      <c r="CE37" t="inlineStr">
        <is>
          <t>Pass 13 rescored after herb-name normalization and real top-herb compound sweep</t>
        </is>
      </c>
      <c r="CF37" t="inlineStr">
        <is>
          <t>General</t>
        </is>
      </c>
      <c r="CH37" s="68" t="inlineStr">
        <is>
          <t>Start with low single-herb exposure and increase only if tolerated</t>
        </is>
      </c>
      <c r="CI37" s="68" t="inlineStr">
        <is>
          <t>Product-ideation framing only; not clinical dosing advice.</t>
        </is>
      </c>
      <c r="CJ37" s="68" t="str"/>
      <c r="CK37" s="68" t="str"/>
      <c r="CL37" s="68" t="inlineStr">
        <is>
          <t>Moderate</t>
        </is>
      </c>
      <c r="CM37" s="68" t="inlineStr">
        <is>
          <t>No</t>
        </is>
      </c>
      <c r="CN37" s="68" t="str"/>
      <c r="CO37" s="68" t="inlineStr">
        <is>
          <t>Pass 21 herb-level safety and dose framing</t>
        </is>
      </c>
      <c r="CP37" t="inlineStr">
        <is>
          <t>Baseline</t>
        </is>
      </c>
      <c r="CQ37" t="inlineStr">
        <is>
          <t>No</t>
        </is>
      </c>
      <c r="CS37" t="inlineStr">
        <is>
          <t>Pass 22 refined safety rule severity and reduced broad keyword over-flagging</t>
        </is>
      </c>
      <c r="CT37" t="inlineStr">
        <is>
          <t>General</t>
        </is>
      </c>
      <c r="CU37" t="inlineStr">
        <is>
          <t>anti-inflammatory; traditional skin support</t>
        </is>
      </c>
      <c r="CV37" t="inlineStr">
        <is>
          <t>Human</t>
        </is>
      </c>
      <c r="CW37" t="inlineStr">
        <is>
          <t>Pass 26 normalization: categories, mechanisms, evidence tiers</t>
        </is>
      </c>
      <c r="CX37" t="inlineStr">
        <is>
          <t>Limited human</t>
        </is>
      </c>
      <c r="CY37" t="inlineStr">
        <is>
          <t>Generally well tolerated.</t>
        </is>
      </c>
      <c r="CZ37" t="inlineStr">
        <is>
          <t>Use caution with daisy-family sensitivities</t>
        </is>
      </c>
      <c r="DB37" t="inlineStr">
        <is>
          <t>Pass 28 normalized evidence and safety-related free text</t>
        </is>
      </c>
      <c r="DD37" t="inlineStr">
        <is>
          <t>No standardized dose established; use conservative, product-dependent ranges.</t>
        </is>
      </c>
      <c r="DE37" t="inlineStr">
        <is>
          <t>Common forms include extracts, powders, or teas depending on herb part.</t>
        </is>
      </c>
      <c r="DF37" t="inlineStr">
        <is>
          <t>Quality varies by extraction method, standardization, and contamination risk.</t>
        </is>
      </c>
      <c r="DG37" t="inlineStr">
        <is>
          <t>Moderate to high</t>
        </is>
      </c>
      <c r="DH37" t="inlineStr">
        <is>
          <t>Pass 29 completeness repair</t>
        </is>
      </c>
      <c r="DI37" t="n">
        <v>9</v>
      </c>
      <c r="DJ37" t="inlineStr">
        <is>
          <t>General</t>
        </is>
      </c>
      <c r="DK37" t="inlineStr">
        <is>
          <t>arctiin</t>
        </is>
      </c>
      <c r="DL37" t="inlineStr">
        <is>
          <t>Agarikon; Ajwain; Angelica Root; Artichoke; Ashoka</t>
        </is>
      </c>
      <c r="DM37" t="inlineStr">
        <is>
          <t>Pass 31 relationship intelligence: density, cluster, anchor class, nearest herbs</t>
        </is>
      </c>
      <c r="DN37" t="inlineStr">
        <is>
          <t>Agarikon; Ajwain; Angelica Root; Artichoke; Ashoka</t>
        </is>
      </c>
      <c r="DO37" t="inlineStr">
        <is>
          <t>Agarikon (1 shared pathways) | Ajwain (1 shared pathways) | Angelica Root (1 shared pathways)</t>
        </is>
      </c>
      <c r="DP37" t="inlineStr">
        <is>
          <t>Generalist</t>
        </is>
      </c>
      <c r="DQ37" t="inlineStr">
        <is>
          <t>Pass 32 substitute engine + cluster cleanup</t>
        </is>
      </c>
      <c r="DR37" t="inlineStr">
        <is>
          <t>Agarikon</t>
        </is>
      </c>
      <c r="DS37" t="inlineStr">
        <is>
          <t>Ajwain</t>
        </is>
      </c>
      <c r="DT37" t="inlineStr">
        <is>
          <t>same cluster; lower safety burden; similarity-backed</t>
        </is>
      </c>
      <c r="DU37" t="inlineStr">
        <is>
          <t>Not needed</t>
        </is>
      </c>
      <c r="DV37" t="inlineStr">
        <is>
          <t>Pass 33 fallback replacement engine</t>
        </is>
      </c>
      <c r="DW37" t="inlineStr">
        <is>
          <t>Angelica Root</t>
        </is>
      </c>
      <c r="DX37" t="inlineStr">
        <is>
          <t>Agarikon; Ajwain; Angelica Root; Ashoka; Blue Lotus; Artichoke; Rosemary; Sage</t>
        </is>
      </c>
      <c r="DY37" t="inlineStr">
        <is>
          <t>Pass 35 expanded fallback pool with second-pass candidate exploration</t>
        </is>
      </c>
      <c r="EA37" t="inlineStr">
        <is>
          <t>General</t>
        </is>
      </c>
      <c r="EB37" t="inlineStr">
        <is>
          <t>unclassified</t>
        </is>
      </c>
      <c r="EC37" t="inlineStr">
        <is>
          <t>High</t>
        </is>
      </c>
      <c r="ED37" t="inlineStr">
        <is>
          <t>Pass 40 reinforced weak-category herb data</t>
        </is>
      </c>
      <c r="EG37" t="n">
        <v>3</v>
      </c>
      <c r="EH37" t="n">
        <v>3</v>
      </c>
      <c r="EI37" t="n">
        <v>0</v>
      </c>
      <c r="EJ37" t="n">
        <v>0</v>
      </c>
      <c r="EK37" t="n">
        <v>11</v>
      </c>
      <c r="EL37" t="n">
        <v>7</v>
      </c>
      <c r="EM37" t="inlineStr">
        <is>
          <t>arctiin</t>
        </is>
      </c>
      <c r="EN37" t="inlineStr">
        <is>
          <t>Pass 48 rolled compound scores into herb-level scoring</t>
        </is>
      </c>
    </row>
    <row r="38">
      <c r="A38" s="68" t="inlineStr">
        <is>
          <t>Chamomile</t>
        </is>
      </c>
      <c r="B38" s="68" t="inlineStr">
        <is>
          <t>chamomile</t>
        </is>
      </c>
      <c r="C38" s="68" t="inlineStr">
        <is>
          <t>Matricaria chamomilla</t>
        </is>
      </c>
      <c r="D38" s="68" t="inlineStr">
        <is>
          <t>herb</t>
        </is>
      </c>
      <c r="E38" s="68" t="inlineStr">
        <is>
          <t>flower</t>
        </is>
      </c>
      <c r="F38" s="68" t="inlineStr">
        <is>
          <t>flower</t>
        </is>
      </c>
      <c r="G38" s="68" t="inlineStr">
        <is>
          <t>chamomile</t>
        </is>
      </c>
      <c r="H38" s="68" t="inlineStr">
        <is>
          <t>Europe; cultivated globally</t>
        </is>
      </c>
      <c r="I38" s="68" t="inlineStr">
        <is>
          <t>Chamomile is a flower monograph positioned for calming, digestive, and anti-inflammatory support.</t>
        </is>
      </c>
      <c r="J38" s="68" t="inlineStr">
        <is>
          <t>It is best handled as a gentle calming botanical with broad traditional use and modest clinical depth.</t>
        </is>
      </c>
      <c r="K38" s="68" t="inlineStr">
        <is>
          <t>apigenin</t>
        </is>
      </c>
      <c r="L38" s="68" t="inlineStr">
        <is>
          <t>apigenin</t>
        </is>
      </c>
      <c r="M38" s="68" t="inlineStr">
        <is>
          <t>Flavonoids and volatile constituents are associated with calming and digestive-support positioning.</t>
        </is>
      </c>
      <c r="N38" s="68" t="inlineStr">
        <is>
          <t>anxiolytic; sleep support; anti-inflammatory</t>
        </is>
      </c>
      <c r="O38" s="68" t="inlineStr">
        <is>
          <t>traditional use + mixed human</t>
        </is>
      </c>
      <c r="P38" s="68" t="inlineStr">
        <is>
          <t>Generally well tolerated.</t>
        </is>
      </c>
      <c r="Q38" s="68" t="inlineStr">
        <is>
          <t>Use caution with ragweed-family allergy contexts.</t>
        </is>
      </c>
      <c r="R38" s="68" t="n"/>
      <c r="S38" s="68" t="n"/>
      <c r="T38" s="68" t="n"/>
      <c r="U38" s="68" t="n"/>
      <c r="V38" s="68" t="n"/>
      <c r="W38" s="68" t="inlineStr">
        <is>
          <t>High</t>
        </is>
      </c>
      <c r="X38" s="68" t="inlineStr">
        <is>
          <t>validated</t>
        </is>
      </c>
      <c r="Y38" s="68" t="n"/>
      <c r="Z38" s="68" t="inlineStr">
        <is>
          <t>present</t>
        </is>
      </c>
      <c r="AA38" s="68" t="inlineStr">
        <is>
          <t>Internal workbook + enrichment queue</t>
        </is>
      </c>
      <c r="AB38" s="68" t="n"/>
      <c r="AC38" s="68" t="n"/>
      <c r="AD38" s="68" t="n"/>
      <c r="AE38" s="68" t="n"/>
      <c r="AF38" s="68" t="n"/>
      <c r="AG38" s="68" t="n">
        <v>3</v>
      </c>
      <c r="AH38" s="68" t="n">
        <v>1</v>
      </c>
      <c r="AI38" s="68" t="n">
        <v>3</v>
      </c>
      <c r="AJ38" s="68" t="n">
        <v>7</v>
      </c>
      <c r="AK38" s="68" t="inlineStr">
        <is>
          <t>Medium</t>
        </is>
      </c>
      <c r="AL38" s="68" t="n"/>
      <c r="AM38" s="68" t="inlineStr">
        <is>
          <t>Linked primary/secondary</t>
        </is>
      </c>
      <c r="AN38" s="68" t="n">
        <v>0.9</v>
      </c>
      <c r="AO38" s="68" t="inlineStr">
        <is>
          <t>Near ready</t>
        </is>
      </c>
      <c r="AP38" s="68" t="n"/>
      <c r="AQ38" s="68" t="n"/>
      <c r="AR38" s="68" t="inlineStr">
        <is>
          <t>Editorial polish</t>
        </is>
      </c>
      <c r="AS38" s="68" t="inlineStr">
        <is>
          <t>Not started</t>
        </is>
      </c>
      <c r="AT38" s="68" t="n"/>
      <c r="AU38" s="68" t="n"/>
      <c r="AV38" s="68" t="n"/>
      <c r="AW38" s="68" t="n"/>
      <c r="AX38" s="68" t="n"/>
      <c r="AY38" s="68" t="n"/>
      <c r="AZ38" s="68" t="n"/>
      <c r="BA38" s="68" t="n"/>
      <c r="BB38" s="68" t="n"/>
      <c r="BC38" s="68" t="n"/>
      <c r="BD38" s="68" t="n"/>
      <c r="BE38" s="68" t="inlineStr">
        <is>
          <t>2026-04-10</t>
        </is>
      </c>
      <c r="BF38" s="68" t="inlineStr">
        <is>
          <t>Metadata normalized from internal workbook links</t>
        </is>
      </c>
      <c r="BG38" s="68" t="inlineStr">
        <is>
          <t>chamomile|2026-04-10</t>
        </is>
      </c>
      <c r="BH38" s="68" t="inlineStr">
        <is>
          <t>2026-04-10:auto-normalized</t>
        </is>
      </c>
      <c r="BI38" t="inlineStr">
        <is>
          <t>chamomile</t>
        </is>
      </c>
      <c r="BJ38" t="inlineStr">
        <is>
          <t>Chamomile</t>
        </is>
      </c>
      <c r="BK38" t="n">
        <v>6</v>
      </c>
      <c r="BL38" t="n">
        <v>5</v>
      </c>
      <c r="BM38" t="n">
        <v>3</v>
      </c>
      <c r="BN38" t="n">
        <v>38</v>
      </c>
      <c r="BO38" t="n">
        <v>100</v>
      </c>
      <c r="BP38" t="n">
        <v>50</v>
      </c>
      <c r="BQ38" t="n">
        <v>50</v>
      </c>
      <c r="BR38" t="n">
        <v>35</v>
      </c>
      <c r="BS38" t="inlineStr">
        <is>
          <t>Tier 1</t>
        </is>
      </c>
      <c r="BT38" t="n">
        <v>29</v>
      </c>
      <c r="BU38" t="inlineStr">
        <is>
          <t>FALSE</t>
        </is>
      </c>
      <c r="BV38" t="inlineStr">
        <is>
          <t>chamomile</t>
        </is>
      </c>
      <c r="BW38" t="inlineStr">
        <is>
          <t>TRUE</t>
        </is>
      </c>
      <c r="BX38" t="inlineStr">
        <is>
          <t>Pass 10 refreshed scoring from 2 mapped compounds | Pass 13 rescored from 6 mapped compounds</t>
        </is>
      </c>
      <c r="BY38" t="inlineStr">
        <is>
          <t>unclassified; GABA-A modulation; NF-kB inhibition; anxiolytic signaling; adrenergic signaling</t>
        </is>
      </c>
      <c r="BZ38" t="inlineStr">
        <is>
          <t>GABA-A modulation; anti-inflammatory signaling</t>
        </is>
      </c>
      <c r="CA38" t="n">
        <v>14</v>
      </c>
      <c r="CB38" t="n">
        <v>0</v>
      </c>
      <c r="CC38" t="n">
        <v>0</v>
      </c>
      <c r="CD38" t="inlineStr">
        <is>
          <t>Flavonoid; alpha-bisabolol; apigenin; unclassified; GABA-A modulation; NF-kB inhibition</t>
        </is>
      </c>
      <c r="CE38" t="inlineStr">
        <is>
          <t>Pass 13 rescored after herb-name normalization and real top-herb compound sweep</t>
        </is>
      </c>
      <c r="CF38" t="inlineStr">
        <is>
          <t>General</t>
        </is>
      </c>
      <c r="CH38" s="68" t="inlineStr">
        <is>
          <t>Start low; usually evening or split use</t>
        </is>
      </c>
      <c r="CI38" s="68" t="inlineStr">
        <is>
          <t>Prefer evening or split dosing; avoid stacking with other sedative-heavy products by default.</t>
        </is>
      </c>
      <c r="CJ38" s="68" t="inlineStr">
        <is>
          <t>sedation-cns</t>
        </is>
      </c>
      <c r="CK38" s="68" t="str"/>
      <c r="CL38" s="68" t="inlineStr">
        <is>
          <t>Baseline</t>
        </is>
      </c>
      <c r="CM38" s="68" t="inlineStr">
        <is>
          <t>No</t>
        </is>
      </c>
      <c r="CN38" s="68" t="str"/>
      <c r="CO38" s="68" t="inlineStr">
        <is>
          <t>Pass 21 herb-level safety and dose framing</t>
        </is>
      </c>
      <c r="CP38" t="inlineStr">
        <is>
          <t>Baseline</t>
        </is>
      </c>
      <c r="CQ38" t="inlineStr">
        <is>
          <t>No</t>
        </is>
      </c>
      <c r="CS38" t="inlineStr">
        <is>
          <t>Pass 22 refined safety rule severity and reduced broad keyword over-flagging</t>
        </is>
      </c>
      <c r="CT38" t="inlineStr">
        <is>
          <t>General</t>
        </is>
      </c>
      <c r="CU38" t="inlineStr">
        <is>
          <t>anti-inflammatory; anxiolytic; sleep support</t>
        </is>
      </c>
      <c r="CV38" t="inlineStr">
        <is>
          <t>Human</t>
        </is>
      </c>
      <c r="CW38" t="inlineStr">
        <is>
          <t>Pass 26 normalization: categories, mechanisms, evidence tiers</t>
        </is>
      </c>
      <c r="CX38" t="inlineStr">
        <is>
          <t>Limited human</t>
        </is>
      </c>
      <c r="CY38" t="inlineStr">
        <is>
          <t>Generally well tolerated.</t>
        </is>
      </c>
      <c r="CZ38" t="inlineStr">
        <is>
          <t>Use caution with ragweed-family allergy contexts</t>
        </is>
      </c>
      <c r="DB38" t="inlineStr">
        <is>
          <t>Pass 28 normalized evidence and safety-related free text</t>
        </is>
      </c>
      <c r="DD38" t="inlineStr">
        <is>
          <t>No standardized dose established; use conservative, product-dependent ranges.</t>
        </is>
      </c>
      <c r="DE38" t="inlineStr">
        <is>
          <t>Common forms include extracts, powders, or teas depending on herb part.</t>
        </is>
      </c>
      <c r="DF38" t="inlineStr">
        <is>
          <t>Quality varies by extraction method, standardization, and contamination risk.</t>
        </is>
      </c>
      <c r="DG38" t="inlineStr">
        <is>
          <t>Moderate to high</t>
        </is>
      </c>
      <c r="DH38" t="inlineStr">
        <is>
          <t>Pass 29 completeness repair</t>
        </is>
      </c>
      <c r="DI38" t="n">
        <v>57</v>
      </c>
      <c r="DJ38" t="inlineStr">
        <is>
          <t>Inflammation / Recovery</t>
        </is>
      </c>
      <c r="DK38" t="inlineStr">
        <is>
          <t>chamazulene</t>
        </is>
      </c>
      <c r="DL38" t="inlineStr">
        <is>
          <t>Chinese Skullcap; Ginkgo Biloba; Agarikon; Ajwain; Angelica Root</t>
        </is>
      </c>
      <c r="DM38" t="inlineStr">
        <is>
          <t>Pass 31 relationship intelligence: density, cluster, anchor class, nearest herbs</t>
        </is>
      </c>
      <c r="DP38" t="inlineStr">
        <is>
          <t>Inflammation / Recovery</t>
        </is>
      </c>
      <c r="DQ38" t="inlineStr">
        <is>
          <t>Pass 32 substitute engine + cluster cleanup</t>
        </is>
      </c>
      <c r="DT38" t="inlineStr">
        <is>
          <t>no strong safe fallback found</t>
        </is>
      </c>
      <c r="DU38" t="inlineStr">
        <is>
          <t>Not needed</t>
        </is>
      </c>
      <c r="DV38" t="inlineStr">
        <is>
          <t>Pass 33 fallback replacement engine</t>
        </is>
      </c>
      <c r="DY38" t="inlineStr">
        <is>
          <t>Pass 35 expanded fallback pool with second-pass candidate exploration</t>
        </is>
      </c>
      <c r="EA38" t="inlineStr">
        <is>
          <t>Recovery</t>
        </is>
      </c>
      <c r="EB38" t="inlineStr">
        <is>
          <t>unclassified; GABA-A modulation; NF-kB inhibition; anxiolytic signaling; adrenergic signaling</t>
        </is>
      </c>
      <c r="EC38" t="inlineStr">
        <is>
          <t>High</t>
        </is>
      </c>
      <c r="ED38" t="inlineStr">
        <is>
          <t>Pass 40 reinforced weak-category herb data</t>
        </is>
      </c>
      <c r="EG38" t="n">
        <v>12</v>
      </c>
      <c r="EH38" t="n">
        <v>4</v>
      </c>
      <c r="EI38" t="n">
        <v>0</v>
      </c>
      <c r="EJ38" t="n">
        <v>0</v>
      </c>
      <c r="EK38" t="n">
        <v>26</v>
      </c>
      <c r="EL38" t="n">
        <v>17</v>
      </c>
      <c r="EM38" t="inlineStr">
        <is>
          <t>Apigenin; alpha-bisabolol; chamazulene</t>
        </is>
      </c>
      <c r="EN38" t="inlineStr">
        <is>
          <t>Pass 48 rolled compound scores into herb-level scoring</t>
        </is>
      </c>
    </row>
    <row r="39">
      <c r="A39" s="68" t="inlineStr">
        <is>
          <t>Red Clover</t>
        </is>
      </c>
      <c r="B39" s="68" t="inlineStr">
        <is>
          <t>red-clover</t>
        </is>
      </c>
      <c r="C39" s="68" t="inlineStr">
        <is>
          <t>Trifolium pratense</t>
        </is>
      </c>
      <c r="D39" s="68" t="inlineStr">
        <is>
          <t>herb</t>
        </is>
      </c>
      <c r="E39" s="68" t="inlineStr">
        <is>
          <t>flowering tops</t>
        </is>
      </c>
      <c r="F39" s="68" t="inlineStr">
        <is>
          <t>flowering tops</t>
        </is>
      </c>
      <c r="G39" s="68" t="inlineStr">
        <is>
          <t>red clover</t>
        </is>
      </c>
      <c r="H39" s="68" t="inlineStr">
        <is>
          <t>Europe and Western Asia; cultivated broadly</t>
        </is>
      </c>
      <c r="I39" s="68" t="inlineStr">
        <is>
          <t>Red clover is positioned for phytoestrogen-adjacent and traditional cycle-support use.</t>
        </is>
      </c>
      <c r="J39" s="68" t="inlineStr">
        <is>
          <t>It should be framed conservatively because endocrine-adjacent claims outrun the evidence in many product contexts.</t>
        </is>
      </c>
      <c r="K39" s="68" t="inlineStr">
        <is>
          <t>isoflavones; genistein</t>
        </is>
      </c>
      <c r="L39" s="68" t="inlineStr">
        <is>
          <t>genistein</t>
        </is>
      </c>
      <c r="M39" s="68" t="inlineStr">
        <is>
          <t>Isoflavones are associated with phytoestrogen-adjacent positioning.</t>
        </is>
      </c>
      <c r="N39" s="68" t="inlineStr">
        <is>
          <t>phytoestrogen-adjacent support</t>
        </is>
      </c>
      <c r="O39" s="68" t="inlineStr">
        <is>
          <t>mixed human + preclinical</t>
        </is>
      </c>
      <c r="P39" s="68" t="inlineStr">
        <is>
          <t>Generally well tolerated.</t>
        </is>
      </c>
      <c r="Q39" s="68" t="inlineStr">
        <is>
          <t>Use caution in hormone-sensitive contexts.</t>
        </is>
      </c>
      <c r="R39" s="68" t="n"/>
      <c r="S39" s="68" t="n"/>
      <c r="T39" s="68" t="n"/>
      <c r="U39" s="68" t="n"/>
      <c r="V39" s="68" t="n"/>
      <c r="W39" s="68" t="inlineStr">
        <is>
          <t>High</t>
        </is>
      </c>
      <c r="X39" s="68" t="inlineStr">
        <is>
          <t>validated</t>
        </is>
      </c>
      <c r="Y39" s="68" t="n"/>
      <c r="Z39" s="68" t="inlineStr">
        <is>
          <t>present</t>
        </is>
      </c>
      <c r="AA39" s="68" t="inlineStr">
        <is>
          <t>Internal workbook + enrichment queue</t>
        </is>
      </c>
      <c r="AB39" s="68" t="n"/>
      <c r="AC39" s="68" t="n"/>
      <c r="AD39" s="68" t="n"/>
      <c r="AE39" s="68" t="n"/>
      <c r="AF39" s="68" t="n"/>
      <c r="AG39" s="68" t="n">
        <v>3</v>
      </c>
      <c r="AH39" s="68" t="n">
        <v>1</v>
      </c>
      <c r="AI39" s="68" t="n">
        <v>3</v>
      </c>
      <c r="AJ39" s="68" t="n">
        <v>7</v>
      </c>
      <c r="AK39" s="68" t="inlineStr">
        <is>
          <t>Medium</t>
        </is>
      </c>
      <c r="AL39" s="68" t="n"/>
      <c r="AM39" s="68" t="inlineStr">
        <is>
          <t>Linked primary/secondary</t>
        </is>
      </c>
      <c r="AN39" s="68" t="n">
        <v>0.9</v>
      </c>
      <c r="AO39" s="68" t="inlineStr">
        <is>
          <t>Near ready</t>
        </is>
      </c>
      <c r="AP39" s="68" t="n"/>
      <c r="AQ39" s="68" t="n"/>
      <c r="AR39" s="68" t="inlineStr">
        <is>
          <t>Editorial polish</t>
        </is>
      </c>
      <c r="AS39" s="68" t="inlineStr">
        <is>
          <t>Not started</t>
        </is>
      </c>
      <c r="AT39" s="68" t="n"/>
      <c r="AU39" s="68" t="n"/>
      <c r="AV39" s="68" t="n"/>
      <c r="AW39" s="68" t="n"/>
      <c r="AX39" s="68" t="n"/>
      <c r="AY39" s="68" t="n"/>
      <c r="AZ39" s="68" t="n"/>
      <c r="BA39" s="68" t="n"/>
      <c r="BB39" s="68" t="n"/>
      <c r="BC39" s="68" t="n"/>
      <c r="BD39" s="68" t="n"/>
      <c r="BE39" s="68" t="inlineStr">
        <is>
          <t>2026-04-10</t>
        </is>
      </c>
      <c r="BF39" s="68" t="inlineStr">
        <is>
          <t>Metadata normalized from internal workbook links</t>
        </is>
      </c>
      <c r="BG39" s="68" t="inlineStr">
        <is>
          <t>red-clover|2026-04-10</t>
        </is>
      </c>
      <c r="BH39" s="68" t="inlineStr">
        <is>
          <t>2026-04-10:auto-normalized</t>
        </is>
      </c>
      <c r="BI39" t="inlineStr">
        <is>
          <t>red-clover</t>
        </is>
      </c>
      <c r="BJ39" t="inlineStr">
        <is>
          <t>Red Clover</t>
        </is>
      </c>
      <c r="BK39" t="n">
        <v>1</v>
      </c>
      <c r="BL39" t="n">
        <v>1</v>
      </c>
      <c r="BM39" t="n">
        <v>3</v>
      </c>
      <c r="BN39" t="n">
        <v>7</v>
      </c>
      <c r="BO39" t="n">
        <v>100</v>
      </c>
      <c r="BP39" t="n">
        <v>8</v>
      </c>
      <c r="BQ39" t="n">
        <v>10</v>
      </c>
      <c r="BR39" t="n">
        <v>5</v>
      </c>
      <c r="BS39" t="inlineStr">
        <is>
          <t>Tier 1</t>
        </is>
      </c>
      <c r="BT39" t="n">
        <v>5</v>
      </c>
      <c r="BU39" t="inlineStr">
        <is>
          <t>FALSE</t>
        </is>
      </c>
      <c r="BV39" t="inlineStr">
        <is>
          <t>red-clover</t>
        </is>
      </c>
      <c r="BW39" t="inlineStr">
        <is>
          <t>TRUE</t>
        </is>
      </c>
      <c r="BX39" t="inlineStr">
        <is>
          <t>Pass 10 refreshed scoring from 1 mapped compounds | Pass 13 rescored from 1 mapped compounds</t>
        </is>
      </c>
      <c r="BY39" t="inlineStr">
        <is>
          <t>unclassified</t>
        </is>
      </c>
      <c r="CA39" t="n">
        <v>2</v>
      </c>
      <c r="CB39" t="n">
        <v>0</v>
      </c>
      <c r="CC39" t="n">
        <v>0</v>
      </c>
      <c r="CD39" t="inlineStr">
        <is>
          <t>genistein; unclassified</t>
        </is>
      </c>
      <c r="CE39" t="inlineStr">
        <is>
          <t>Pass 13 rescored after herb-name normalization and real top-herb compound sweep</t>
        </is>
      </c>
      <c r="CF39" t="inlineStr">
        <is>
          <t>General</t>
        </is>
      </c>
      <c r="CH39" s="68" t="inlineStr">
        <is>
          <t>Start with low single-herb exposure and increase only if tolerated</t>
        </is>
      </c>
      <c r="CI39" s="68" t="inlineStr">
        <is>
          <t>Product-ideation framing only; not clinical dosing advice.</t>
        </is>
      </c>
      <c r="CJ39" s="68" t="inlineStr">
        <is>
          <t>thyroid-hormonal</t>
        </is>
      </c>
      <c r="CK39" s="68" t="str"/>
      <c r="CL39" s="68" t="inlineStr">
        <is>
          <t>Baseline</t>
        </is>
      </c>
      <c r="CM39" s="68" t="inlineStr">
        <is>
          <t>No</t>
        </is>
      </c>
      <c r="CN39" s="68" t="str"/>
      <c r="CO39" s="68" t="inlineStr">
        <is>
          <t>Pass 21 herb-level safety and dose framing</t>
        </is>
      </c>
      <c r="CP39" t="inlineStr">
        <is>
          <t>Baseline</t>
        </is>
      </c>
      <c r="CQ39" t="inlineStr">
        <is>
          <t>No</t>
        </is>
      </c>
      <c r="CS39" t="inlineStr">
        <is>
          <t>Pass 22 refined safety rule severity and reduced broad keyword over-flagging</t>
        </is>
      </c>
      <c r="CT39" t="inlineStr">
        <is>
          <t>General</t>
        </is>
      </c>
      <c r="CU39" t="inlineStr">
        <is>
          <t>phytoestrogen-adjacent support</t>
        </is>
      </c>
      <c r="CV39" t="inlineStr">
        <is>
          <t>Human</t>
        </is>
      </c>
      <c r="CW39" t="inlineStr">
        <is>
          <t>Pass 26 normalization: categories, mechanisms, evidence tiers</t>
        </is>
      </c>
      <c r="CX39" t="inlineStr">
        <is>
          <t>Human + preclinical</t>
        </is>
      </c>
      <c r="CY39" t="inlineStr">
        <is>
          <t>Generally well tolerated.</t>
        </is>
      </c>
      <c r="CZ39" t="inlineStr">
        <is>
          <t>Use caution in hormone-sensitive contexts</t>
        </is>
      </c>
      <c r="DB39" t="inlineStr">
        <is>
          <t>Pass 28 normalized evidence and safety-related free text</t>
        </is>
      </c>
      <c r="DD39" t="inlineStr">
        <is>
          <t>No standardized dose established; use conservative, product-dependent ranges.</t>
        </is>
      </c>
      <c r="DE39" t="inlineStr">
        <is>
          <t>Common forms include extracts, powders, or teas depending on herb part.</t>
        </is>
      </c>
      <c r="DF39" t="inlineStr">
        <is>
          <t>Quality varies by extraction method, standardization, and contamination risk.</t>
        </is>
      </c>
      <c r="DG39" t="inlineStr">
        <is>
          <t>Moderate to high</t>
        </is>
      </c>
      <c r="DH39" t="inlineStr">
        <is>
          <t>Pass 29 completeness repair</t>
        </is>
      </c>
      <c r="DI39" t="n">
        <v>9</v>
      </c>
      <c r="DJ39" t="inlineStr">
        <is>
          <t>General</t>
        </is>
      </c>
      <c r="DK39" t="inlineStr">
        <is>
          <t>genistein</t>
        </is>
      </c>
      <c r="DL39" t="inlineStr">
        <is>
          <t>Agarikon; Ajwain; Angelica Root; Artichoke; Ashoka</t>
        </is>
      </c>
      <c r="DM39" t="inlineStr">
        <is>
          <t>Pass 31 relationship intelligence: density, cluster, anchor class, nearest herbs</t>
        </is>
      </c>
      <c r="DN39" t="inlineStr">
        <is>
          <t>Artichoke; Blue Lotus; Burdock; Butterbur; Cinnamon</t>
        </is>
      </c>
      <c r="DO39" t="inlineStr">
        <is>
          <t>Artichoke (1 shared pathways) | Blue Lotus (1 shared pathways) | Burdock (1 shared pathways)</t>
        </is>
      </c>
      <c r="DP39" t="inlineStr">
        <is>
          <t>Generalist</t>
        </is>
      </c>
      <c r="DQ39" t="inlineStr">
        <is>
          <t>Pass 32 substitute engine + cluster cleanup</t>
        </is>
      </c>
      <c r="DR39" t="inlineStr">
        <is>
          <t>Blue Lotus</t>
        </is>
      </c>
      <c r="DS39" t="inlineStr">
        <is>
          <t>Burdock</t>
        </is>
      </c>
      <c r="DT39" t="inlineStr">
        <is>
          <t>same cluster; lower safety burden; similarity-backed</t>
        </is>
      </c>
      <c r="DU39" t="inlineStr">
        <is>
          <t>Not needed</t>
        </is>
      </c>
      <c r="DV39" t="inlineStr">
        <is>
          <t>Pass 33 fallback replacement engine</t>
        </is>
      </c>
      <c r="DW39" t="inlineStr">
        <is>
          <t>Butterbur</t>
        </is>
      </c>
      <c r="DX39" t="inlineStr">
        <is>
          <t>Blue Lotus; Burdock; Butterbur; Cinnamon; Agarikon; Ajwain; Angelica Root; Ashoka</t>
        </is>
      </c>
      <c r="DY39" t="inlineStr">
        <is>
          <t>Pass 35 expanded fallback pool with second-pass candidate exploration</t>
        </is>
      </c>
      <c r="EA39" t="inlineStr">
        <is>
          <t>General</t>
        </is>
      </c>
      <c r="EB39" t="inlineStr">
        <is>
          <t>unclassified</t>
        </is>
      </c>
      <c r="EC39" t="inlineStr">
        <is>
          <t>High</t>
        </is>
      </c>
      <c r="ED39" t="inlineStr">
        <is>
          <t>Pass 40 reinforced weak-category herb data</t>
        </is>
      </c>
      <c r="EG39" t="n">
        <v>3</v>
      </c>
      <c r="EH39" t="n">
        <v>3</v>
      </c>
      <c r="EI39" t="n">
        <v>0</v>
      </c>
      <c r="EJ39" t="n">
        <v>0</v>
      </c>
      <c r="EK39" t="n">
        <v>11</v>
      </c>
      <c r="EL39" t="n">
        <v>7</v>
      </c>
      <c r="EM39" t="inlineStr">
        <is>
          <t>genistein</t>
        </is>
      </c>
      <c r="EN39" t="inlineStr">
        <is>
          <t>Pass 48 rolled compound scores into herb-level scoring</t>
        </is>
      </c>
    </row>
    <row r="40">
      <c r="A40" s="68" t="inlineStr">
        <is>
          <t>Oatstraw</t>
        </is>
      </c>
      <c r="B40" s="68" t="inlineStr">
        <is>
          <t>oatstraw</t>
        </is>
      </c>
      <c r="C40" s="68" t="inlineStr">
        <is>
          <t>Avena sativa</t>
        </is>
      </c>
      <c r="D40" s="68" t="inlineStr">
        <is>
          <t>herb</t>
        </is>
      </c>
      <c r="E40" s="68" t="inlineStr">
        <is>
          <t>aerial parts</t>
        </is>
      </c>
      <c r="F40" s="68" t="inlineStr">
        <is>
          <t>green tops; straw</t>
        </is>
      </c>
      <c r="G40" s="68" t="inlineStr">
        <is>
          <t>oatstraw</t>
        </is>
      </c>
      <c r="H40" s="68" t="inlineStr">
        <is>
          <t>Europe and cultivated globally</t>
        </is>
      </c>
      <c r="I40" s="68" t="inlineStr">
        <is>
          <t>Oatstraw is positioned for nutritive and calming support.</t>
        </is>
      </c>
      <c r="J40" s="68" t="inlineStr">
        <is>
          <t>It is best framed as a gentle nutritive herb with limited high-signal clinical depth.</t>
        </is>
      </c>
      <c r="K40" s="68" t="inlineStr">
        <is>
          <t>avenanthramides; minerals</t>
        </is>
      </c>
      <c r="L40" s="68" t="inlineStr">
        <is>
          <t>avenanthramides</t>
        </is>
      </c>
      <c r="M40" s="68" t="inlineStr">
        <is>
          <t>Polyphenols and nutritive positioning drive most use-cases.</t>
        </is>
      </c>
      <c r="N40" s="68" t="inlineStr">
        <is>
          <t>nutritive support; calming support</t>
        </is>
      </c>
      <c r="O40" s="68" t="inlineStr">
        <is>
          <t>traditional use + limited human</t>
        </is>
      </c>
      <c r="P40" s="68" t="inlineStr">
        <is>
          <t>Generally well tolerated.</t>
        </is>
      </c>
      <c r="Q40" s="68" t="inlineStr">
        <is>
          <t>Use caution with gluten cross-contact concerns depending on sourcing.</t>
        </is>
      </c>
      <c r="R40" s="68" t="n"/>
      <c r="S40" s="68" t="n"/>
      <c r="T40" s="68" t="n"/>
      <c r="U40" s="68" t="n"/>
      <c r="V40" s="68" t="n"/>
      <c r="W40" s="68" t="inlineStr">
        <is>
          <t>High</t>
        </is>
      </c>
      <c r="X40" s="68" t="inlineStr">
        <is>
          <t>validated</t>
        </is>
      </c>
      <c r="Y40" s="68" t="n"/>
      <c r="Z40" s="68" t="inlineStr">
        <is>
          <t>present</t>
        </is>
      </c>
      <c r="AA40" s="68" t="inlineStr">
        <is>
          <t>Internal workbook + enrichment queue</t>
        </is>
      </c>
      <c r="AB40" s="68" t="n"/>
      <c r="AC40" s="68" t="n"/>
      <c r="AD40" s="68" t="n"/>
      <c r="AE40" s="68" t="n"/>
      <c r="AF40" s="68" t="n"/>
      <c r="AG40" s="68" t="n">
        <v>3</v>
      </c>
      <c r="AH40" s="68" t="n">
        <v>1</v>
      </c>
      <c r="AI40" s="68" t="n">
        <v>3</v>
      </c>
      <c r="AJ40" s="68" t="n">
        <v>7</v>
      </c>
      <c r="AK40" s="68" t="inlineStr">
        <is>
          <t>Medium</t>
        </is>
      </c>
      <c r="AL40" s="68" t="n"/>
      <c r="AM40" s="68" t="inlineStr">
        <is>
          <t>Linked primary/secondary</t>
        </is>
      </c>
      <c r="AN40" s="68" t="n">
        <v>0.9</v>
      </c>
      <c r="AO40" s="68" t="inlineStr">
        <is>
          <t>Near ready</t>
        </is>
      </c>
      <c r="AP40" s="68" t="n"/>
      <c r="AQ40" s="68" t="n"/>
      <c r="AR40" s="68" t="inlineStr">
        <is>
          <t>Editorial polish</t>
        </is>
      </c>
      <c r="AS40" s="68" t="inlineStr">
        <is>
          <t>Not started</t>
        </is>
      </c>
      <c r="AT40" s="68" t="n"/>
      <c r="AU40" s="68" t="n"/>
      <c r="AV40" s="68" t="n"/>
      <c r="AW40" s="68" t="n"/>
      <c r="AX40" s="68" t="n"/>
      <c r="AY40" s="68" t="n"/>
      <c r="AZ40" s="68" t="n"/>
      <c r="BA40" s="68" t="n"/>
      <c r="BB40" s="68" t="n"/>
      <c r="BC40" s="68" t="n"/>
      <c r="BD40" s="68" t="n"/>
      <c r="BE40" s="68" t="inlineStr">
        <is>
          <t>2026-04-10</t>
        </is>
      </c>
      <c r="BF40" s="68" t="inlineStr">
        <is>
          <t>Metadata normalized from internal workbook links</t>
        </is>
      </c>
      <c r="BG40" s="68" t="inlineStr">
        <is>
          <t>oatstraw|2026-04-10</t>
        </is>
      </c>
      <c r="BH40" s="68" t="inlineStr">
        <is>
          <t>2026-04-10:auto-normalized</t>
        </is>
      </c>
      <c r="BI40" t="inlineStr">
        <is>
          <t>oatstraw</t>
        </is>
      </c>
      <c r="BJ40" t="inlineStr">
        <is>
          <t>Oatstraw</t>
        </is>
      </c>
      <c r="BK40" t="n">
        <v>1</v>
      </c>
      <c r="BL40" t="n">
        <v>1</v>
      </c>
      <c r="BM40" t="n">
        <v>3</v>
      </c>
      <c r="BN40" t="n">
        <v>7</v>
      </c>
      <c r="BO40" t="n">
        <v>100</v>
      </c>
      <c r="BP40" t="n">
        <v>8</v>
      </c>
      <c r="BQ40" t="n">
        <v>10</v>
      </c>
      <c r="BR40" t="n">
        <v>5</v>
      </c>
      <c r="BS40" t="inlineStr">
        <is>
          <t>Tier 1</t>
        </is>
      </c>
      <c r="BT40" t="n">
        <v>5</v>
      </c>
      <c r="BU40" t="inlineStr">
        <is>
          <t>FALSE</t>
        </is>
      </c>
      <c r="BV40" t="inlineStr">
        <is>
          <t>oatstraw</t>
        </is>
      </c>
      <c r="BW40" t="inlineStr">
        <is>
          <t>TRUE</t>
        </is>
      </c>
      <c r="BX40" t="inlineStr">
        <is>
          <t>Pass 10 refreshed scoring from 1 mapped compounds | Pass 13 rescored from 1 mapped compounds</t>
        </is>
      </c>
      <c r="BY40" t="inlineStr">
        <is>
          <t>unclassified</t>
        </is>
      </c>
      <c r="CA40" t="n">
        <v>2</v>
      </c>
      <c r="CB40" t="n">
        <v>0</v>
      </c>
      <c r="CC40" t="n">
        <v>0</v>
      </c>
      <c r="CD40" t="inlineStr">
        <is>
          <t>avenanthramides; unclassified</t>
        </is>
      </c>
      <c r="CE40" t="inlineStr">
        <is>
          <t>Pass 13 rescored after herb-name normalization and real top-herb compound sweep</t>
        </is>
      </c>
      <c r="CF40" t="inlineStr">
        <is>
          <t>General</t>
        </is>
      </c>
      <c r="CH40" s="68" t="inlineStr">
        <is>
          <t>Start with low single-herb exposure and increase only if tolerated</t>
        </is>
      </c>
      <c r="CI40" s="68" t="inlineStr">
        <is>
          <t>Product-ideation framing only; not clinical dosing advice.</t>
        </is>
      </c>
      <c r="CJ40" s="68" t="str"/>
      <c r="CK40" s="68" t="str"/>
      <c r="CL40" s="68" t="inlineStr">
        <is>
          <t>Moderate</t>
        </is>
      </c>
      <c r="CM40" s="68" t="inlineStr">
        <is>
          <t>No</t>
        </is>
      </c>
      <c r="CN40" s="68" t="str"/>
      <c r="CO40" s="68" t="inlineStr">
        <is>
          <t>Pass 21 herb-level safety and dose framing</t>
        </is>
      </c>
      <c r="CP40" t="inlineStr">
        <is>
          <t>Baseline</t>
        </is>
      </c>
      <c r="CQ40" t="inlineStr">
        <is>
          <t>No</t>
        </is>
      </c>
      <c r="CS40" t="inlineStr">
        <is>
          <t>Pass 22 refined safety rule severity and reduced broad keyword over-flagging</t>
        </is>
      </c>
      <c r="CT40" t="inlineStr">
        <is>
          <t>General</t>
        </is>
      </c>
      <c r="CU40" t="inlineStr">
        <is>
          <t>calming support; nutritive support</t>
        </is>
      </c>
      <c r="CV40" t="inlineStr">
        <is>
          <t>Human</t>
        </is>
      </c>
      <c r="CW40" t="inlineStr">
        <is>
          <t>Pass 26 normalization: categories, mechanisms, evidence tiers</t>
        </is>
      </c>
      <c r="CX40" t="inlineStr">
        <is>
          <t>Limited human</t>
        </is>
      </c>
      <c r="CY40" t="inlineStr">
        <is>
          <t>Generally well tolerated.</t>
        </is>
      </c>
      <c r="CZ40" t="inlineStr">
        <is>
          <t>Use caution with gluten cross-contact concerns depending on sourcing</t>
        </is>
      </c>
      <c r="DB40" t="inlineStr">
        <is>
          <t>Pass 28 normalized evidence and safety-related free text</t>
        </is>
      </c>
      <c r="DD40" t="inlineStr">
        <is>
          <t>No standardized dose established; use conservative, product-dependent ranges.</t>
        </is>
      </c>
      <c r="DE40" t="inlineStr">
        <is>
          <t>Common forms include extracts, powders, or teas depending on herb part.</t>
        </is>
      </c>
      <c r="DF40" t="inlineStr">
        <is>
          <t>Quality varies by extraction method, standardization, and contamination risk.</t>
        </is>
      </c>
      <c r="DG40" t="inlineStr">
        <is>
          <t>Moderate to high</t>
        </is>
      </c>
      <c r="DH40" t="inlineStr">
        <is>
          <t>Pass 29 completeness repair</t>
        </is>
      </c>
      <c r="DI40" t="n">
        <v>9</v>
      </c>
      <c r="DJ40" t="inlineStr">
        <is>
          <t>General</t>
        </is>
      </c>
      <c r="DK40" t="inlineStr">
        <is>
          <t>avenanthramides</t>
        </is>
      </c>
      <c r="DL40" t="inlineStr">
        <is>
          <t>Agarikon; Ajwain; Angelica Root; Artichoke; Ashoka</t>
        </is>
      </c>
      <c r="DM40" t="inlineStr">
        <is>
          <t>Pass 31 relationship intelligence: density, cluster, anchor class, nearest herbs</t>
        </is>
      </c>
      <c r="DN40" t="inlineStr">
        <is>
          <t>Artichoke; Blue Lotus; Burdock; Butterbur; Cinnamon</t>
        </is>
      </c>
      <c r="DO40" t="inlineStr">
        <is>
          <t>Artichoke (1 shared pathways) | Blue Lotus (1 shared pathways) | Burdock (1 shared pathways)</t>
        </is>
      </c>
      <c r="DP40" t="inlineStr">
        <is>
          <t>Generalist</t>
        </is>
      </c>
      <c r="DQ40" t="inlineStr">
        <is>
          <t>Pass 32 substitute engine + cluster cleanup</t>
        </is>
      </c>
      <c r="DR40" t="inlineStr">
        <is>
          <t>Blue Lotus</t>
        </is>
      </c>
      <c r="DS40" t="inlineStr">
        <is>
          <t>Burdock</t>
        </is>
      </c>
      <c r="DT40" t="inlineStr">
        <is>
          <t>same cluster; lower safety burden; similarity-backed</t>
        </is>
      </c>
      <c r="DU40" t="inlineStr">
        <is>
          <t>Not needed</t>
        </is>
      </c>
      <c r="DV40" t="inlineStr">
        <is>
          <t>Pass 33 fallback replacement engine</t>
        </is>
      </c>
      <c r="DW40" t="inlineStr">
        <is>
          <t>Butterbur</t>
        </is>
      </c>
      <c r="DX40" t="inlineStr">
        <is>
          <t>Blue Lotus; Burdock; Butterbur; Cinnamon; Agarikon; Ajwain; Angelica Root; Ashoka</t>
        </is>
      </c>
      <c r="DY40" t="inlineStr">
        <is>
          <t>Pass 35 expanded fallback pool with second-pass candidate exploration</t>
        </is>
      </c>
      <c r="EA40" t="inlineStr">
        <is>
          <t>General</t>
        </is>
      </c>
      <c r="EB40" t="inlineStr">
        <is>
          <t>unclassified</t>
        </is>
      </c>
      <c r="EC40" t="inlineStr">
        <is>
          <t>High</t>
        </is>
      </c>
      <c r="ED40" t="inlineStr">
        <is>
          <t>Pass 40 reinforced weak-category herb data</t>
        </is>
      </c>
      <c r="EG40" t="n">
        <v>3</v>
      </c>
      <c r="EH40" t="n">
        <v>3</v>
      </c>
      <c r="EI40" t="n">
        <v>0</v>
      </c>
      <c r="EJ40" t="n">
        <v>0</v>
      </c>
      <c r="EK40" t="n">
        <v>11</v>
      </c>
      <c r="EL40" t="n">
        <v>7</v>
      </c>
      <c r="EM40" t="inlineStr">
        <is>
          <t>avenanthramides</t>
        </is>
      </c>
      <c r="EN40" t="inlineStr">
        <is>
          <t>Pass 48 rolled compound scores into herb-level scoring</t>
        </is>
      </c>
    </row>
    <row r="41">
      <c r="A41" s="68" t="inlineStr">
        <is>
          <t>Calendula</t>
        </is>
      </c>
      <c r="B41" s="68" t="inlineStr">
        <is>
          <t>calendula</t>
        </is>
      </c>
      <c r="C41" s="68" t="inlineStr">
        <is>
          <t>Calendula officinalis</t>
        </is>
      </c>
      <c r="D41" s="68" t="inlineStr">
        <is>
          <t>herb</t>
        </is>
      </c>
      <c r="E41" s="68" t="inlineStr">
        <is>
          <t>flower</t>
        </is>
      </c>
      <c r="F41" s="68" t="inlineStr">
        <is>
          <t>flower</t>
        </is>
      </c>
      <c r="G41" s="68" t="inlineStr">
        <is>
          <t>calendula</t>
        </is>
      </c>
      <c r="H41" s="68" t="inlineStr">
        <is>
          <t>Mediterranean; cultivated broadly</t>
        </is>
      </c>
      <c r="I41" s="68" t="inlineStr">
        <is>
          <t>Calendula is a flower monograph positioned for topical soothing and traditional mucosal support.</t>
        </is>
      </c>
      <c r="J41" s="68" t="inlineStr">
        <is>
          <t>It is best framed around topical and tissue-soothing use rather than overextended systemic claims.</t>
        </is>
      </c>
      <c r="K41" s="68" t="inlineStr">
        <is>
          <t>faradiol esters; flavonoids</t>
        </is>
      </c>
      <c r="L41" s="68" t="inlineStr">
        <is>
          <t>faradiol</t>
        </is>
      </c>
      <c r="M41" s="68" t="inlineStr">
        <is>
          <t>Triterpenes and flavonoids are associated with tissue-soothing and anti-inflammatory positioning.</t>
        </is>
      </c>
      <c r="N41" s="68" t="inlineStr">
        <is>
          <t>topical soothing support; anti-inflammatory</t>
        </is>
      </c>
      <c r="O41" s="68" t="inlineStr">
        <is>
          <t>traditional use + limited human</t>
        </is>
      </c>
      <c r="P41" s="68" t="inlineStr">
        <is>
          <t>Generally well tolerated.</t>
        </is>
      </c>
      <c r="Q41" s="68" t="inlineStr">
        <is>
          <t>Use caution with daisy-family sensitivities.</t>
        </is>
      </c>
      <c r="R41" s="68" t="n"/>
      <c r="S41" s="68" t="n"/>
      <c r="T41" s="68" t="n"/>
      <c r="U41" s="68" t="n"/>
      <c r="V41" s="68" t="n"/>
      <c r="W41" s="68" t="inlineStr">
        <is>
          <t>High</t>
        </is>
      </c>
      <c r="X41" s="68" t="inlineStr">
        <is>
          <t>validated</t>
        </is>
      </c>
      <c r="Y41" s="68" t="n"/>
      <c r="Z41" s="68" t="inlineStr">
        <is>
          <t>present</t>
        </is>
      </c>
      <c r="AA41" s="68" t="inlineStr">
        <is>
          <t>Internal workbook + enrichment queue</t>
        </is>
      </c>
      <c r="AB41" s="68" t="n"/>
      <c r="AC41" s="68" t="n"/>
      <c r="AD41" s="68" t="n"/>
      <c r="AE41" s="68" t="n"/>
      <c r="AF41" s="68" t="n"/>
      <c r="AG41" s="68" t="n">
        <v>3</v>
      </c>
      <c r="AH41" s="68" t="n">
        <v>1</v>
      </c>
      <c r="AI41" s="68" t="n">
        <v>3</v>
      </c>
      <c r="AJ41" s="68" t="n">
        <v>7</v>
      </c>
      <c r="AK41" s="68" t="inlineStr">
        <is>
          <t>Medium</t>
        </is>
      </c>
      <c r="AL41" s="68" t="n"/>
      <c r="AM41" s="68" t="inlineStr">
        <is>
          <t>Linked primary/secondary</t>
        </is>
      </c>
      <c r="AN41" s="68" t="n">
        <v>0.9</v>
      </c>
      <c r="AO41" s="68" t="inlineStr">
        <is>
          <t>Near ready</t>
        </is>
      </c>
      <c r="AP41" s="68" t="n"/>
      <c r="AQ41" s="68" t="n"/>
      <c r="AR41" s="68" t="inlineStr">
        <is>
          <t>Editorial polish</t>
        </is>
      </c>
      <c r="AS41" s="68" t="inlineStr">
        <is>
          <t>Not started</t>
        </is>
      </c>
      <c r="AT41" s="68" t="n"/>
      <c r="AU41" s="68" t="n"/>
      <c r="AV41" s="68" t="n"/>
      <c r="AW41" s="68" t="n"/>
      <c r="AX41" s="68" t="n"/>
      <c r="AY41" s="68" t="n"/>
      <c r="AZ41" s="68" t="n"/>
      <c r="BA41" s="68" t="n"/>
      <c r="BB41" s="68" t="n"/>
      <c r="BC41" s="68" t="n"/>
      <c r="BD41" s="68" t="n"/>
      <c r="BE41" s="68" t="inlineStr">
        <is>
          <t>2026-04-10</t>
        </is>
      </c>
      <c r="BF41" s="68" t="inlineStr">
        <is>
          <t>Metadata normalized from internal workbook links</t>
        </is>
      </c>
      <c r="BG41" s="68" t="inlineStr">
        <is>
          <t>calendula|2026-04-10</t>
        </is>
      </c>
      <c r="BH41" s="68" t="inlineStr">
        <is>
          <t>2026-04-10:auto-normalized</t>
        </is>
      </c>
      <c r="BI41" t="inlineStr">
        <is>
          <t>calendula</t>
        </is>
      </c>
      <c r="BJ41" t="inlineStr">
        <is>
          <t>Calendula</t>
        </is>
      </c>
      <c r="BK41" t="n">
        <v>1</v>
      </c>
      <c r="BL41" t="n">
        <v>1</v>
      </c>
      <c r="BM41" t="n">
        <v>3</v>
      </c>
      <c r="BN41" t="n">
        <v>7</v>
      </c>
      <c r="BO41" t="n">
        <v>100</v>
      </c>
      <c r="BP41" t="n">
        <v>8</v>
      </c>
      <c r="BQ41" t="n">
        <v>10</v>
      </c>
      <c r="BR41" t="n">
        <v>5</v>
      </c>
      <c r="BS41" t="inlineStr">
        <is>
          <t>Tier 1</t>
        </is>
      </c>
      <c r="BT41" t="n">
        <v>5</v>
      </c>
      <c r="BU41" t="inlineStr">
        <is>
          <t>FALSE</t>
        </is>
      </c>
      <c r="BV41" t="inlineStr">
        <is>
          <t>calendula</t>
        </is>
      </c>
      <c r="BW41" t="inlineStr">
        <is>
          <t>TRUE</t>
        </is>
      </c>
      <c r="BX41" t="inlineStr">
        <is>
          <t>Pass 10 refreshed scoring from 1 mapped compounds | Pass 13 rescored from 1 mapped compounds</t>
        </is>
      </c>
      <c r="BY41" t="inlineStr">
        <is>
          <t>unclassified</t>
        </is>
      </c>
      <c r="CA41" t="n">
        <v>2</v>
      </c>
      <c r="CB41" t="n">
        <v>0</v>
      </c>
      <c r="CC41" t="n">
        <v>0</v>
      </c>
      <c r="CD41" t="inlineStr">
        <is>
          <t>faradiol; unclassified</t>
        </is>
      </c>
      <c r="CE41" t="inlineStr">
        <is>
          <t>Pass 13 rescored after herb-name normalization and real top-herb compound sweep</t>
        </is>
      </c>
      <c r="CF41" t="inlineStr">
        <is>
          <t>General</t>
        </is>
      </c>
      <c r="CH41" s="68" t="inlineStr">
        <is>
          <t>Start with low single-herb exposure and increase only if tolerated</t>
        </is>
      </c>
      <c r="CI41" s="68" t="inlineStr">
        <is>
          <t>Product-ideation framing only; not clinical dosing advice.</t>
        </is>
      </c>
      <c r="CJ41" s="68" t="str"/>
      <c r="CK41" s="68" t="str"/>
      <c r="CL41" s="68" t="inlineStr">
        <is>
          <t>Moderate</t>
        </is>
      </c>
      <c r="CM41" s="68" t="inlineStr">
        <is>
          <t>No</t>
        </is>
      </c>
      <c r="CN41" s="68" t="str"/>
      <c r="CO41" s="68" t="inlineStr">
        <is>
          <t>Pass 21 herb-level safety and dose framing</t>
        </is>
      </c>
      <c r="CP41" t="inlineStr">
        <is>
          <t>Baseline</t>
        </is>
      </c>
      <c r="CQ41" t="inlineStr">
        <is>
          <t>No</t>
        </is>
      </c>
      <c r="CS41" t="inlineStr">
        <is>
          <t>Pass 22 refined safety rule severity and reduced broad keyword over-flagging</t>
        </is>
      </c>
      <c r="CT41" t="inlineStr">
        <is>
          <t>General</t>
        </is>
      </c>
      <c r="CU41" t="inlineStr">
        <is>
          <t>anti-inflammatory; topical soothing support</t>
        </is>
      </c>
      <c r="CV41" t="inlineStr">
        <is>
          <t>Human</t>
        </is>
      </c>
      <c r="CW41" t="inlineStr">
        <is>
          <t>Pass 26 normalization: categories, mechanisms, evidence tiers</t>
        </is>
      </c>
      <c r="CX41" t="inlineStr">
        <is>
          <t>Limited human</t>
        </is>
      </c>
      <c r="CY41" t="inlineStr">
        <is>
          <t>Generally well tolerated.</t>
        </is>
      </c>
      <c r="CZ41" t="inlineStr">
        <is>
          <t>Use caution with daisy-family sensitivities</t>
        </is>
      </c>
      <c r="DB41" t="inlineStr">
        <is>
          <t>Pass 28 normalized evidence and safety-related free text</t>
        </is>
      </c>
      <c r="DD41" t="inlineStr">
        <is>
          <t>No standardized dose established; use conservative, product-dependent ranges.</t>
        </is>
      </c>
      <c r="DE41" t="inlineStr">
        <is>
          <t>Common forms include extracts, powders, or teas depending on herb part.</t>
        </is>
      </c>
      <c r="DF41" t="inlineStr">
        <is>
          <t>Quality varies by extraction method, standardization, and contamination risk.</t>
        </is>
      </c>
      <c r="DG41" t="inlineStr">
        <is>
          <t>Moderate to high</t>
        </is>
      </c>
      <c r="DH41" t="inlineStr">
        <is>
          <t>Pass 29 completeness repair</t>
        </is>
      </c>
      <c r="DI41" t="n">
        <v>9</v>
      </c>
      <c r="DJ41" t="inlineStr">
        <is>
          <t>General</t>
        </is>
      </c>
      <c r="DK41" t="inlineStr">
        <is>
          <t>faradiol</t>
        </is>
      </c>
      <c r="DL41" t="inlineStr">
        <is>
          <t>Agarikon; Ajwain; Angelica Root; Artichoke; Ashoka</t>
        </is>
      </c>
      <c r="DM41" t="inlineStr">
        <is>
          <t>Pass 31 relationship intelligence: density, cluster, anchor class, nearest herbs</t>
        </is>
      </c>
      <c r="DN41" t="inlineStr">
        <is>
          <t>Agarikon; Ajwain; Angelica Root; Artichoke; Ashoka</t>
        </is>
      </c>
      <c r="DO41" t="inlineStr">
        <is>
          <t>Agarikon (1 shared pathways) | Ajwain (1 shared pathways) | Angelica Root (1 shared pathways)</t>
        </is>
      </c>
      <c r="DP41" t="inlineStr">
        <is>
          <t>Generalist</t>
        </is>
      </c>
      <c r="DQ41" t="inlineStr">
        <is>
          <t>Pass 32 substitute engine + cluster cleanup</t>
        </is>
      </c>
      <c r="DR41" t="inlineStr">
        <is>
          <t>Agarikon</t>
        </is>
      </c>
      <c r="DS41" t="inlineStr">
        <is>
          <t>Ajwain</t>
        </is>
      </c>
      <c r="DT41" t="inlineStr">
        <is>
          <t>same cluster; lower safety burden; similarity-backed</t>
        </is>
      </c>
      <c r="DU41" t="inlineStr">
        <is>
          <t>Not needed</t>
        </is>
      </c>
      <c r="DV41" t="inlineStr">
        <is>
          <t>Pass 33 fallback replacement engine</t>
        </is>
      </c>
      <c r="DW41" t="inlineStr">
        <is>
          <t>Angelica Root</t>
        </is>
      </c>
      <c r="DX41" t="inlineStr">
        <is>
          <t>Agarikon; Ajwain; Angelica Root; Ashoka; Blue Lotus; Artichoke; Rosemary; Sage</t>
        </is>
      </c>
      <c r="DY41" t="inlineStr">
        <is>
          <t>Pass 35 expanded fallback pool with second-pass candidate exploration</t>
        </is>
      </c>
      <c r="EA41" t="inlineStr">
        <is>
          <t>General</t>
        </is>
      </c>
      <c r="EB41" t="inlineStr">
        <is>
          <t>unclassified</t>
        </is>
      </c>
      <c r="EC41" t="inlineStr">
        <is>
          <t>High</t>
        </is>
      </c>
      <c r="ED41" t="inlineStr">
        <is>
          <t>Pass 40 reinforced weak-category herb data</t>
        </is>
      </c>
      <c r="EG41" t="n">
        <v>3</v>
      </c>
      <c r="EH41" t="n">
        <v>3</v>
      </c>
      <c r="EI41" t="n">
        <v>0</v>
      </c>
      <c r="EJ41" t="n">
        <v>0</v>
      </c>
      <c r="EK41" t="n">
        <v>11</v>
      </c>
      <c r="EL41" t="n">
        <v>7</v>
      </c>
      <c r="EM41" t="inlineStr">
        <is>
          <t>faradiol</t>
        </is>
      </c>
      <c r="EN41" t="inlineStr">
        <is>
          <t>Pass 48 rolled compound scores into herb-level scoring</t>
        </is>
      </c>
    </row>
    <row r="42">
      <c r="A42" s="68" t="inlineStr">
        <is>
          <t>Pau d'Arco</t>
        </is>
      </c>
      <c r="B42" s="68" t="inlineStr">
        <is>
          <t>pau-darco</t>
        </is>
      </c>
      <c r="C42" s="68" t="inlineStr">
        <is>
          <t>Handroanthus impetiginosus</t>
        </is>
      </c>
      <c r="D42" s="68" t="inlineStr">
        <is>
          <t>herb</t>
        </is>
      </c>
      <c r="E42" s="68" t="inlineStr">
        <is>
          <t>inner bark</t>
        </is>
      </c>
      <c r="F42" s="68" t="inlineStr">
        <is>
          <t>inner bark</t>
        </is>
      </c>
      <c r="G42" s="68" t="inlineStr">
        <is>
          <t>pau d'arco</t>
        </is>
      </c>
      <c r="H42" s="68" t="inlineStr">
        <is>
          <t>South America</t>
        </is>
      </c>
      <c r="I42" s="68" t="inlineStr">
        <is>
          <t>Pau d'arco is positioned for traditional immune and antimicrobial support.</t>
        </is>
      </c>
      <c r="J42" s="68" t="inlineStr">
        <is>
          <t>It should be framed conservatively because popular claims often exceed the evidence and preparation differences matter.</t>
        </is>
      </c>
      <c r="K42" s="68" t="inlineStr">
        <is>
          <t>lapachol; naphthoquinones</t>
        </is>
      </c>
      <c r="L42" s="68" t="inlineStr">
        <is>
          <t>lapachol</t>
        </is>
      </c>
      <c r="M42" s="68" t="inlineStr">
        <is>
          <t>Naphthoquinones are associated with antimicrobial and redox-related positioning in preclinical contexts.</t>
        </is>
      </c>
      <c r="N42" s="68" t="inlineStr">
        <is>
          <t>traditional immune support; antimicrobial support</t>
        </is>
      </c>
      <c r="O42" s="68" t="inlineStr">
        <is>
          <t>traditional use + preclinical</t>
        </is>
      </c>
      <c r="P42" s="68" t="inlineStr">
        <is>
          <t>Use conservatively; concentrated use may be irritating.</t>
        </is>
      </c>
      <c r="Q42" s="68" t="inlineStr">
        <is>
          <t>Avoid exaggerated disease-treatment claims.</t>
        </is>
      </c>
      <c r="R42" s="68" t="n"/>
      <c r="S42" s="68" t="n"/>
      <c r="T42" s="68" t="n"/>
      <c r="U42" s="68" t="n"/>
      <c r="V42" s="68" t="n"/>
      <c r="W42" s="68" t="inlineStr">
        <is>
          <t>High</t>
        </is>
      </c>
      <c r="X42" s="68" t="inlineStr">
        <is>
          <t>validated</t>
        </is>
      </c>
      <c r="Y42" s="68" t="n"/>
      <c r="Z42" s="68" t="inlineStr">
        <is>
          <t>present</t>
        </is>
      </c>
      <c r="AA42" s="68" t="inlineStr">
        <is>
          <t>Internal workbook + enrichment queue</t>
        </is>
      </c>
      <c r="AB42" s="68" t="n"/>
      <c r="AC42" s="68" t="n"/>
      <c r="AD42" s="68" t="n"/>
      <c r="AE42" s="68" t="n"/>
      <c r="AF42" s="68" t="n"/>
      <c r="AG42" s="68" t="n">
        <v>3</v>
      </c>
      <c r="AH42" s="68" t="n">
        <v>1</v>
      </c>
      <c r="AI42" s="68" t="n">
        <v>3</v>
      </c>
      <c r="AJ42" s="68" t="n">
        <v>7</v>
      </c>
      <c r="AK42" s="68" t="inlineStr">
        <is>
          <t>Medium</t>
        </is>
      </c>
      <c r="AL42" s="68" t="n"/>
      <c r="AM42" s="68" t="inlineStr">
        <is>
          <t>Linked primary/secondary</t>
        </is>
      </c>
      <c r="AN42" s="68" t="n">
        <v>0.9</v>
      </c>
      <c r="AO42" s="68" t="inlineStr">
        <is>
          <t>Near ready</t>
        </is>
      </c>
      <c r="AP42" s="68" t="n"/>
      <c r="AQ42" s="68" t="n"/>
      <c r="AR42" s="68" t="inlineStr">
        <is>
          <t>Editorial polish</t>
        </is>
      </c>
      <c r="AS42" s="68" t="inlineStr">
        <is>
          <t>Not started</t>
        </is>
      </c>
      <c r="AT42" s="68" t="n"/>
      <c r="AU42" s="68" t="n"/>
      <c r="AV42" s="68" t="n"/>
      <c r="AW42" s="68" t="n"/>
      <c r="AX42" s="68" t="n"/>
      <c r="AY42" s="68" t="n"/>
      <c r="AZ42" s="68" t="n"/>
      <c r="BA42" s="68" t="n"/>
      <c r="BB42" s="68" t="n"/>
      <c r="BC42" s="68" t="n"/>
      <c r="BD42" s="68" t="n"/>
      <c r="BE42" s="68" t="inlineStr">
        <is>
          <t>2026-04-10</t>
        </is>
      </c>
      <c r="BF42" s="68" t="inlineStr">
        <is>
          <t>Metadata normalized from internal workbook links</t>
        </is>
      </c>
      <c r="BG42" s="68" t="inlineStr">
        <is>
          <t>pau-darco|2026-04-10</t>
        </is>
      </c>
      <c r="BH42" s="68" t="inlineStr">
        <is>
          <t>2026-04-10:auto-normalized</t>
        </is>
      </c>
      <c r="BI42" t="inlineStr">
        <is>
          <t>pau-darco</t>
        </is>
      </c>
      <c r="BJ42" t="inlineStr">
        <is>
          <t>Pau d'Arco</t>
        </is>
      </c>
      <c r="BK42" t="n">
        <v>1</v>
      </c>
      <c r="BL42" t="n">
        <v>1</v>
      </c>
      <c r="BM42" t="n">
        <v>3</v>
      </c>
      <c r="BN42" t="n">
        <v>7</v>
      </c>
      <c r="BO42" t="n">
        <v>100</v>
      </c>
      <c r="BP42" t="n">
        <v>8</v>
      </c>
      <c r="BQ42" t="n">
        <v>10</v>
      </c>
      <c r="BR42" t="n">
        <v>5</v>
      </c>
      <c r="BS42" t="inlineStr">
        <is>
          <t>Tier 1</t>
        </is>
      </c>
      <c r="BT42" t="n">
        <v>5</v>
      </c>
      <c r="BU42" t="inlineStr">
        <is>
          <t>FALSE</t>
        </is>
      </c>
      <c r="BV42" t="inlineStr">
        <is>
          <t>pau-darco</t>
        </is>
      </c>
      <c r="BW42" t="inlineStr">
        <is>
          <t>TRUE</t>
        </is>
      </c>
      <c r="BX42" t="inlineStr">
        <is>
          <t>Pass 10 refreshed scoring from 1 mapped compounds | Pass 13 rescored from 1 mapped compounds</t>
        </is>
      </c>
      <c r="BY42" t="inlineStr">
        <is>
          <t>unclassified</t>
        </is>
      </c>
      <c r="CA42" t="n">
        <v>2</v>
      </c>
      <c r="CB42" t="n">
        <v>0</v>
      </c>
      <c r="CC42" t="n">
        <v>0</v>
      </c>
      <c r="CD42" t="inlineStr">
        <is>
          <t>lapachol; unclassified</t>
        </is>
      </c>
      <c r="CE42" t="inlineStr">
        <is>
          <t>Pass 13 rescored after herb-name normalization and real top-herb compound sweep</t>
        </is>
      </c>
      <c r="CF42" t="inlineStr">
        <is>
          <t>General</t>
        </is>
      </c>
      <c r="CH42" s="68" t="inlineStr">
        <is>
          <t>Start with low single-herb exposure and increase only if tolerated</t>
        </is>
      </c>
      <c r="CI42" s="68" t="inlineStr">
        <is>
          <t>Product-ideation framing only; not clinical dosing advice.</t>
        </is>
      </c>
      <c r="CJ42" s="68" t="inlineStr">
        <is>
          <t>immune-caution</t>
        </is>
      </c>
      <c r="CK42" s="68" t="str"/>
      <c r="CL42" s="68" t="inlineStr">
        <is>
          <t>Baseline</t>
        </is>
      </c>
      <c r="CM42" s="68" t="inlineStr">
        <is>
          <t>No</t>
        </is>
      </c>
      <c r="CN42" s="68" t="str"/>
      <c r="CO42" s="68" t="inlineStr">
        <is>
          <t>Pass 21 herb-level safety and dose framing</t>
        </is>
      </c>
      <c r="CP42" t="inlineStr">
        <is>
          <t>Baseline</t>
        </is>
      </c>
      <c r="CQ42" t="inlineStr">
        <is>
          <t>No</t>
        </is>
      </c>
      <c r="CS42" t="inlineStr">
        <is>
          <t>Pass 22 refined safety rule severity and reduced broad keyword over-flagging</t>
        </is>
      </c>
      <c r="CT42" t="inlineStr">
        <is>
          <t>General</t>
        </is>
      </c>
      <c r="CU42" t="inlineStr">
        <is>
          <t>antimicrobial support; traditional immune support</t>
        </is>
      </c>
      <c r="CV42" t="inlineStr">
        <is>
          <t>Preclinical</t>
        </is>
      </c>
      <c r="CW42" t="inlineStr">
        <is>
          <t>Pass 26 normalization: categories, mechanisms, evidence tiers</t>
        </is>
      </c>
      <c r="CX42" t="inlineStr">
        <is>
          <t>Preclinical</t>
        </is>
      </c>
      <c r="CY42" t="inlineStr">
        <is>
          <t>Use conservatively; concentrated use may be irritating.</t>
        </is>
      </c>
      <c r="CZ42" t="inlineStr">
        <is>
          <t>Avoid exaggerated disease-treatment claims</t>
        </is>
      </c>
      <c r="DB42" t="inlineStr">
        <is>
          <t>Pass 28 normalized evidence and safety-related free text</t>
        </is>
      </c>
      <c r="DD42" t="inlineStr">
        <is>
          <t>No standardized dose established; use conservative, product-dependent ranges.</t>
        </is>
      </c>
      <c r="DE42" t="inlineStr">
        <is>
          <t>Common forms include extracts, powders, or teas depending on herb part.</t>
        </is>
      </c>
      <c r="DF42" t="inlineStr">
        <is>
          <t>Quality varies by extraction method, standardization, and contamination risk.</t>
        </is>
      </c>
      <c r="DG42" t="inlineStr">
        <is>
          <t>Low to moderate</t>
        </is>
      </c>
      <c r="DH42" t="inlineStr">
        <is>
          <t>Pass 29 completeness repair</t>
        </is>
      </c>
      <c r="DI42" t="n">
        <v>9</v>
      </c>
      <c r="DJ42" t="inlineStr">
        <is>
          <t>General</t>
        </is>
      </c>
      <c r="DK42" t="inlineStr">
        <is>
          <t>lapachol</t>
        </is>
      </c>
      <c r="DL42" t="inlineStr">
        <is>
          <t>Agarikon; Ajwain; Angelica Root; Artichoke; Ashoka</t>
        </is>
      </c>
      <c r="DM42" t="inlineStr">
        <is>
          <t>Pass 31 relationship intelligence: density, cluster, anchor class, nearest herbs</t>
        </is>
      </c>
      <c r="DN42" t="inlineStr">
        <is>
          <t>Artichoke; Blue Lotus; Burdock; Butterbur; Calendula</t>
        </is>
      </c>
      <c r="DO42" t="inlineStr">
        <is>
          <t>Artichoke (1 shared pathways) | Blue Lotus (1 shared pathways) | Burdock (1 shared pathways)</t>
        </is>
      </c>
      <c r="DP42" t="inlineStr">
        <is>
          <t>Generalist</t>
        </is>
      </c>
      <c r="DQ42" t="inlineStr">
        <is>
          <t>Pass 32 substitute engine + cluster cleanup</t>
        </is>
      </c>
      <c r="DR42" t="inlineStr">
        <is>
          <t>Blue Lotus</t>
        </is>
      </c>
      <c r="DS42" t="inlineStr">
        <is>
          <t>Burdock</t>
        </is>
      </c>
      <c r="DT42" t="inlineStr">
        <is>
          <t>same cluster; lower safety burden; similarity-backed</t>
        </is>
      </c>
      <c r="DU42" t="inlineStr">
        <is>
          <t>Not needed</t>
        </is>
      </c>
      <c r="DV42" t="inlineStr">
        <is>
          <t>Pass 33 fallback replacement engine</t>
        </is>
      </c>
      <c r="DW42" t="inlineStr">
        <is>
          <t>Butterbur</t>
        </is>
      </c>
      <c r="DX42" t="inlineStr">
        <is>
          <t>Blue Lotus; Burdock; Butterbur; Calendula; Agarikon; Ajwain; Angelica Root; Ashoka</t>
        </is>
      </c>
      <c r="DY42" t="inlineStr">
        <is>
          <t>Pass 35 expanded fallback pool with second-pass candidate exploration</t>
        </is>
      </c>
      <c r="EA42" t="inlineStr">
        <is>
          <t>General</t>
        </is>
      </c>
      <c r="EB42" t="inlineStr">
        <is>
          <t>unclassified</t>
        </is>
      </c>
      <c r="EC42" t="inlineStr">
        <is>
          <t>High</t>
        </is>
      </c>
      <c r="ED42" t="inlineStr">
        <is>
          <t>Pass 40 reinforced weak-category herb data</t>
        </is>
      </c>
      <c r="EG42" t="n">
        <v>3</v>
      </c>
      <c r="EH42" t="n">
        <v>3</v>
      </c>
      <c r="EI42" t="n">
        <v>0</v>
      </c>
      <c r="EJ42" t="n">
        <v>0</v>
      </c>
      <c r="EK42" t="n">
        <v>11</v>
      </c>
      <c r="EL42" t="n">
        <v>7</v>
      </c>
      <c r="EM42" t="inlineStr">
        <is>
          <t>lapachol</t>
        </is>
      </c>
      <c r="EN42" t="inlineStr">
        <is>
          <t>Pass 48 rolled compound scores into herb-level scoring</t>
        </is>
      </c>
    </row>
    <row r="43">
      <c r="A43" s="68" t="inlineStr">
        <is>
          <t>Gymnema</t>
        </is>
      </c>
      <c r="B43" s="68" t="inlineStr">
        <is>
          <t>gymnema</t>
        </is>
      </c>
      <c r="C43" s="68" t="inlineStr">
        <is>
          <t>Gymnema sylvestre</t>
        </is>
      </c>
      <c r="D43" s="68" t="inlineStr">
        <is>
          <t>herb</t>
        </is>
      </c>
      <c r="E43" s="68" t="inlineStr">
        <is>
          <t>leaf</t>
        </is>
      </c>
      <c r="F43" s="68" t="inlineStr">
        <is>
          <t>leaf</t>
        </is>
      </c>
      <c r="G43" s="68" t="inlineStr">
        <is>
          <t>gymnema</t>
        </is>
      </c>
      <c r="H43" s="68" t="inlineStr">
        <is>
          <t>India and tropical Asia</t>
        </is>
      </c>
      <c r="I43" s="68" t="inlineStr">
        <is>
          <t>Gymnema is positioned for glycemic and sweet-perception support.</t>
        </is>
      </c>
      <c r="J43" s="68" t="inlineStr">
        <is>
          <t>It is best framed as a metabolic-support botanical with more specific use-cases than broad wellness claims.</t>
        </is>
      </c>
      <c r="K43" s="68" t="inlineStr">
        <is>
          <t>gymnemic acids</t>
        </is>
      </c>
      <c r="L43" s="68" t="inlineStr">
        <is>
          <t>gymnemic acids</t>
        </is>
      </c>
      <c r="M43" s="68" t="inlineStr">
        <is>
          <t>Triterpene-related constituents are associated with glucose and sweet-taste positioning.</t>
        </is>
      </c>
      <c r="N43" s="68" t="inlineStr">
        <is>
          <t>glycemic support</t>
        </is>
      </c>
      <c r="O43" s="68" t="inlineStr">
        <is>
          <t>mixed human + preclinical</t>
        </is>
      </c>
      <c r="P43" s="68" t="inlineStr">
        <is>
          <t>Generally well tolerated.</t>
        </is>
      </c>
      <c r="Q43" s="68" t="inlineStr">
        <is>
          <t>Use caution with glucose-lowering strategies.</t>
        </is>
      </c>
      <c r="R43" s="68" t="n"/>
      <c r="S43" s="68" t="n"/>
      <c r="T43" s="68" t="n"/>
      <c r="U43" s="68" t="n"/>
      <c r="V43" s="68" t="n"/>
      <c r="W43" s="68" t="inlineStr">
        <is>
          <t>High</t>
        </is>
      </c>
      <c r="X43" s="68" t="inlineStr">
        <is>
          <t>partial</t>
        </is>
      </c>
      <c r="Y43" s="68" t="n"/>
      <c r="Z43" s="68" t="inlineStr">
        <is>
          <t>present</t>
        </is>
      </c>
      <c r="AA43" s="68" t="inlineStr">
        <is>
          <t>Internal workbook + enrichment queue</t>
        </is>
      </c>
      <c r="AB43" s="68" t="n"/>
      <c r="AC43" s="68" t="n"/>
      <c r="AD43" s="68" t="n"/>
      <c r="AE43" s="68" t="n"/>
      <c r="AF43" s="68" t="n"/>
      <c r="AG43" s="68" t="n">
        <v>3</v>
      </c>
      <c r="AH43" s="68" t="n">
        <v>1</v>
      </c>
      <c r="AI43" s="68" t="n">
        <v>3</v>
      </c>
      <c r="AJ43" s="68" t="n">
        <v>7</v>
      </c>
      <c r="AK43" s="68" t="inlineStr">
        <is>
          <t>Medium</t>
        </is>
      </c>
      <c r="AL43" s="68" t="n"/>
      <c r="AM43" s="68" t="inlineStr">
        <is>
          <t>Linked primary/secondary</t>
        </is>
      </c>
      <c r="AN43" s="68" t="n">
        <v>0.9</v>
      </c>
      <c r="AO43" s="68" t="inlineStr">
        <is>
          <t>Near ready</t>
        </is>
      </c>
      <c r="AP43" s="68" t="n"/>
      <c r="AQ43" s="68" t="n"/>
      <c r="AR43" s="68" t="inlineStr">
        <is>
          <t>Editorial polish</t>
        </is>
      </c>
      <c r="AS43" s="68" t="inlineStr">
        <is>
          <t>Not started</t>
        </is>
      </c>
      <c r="AT43" s="68" t="n"/>
      <c r="AU43" s="68" t="n"/>
      <c r="AV43" s="68" t="n"/>
      <c r="AW43" s="68" t="n"/>
      <c r="AX43" s="68" t="n"/>
      <c r="AY43" s="68" t="n"/>
      <c r="AZ43" s="68" t="n"/>
      <c r="BA43" s="68" t="n"/>
      <c r="BB43" s="68" t="n"/>
      <c r="BC43" s="68" t="n"/>
      <c r="BD43" s="68" t="n"/>
      <c r="BE43" s="68" t="inlineStr">
        <is>
          <t>2026-04-10</t>
        </is>
      </c>
      <c r="BF43" s="68" t="inlineStr">
        <is>
          <t>Metadata normalized from internal workbook links</t>
        </is>
      </c>
      <c r="BG43" s="68" t="inlineStr">
        <is>
          <t>gymnema|2026-04-10</t>
        </is>
      </c>
      <c r="BH43" s="68" t="inlineStr">
        <is>
          <t>2026-04-10:auto-normalized</t>
        </is>
      </c>
      <c r="BI43" t="inlineStr">
        <is>
          <t>gymnema</t>
        </is>
      </c>
      <c r="BJ43" t="inlineStr">
        <is>
          <t>Gymnema</t>
        </is>
      </c>
      <c r="BK43" t="n">
        <v>1</v>
      </c>
      <c r="BL43" t="n">
        <v>1</v>
      </c>
      <c r="BM43" t="n">
        <v>3</v>
      </c>
      <c r="BN43" t="n">
        <v>7</v>
      </c>
      <c r="BO43" t="n">
        <v>100</v>
      </c>
      <c r="BP43" t="n">
        <v>8</v>
      </c>
      <c r="BQ43" t="n">
        <v>10</v>
      </c>
      <c r="BR43" t="n">
        <v>5</v>
      </c>
      <c r="BS43" t="inlineStr">
        <is>
          <t>Tier 1</t>
        </is>
      </c>
      <c r="BT43" t="n">
        <v>5</v>
      </c>
      <c r="BU43" t="inlineStr">
        <is>
          <t>FALSE</t>
        </is>
      </c>
      <c r="BV43" t="inlineStr">
        <is>
          <t>gymnema</t>
        </is>
      </c>
      <c r="BW43" t="inlineStr">
        <is>
          <t>TRUE</t>
        </is>
      </c>
      <c r="BX43" t="inlineStr">
        <is>
          <t>Pass 10 refreshed scoring from 1 mapped compounds | Pass 13 rescored from 1 mapped compounds</t>
        </is>
      </c>
      <c r="BY43" t="inlineStr">
        <is>
          <t>unclassified</t>
        </is>
      </c>
      <c r="CA43" t="n">
        <v>2</v>
      </c>
      <c r="CB43" t="n">
        <v>0</v>
      </c>
      <c r="CC43" t="n">
        <v>0</v>
      </c>
      <c r="CD43" t="inlineStr">
        <is>
          <t>gymnemic acids; unclassified</t>
        </is>
      </c>
      <c r="CE43" t="inlineStr">
        <is>
          <t>Pass 13 rescored after herb-name normalization and real top-herb compound sweep</t>
        </is>
      </c>
      <c r="CF43" t="inlineStr">
        <is>
          <t>General</t>
        </is>
      </c>
      <c r="CH43" s="68" t="inlineStr">
        <is>
          <t>Start with low single-herb exposure and increase only if tolerated</t>
        </is>
      </c>
      <c r="CI43" s="68" t="inlineStr">
        <is>
          <t>Product-ideation framing only; not clinical dosing advice.</t>
        </is>
      </c>
      <c r="CJ43" s="68" t="inlineStr">
        <is>
          <t>glucose-lowering</t>
        </is>
      </c>
      <c r="CK43" s="68" t="str"/>
      <c r="CL43" s="68" t="inlineStr">
        <is>
          <t>Baseline</t>
        </is>
      </c>
      <c r="CM43" s="68" t="inlineStr">
        <is>
          <t>No</t>
        </is>
      </c>
      <c r="CN43" s="68" t="str"/>
      <c r="CO43" s="68" t="inlineStr">
        <is>
          <t>Pass 21 herb-level safety and dose framing</t>
        </is>
      </c>
      <c r="CP43" t="inlineStr">
        <is>
          <t>Baseline</t>
        </is>
      </c>
      <c r="CQ43" t="inlineStr">
        <is>
          <t>No</t>
        </is>
      </c>
      <c r="CS43" t="inlineStr">
        <is>
          <t>Pass 22 refined safety rule severity and reduced broad keyword over-flagging</t>
        </is>
      </c>
      <c r="CT43" t="inlineStr">
        <is>
          <t>General</t>
        </is>
      </c>
      <c r="CU43" t="inlineStr">
        <is>
          <t>glycemic support</t>
        </is>
      </c>
      <c r="CV43" t="inlineStr">
        <is>
          <t>Human</t>
        </is>
      </c>
      <c r="CW43" t="inlineStr">
        <is>
          <t>Pass 26 normalization: categories, mechanisms, evidence tiers</t>
        </is>
      </c>
      <c r="CX43" t="inlineStr">
        <is>
          <t>Human + preclinical</t>
        </is>
      </c>
      <c r="CY43" t="inlineStr">
        <is>
          <t>Generally well tolerated.</t>
        </is>
      </c>
      <c r="CZ43" t="inlineStr">
        <is>
          <t>Use caution with glucose-lowering strategies</t>
        </is>
      </c>
      <c r="DB43" t="inlineStr">
        <is>
          <t>Pass 28 normalized evidence and safety-related free text</t>
        </is>
      </c>
      <c r="DD43" t="inlineStr">
        <is>
          <t>No standardized dose established; use conservative, product-dependent ranges.</t>
        </is>
      </c>
      <c r="DE43" t="inlineStr">
        <is>
          <t>Common forms include extracts, powders, or teas depending on herb part.</t>
        </is>
      </c>
      <c r="DF43" t="inlineStr">
        <is>
          <t>Quality varies by extraction method, standardization, and contamination risk.</t>
        </is>
      </c>
      <c r="DG43" t="inlineStr">
        <is>
          <t>Moderate to high</t>
        </is>
      </c>
      <c r="DH43" t="inlineStr">
        <is>
          <t>Pass 29 completeness repair</t>
        </is>
      </c>
      <c r="DI43" t="n">
        <v>9</v>
      </c>
      <c r="DJ43" t="inlineStr">
        <is>
          <t>General</t>
        </is>
      </c>
      <c r="DK43" t="inlineStr">
        <is>
          <t>gymnemic acids</t>
        </is>
      </c>
      <c r="DL43" t="inlineStr">
        <is>
          <t>Gudmar; Agarikon; Ajwain; Angelica Root; Artichoke</t>
        </is>
      </c>
      <c r="DM43" t="inlineStr">
        <is>
          <t>Pass 31 relationship intelligence: density, cluster, anchor class, nearest herbs</t>
        </is>
      </c>
      <c r="DN43" t="inlineStr">
        <is>
          <t>Gudmar; Agarikon; Ajwain; Angelica Root; Artichoke</t>
        </is>
      </c>
      <c r="DO43" t="inlineStr">
        <is>
          <t>Gudmar (1 shared compounds; 1 shared pathways) | Agarikon (1 shared pathways) | Ajwain (1 shared pathways)</t>
        </is>
      </c>
      <c r="DP43" t="inlineStr">
        <is>
          <t>Generalist</t>
        </is>
      </c>
      <c r="DQ43" t="inlineStr">
        <is>
          <t>Pass 32 substitute engine + cluster cleanup</t>
        </is>
      </c>
      <c r="DR43" t="inlineStr">
        <is>
          <t>Agarikon</t>
        </is>
      </c>
      <c r="DS43" t="inlineStr">
        <is>
          <t>Ajwain</t>
        </is>
      </c>
      <c r="DT43" t="inlineStr">
        <is>
          <t>same cluster; lower safety burden; similarity-backed</t>
        </is>
      </c>
      <c r="DU43" t="inlineStr">
        <is>
          <t>Not needed</t>
        </is>
      </c>
      <c r="DV43" t="inlineStr">
        <is>
          <t>Pass 33 fallback replacement engine</t>
        </is>
      </c>
      <c r="DW43" t="inlineStr">
        <is>
          <t>Angelica Root</t>
        </is>
      </c>
      <c r="DX43" t="inlineStr">
        <is>
          <t>Agarikon; Ajwain; Angelica Root; Gudmar; Ashoka; Blue Lotus; Artichoke; Rosemary</t>
        </is>
      </c>
      <c r="DY43" t="inlineStr">
        <is>
          <t>Pass 35 expanded fallback pool with second-pass candidate exploration</t>
        </is>
      </c>
      <c r="EA43" t="inlineStr">
        <is>
          <t>General</t>
        </is>
      </c>
      <c r="EB43" t="inlineStr">
        <is>
          <t>unclassified</t>
        </is>
      </c>
      <c r="EC43" t="inlineStr">
        <is>
          <t>High</t>
        </is>
      </c>
      <c r="ED43" t="inlineStr">
        <is>
          <t>Pass 40 reinforced weak-category herb data</t>
        </is>
      </c>
      <c r="EG43" t="n">
        <v>3</v>
      </c>
      <c r="EH43" t="n">
        <v>3</v>
      </c>
      <c r="EI43" t="n">
        <v>0</v>
      </c>
      <c r="EJ43" t="n">
        <v>0</v>
      </c>
      <c r="EK43" t="n">
        <v>11</v>
      </c>
      <c r="EL43" t="n">
        <v>7</v>
      </c>
      <c r="EM43" t="inlineStr">
        <is>
          <t>gymnemic acids</t>
        </is>
      </c>
      <c r="EN43" t="inlineStr">
        <is>
          <t>Pass 48 rolled compound scores into herb-level scoring</t>
        </is>
      </c>
    </row>
    <row r="44">
      <c r="A44" s="68" t="inlineStr">
        <is>
          <t>Banaba</t>
        </is>
      </c>
      <c r="B44" s="68" t="inlineStr">
        <is>
          <t>banaba</t>
        </is>
      </c>
      <c r="C44" s="68" t="inlineStr">
        <is>
          <t>Lagerstroemia speciosa</t>
        </is>
      </c>
      <c r="D44" s="68" t="inlineStr">
        <is>
          <t>herb</t>
        </is>
      </c>
      <c r="E44" s="68" t="inlineStr">
        <is>
          <t>leaf</t>
        </is>
      </c>
      <c r="F44" s="68" t="inlineStr">
        <is>
          <t>leaf</t>
        </is>
      </c>
      <c r="G44" s="68" t="inlineStr">
        <is>
          <t>banaba</t>
        </is>
      </c>
      <c r="H44" s="68" t="inlineStr">
        <is>
          <t>Southeast Asia</t>
        </is>
      </c>
      <c r="I44" s="68" t="inlineStr">
        <is>
          <t>Banaba is positioned for metabolic and glycemic support.</t>
        </is>
      </c>
      <c r="J44" s="68" t="inlineStr">
        <is>
          <t>It is best framed conservatively because evidence quality and standardization vary across products.</t>
        </is>
      </c>
      <c r="K44" s="68" t="inlineStr">
        <is>
          <t>corosolic acid</t>
        </is>
      </c>
      <c r="L44" s="68" t="inlineStr">
        <is>
          <t>corosolic acid</t>
        </is>
      </c>
      <c r="M44" s="68" t="inlineStr">
        <is>
          <t>Triterpene constituents are associated with glycemic-support positioning.</t>
        </is>
      </c>
      <c r="N44" s="68" t="inlineStr">
        <is>
          <t>glycemic support; metabolic support</t>
        </is>
      </c>
      <c r="O44" s="68" t="inlineStr">
        <is>
          <t>mixed human + preclinical</t>
        </is>
      </c>
      <c r="P44" s="68" t="inlineStr">
        <is>
          <t>Generally well tolerated.</t>
        </is>
      </c>
      <c r="Q44" s="68" t="inlineStr">
        <is>
          <t>Use caution with glucose-lowering strategies.</t>
        </is>
      </c>
      <c r="R44" s="68" t="n"/>
      <c r="S44" s="68" t="n"/>
      <c r="T44" s="68" t="n"/>
      <c r="U44" s="68" t="n"/>
      <c r="V44" s="68" t="n"/>
      <c r="W44" s="68" t="inlineStr">
        <is>
          <t>High</t>
        </is>
      </c>
      <c r="X44" s="68" t="inlineStr">
        <is>
          <t>partial</t>
        </is>
      </c>
      <c r="Y44" s="68" t="n"/>
      <c r="Z44" s="68" t="inlineStr">
        <is>
          <t>present</t>
        </is>
      </c>
      <c r="AA44" s="68" t="inlineStr">
        <is>
          <t>Internal workbook + enrichment queue</t>
        </is>
      </c>
      <c r="AB44" s="68" t="n"/>
      <c r="AC44" s="68" t="n"/>
      <c r="AD44" s="68" t="n"/>
      <c r="AE44" s="68" t="n"/>
      <c r="AF44" s="68" t="n"/>
      <c r="AG44" s="68" t="n">
        <v>3</v>
      </c>
      <c r="AH44" s="68" t="n">
        <v>1</v>
      </c>
      <c r="AI44" s="68" t="n">
        <v>3</v>
      </c>
      <c r="AJ44" s="68" t="n">
        <v>7</v>
      </c>
      <c r="AK44" s="68" t="inlineStr">
        <is>
          <t>Medium</t>
        </is>
      </c>
      <c r="AL44" s="68" t="n"/>
      <c r="AM44" s="68" t="inlineStr">
        <is>
          <t>Linked primary/secondary</t>
        </is>
      </c>
      <c r="AN44" s="68" t="n">
        <v>0.9</v>
      </c>
      <c r="AO44" s="68" t="inlineStr">
        <is>
          <t>Near ready</t>
        </is>
      </c>
      <c r="AP44" s="68" t="n"/>
      <c r="AQ44" s="68" t="n"/>
      <c r="AR44" s="68" t="inlineStr">
        <is>
          <t>Editorial polish</t>
        </is>
      </c>
      <c r="AS44" s="68" t="inlineStr">
        <is>
          <t>Not started</t>
        </is>
      </c>
      <c r="AT44" s="68" t="n"/>
      <c r="AU44" s="68" t="n"/>
      <c r="AV44" s="68" t="n"/>
      <c r="AW44" s="68" t="n"/>
      <c r="AX44" s="68" t="n"/>
      <c r="AY44" s="68" t="n"/>
      <c r="AZ44" s="68" t="n"/>
      <c r="BA44" s="68" t="n"/>
      <c r="BB44" s="68" t="n"/>
      <c r="BC44" s="68" t="n"/>
      <c r="BD44" s="68" t="n"/>
      <c r="BE44" s="68" t="inlineStr">
        <is>
          <t>2026-04-10</t>
        </is>
      </c>
      <c r="BF44" s="68" t="inlineStr">
        <is>
          <t>Metadata normalized from internal workbook links</t>
        </is>
      </c>
      <c r="BG44" s="68" t="inlineStr">
        <is>
          <t>banaba|2026-04-10</t>
        </is>
      </c>
      <c r="BH44" s="68" t="inlineStr">
        <is>
          <t>2026-04-10:auto-normalized</t>
        </is>
      </c>
      <c r="BI44" t="inlineStr">
        <is>
          <t>banaba</t>
        </is>
      </c>
      <c r="BJ44" t="inlineStr">
        <is>
          <t>Banaba</t>
        </is>
      </c>
      <c r="BK44" t="n">
        <v>1</v>
      </c>
      <c r="BL44" t="n">
        <v>1</v>
      </c>
      <c r="BM44" t="n">
        <v>3</v>
      </c>
      <c r="BN44" t="n">
        <v>7</v>
      </c>
      <c r="BO44" t="n">
        <v>100</v>
      </c>
      <c r="BP44" t="n">
        <v>8</v>
      </c>
      <c r="BQ44" t="n">
        <v>10</v>
      </c>
      <c r="BR44" t="n">
        <v>5</v>
      </c>
      <c r="BS44" t="inlineStr">
        <is>
          <t>Tier 1</t>
        </is>
      </c>
      <c r="BT44" t="n">
        <v>5</v>
      </c>
      <c r="BU44" t="inlineStr">
        <is>
          <t>FALSE</t>
        </is>
      </c>
      <c r="BV44" t="inlineStr">
        <is>
          <t>banaba</t>
        </is>
      </c>
      <c r="BW44" t="inlineStr">
        <is>
          <t>TRUE</t>
        </is>
      </c>
      <c r="BX44" t="inlineStr">
        <is>
          <t>Pass 10 refreshed scoring from 1 mapped compounds | Pass 13 rescored from 1 mapped compounds</t>
        </is>
      </c>
      <c r="BY44" t="inlineStr">
        <is>
          <t>unclassified</t>
        </is>
      </c>
      <c r="CA44" t="n">
        <v>2</v>
      </c>
      <c r="CB44" t="n">
        <v>0</v>
      </c>
      <c r="CC44" t="n">
        <v>0</v>
      </c>
      <c r="CD44" t="inlineStr">
        <is>
          <t>corosolic acid; unclassified</t>
        </is>
      </c>
      <c r="CE44" t="inlineStr">
        <is>
          <t>Pass 13 rescored after herb-name normalization and real top-herb compound sweep</t>
        </is>
      </c>
      <c r="CF44" t="inlineStr">
        <is>
          <t>General</t>
        </is>
      </c>
      <c r="CH44" s="68" t="inlineStr">
        <is>
          <t>Start with low single-herb exposure and increase only if tolerated</t>
        </is>
      </c>
      <c r="CI44" s="68" t="inlineStr">
        <is>
          <t>Product-ideation framing only; not clinical dosing advice.</t>
        </is>
      </c>
      <c r="CJ44" s="68" t="inlineStr">
        <is>
          <t>glucose-lowering</t>
        </is>
      </c>
      <c r="CK44" s="68" t="str"/>
      <c r="CL44" s="68" t="inlineStr">
        <is>
          <t>Baseline</t>
        </is>
      </c>
      <c r="CM44" s="68" t="inlineStr">
        <is>
          <t>No</t>
        </is>
      </c>
      <c r="CN44" s="68" t="str"/>
      <c r="CO44" s="68" t="inlineStr">
        <is>
          <t>Pass 21 herb-level safety and dose framing</t>
        </is>
      </c>
      <c r="CP44" t="inlineStr">
        <is>
          <t>Baseline</t>
        </is>
      </c>
      <c r="CQ44" t="inlineStr">
        <is>
          <t>No</t>
        </is>
      </c>
      <c r="CS44" t="inlineStr">
        <is>
          <t>Pass 22 refined safety rule severity and reduced broad keyword over-flagging</t>
        </is>
      </c>
      <c r="CT44" t="inlineStr">
        <is>
          <t>Metabolic Support</t>
        </is>
      </c>
      <c r="CU44" t="inlineStr">
        <is>
          <t>glycemic support; metabolic support</t>
        </is>
      </c>
      <c r="CV44" t="inlineStr">
        <is>
          <t>Human</t>
        </is>
      </c>
      <c r="CW44" t="inlineStr">
        <is>
          <t>Pass 26 normalization: categories, mechanisms, evidence tiers</t>
        </is>
      </c>
      <c r="CX44" t="inlineStr">
        <is>
          <t>Human + preclinical</t>
        </is>
      </c>
      <c r="CY44" t="inlineStr">
        <is>
          <t>Generally well tolerated.</t>
        </is>
      </c>
      <c r="CZ44" t="inlineStr">
        <is>
          <t>Use caution with glucose-lowering strategies</t>
        </is>
      </c>
      <c r="DB44" t="inlineStr">
        <is>
          <t>Pass 28 normalized evidence and safety-related free text</t>
        </is>
      </c>
      <c r="DD44" t="inlineStr">
        <is>
          <t>No standardized dose established; use conservative, product-dependent ranges.</t>
        </is>
      </c>
      <c r="DE44" t="inlineStr">
        <is>
          <t>Common forms include extracts, powders, or teas depending on herb part.</t>
        </is>
      </c>
      <c r="DF44" t="inlineStr">
        <is>
          <t>Quality varies by extraction method, standardization, and contamination risk.</t>
        </is>
      </c>
      <c r="DG44" t="inlineStr">
        <is>
          <t>Moderate to high</t>
        </is>
      </c>
      <c r="DH44" t="inlineStr">
        <is>
          <t>Pass 29 completeness repair</t>
        </is>
      </c>
      <c r="DI44" t="n">
        <v>9</v>
      </c>
      <c r="DJ44" t="inlineStr">
        <is>
          <t>Metabolic</t>
        </is>
      </c>
      <c r="DK44" t="inlineStr">
        <is>
          <t>corosolic acid</t>
        </is>
      </c>
      <c r="DL44" t="inlineStr">
        <is>
          <t>Ashitaba; Curry Leaf; Eucommia; Guarana; Kuding Tea</t>
        </is>
      </c>
      <c r="DM44" t="inlineStr">
        <is>
          <t>Pass 31 relationship intelligence: density, cluster, anchor class, nearest herbs</t>
        </is>
      </c>
      <c r="DN44" t="inlineStr">
        <is>
          <t>Ashitaba; Curry Leaf; Eucommia; Guarana; Kuding Tea</t>
        </is>
      </c>
      <c r="DO44" t="inlineStr">
        <is>
          <t>Ashitaba (1 shared pathways) | Curry Leaf (1 shared pathways) | Eucommia (1 shared pathways)</t>
        </is>
      </c>
      <c r="DP44" t="inlineStr">
        <is>
          <t>Metabolic</t>
        </is>
      </c>
      <c r="DQ44" t="inlineStr">
        <is>
          <t>Pass 32 substitute engine + cluster cleanup</t>
        </is>
      </c>
      <c r="DR44" t="inlineStr">
        <is>
          <t>Ashitaba</t>
        </is>
      </c>
      <c r="DS44" t="inlineStr">
        <is>
          <t>Curry Leaf</t>
        </is>
      </c>
      <c r="DT44" t="inlineStr">
        <is>
          <t>same cluster; lower safety burden; similarity-backed</t>
        </is>
      </c>
      <c r="DU44" t="inlineStr">
        <is>
          <t>Not needed</t>
        </is>
      </c>
      <c r="DV44" t="inlineStr">
        <is>
          <t>Pass 33 fallback replacement engine</t>
        </is>
      </c>
      <c r="DW44" t="inlineStr">
        <is>
          <t>Eucommia</t>
        </is>
      </c>
      <c r="DX44" t="inlineStr">
        <is>
          <t>Ashitaba; Curry Leaf; Eucommia; Guarana; Kuding Tea</t>
        </is>
      </c>
      <c r="DY44" t="inlineStr">
        <is>
          <t>Pass 35 expanded fallback pool with second-pass candidate exploration</t>
        </is>
      </c>
      <c r="EG44" t="n">
        <v>3</v>
      </c>
      <c r="EH44" t="n">
        <v>3</v>
      </c>
      <c r="EI44" t="n">
        <v>0</v>
      </c>
      <c r="EJ44" t="n">
        <v>0</v>
      </c>
      <c r="EK44" t="n">
        <v>11</v>
      </c>
      <c r="EL44" t="n">
        <v>7</v>
      </c>
      <c r="EM44" t="inlineStr">
        <is>
          <t>corosolic acid</t>
        </is>
      </c>
      <c r="EN44" t="inlineStr">
        <is>
          <t>Pass 48 rolled compound scores into herb-level scoring</t>
        </is>
      </c>
    </row>
    <row r="45">
      <c r="A45" s="68" t="inlineStr">
        <is>
          <t>Mulberry Leaf</t>
        </is>
      </c>
      <c r="B45" s="68" t="inlineStr">
        <is>
          <t>mulberry-leaf</t>
        </is>
      </c>
      <c r="C45" s="68" t="inlineStr">
        <is>
          <t>Morus alba</t>
        </is>
      </c>
      <c r="D45" s="68" t="inlineStr">
        <is>
          <t>herb</t>
        </is>
      </c>
      <c r="E45" s="68" t="inlineStr">
        <is>
          <t>leaf</t>
        </is>
      </c>
      <c r="F45" s="68" t="inlineStr">
        <is>
          <t>leaf</t>
        </is>
      </c>
      <c r="G45" s="68" t="inlineStr">
        <is>
          <t>mulberry leaf</t>
        </is>
      </c>
      <c r="H45" s="68" t="inlineStr">
        <is>
          <t>China and cultivated broadly</t>
        </is>
      </c>
      <c r="I45" s="68" t="inlineStr">
        <is>
          <t>Mulberry leaf is positioned for metabolic support, especially carbohydrate-handling contexts.</t>
        </is>
      </c>
      <c r="J45" s="68" t="inlineStr">
        <is>
          <t>It is best framed around alpha-glucosidase-adjacent positioning rather than generalized wellness language.</t>
        </is>
      </c>
      <c r="K45" s="68" t="inlineStr">
        <is>
          <t>1-deoxynojirimycin; flavonoids</t>
        </is>
      </c>
      <c r="L45" s="68" t="inlineStr">
        <is>
          <t>1-deoxynojirimycin</t>
        </is>
      </c>
      <c r="M45" s="68" t="inlineStr">
        <is>
          <t>Iminosugars are associated with carbohydrate-handling support.</t>
        </is>
      </c>
      <c r="N45" s="68" t="inlineStr">
        <is>
          <t>glycemic support</t>
        </is>
      </c>
      <c r="O45" s="68" t="inlineStr">
        <is>
          <t>mixed human + preclinical</t>
        </is>
      </c>
      <c r="P45" s="68" t="inlineStr">
        <is>
          <t>Generally well tolerated.</t>
        </is>
      </c>
      <c r="Q45" s="68" t="inlineStr">
        <is>
          <t>Use caution with glucose-lowering strategies.</t>
        </is>
      </c>
      <c r="R45" s="68" t="n"/>
      <c r="S45" s="68" t="n"/>
      <c r="T45" s="68" t="n"/>
      <c r="U45" s="68" t="n"/>
      <c r="V45" s="68" t="n"/>
      <c r="W45" s="68" t="inlineStr">
        <is>
          <t>High</t>
        </is>
      </c>
      <c r="X45" s="68" t="inlineStr">
        <is>
          <t>validated</t>
        </is>
      </c>
      <c r="Y45" s="68" t="n"/>
      <c r="Z45" s="68" t="inlineStr">
        <is>
          <t>present</t>
        </is>
      </c>
      <c r="AA45" s="68" t="inlineStr">
        <is>
          <t>Internal workbook + enrichment queue</t>
        </is>
      </c>
      <c r="AB45" s="68" t="n"/>
      <c r="AC45" s="68" t="n"/>
      <c r="AD45" s="68" t="n"/>
      <c r="AE45" s="68" t="n"/>
      <c r="AF45" s="68" t="n"/>
      <c r="AG45" s="68" t="n">
        <v>3</v>
      </c>
      <c r="AH45" s="68" t="n">
        <v>1</v>
      </c>
      <c r="AI45" s="68" t="n">
        <v>3</v>
      </c>
      <c r="AJ45" s="68" t="n">
        <v>7</v>
      </c>
      <c r="AK45" s="68" t="inlineStr">
        <is>
          <t>Medium</t>
        </is>
      </c>
      <c r="AL45" s="68" t="n"/>
      <c r="AM45" s="68" t="inlineStr">
        <is>
          <t>Linked primary/secondary</t>
        </is>
      </c>
      <c r="AN45" s="68" t="n">
        <v>0.9</v>
      </c>
      <c r="AO45" s="68" t="inlineStr">
        <is>
          <t>Near ready</t>
        </is>
      </c>
      <c r="AP45" s="68" t="n"/>
      <c r="AQ45" s="68" t="n"/>
      <c r="AR45" s="68" t="inlineStr">
        <is>
          <t>Editorial polish</t>
        </is>
      </c>
      <c r="AS45" s="68" t="inlineStr">
        <is>
          <t>Not started</t>
        </is>
      </c>
      <c r="AT45" s="68" t="n"/>
      <c r="AU45" s="68" t="n"/>
      <c r="AV45" s="68" t="n"/>
      <c r="AW45" s="68" t="n"/>
      <c r="AX45" s="68" t="n"/>
      <c r="AY45" s="68" t="n"/>
      <c r="AZ45" s="68" t="n"/>
      <c r="BA45" s="68" t="n"/>
      <c r="BB45" s="68" t="n"/>
      <c r="BC45" s="68" t="n"/>
      <c r="BD45" s="68" t="n"/>
      <c r="BE45" s="68" t="inlineStr">
        <is>
          <t>2026-04-10</t>
        </is>
      </c>
      <c r="BF45" s="68" t="inlineStr">
        <is>
          <t>Metadata normalized from internal workbook links</t>
        </is>
      </c>
      <c r="BG45" s="68" t="inlineStr">
        <is>
          <t>mulberry-leaf|2026-04-10</t>
        </is>
      </c>
      <c r="BH45" s="68" t="inlineStr">
        <is>
          <t>2026-04-10:auto-normalized</t>
        </is>
      </c>
      <c r="BI45" t="inlineStr">
        <is>
          <t>mulberry-leaf</t>
        </is>
      </c>
      <c r="BJ45" t="inlineStr">
        <is>
          <t>Mulberry Leaf</t>
        </is>
      </c>
      <c r="BK45" t="n">
        <v>1</v>
      </c>
      <c r="BL45" t="n">
        <v>1</v>
      </c>
      <c r="BM45" t="n">
        <v>3</v>
      </c>
      <c r="BN45" t="n">
        <v>7</v>
      </c>
      <c r="BO45" t="n">
        <v>100</v>
      </c>
      <c r="BP45" t="n">
        <v>8</v>
      </c>
      <c r="BQ45" t="n">
        <v>10</v>
      </c>
      <c r="BR45" t="n">
        <v>5</v>
      </c>
      <c r="BS45" t="inlineStr">
        <is>
          <t>Tier 1</t>
        </is>
      </c>
      <c r="BT45" t="n">
        <v>5</v>
      </c>
      <c r="BU45" t="inlineStr">
        <is>
          <t>FALSE</t>
        </is>
      </c>
      <c r="BV45" t="inlineStr">
        <is>
          <t>mulberry-leaf</t>
        </is>
      </c>
      <c r="BW45" t="inlineStr">
        <is>
          <t>TRUE</t>
        </is>
      </c>
      <c r="BX45" t="inlineStr">
        <is>
          <t>Pass 10 refreshed scoring from 1 mapped compounds | Pass 13 rescored from 1 mapped compounds</t>
        </is>
      </c>
      <c r="BY45" t="inlineStr">
        <is>
          <t>unclassified</t>
        </is>
      </c>
      <c r="CA45" t="n">
        <v>2</v>
      </c>
      <c r="CB45" t="n">
        <v>0</v>
      </c>
      <c r="CC45" t="n">
        <v>0</v>
      </c>
      <c r="CD45" t="inlineStr">
        <is>
          <t>1-deoxynojirimycin; unclassified</t>
        </is>
      </c>
      <c r="CE45" t="inlineStr">
        <is>
          <t>Pass 13 rescored after herb-name normalization and real top-herb compound sweep</t>
        </is>
      </c>
      <c r="CF45" t="inlineStr">
        <is>
          <t>General</t>
        </is>
      </c>
      <c r="CH45" s="68" t="inlineStr">
        <is>
          <t>Start with low single-herb exposure and increase only if tolerated</t>
        </is>
      </c>
      <c r="CI45" s="68" t="inlineStr">
        <is>
          <t>Product-ideation framing only; not clinical dosing advice.</t>
        </is>
      </c>
      <c r="CJ45" s="68" t="inlineStr">
        <is>
          <t>glucose-lowering</t>
        </is>
      </c>
      <c r="CK45" s="68" t="str"/>
      <c r="CL45" s="68" t="inlineStr">
        <is>
          <t>Baseline</t>
        </is>
      </c>
      <c r="CM45" s="68" t="inlineStr">
        <is>
          <t>No</t>
        </is>
      </c>
      <c r="CN45" s="68" t="str"/>
      <c r="CO45" s="68" t="inlineStr">
        <is>
          <t>Pass 21 herb-level safety and dose framing</t>
        </is>
      </c>
      <c r="CP45" t="inlineStr">
        <is>
          <t>Baseline</t>
        </is>
      </c>
      <c r="CQ45" t="inlineStr">
        <is>
          <t>No</t>
        </is>
      </c>
      <c r="CS45" t="inlineStr">
        <is>
          <t>Pass 22 refined safety rule severity and reduced broad keyword over-flagging</t>
        </is>
      </c>
      <c r="CT45" t="inlineStr">
        <is>
          <t>General</t>
        </is>
      </c>
      <c r="CU45" t="inlineStr">
        <is>
          <t>glycemic support</t>
        </is>
      </c>
      <c r="CV45" t="inlineStr">
        <is>
          <t>Human</t>
        </is>
      </c>
      <c r="CW45" t="inlineStr">
        <is>
          <t>Pass 26 normalization: categories, mechanisms, evidence tiers</t>
        </is>
      </c>
      <c r="CX45" t="inlineStr">
        <is>
          <t>Human + preclinical</t>
        </is>
      </c>
      <c r="CY45" t="inlineStr">
        <is>
          <t>Generally well tolerated.</t>
        </is>
      </c>
      <c r="CZ45" t="inlineStr">
        <is>
          <t>Use caution with glucose-lowering strategies</t>
        </is>
      </c>
      <c r="DB45" t="inlineStr">
        <is>
          <t>Pass 28 normalized evidence and safety-related free text</t>
        </is>
      </c>
      <c r="DD45" t="inlineStr">
        <is>
          <t>No standardized dose established; use conservative, product-dependent ranges.</t>
        </is>
      </c>
      <c r="DE45" t="inlineStr">
        <is>
          <t>Common forms include extracts, powders, or teas depending on herb part.</t>
        </is>
      </c>
      <c r="DF45" t="inlineStr">
        <is>
          <t>Quality varies by extraction method, standardization, and contamination risk.</t>
        </is>
      </c>
      <c r="DG45" t="inlineStr">
        <is>
          <t>Moderate to high</t>
        </is>
      </c>
      <c r="DH45" t="inlineStr">
        <is>
          <t>Pass 29 completeness repair</t>
        </is>
      </c>
      <c r="DI45" t="n">
        <v>9</v>
      </c>
      <c r="DJ45" t="inlineStr">
        <is>
          <t>General</t>
        </is>
      </c>
      <c r="DK45" t="inlineStr">
        <is>
          <t>1-deoxynojirimycin</t>
        </is>
      </c>
      <c r="DL45" t="inlineStr">
        <is>
          <t>Agarikon; Ajwain; Angelica Root; Artichoke; Ashoka</t>
        </is>
      </c>
      <c r="DM45" t="inlineStr">
        <is>
          <t>Pass 31 relationship intelligence: density, cluster, anchor class, nearest herbs</t>
        </is>
      </c>
      <c r="DN45" t="inlineStr">
        <is>
          <t>Artichoke; Blue Lotus; Burdock; Butterbur; Calendula</t>
        </is>
      </c>
      <c r="DO45" t="inlineStr">
        <is>
          <t>Artichoke (1 shared pathways) | Blue Lotus (1 shared pathways) | Burdock (1 shared pathways)</t>
        </is>
      </c>
      <c r="DP45" t="inlineStr">
        <is>
          <t>Generalist</t>
        </is>
      </c>
      <c r="DQ45" t="inlineStr">
        <is>
          <t>Pass 32 substitute engine + cluster cleanup</t>
        </is>
      </c>
      <c r="DR45" t="inlineStr">
        <is>
          <t>Blue Lotus</t>
        </is>
      </c>
      <c r="DS45" t="inlineStr">
        <is>
          <t>Burdock</t>
        </is>
      </c>
      <c r="DT45" t="inlineStr">
        <is>
          <t>same cluster; lower safety burden; similarity-backed</t>
        </is>
      </c>
      <c r="DU45" t="inlineStr">
        <is>
          <t>Not needed</t>
        </is>
      </c>
      <c r="DV45" t="inlineStr">
        <is>
          <t>Pass 33 fallback replacement engine</t>
        </is>
      </c>
      <c r="DW45" t="inlineStr">
        <is>
          <t>Butterbur</t>
        </is>
      </c>
      <c r="DX45" t="inlineStr">
        <is>
          <t>Blue Lotus; Burdock; Butterbur; Calendula; Agarikon; Ajwain; Angelica Root; Ashoka</t>
        </is>
      </c>
      <c r="DY45" t="inlineStr">
        <is>
          <t>Pass 35 expanded fallback pool with second-pass candidate exploration</t>
        </is>
      </c>
      <c r="EA45" t="inlineStr">
        <is>
          <t>General</t>
        </is>
      </c>
      <c r="EB45" t="inlineStr">
        <is>
          <t>unclassified</t>
        </is>
      </c>
      <c r="EC45" t="inlineStr">
        <is>
          <t>High</t>
        </is>
      </c>
      <c r="ED45" t="inlineStr">
        <is>
          <t>Pass 40 reinforced weak-category herb data</t>
        </is>
      </c>
      <c r="EG45" t="n">
        <v>3</v>
      </c>
      <c r="EH45" t="n">
        <v>3</v>
      </c>
      <c r="EI45" t="n">
        <v>0</v>
      </c>
      <c r="EJ45" t="n">
        <v>0</v>
      </c>
      <c r="EK45" t="n">
        <v>11</v>
      </c>
      <c r="EL45" t="n">
        <v>7</v>
      </c>
      <c r="EM45" t="inlineStr">
        <is>
          <t>1-deoxynojirimycin</t>
        </is>
      </c>
      <c r="EN45" t="inlineStr">
        <is>
          <t>Pass 48 rolled compound scores into herb-level scoring</t>
        </is>
      </c>
    </row>
    <row r="46">
      <c r="A46" s="68" t="inlineStr">
        <is>
          <t>Neem</t>
        </is>
      </c>
      <c r="B46" s="68" t="inlineStr">
        <is>
          <t>neem</t>
        </is>
      </c>
      <c r="C46" s="68" t="inlineStr">
        <is>
          <t>Azadirachta indica</t>
        </is>
      </c>
      <c r="D46" s="68" t="inlineStr">
        <is>
          <t>herb</t>
        </is>
      </c>
      <c r="E46" s="68" t="inlineStr">
        <is>
          <t>leaf/seed</t>
        </is>
      </c>
      <c r="F46" s="68" t="inlineStr">
        <is>
          <t>leaf; seed</t>
        </is>
      </c>
      <c r="G46" s="68" t="inlineStr">
        <is>
          <t>neem</t>
        </is>
      </c>
      <c r="H46" s="68" t="inlineStr">
        <is>
          <t>India and South Asia</t>
        </is>
      </c>
      <c r="I46" s="68" t="inlineStr">
        <is>
          <t>Neem is positioned for traditional skin, oral, and antimicrobial support.</t>
        </is>
      </c>
      <c r="J46" s="68" t="inlineStr">
        <is>
          <t>It should be framed carefully because topical, oral, and seed-oil contexts differ substantially in safety relevance.</t>
        </is>
      </c>
      <c r="K46" s="68" t="inlineStr">
        <is>
          <t>nimbin; azadirachtin</t>
        </is>
      </c>
      <c r="L46" s="68" t="inlineStr">
        <is>
          <t>nimbin</t>
        </is>
      </c>
      <c r="M46" s="68" t="inlineStr">
        <is>
          <t>Limonoids are associated with antimicrobial and traditional skin-support positioning.</t>
        </is>
      </c>
      <c r="N46" s="68" t="inlineStr">
        <is>
          <t>traditional skin support; antimicrobial support</t>
        </is>
      </c>
      <c r="O46" s="68" t="inlineStr">
        <is>
          <t>traditional use + preclinical</t>
        </is>
      </c>
      <c r="P46" s="68" t="inlineStr">
        <is>
          <t>Use caution with concentrated internal use.</t>
        </is>
      </c>
      <c r="Q46" s="68" t="inlineStr">
        <is>
          <t>Avoid overextending seed-oil safety assumptions to all forms.</t>
        </is>
      </c>
      <c r="R46" s="68" t="n"/>
      <c r="S46" s="68" t="n"/>
      <c r="T46" s="68" t="n"/>
      <c r="U46" s="68" t="n"/>
      <c r="V46" s="68" t="n"/>
      <c r="W46" s="68" t="inlineStr">
        <is>
          <t>High</t>
        </is>
      </c>
      <c r="X46" s="68" t="inlineStr">
        <is>
          <t>validated</t>
        </is>
      </c>
      <c r="Y46" s="68" t="n"/>
      <c r="Z46" s="68" t="inlineStr">
        <is>
          <t>present</t>
        </is>
      </c>
      <c r="AA46" s="68" t="inlineStr">
        <is>
          <t>Internal workbook + enrichment queue</t>
        </is>
      </c>
      <c r="AB46" s="68" t="n"/>
      <c r="AC46" s="68" t="n"/>
      <c r="AD46" s="68" t="n"/>
      <c r="AE46" s="68" t="n"/>
      <c r="AF46" s="68" t="n"/>
      <c r="AG46" s="68" t="n">
        <v>3</v>
      </c>
      <c r="AH46" s="68" t="n">
        <v>1</v>
      </c>
      <c r="AI46" s="68" t="n">
        <v>3</v>
      </c>
      <c r="AJ46" s="68" t="n">
        <v>7</v>
      </c>
      <c r="AK46" s="68" t="inlineStr">
        <is>
          <t>Medium</t>
        </is>
      </c>
      <c r="AL46" s="68" t="n"/>
      <c r="AM46" s="68" t="inlineStr">
        <is>
          <t>Linked primary/secondary</t>
        </is>
      </c>
      <c r="AN46" s="68" t="n">
        <v>0.9</v>
      </c>
      <c r="AO46" s="68" t="inlineStr">
        <is>
          <t>Near ready</t>
        </is>
      </c>
      <c r="AP46" s="68" t="n"/>
      <c r="AQ46" s="68" t="n"/>
      <c r="AR46" s="68" t="inlineStr">
        <is>
          <t>Editorial polish</t>
        </is>
      </c>
      <c r="AS46" s="68" t="inlineStr">
        <is>
          <t>Not started</t>
        </is>
      </c>
      <c r="AT46" s="68" t="n"/>
      <c r="AU46" s="68" t="n"/>
      <c r="AV46" s="68" t="n"/>
      <c r="AW46" s="68" t="n"/>
      <c r="AX46" s="68" t="n"/>
      <c r="AY46" s="68" t="n"/>
      <c r="AZ46" s="68" t="n"/>
      <c r="BA46" s="68" t="n"/>
      <c r="BB46" s="68" t="n"/>
      <c r="BC46" s="68" t="n"/>
      <c r="BD46" s="68" t="n"/>
      <c r="BE46" s="68" t="inlineStr">
        <is>
          <t>2026-04-10</t>
        </is>
      </c>
      <c r="BF46" s="68" t="inlineStr">
        <is>
          <t>Metadata normalized from internal workbook links</t>
        </is>
      </c>
      <c r="BG46" s="68" t="inlineStr">
        <is>
          <t>neem|2026-04-10</t>
        </is>
      </c>
      <c r="BH46" s="68" t="inlineStr">
        <is>
          <t>2026-04-10:auto-normalized</t>
        </is>
      </c>
      <c r="BI46" t="inlineStr">
        <is>
          <t>neem</t>
        </is>
      </c>
      <c r="BJ46" t="inlineStr">
        <is>
          <t>Neem</t>
        </is>
      </c>
      <c r="BK46" t="n">
        <v>1</v>
      </c>
      <c r="BL46" t="n">
        <v>1</v>
      </c>
      <c r="BM46" t="n">
        <v>3</v>
      </c>
      <c r="BN46" t="n">
        <v>7</v>
      </c>
      <c r="BO46" t="n">
        <v>100</v>
      </c>
      <c r="BP46" t="n">
        <v>8</v>
      </c>
      <c r="BQ46" t="n">
        <v>10</v>
      </c>
      <c r="BR46" t="n">
        <v>5</v>
      </c>
      <c r="BS46" t="inlineStr">
        <is>
          <t>Tier 1</t>
        </is>
      </c>
      <c r="BT46" t="n">
        <v>5</v>
      </c>
      <c r="BU46" t="inlineStr">
        <is>
          <t>FALSE</t>
        </is>
      </c>
      <c r="BV46" t="inlineStr">
        <is>
          <t>neem</t>
        </is>
      </c>
      <c r="BW46" t="inlineStr">
        <is>
          <t>TRUE</t>
        </is>
      </c>
      <c r="BX46" t="inlineStr">
        <is>
          <t>Pass 10 refreshed scoring from 1 mapped compounds | Pass 13 rescored from 1 mapped compounds</t>
        </is>
      </c>
      <c r="BY46" t="inlineStr">
        <is>
          <t>unclassified</t>
        </is>
      </c>
      <c r="CA46" t="n">
        <v>2</v>
      </c>
      <c r="CB46" t="n">
        <v>0</v>
      </c>
      <c r="CC46" t="n">
        <v>0</v>
      </c>
      <c r="CD46" t="inlineStr">
        <is>
          <t>nimbin; unclassified</t>
        </is>
      </c>
      <c r="CE46" t="inlineStr">
        <is>
          <t>Pass 13 rescored after herb-name normalization and real top-herb compound sweep</t>
        </is>
      </c>
      <c r="CF46" t="inlineStr">
        <is>
          <t>General</t>
        </is>
      </c>
      <c r="CH46" s="68" t="inlineStr">
        <is>
          <t>Start with low single-herb exposure and increase only if tolerated</t>
        </is>
      </c>
      <c r="CI46" s="68" t="inlineStr">
        <is>
          <t>Product-ideation framing only; not clinical dosing advice.</t>
        </is>
      </c>
      <c r="CJ46" s="68" t="str"/>
      <c r="CK46" s="68" t="str"/>
      <c r="CL46" s="68" t="inlineStr">
        <is>
          <t>Baseline</t>
        </is>
      </c>
      <c r="CM46" s="68" t="inlineStr">
        <is>
          <t>No</t>
        </is>
      </c>
      <c r="CN46" s="68" t="str"/>
      <c r="CO46" s="68" t="inlineStr">
        <is>
          <t>Pass 21 herb-level safety and dose framing</t>
        </is>
      </c>
      <c r="CP46" t="inlineStr">
        <is>
          <t>Baseline</t>
        </is>
      </c>
      <c r="CQ46" t="inlineStr">
        <is>
          <t>No</t>
        </is>
      </c>
      <c r="CS46" t="inlineStr">
        <is>
          <t>Pass 22 refined safety rule severity and reduced broad keyword over-flagging</t>
        </is>
      </c>
      <c r="CT46" t="inlineStr">
        <is>
          <t>General</t>
        </is>
      </c>
      <c r="CU46" t="inlineStr">
        <is>
          <t>antimicrobial support; traditional skin support</t>
        </is>
      </c>
      <c r="CV46" t="inlineStr">
        <is>
          <t>Preclinical</t>
        </is>
      </c>
      <c r="CW46" t="inlineStr">
        <is>
          <t>Pass 26 normalization: categories, mechanisms, evidence tiers</t>
        </is>
      </c>
      <c r="CX46" t="inlineStr">
        <is>
          <t>Preclinical</t>
        </is>
      </c>
      <c r="CY46" t="inlineStr">
        <is>
          <t>Use caution with concentrated internal use.</t>
        </is>
      </c>
      <c r="CZ46" t="inlineStr">
        <is>
          <t>Avoid overextending seed-oil safety assumptions to all forms</t>
        </is>
      </c>
      <c r="DB46" t="inlineStr">
        <is>
          <t>Pass 28 normalized evidence and safety-related free text</t>
        </is>
      </c>
      <c r="DD46" t="inlineStr">
        <is>
          <t>No standardized dose established; use conservative, product-dependent ranges.</t>
        </is>
      </c>
      <c r="DE46" t="inlineStr">
        <is>
          <t>Common forms include extracts, powders, or teas depending on herb part.</t>
        </is>
      </c>
      <c r="DF46" t="inlineStr">
        <is>
          <t>Quality varies by extraction method, standardization, and contamination risk.</t>
        </is>
      </c>
      <c r="DG46" t="inlineStr">
        <is>
          <t>Low to moderate</t>
        </is>
      </c>
      <c r="DH46" t="inlineStr">
        <is>
          <t>Pass 29 completeness repair</t>
        </is>
      </c>
      <c r="DI46" t="n">
        <v>9</v>
      </c>
      <c r="DJ46" t="inlineStr">
        <is>
          <t>General</t>
        </is>
      </c>
      <c r="DK46" t="inlineStr">
        <is>
          <t>nimbin</t>
        </is>
      </c>
      <c r="DL46" t="inlineStr">
        <is>
          <t>Agarikon; Ajwain; Angelica Root; Artichoke; Ashoka</t>
        </is>
      </c>
      <c r="DM46" t="inlineStr">
        <is>
          <t>Pass 31 relationship intelligence: density, cluster, anchor class, nearest herbs</t>
        </is>
      </c>
      <c r="DN46" t="inlineStr">
        <is>
          <t>Artichoke; Blue Lotus; Burdock; Butterbur; Calendula</t>
        </is>
      </c>
      <c r="DO46" t="inlineStr">
        <is>
          <t>Artichoke (1 shared pathways) | Blue Lotus (1 shared pathways) | Burdock (1 shared pathways)</t>
        </is>
      </c>
      <c r="DP46" t="inlineStr">
        <is>
          <t>Generalist</t>
        </is>
      </c>
      <c r="DQ46" t="inlineStr">
        <is>
          <t>Pass 32 substitute engine + cluster cleanup</t>
        </is>
      </c>
      <c r="DR46" t="inlineStr">
        <is>
          <t>Blue Lotus</t>
        </is>
      </c>
      <c r="DS46" t="inlineStr">
        <is>
          <t>Burdock</t>
        </is>
      </c>
      <c r="DT46" t="inlineStr">
        <is>
          <t>same cluster; lower safety burden; similarity-backed</t>
        </is>
      </c>
      <c r="DU46" t="inlineStr">
        <is>
          <t>Not needed</t>
        </is>
      </c>
      <c r="DV46" t="inlineStr">
        <is>
          <t>Pass 33 fallback replacement engine</t>
        </is>
      </c>
      <c r="DW46" t="inlineStr">
        <is>
          <t>Butterbur</t>
        </is>
      </c>
      <c r="DX46" t="inlineStr">
        <is>
          <t>Blue Lotus; Burdock; Butterbur; Calendula; Agarikon; Ajwain; Angelica Root; Ashoka</t>
        </is>
      </c>
      <c r="DY46" t="inlineStr">
        <is>
          <t>Pass 35 expanded fallback pool with second-pass candidate exploration</t>
        </is>
      </c>
      <c r="EA46" t="inlineStr">
        <is>
          <t>General</t>
        </is>
      </c>
      <c r="EB46" t="inlineStr">
        <is>
          <t>unclassified</t>
        </is>
      </c>
      <c r="EC46" t="inlineStr">
        <is>
          <t>High</t>
        </is>
      </c>
      <c r="ED46" t="inlineStr">
        <is>
          <t>Pass 40 reinforced weak-category herb data</t>
        </is>
      </c>
      <c r="EG46" t="n">
        <v>3</v>
      </c>
      <c r="EH46" t="n">
        <v>3</v>
      </c>
      <c r="EI46" t="n">
        <v>0</v>
      </c>
      <c r="EJ46" t="n">
        <v>0</v>
      </c>
      <c r="EK46" t="n">
        <v>11</v>
      </c>
      <c r="EL46" t="n">
        <v>7</v>
      </c>
      <c r="EM46" t="inlineStr">
        <is>
          <t>nimbin</t>
        </is>
      </c>
      <c r="EN46" t="inlineStr">
        <is>
          <t>Pass 48 rolled compound scores into herb-level scoring</t>
        </is>
      </c>
    </row>
    <row r="47">
      <c r="A47" s="68" t="inlineStr">
        <is>
          <t>Mugwort</t>
        </is>
      </c>
      <c r="B47" s="68" t="inlineStr">
        <is>
          <t>mugwort</t>
        </is>
      </c>
      <c r="C47" s="68" t="inlineStr">
        <is>
          <t>Artemisia vulgaris</t>
        </is>
      </c>
      <c r="D47" s="68" t="inlineStr">
        <is>
          <t>herb</t>
        </is>
      </c>
      <c r="E47" s="68" t="inlineStr">
        <is>
          <t>aerial parts</t>
        </is>
      </c>
      <c r="F47" s="68" t="inlineStr">
        <is>
          <t>leaf; aerial parts</t>
        </is>
      </c>
      <c r="G47" s="68" t="inlineStr">
        <is>
          <t>mugwort</t>
        </is>
      </c>
      <c r="H47" s="68" t="inlineStr">
        <is>
          <t>Europe, Asia, North America</t>
        </is>
      </c>
      <c r="I47" s="68" t="inlineStr">
        <is>
          <t>Mugwort is positioned for traditional digestive and cycle-related support.</t>
        </is>
      </c>
      <c r="J47" s="68" t="inlineStr">
        <is>
          <t>It is best framed conservatively because strong folklore and ritual associations often outrun clinical evidence.</t>
        </is>
      </c>
      <c r="K47" s="68" t="inlineStr">
        <is>
          <t>volatile oils; flavonoids</t>
        </is>
      </c>
      <c r="L47" s="68" t="inlineStr">
        <is>
          <t>thujone</t>
        </is>
      </c>
      <c r="M47" s="68" t="inlineStr">
        <is>
          <t>Aromatic constituents drive much of the traditional positioning.</t>
        </is>
      </c>
      <c r="N47" s="68" t="inlineStr">
        <is>
          <t>digestive support; traditional cycle support</t>
        </is>
      </c>
      <c r="O47" s="68" t="inlineStr">
        <is>
          <t>traditional use + limited human</t>
        </is>
      </c>
      <c r="P47" s="68" t="inlineStr">
        <is>
          <t>Use caution with concentrated preparations.</t>
        </is>
      </c>
      <c r="Q47" s="68" t="inlineStr">
        <is>
          <t>Avoid during pregnancy.</t>
        </is>
      </c>
      <c r="R47" s="68" t="n"/>
      <c r="S47" s="68" t="n"/>
      <c r="T47" s="68" t="n"/>
      <c r="U47" s="68" t="n"/>
      <c r="V47" s="68" t="n"/>
      <c r="W47" s="68" t="inlineStr">
        <is>
          <t>High</t>
        </is>
      </c>
      <c r="X47" s="68" t="inlineStr">
        <is>
          <t>validated</t>
        </is>
      </c>
      <c r="Y47" s="68" t="n"/>
      <c r="Z47" s="68" t="inlineStr">
        <is>
          <t>present</t>
        </is>
      </c>
      <c r="AA47" s="68" t="inlineStr">
        <is>
          <t>Internal workbook + enrichment queue</t>
        </is>
      </c>
      <c r="AB47" s="68" t="n"/>
      <c r="AC47" s="68" t="n"/>
      <c r="AD47" s="68" t="n"/>
      <c r="AE47" s="68" t="n"/>
      <c r="AF47" s="68" t="n"/>
      <c r="AG47" s="68" t="n">
        <v>3</v>
      </c>
      <c r="AH47" s="68" t="n">
        <v>1</v>
      </c>
      <c r="AI47" s="68" t="n">
        <v>3</v>
      </c>
      <c r="AJ47" s="68" t="n">
        <v>7</v>
      </c>
      <c r="AK47" s="68" t="inlineStr">
        <is>
          <t>Medium</t>
        </is>
      </c>
      <c r="AL47" s="68" t="n"/>
      <c r="AM47" s="68" t="inlineStr">
        <is>
          <t>Linked primary/secondary</t>
        </is>
      </c>
      <c r="AN47" s="68" t="n">
        <v>0.9</v>
      </c>
      <c r="AO47" s="68" t="inlineStr">
        <is>
          <t>Near ready</t>
        </is>
      </c>
      <c r="AP47" s="68" t="n"/>
      <c r="AQ47" s="68" t="n"/>
      <c r="AR47" s="68" t="inlineStr">
        <is>
          <t>Editorial polish</t>
        </is>
      </c>
      <c r="AS47" s="68" t="inlineStr">
        <is>
          <t>Not started</t>
        </is>
      </c>
      <c r="AT47" s="68" t="n"/>
      <c r="AU47" s="68" t="n"/>
      <c r="AV47" s="68" t="n"/>
      <c r="AW47" s="68" t="n"/>
      <c r="AX47" s="68" t="n"/>
      <c r="AY47" s="68" t="n"/>
      <c r="AZ47" s="68" t="n"/>
      <c r="BA47" s="68" t="n"/>
      <c r="BB47" s="68" t="n"/>
      <c r="BC47" s="68" t="n"/>
      <c r="BD47" s="68" t="n"/>
      <c r="BE47" s="68" t="inlineStr">
        <is>
          <t>2026-04-10</t>
        </is>
      </c>
      <c r="BF47" s="68" t="inlineStr">
        <is>
          <t>Metadata normalized from internal workbook links</t>
        </is>
      </c>
      <c r="BG47" s="68" t="inlineStr">
        <is>
          <t>mugwort|2026-04-10</t>
        </is>
      </c>
      <c r="BH47" s="68" t="inlineStr">
        <is>
          <t>2026-04-10:auto-normalized</t>
        </is>
      </c>
      <c r="BI47" t="inlineStr">
        <is>
          <t>mugwort</t>
        </is>
      </c>
      <c r="BJ47" t="inlineStr">
        <is>
          <t>Mugwort</t>
        </is>
      </c>
      <c r="BK47" t="n">
        <v>1</v>
      </c>
      <c r="BL47" t="n">
        <v>1</v>
      </c>
      <c r="BM47" t="n">
        <v>3</v>
      </c>
      <c r="BN47" t="n">
        <v>7</v>
      </c>
      <c r="BO47" t="n">
        <v>100</v>
      </c>
      <c r="BP47" t="n">
        <v>8</v>
      </c>
      <c r="BQ47" t="n">
        <v>10</v>
      </c>
      <c r="BR47" t="n">
        <v>5</v>
      </c>
      <c r="BS47" t="inlineStr">
        <is>
          <t>Tier 1</t>
        </is>
      </c>
      <c r="BT47" t="n">
        <v>5</v>
      </c>
      <c r="BU47" t="inlineStr">
        <is>
          <t>FALSE</t>
        </is>
      </c>
      <c r="BV47" t="inlineStr">
        <is>
          <t>mugwort</t>
        </is>
      </c>
      <c r="BW47" t="inlineStr">
        <is>
          <t>TRUE</t>
        </is>
      </c>
      <c r="BX47" t="inlineStr">
        <is>
          <t>Pass 10 refreshed scoring from 1 mapped compounds | Pass 13 rescored from 1 mapped compounds</t>
        </is>
      </c>
      <c r="BY47" t="inlineStr">
        <is>
          <t>unclassified</t>
        </is>
      </c>
      <c r="CA47" t="n">
        <v>2</v>
      </c>
      <c r="CB47" t="n">
        <v>0</v>
      </c>
      <c r="CC47" t="n">
        <v>0</v>
      </c>
      <c r="CD47" t="inlineStr">
        <is>
          <t>thujone; unclassified</t>
        </is>
      </c>
      <c r="CE47" t="inlineStr">
        <is>
          <t>Pass 13 rescored after herb-name normalization and real top-herb compound sweep</t>
        </is>
      </c>
      <c r="CF47" t="inlineStr">
        <is>
          <t>General</t>
        </is>
      </c>
      <c r="CH47" s="68" t="inlineStr">
        <is>
          <t>Start with low single-herb exposure and increase only if tolerated</t>
        </is>
      </c>
      <c r="CI47" s="68" t="inlineStr">
        <is>
          <t>Product-ideation framing only; not clinical dosing advice.</t>
        </is>
      </c>
      <c r="CJ47" s="68" t="inlineStr">
        <is>
          <t>pregnancy</t>
        </is>
      </c>
      <c r="CK47" s="68" t="inlineStr">
        <is>
          <t>pregnancy</t>
        </is>
      </c>
      <c r="CL47" s="68" t="inlineStr">
        <is>
          <t>Moderate</t>
        </is>
      </c>
      <c r="CM47" s="68" t="inlineStr">
        <is>
          <t>No</t>
        </is>
      </c>
      <c r="CN47" s="68" t="str"/>
      <c r="CO47" s="68" t="inlineStr">
        <is>
          <t>Pass 21 herb-level safety and dose framing</t>
        </is>
      </c>
      <c r="CP47" t="inlineStr">
        <is>
          <t>Baseline</t>
        </is>
      </c>
      <c r="CQ47" t="inlineStr">
        <is>
          <t>No</t>
        </is>
      </c>
      <c r="CS47" t="inlineStr">
        <is>
          <t>Pass 22 refined safety rule severity and reduced broad keyword over-flagging</t>
        </is>
      </c>
      <c r="CT47" t="inlineStr">
        <is>
          <t>General</t>
        </is>
      </c>
      <c r="CU47" t="inlineStr">
        <is>
          <t>digestive support; traditional cycle support</t>
        </is>
      </c>
      <c r="CV47" t="inlineStr">
        <is>
          <t>Human</t>
        </is>
      </c>
      <c r="CW47" t="inlineStr">
        <is>
          <t>Pass 26 normalization: categories, mechanisms, evidence tiers</t>
        </is>
      </c>
      <c r="CX47" t="inlineStr">
        <is>
          <t>Limited human</t>
        </is>
      </c>
      <c r="CY47" t="inlineStr">
        <is>
          <t>Use caution with concentrated preparations.</t>
        </is>
      </c>
      <c r="CZ47" t="inlineStr">
        <is>
          <t>Avoid during pregnancy</t>
        </is>
      </c>
      <c r="DB47" t="inlineStr">
        <is>
          <t>Pass 28 normalized evidence and safety-related free text</t>
        </is>
      </c>
      <c r="DD47" t="inlineStr">
        <is>
          <t>No standardized dose established; use conservative, product-dependent ranges.</t>
        </is>
      </c>
      <c r="DE47" t="inlineStr">
        <is>
          <t>Common forms include extracts, powders, or teas depending on herb part.</t>
        </is>
      </c>
      <c r="DF47" t="inlineStr">
        <is>
          <t>Quality varies by extraction method, standardization, and contamination risk.</t>
        </is>
      </c>
      <c r="DG47" t="inlineStr">
        <is>
          <t>Moderate to high</t>
        </is>
      </c>
      <c r="DH47" t="inlineStr">
        <is>
          <t>Pass 29 completeness repair</t>
        </is>
      </c>
      <c r="DI47" t="n">
        <v>9</v>
      </c>
      <c r="DJ47" t="inlineStr">
        <is>
          <t>General</t>
        </is>
      </c>
      <c r="DK47" t="inlineStr">
        <is>
          <t>thujone</t>
        </is>
      </c>
      <c r="DL47" t="inlineStr">
        <is>
          <t>Agarikon; Ajwain; Angelica Root; Artichoke; Ashoka</t>
        </is>
      </c>
      <c r="DM47" t="inlineStr">
        <is>
          <t>Pass 31 relationship intelligence: density, cluster, anchor class, nearest herbs</t>
        </is>
      </c>
      <c r="DN47" t="inlineStr">
        <is>
          <t>Artichoke; Blue Lotus; Burdock; Butterbur; Calendula</t>
        </is>
      </c>
      <c r="DO47" t="inlineStr">
        <is>
          <t>Artichoke (1 shared pathways) | Blue Lotus (1 shared pathways) | Burdock (1 shared pathways)</t>
        </is>
      </c>
      <c r="DP47" t="inlineStr">
        <is>
          <t>Generalist</t>
        </is>
      </c>
      <c r="DQ47" t="inlineStr">
        <is>
          <t>Pass 32 substitute engine + cluster cleanup</t>
        </is>
      </c>
      <c r="DR47" t="inlineStr">
        <is>
          <t>Blue Lotus</t>
        </is>
      </c>
      <c r="DS47" t="inlineStr">
        <is>
          <t>Burdock</t>
        </is>
      </c>
      <c r="DT47" t="inlineStr">
        <is>
          <t>same cluster; lower safety burden; similarity-backed</t>
        </is>
      </c>
      <c r="DU47" t="inlineStr">
        <is>
          <t>Not needed</t>
        </is>
      </c>
      <c r="DV47" t="inlineStr">
        <is>
          <t>Pass 33 fallback replacement engine</t>
        </is>
      </c>
      <c r="DW47" t="inlineStr">
        <is>
          <t>Butterbur</t>
        </is>
      </c>
      <c r="DX47" t="inlineStr">
        <is>
          <t>Blue Lotus; Burdock; Butterbur; Calendula; Agarikon; Ajwain; Angelica Root; Ashoka</t>
        </is>
      </c>
      <c r="DY47" t="inlineStr">
        <is>
          <t>Pass 35 expanded fallback pool with second-pass candidate exploration</t>
        </is>
      </c>
      <c r="EA47" t="inlineStr">
        <is>
          <t>General</t>
        </is>
      </c>
      <c r="EB47" t="inlineStr">
        <is>
          <t>unclassified</t>
        </is>
      </c>
      <c r="EC47" t="inlineStr">
        <is>
          <t>High</t>
        </is>
      </c>
      <c r="ED47" t="inlineStr">
        <is>
          <t>Pass 40 reinforced weak-category herb data</t>
        </is>
      </c>
      <c r="EG47" t="n">
        <v>3</v>
      </c>
      <c r="EH47" t="n">
        <v>3</v>
      </c>
      <c r="EI47" t="n">
        <v>0</v>
      </c>
      <c r="EJ47" t="n">
        <v>0</v>
      </c>
      <c r="EK47" t="n">
        <v>11</v>
      </c>
      <c r="EL47" t="n">
        <v>7</v>
      </c>
      <c r="EM47" t="inlineStr">
        <is>
          <t>thujone</t>
        </is>
      </c>
      <c r="EN47" t="inlineStr">
        <is>
          <t>Pass 48 rolled compound scores into herb-level scoring</t>
        </is>
      </c>
    </row>
    <row r="48">
      <c r="A48" s="68" t="inlineStr">
        <is>
          <t>Lemon Verbena</t>
        </is>
      </c>
      <c r="B48" s="68" t="inlineStr">
        <is>
          <t>lemon-verbena</t>
        </is>
      </c>
      <c r="C48" s="68" t="inlineStr">
        <is>
          <t>Aloysia citrodora</t>
        </is>
      </c>
      <c r="D48" s="68" t="inlineStr">
        <is>
          <t>herb</t>
        </is>
      </c>
      <c r="E48" s="68" t="inlineStr">
        <is>
          <t>leaf</t>
        </is>
      </c>
      <c r="F48" s="68" t="inlineStr">
        <is>
          <t>leaf</t>
        </is>
      </c>
      <c r="G48" s="68" t="inlineStr">
        <is>
          <t>lemon verbena</t>
        </is>
      </c>
      <c r="H48" s="68" t="inlineStr">
        <is>
          <t>South America; cultivated broadly</t>
        </is>
      </c>
      <c r="I48" s="68" t="inlineStr">
        <is>
          <t>Lemon verbena is positioned for calming and digestive support.</t>
        </is>
      </c>
      <c r="J48" s="68" t="inlineStr">
        <is>
          <t>It is best framed as a gentle aromatic botanical with modest evidence and pleasant tolerability.</t>
        </is>
      </c>
      <c r="K48" s="68" t="inlineStr">
        <is>
          <t>verbascoside; volatile oils</t>
        </is>
      </c>
      <c r="L48" s="68" t="inlineStr">
        <is>
          <t>verbascoside</t>
        </is>
      </c>
      <c r="M48" s="68" t="inlineStr">
        <is>
          <t>Phenylpropanoid glycosides and aromatics are associated with calming and digestive positioning.</t>
        </is>
      </c>
      <c r="N48" s="68" t="inlineStr">
        <is>
          <t>calming support; digestive support</t>
        </is>
      </c>
      <c r="O48" s="68" t="inlineStr">
        <is>
          <t>traditional use + limited human</t>
        </is>
      </c>
      <c r="P48" s="68" t="inlineStr">
        <is>
          <t>Generally well tolerated.</t>
        </is>
      </c>
      <c r="Q48" s="68" t="inlineStr">
        <is>
          <t>Use caution with concentrated essential-oil contexts.</t>
        </is>
      </c>
      <c r="R48" s="68" t="n"/>
      <c r="S48" s="68" t="n"/>
      <c r="T48" s="68" t="n"/>
      <c r="U48" s="68" t="n"/>
      <c r="V48" s="68" t="n"/>
      <c r="W48" s="68" t="inlineStr">
        <is>
          <t>High</t>
        </is>
      </c>
      <c r="X48" s="68" t="inlineStr">
        <is>
          <t>validated</t>
        </is>
      </c>
      <c r="Y48" s="68" t="n"/>
      <c r="Z48" s="68" t="inlineStr">
        <is>
          <t>present</t>
        </is>
      </c>
      <c r="AA48" s="68" t="inlineStr">
        <is>
          <t>Internal workbook + enrichment queue</t>
        </is>
      </c>
      <c r="AB48" s="68" t="n"/>
      <c r="AC48" s="68" t="n"/>
      <c r="AD48" s="68" t="n"/>
      <c r="AE48" s="68" t="n"/>
      <c r="AF48" s="68" t="n"/>
      <c r="AG48" s="68" t="n">
        <v>3</v>
      </c>
      <c r="AH48" s="68" t="n">
        <v>1</v>
      </c>
      <c r="AI48" s="68" t="n">
        <v>3</v>
      </c>
      <c r="AJ48" s="68" t="n">
        <v>7</v>
      </c>
      <c r="AK48" s="68" t="inlineStr">
        <is>
          <t>Medium</t>
        </is>
      </c>
      <c r="AL48" s="68" t="n"/>
      <c r="AM48" s="68" t="inlineStr">
        <is>
          <t>Linked primary/secondary</t>
        </is>
      </c>
      <c r="AN48" s="68" t="n">
        <v>0.9</v>
      </c>
      <c r="AO48" s="68" t="inlineStr">
        <is>
          <t>Near ready</t>
        </is>
      </c>
      <c r="AP48" s="68" t="n"/>
      <c r="AQ48" s="68" t="n"/>
      <c r="AR48" s="68" t="inlineStr">
        <is>
          <t>Editorial polish</t>
        </is>
      </c>
      <c r="AS48" s="68" t="inlineStr">
        <is>
          <t>Not started</t>
        </is>
      </c>
      <c r="AT48" s="68" t="n"/>
      <c r="AU48" s="68" t="n"/>
      <c r="AV48" s="68" t="n"/>
      <c r="AW48" s="68" t="n"/>
      <c r="AX48" s="68" t="n"/>
      <c r="AY48" s="68" t="n"/>
      <c r="AZ48" s="68" t="n"/>
      <c r="BA48" s="68" t="n"/>
      <c r="BB48" s="68" t="n"/>
      <c r="BC48" s="68" t="n"/>
      <c r="BD48" s="68" t="n"/>
      <c r="BE48" s="68" t="inlineStr">
        <is>
          <t>2026-04-10</t>
        </is>
      </c>
      <c r="BF48" s="68" t="inlineStr">
        <is>
          <t>Metadata normalized from internal workbook links</t>
        </is>
      </c>
      <c r="BG48" s="68" t="inlineStr">
        <is>
          <t>lemon-verbena|2026-04-10</t>
        </is>
      </c>
      <c r="BH48" s="68" t="inlineStr">
        <is>
          <t>2026-04-10:auto-normalized</t>
        </is>
      </c>
      <c r="BI48" t="inlineStr">
        <is>
          <t>lemon-verbena</t>
        </is>
      </c>
      <c r="BJ48" t="inlineStr">
        <is>
          <t>Lemon Verbena</t>
        </is>
      </c>
      <c r="BK48" t="n">
        <v>1</v>
      </c>
      <c r="BL48" t="n">
        <v>1</v>
      </c>
      <c r="BM48" t="n">
        <v>3</v>
      </c>
      <c r="BN48" t="n">
        <v>7</v>
      </c>
      <c r="BO48" t="n">
        <v>100</v>
      </c>
      <c r="BP48" t="n">
        <v>8</v>
      </c>
      <c r="BQ48" t="n">
        <v>10</v>
      </c>
      <c r="BR48" t="n">
        <v>5</v>
      </c>
      <c r="BS48" t="inlineStr">
        <is>
          <t>Tier 1</t>
        </is>
      </c>
      <c r="BT48" t="n">
        <v>5</v>
      </c>
      <c r="BU48" t="inlineStr">
        <is>
          <t>FALSE</t>
        </is>
      </c>
      <c r="BV48" t="inlineStr">
        <is>
          <t>lemon-verbena</t>
        </is>
      </c>
      <c r="BW48" t="inlineStr">
        <is>
          <t>TRUE</t>
        </is>
      </c>
      <c r="BX48" t="inlineStr">
        <is>
          <t>Pass 10 refreshed scoring from 1 mapped compounds | Pass 13 rescored from 1 mapped compounds</t>
        </is>
      </c>
      <c r="BY48" t="inlineStr">
        <is>
          <t>unclassified</t>
        </is>
      </c>
      <c r="CA48" t="n">
        <v>2</v>
      </c>
      <c r="CB48" t="n">
        <v>0</v>
      </c>
      <c r="CC48" t="n">
        <v>0</v>
      </c>
      <c r="CD48" t="inlineStr">
        <is>
          <t>verbascoside; unclassified</t>
        </is>
      </c>
      <c r="CE48" t="inlineStr">
        <is>
          <t>Pass 13 rescored after herb-name normalization and real top-herb compound sweep</t>
        </is>
      </c>
      <c r="CF48" t="inlineStr">
        <is>
          <t>General</t>
        </is>
      </c>
      <c r="CH48" s="68" t="inlineStr">
        <is>
          <t>Start with low single-herb exposure and increase only if tolerated</t>
        </is>
      </c>
      <c r="CI48" s="68" t="inlineStr">
        <is>
          <t>Product-ideation framing only; not clinical dosing advice.</t>
        </is>
      </c>
      <c r="CJ48" s="68" t="str"/>
      <c r="CK48" s="68" t="str"/>
      <c r="CL48" s="68" t="inlineStr">
        <is>
          <t>Moderate</t>
        </is>
      </c>
      <c r="CM48" s="68" t="inlineStr">
        <is>
          <t>No</t>
        </is>
      </c>
      <c r="CN48" s="68" t="str"/>
      <c r="CO48" s="68" t="inlineStr">
        <is>
          <t>Pass 21 herb-level safety and dose framing</t>
        </is>
      </c>
      <c r="CP48" t="inlineStr">
        <is>
          <t>Baseline</t>
        </is>
      </c>
      <c r="CQ48" t="inlineStr">
        <is>
          <t>No</t>
        </is>
      </c>
      <c r="CS48" t="inlineStr">
        <is>
          <t>Pass 22 refined safety rule severity and reduced broad keyword over-flagging</t>
        </is>
      </c>
      <c r="CT48" t="inlineStr">
        <is>
          <t>General</t>
        </is>
      </c>
      <c r="CU48" t="inlineStr">
        <is>
          <t>calming support; digestive support</t>
        </is>
      </c>
      <c r="CV48" t="inlineStr">
        <is>
          <t>Human</t>
        </is>
      </c>
      <c r="CW48" t="inlineStr">
        <is>
          <t>Pass 26 normalization: categories, mechanisms, evidence tiers</t>
        </is>
      </c>
      <c r="CX48" t="inlineStr">
        <is>
          <t>Limited human</t>
        </is>
      </c>
      <c r="CY48" t="inlineStr">
        <is>
          <t>Generally well tolerated.</t>
        </is>
      </c>
      <c r="CZ48" t="inlineStr">
        <is>
          <t>Use caution with concentrated essential-oil contexts</t>
        </is>
      </c>
      <c r="DB48" t="inlineStr">
        <is>
          <t>Pass 28 normalized evidence and safety-related free text</t>
        </is>
      </c>
      <c r="DD48" t="inlineStr">
        <is>
          <t>No standardized dose established; use conservative, product-dependent ranges.</t>
        </is>
      </c>
      <c r="DE48" t="inlineStr">
        <is>
          <t>Common forms include extracts, powders, or teas depending on herb part.</t>
        </is>
      </c>
      <c r="DF48" t="inlineStr">
        <is>
          <t>Quality varies by extraction method, standardization, and contamination risk.</t>
        </is>
      </c>
      <c r="DG48" t="inlineStr">
        <is>
          <t>Moderate to high</t>
        </is>
      </c>
      <c r="DH48" t="inlineStr">
        <is>
          <t>Pass 29 completeness repair</t>
        </is>
      </c>
      <c r="DI48" t="n">
        <v>9</v>
      </c>
      <c r="DJ48" t="inlineStr">
        <is>
          <t>General</t>
        </is>
      </c>
      <c r="DK48" t="inlineStr">
        <is>
          <t>verbascoside</t>
        </is>
      </c>
      <c r="DL48" t="inlineStr">
        <is>
          <t>Agarikon; Ajwain; Angelica Root; Artichoke; Ashoka</t>
        </is>
      </c>
      <c r="DM48" t="inlineStr">
        <is>
          <t>Pass 31 relationship intelligence: density, cluster, anchor class, nearest herbs</t>
        </is>
      </c>
      <c r="DN48" t="inlineStr">
        <is>
          <t>Artichoke; Blue Lotus; Burdock; Butterbur; Calendula</t>
        </is>
      </c>
      <c r="DO48" t="inlineStr">
        <is>
          <t>Artichoke (1 shared pathways) | Blue Lotus (1 shared pathways) | Burdock (1 shared pathways)</t>
        </is>
      </c>
      <c r="DP48" t="inlineStr">
        <is>
          <t>Generalist</t>
        </is>
      </c>
      <c r="DQ48" t="inlineStr">
        <is>
          <t>Pass 32 substitute engine + cluster cleanup</t>
        </is>
      </c>
      <c r="DR48" t="inlineStr">
        <is>
          <t>Blue Lotus</t>
        </is>
      </c>
      <c r="DS48" t="inlineStr">
        <is>
          <t>Burdock</t>
        </is>
      </c>
      <c r="DT48" t="inlineStr">
        <is>
          <t>same cluster; lower safety burden; similarity-backed</t>
        </is>
      </c>
      <c r="DU48" t="inlineStr">
        <is>
          <t>Not needed</t>
        </is>
      </c>
      <c r="DV48" t="inlineStr">
        <is>
          <t>Pass 33 fallback replacement engine</t>
        </is>
      </c>
      <c r="DW48" t="inlineStr">
        <is>
          <t>Butterbur</t>
        </is>
      </c>
      <c r="DX48" t="inlineStr">
        <is>
          <t>Blue Lotus; Burdock; Butterbur; Calendula; Agarikon; Ajwain; Angelica Root; Ashoka</t>
        </is>
      </c>
      <c r="DY48" t="inlineStr">
        <is>
          <t>Pass 35 expanded fallback pool with second-pass candidate exploration</t>
        </is>
      </c>
      <c r="EA48" t="inlineStr">
        <is>
          <t>General</t>
        </is>
      </c>
      <c r="EB48" t="inlineStr">
        <is>
          <t>unclassified</t>
        </is>
      </c>
      <c r="EC48" t="inlineStr">
        <is>
          <t>High</t>
        </is>
      </c>
      <c r="ED48" t="inlineStr">
        <is>
          <t>Pass 40 reinforced weak-category herb data</t>
        </is>
      </c>
      <c r="EG48" t="n">
        <v>3</v>
      </c>
      <c r="EH48" t="n">
        <v>3</v>
      </c>
      <c r="EI48" t="n">
        <v>0</v>
      </c>
      <c r="EJ48" t="n">
        <v>0</v>
      </c>
      <c r="EK48" t="n">
        <v>11</v>
      </c>
      <c r="EL48" t="n">
        <v>7</v>
      </c>
      <c r="EM48" t="inlineStr">
        <is>
          <t>verbascoside</t>
        </is>
      </c>
      <c r="EN48" t="inlineStr">
        <is>
          <t>Pass 48 rolled compound scores into herb-level scoring</t>
        </is>
      </c>
    </row>
    <row r="49">
      <c r="A49" s="68" t="inlineStr">
        <is>
          <t>Milk Oats</t>
        </is>
      </c>
      <c r="B49" s="68" t="inlineStr">
        <is>
          <t>milky-oats</t>
        </is>
      </c>
      <c r="C49" s="68" t="inlineStr">
        <is>
          <t>Avena sativa</t>
        </is>
      </c>
      <c r="D49" s="68" t="inlineStr">
        <is>
          <t>herb</t>
        </is>
      </c>
      <c r="E49" s="68" t="inlineStr">
        <is>
          <t>seed stage</t>
        </is>
      </c>
      <c r="F49" s="68" t="inlineStr">
        <is>
          <t>milky seed tops</t>
        </is>
      </c>
      <c r="G49" s="68" t="inlineStr">
        <is>
          <t>milky oats; milk oats</t>
        </is>
      </c>
      <c r="H49" s="68" t="inlineStr">
        <is>
          <t>Europe and cultivated globally</t>
        </is>
      </c>
      <c r="I49" s="68" t="inlineStr">
        <is>
          <t>Milky oats are positioned for nutritive nervous-system support.</t>
        </is>
      </c>
      <c r="J49" s="68" t="inlineStr">
        <is>
          <t>They are best framed as a gentle traditional tonic rather than a strong acute intervention.</t>
        </is>
      </c>
      <c r="K49" s="68" t="inlineStr">
        <is>
          <t>avenacosides; avenanthramides</t>
        </is>
      </c>
      <c r="L49" s="68" t="inlineStr">
        <is>
          <t>avenacosides</t>
        </is>
      </c>
      <c r="M49" s="68" t="inlineStr">
        <is>
          <t>Traditional positioning centers on gentle nutritive support rather than a single strong mechanism.</t>
        </is>
      </c>
      <c r="N49" s="68" t="inlineStr">
        <is>
          <t>nutritive support; calming support</t>
        </is>
      </c>
      <c r="O49" s="68" t="inlineStr">
        <is>
          <t>traditional use + limited human</t>
        </is>
      </c>
      <c r="P49" s="68" t="inlineStr">
        <is>
          <t>Generally well tolerated.</t>
        </is>
      </c>
      <c r="Q49" s="68" t="inlineStr">
        <is>
          <t>Use caution with sourcing and gluten cross-contact concerns.</t>
        </is>
      </c>
      <c r="R49" s="68" t="n"/>
      <c r="S49" s="68" t="n"/>
      <c r="T49" s="68" t="n"/>
      <c r="U49" s="68" t="n"/>
      <c r="V49" s="68" t="n"/>
      <c r="W49" s="68" t="inlineStr">
        <is>
          <t>High</t>
        </is>
      </c>
      <c r="X49" s="68" t="inlineStr">
        <is>
          <t>validated</t>
        </is>
      </c>
      <c r="Y49" s="68" t="n"/>
      <c r="Z49" s="68" t="inlineStr">
        <is>
          <t>present</t>
        </is>
      </c>
      <c r="AA49" s="68" t="inlineStr">
        <is>
          <t>Internal workbook + enrichment queue</t>
        </is>
      </c>
      <c r="AB49" s="68" t="n"/>
      <c r="AC49" s="68" t="n"/>
      <c r="AD49" s="68" t="n"/>
      <c r="AE49" s="68" t="n"/>
      <c r="AF49" s="68" t="n"/>
      <c r="AG49" s="68" t="n">
        <v>3</v>
      </c>
      <c r="AH49" s="68" t="n">
        <v>1</v>
      </c>
      <c r="AI49" s="68" t="n">
        <v>3</v>
      </c>
      <c r="AJ49" s="68" t="n">
        <v>7</v>
      </c>
      <c r="AK49" s="68" t="inlineStr">
        <is>
          <t>Medium</t>
        </is>
      </c>
      <c r="AL49" s="68" t="n"/>
      <c r="AM49" s="68" t="inlineStr">
        <is>
          <t>Linked primary/secondary</t>
        </is>
      </c>
      <c r="AN49" s="68" t="n">
        <v>0.9</v>
      </c>
      <c r="AO49" s="68" t="inlineStr">
        <is>
          <t>Near ready</t>
        </is>
      </c>
      <c r="AP49" s="68" t="n"/>
      <c r="AQ49" s="68" t="n"/>
      <c r="AR49" s="68" t="inlineStr">
        <is>
          <t>Editorial polish</t>
        </is>
      </c>
      <c r="AS49" s="68" t="inlineStr">
        <is>
          <t>Not started</t>
        </is>
      </c>
      <c r="AT49" s="68" t="n"/>
      <c r="AU49" s="68" t="n"/>
      <c r="AV49" s="68" t="n"/>
      <c r="AW49" s="68" t="n"/>
      <c r="AX49" s="68" t="n"/>
      <c r="AY49" s="68" t="n"/>
      <c r="AZ49" s="68" t="n"/>
      <c r="BA49" s="68" t="n"/>
      <c r="BB49" s="68" t="n"/>
      <c r="BC49" s="68" t="n"/>
      <c r="BD49" s="68" t="n"/>
      <c r="BE49" s="68" t="inlineStr">
        <is>
          <t>2026-04-10</t>
        </is>
      </c>
      <c r="BF49" s="68" t="inlineStr">
        <is>
          <t>Metadata normalized from internal workbook links</t>
        </is>
      </c>
      <c r="BG49" s="68" t="inlineStr">
        <is>
          <t>milky-oats|2026-04-10</t>
        </is>
      </c>
      <c r="BH49" s="68" t="inlineStr">
        <is>
          <t>2026-04-10:auto-normalized</t>
        </is>
      </c>
      <c r="BI49" t="inlineStr">
        <is>
          <t>milky-oats</t>
        </is>
      </c>
      <c r="BJ49" t="inlineStr">
        <is>
          <t>Milk Oats</t>
        </is>
      </c>
      <c r="BK49" t="n">
        <v>1</v>
      </c>
      <c r="BL49" t="n">
        <v>1</v>
      </c>
      <c r="BM49" t="n">
        <v>3</v>
      </c>
      <c r="BN49" t="n">
        <v>7</v>
      </c>
      <c r="BO49" t="n">
        <v>100</v>
      </c>
      <c r="BP49" t="n">
        <v>8</v>
      </c>
      <c r="BQ49" t="n">
        <v>10</v>
      </c>
      <c r="BR49" t="n">
        <v>5</v>
      </c>
      <c r="BS49" t="inlineStr">
        <is>
          <t>Tier 1</t>
        </is>
      </c>
      <c r="BT49" t="n">
        <v>5</v>
      </c>
      <c r="BU49" t="inlineStr">
        <is>
          <t>FALSE</t>
        </is>
      </c>
      <c r="BV49" t="inlineStr">
        <is>
          <t>milky-oats</t>
        </is>
      </c>
      <c r="BW49" t="inlineStr">
        <is>
          <t>TRUE</t>
        </is>
      </c>
      <c r="BX49" t="inlineStr">
        <is>
          <t>Pass 10 refreshed scoring from 1 mapped compounds | Pass 13 rescored from 1 mapped compounds</t>
        </is>
      </c>
      <c r="BY49" t="inlineStr">
        <is>
          <t>unclassified</t>
        </is>
      </c>
      <c r="CA49" t="n">
        <v>2</v>
      </c>
      <c r="CB49" t="n">
        <v>0</v>
      </c>
      <c r="CC49" t="n">
        <v>0</v>
      </c>
      <c r="CD49" t="inlineStr">
        <is>
          <t>avenacosides; unclassified</t>
        </is>
      </c>
      <c r="CE49" t="inlineStr">
        <is>
          <t>Pass 13 rescored after herb-name normalization and real top-herb compound sweep</t>
        </is>
      </c>
      <c r="CF49" t="inlineStr">
        <is>
          <t>General</t>
        </is>
      </c>
      <c r="CH49" s="68" t="inlineStr">
        <is>
          <t>Start with low single-herb exposure and increase only if tolerated</t>
        </is>
      </c>
      <c r="CI49" s="68" t="inlineStr">
        <is>
          <t>Product-ideation framing only; not clinical dosing advice.</t>
        </is>
      </c>
      <c r="CJ49" s="68" t="str"/>
      <c r="CK49" s="68" t="str"/>
      <c r="CL49" s="68" t="inlineStr">
        <is>
          <t>Moderate</t>
        </is>
      </c>
      <c r="CM49" s="68" t="inlineStr">
        <is>
          <t>No</t>
        </is>
      </c>
      <c r="CN49" s="68" t="str"/>
      <c r="CO49" s="68" t="inlineStr">
        <is>
          <t>Pass 21 herb-level safety and dose framing</t>
        </is>
      </c>
      <c r="CP49" t="inlineStr">
        <is>
          <t>Baseline</t>
        </is>
      </c>
      <c r="CQ49" t="inlineStr">
        <is>
          <t>No</t>
        </is>
      </c>
      <c r="CS49" t="inlineStr">
        <is>
          <t>Pass 22 refined safety rule severity and reduced broad keyword over-flagging</t>
        </is>
      </c>
      <c r="CT49" t="inlineStr">
        <is>
          <t>General</t>
        </is>
      </c>
      <c r="CU49" t="inlineStr">
        <is>
          <t>calming support; nutritive support</t>
        </is>
      </c>
      <c r="CV49" t="inlineStr">
        <is>
          <t>Human</t>
        </is>
      </c>
      <c r="CW49" t="inlineStr">
        <is>
          <t>Pass 26 normalization: categories, mechanisms, evidence tiers</t>
        </is>
      </c>
      <c r="CX49" t="inlineStr">
        <is>
          <t>Limited human</t>
        </is>
      </c>
      <c r="CY49" t="inlineStr">
        <is>
          <t>Generally well tolerated.</t>
        </is>
      </c>
      <c r="CZ49" t="inlineStr">
        <is>
          <t>Use caution with sourcing and gluten cross-contact concerns</t>
        </is>
      </c>
      <c r="DB49" t="inlineStr">
        <is>
          <t>Pass 28 normalized evidence and safety-related free text</t>
        </is>
      </c>
      <c r="DD49" t="inlineStr">
        <is>
          <t>No standardized dose established; use conservative, product-dependent ranges.</t>
        </is>
      </c>
      <c r="DE49" t="inlineStr">
        <is>
          <t>Common forms include extracts, powders, or teas depending on herb part.</t>
        </is>
      </c>
      <c r="DF49" t="inlineStr">
        <is>
          <t>Quality varies by extraction method, standardization, and contamination risk.</t>
        </is>
      </c>
      <c r="DG49" t="inlineStr">
        <is>
          <t>Moderate to high</t>
        </is>
      </c>
      <c r="DH49" t="inlineStr">
        <is>
          <t>Pass 29 completeness repair</t>
        </is>
      </c>
      <c r="DI49" t="n">
        <v>9</v>
      </c>
      <c r="DJ49" t="inlineStr">
        <is>
          <t>General</t>
        </is>
      </c>
      <c r="DK49" t="inlineStr">
        <is>
          <t>avenacosides</t>
        </is>
      </c>
      <c r="DL49" t="inlineStr">
        <is>
          <t>Agarikon; Ajwain; Angelica Root; Artichoke; Ashoka</t>
        </is>
      </c>
      <c r="DM49" t="inlineStr">
        <is>
          <t>Pass 31 relationship intelligence: density, cluster, anchor class, nearest herbs</t>
        </is>
      </c>
      <c r="DN49" t="inlineStr">
        <is>
          <t>Artichoke; Blue Lotus; Burdock; Butterbur; Calendula</t>
        </is>
      </c>
      <c r="DO49" t="inlineStr">
        <is>
          <t>Artichoke (1 shared pathways) | Blue Lotus (1 shared pathways) | Burdock (1 shared pathways)</t>
        </is>
      </c>
      <c r="DP49" t="inlineStr">
        <is>
          <t>Generalist</t>
        </is>
      </c>
      <c r="DQ49" t="inlineStr">
        <is>
          <t>Pass 32 substitute engine + cluster cleanup</t>
        </is>
      </c>
      <c r="DR49" t="inlineStr">
        <is>
          <t>Blue Lotus</t>
        </is>
      </c>
      <c r="DS49" t="inlineStr">
        <is>
          <t>Burdock</t>
        </is>
      </c>
      <c r="DT49" t="inlineStr">
        <is>
          <t>same cluster; lower safety burden; similarity-backed</t>
        </is>
      </c>
      <c r="DU49" t="inlineStr">
        <is>
          <t>Not needed</t>
        </is>
      </c>
      <c r="DV49" t="inlineStr">
        <is>
          <t>Pass 33 fallback replacement engine</t>
        </is>
      </c>
      <c r="DW49" t="inlineStr">
        <is>
          <t>Butterbur</t>
        </is>
      </c>
      <c r="DX49" t="inlineStr">
        <is>
          <t>Blue Lotus; Burdock; Butterbur; Calendula; Agarikon; Ajwain; Angelica Root; Ashoka</t>
        </is>
      </c>
      <c r="DY49" t="inlineStr">
        <is>
          <t>Pass 35 expanded fallback pool with second-pass candidate exploration</t>
        </is>
      </c>
      <c r="EA49" t="inlineStr">
        <is>
          <t>General</t>
        </is>
      </c>
      <c r="EB49" t="inlineStr">
        <is>
          <t>unclassified</t>
        </is>
      </c>
      <c r="EC49" t="inlineStr">
        <is>
          <t>High</t>
        </is>
      </c>
      <c r="ED49" t="inlineStr">
        <is>
          <t>Pass 40 reinforced weak-category herb data</t>
        </is>
      </c>
      <c r="EG49" t="n">
        <v>3</v>
      </c>
      <c r="EH49" t="n">
        <v>3</v>
      </c>
      <c r="EI49" t="n">
        <v>0</v>
      </c>
      <c r="EJ49" t="n">
        <v>0</v>
      </c>
      <c r="EK49" t="n">
        <v>11</v>
      </c>
      <c r="EL49" t="n">
        <v>7</v>
      </c>
      <c r="EM49" t="inlineStr">
        <is>
          <t>avenacosides</t>
        </is>
      </c>
      <c r="EN49" t="inlineStr">
        <is>
          <t>Pass 48 rolled compound scores into herb-level scoring</t>
        </is>
      </c>
    </row>
    <row r="50">
      <c r="A50" s="68" t="inlineStr">
        <is>
          <t>Cissus</t>
        </is>
      </c>
      <c r="B50" s="68" t="inlineStr">
        <is>
          <t>cissus</t>
        </is>
      </c>
      <c r="C50" s="68" t="inlineStr">
        <is>
          <t>Cissus quadrangularis</t>
        </is>
      </c>
      <c r="D50" s="68" t="inlineStr">
        <is>
          <t>herb</t>
        </is>
      </c>
      <c r="E50" s="68" t="inlineStr">
        <is>
          <t>stem</t>
        </is>
      </c>
      <c r="F50" s="68" t="inlineStr">
        <is>
          <t>stem</t>
        </is>
      </c>
      <c r="G50" s="68" t="inlineStr">
        <is>
          <t>cissus</t>
        </is>
      </c>
      <c r="H50" s="68" t="inlineStr">
        <is>
          <t>Africa and South Asia</t>
        </is>
      </c>
      <c r="I50" s="68" t="inlineStr">
        <is>
          <t>Cissus is positioned for connective-tissue and recovery support.</t>
        </is>
      </c>
      <c r="J50" s="68" t="inlineStr">
        <is>
          <t>It is best framed conservatively because evidence is mixed and product positioning often outruns the data.</t>
        </is>
      </c>
      <c r="K50" s="68" t="inlineStr">
        <is>
          <t>ketosteroids; flavonoids</t>
        </is>
      </c>
      <c r="L50" s="68" t="inlineStr">
        <is>
          <t>quadrangularin A</t>
        </is>
      </c>
      <c r="M50" s="68" t="inlineStr">
        <is>
          <t>Constituents are associated with connective-tissue and recovery-adjacent positioning.</t>
        </is>
      </c>
      <c r="N50" s="68" t="inlineStr">
        <is>
          <t>connective tissue support; recovery support</t>
        </is>
      </c>
      <c r="O50" s="68" t="inlineStr">
        <is>
          <t>mixed human + preclinical</t>
        </is>
      </c>
      <c r="P50" s="68" t="inlineStr">
        <is>
          <t>Generally well tolerated.</t>
        </is>
      </c>
      <c r="Q50" s="68" t="inlineStr">
        <is>
          <t>Use caution with aggressive performance claims.</t>
        </is>
      </c>
      <c r="R50" s="68" t="n"/>
      <c r="S50" s="68" t="n"/>
      <c r="T50" s="68" t="n"/>
      <c r="U50" s="68" t="n"/>
      <c r="V50" s="68" t="n"/>
      <c r="W50" s="68" t="inlineStr">
        <is>
          <t>High</t>
        </is>
      </c>
      <c r="X50" s="68" t="inlineStr">
        <is>
          <t>validated</t>
        </is>
      </c>
      <c r="Y50" s="68" t="n"/>
      <c r="Z50" s="68" t="inlineStr">
        <is>
          <t>present</t>
        </is>
      </c>
      <c r="AA50" s="68" t="inlineStr">
        <is>
          <t>Internal workbook + enrichment queue</t>
        </is>
      </c>
      <c r="AB50" s="68" t="n"/>
      <c r="AC50" s="68" t="n"/>
      <c r="AD50" s="68" t="n"/>
      <c r="AE50" s="68" t="n"/>
      <c r="AF50" s="68" t="n"/>
      <c r="AG50" s="68" t="n">
        <v>3</v>
      </c>
      <c r="AH50" s="68" t="n">
        <v>1</v>
      </c>
      <c r="AI50" s="68" t="n">
        <v>3</v>
      </c>
      <c r="AJ50" s="68" t="n">
        <v>7</v>
      </c>
      <c r="AK50" s="68" t="inlineStr">
        <is>
          <t>Medium</t>
        </is>
      </c>
      <c r="AL50" s="68" t="n"/>
      <c r="AM50" s="68" t="inlineStr">
        <is>
          <t>Linked primary/secondary</t>
        </is>
      </c>
      <c r="AN50" s="68" t="n">
        <v>0.9</v>
      </c>
      <c r="AO50" s="68" t="inlineStr">
        <is>
          <t>Near ready</t>
        </is>
      </c>
      <c r="AP50" s="68" t="n"/>
      <c r="AQ50" s="68" t="n"/>
      <c r="AR50" s="68" t="inlineStr">
        <is>
          <t>Editorial polish</t>
        </is>
      </c>
      <c r="AS50" s="68" t="inlineStr">
        <is>
          <t>Not started</t>
        </is>
      </c>
      <c r="AT50" s="68" t="n"/>
      <c r="AU50" s="68" t="n"/>
      <c r="AV50" s="68" t="n"/>
      <c r="AW50" s="68" t="n"/>
      <c r="AX50" s="68" t="n"/>
      <c r="AY50" s="68" t="n"/>
      <c r="AZ50" s="68" t="n"/>
      <c r="BA50" s="68" t="n"/>
      <c r="BB50" s="68" t="n"/>
      <c r="BC50" s="68" t="n"/>
      <c r="BD50" s="68" t="n"/>
      <c r="BE50" s="68" t="inlineStr">
        <is>
          <t>2026-04-10</t>
        </is>
      </c>
      <c r="BF50" s="68" t="inlineStr">
        <is>
          <t>Metadata normalized from internal workbook links</t>
        </is>
      </c>
      <c r="BG50" s="68" t="inlineStr">
        <is>
          <t>cissus|2026-04-10</t>
        </is>
      </c>
      <c r="BH50" s="68" t="inlineStr">
        <is>
          <t>2026-04-10:auto-normalized</t>
        </is>
      </c>
      <c r="BI50" t="inlineStr">
        <is>
          <t>cissus</t>
        </is>
      </c>
      <c r="BJ50" t="inlineStr">
        <is>
          <t>Cissus</t>
        </is>
      </c>
      <c r="BK50" t="n">
        <v>1</v>
      </c>
      <c r="BL50" t="n">
        <v>0</v>
      </c>
      <c r="BM50" t="n">
        <v>3</v>
      </c>
      <c r="BN50" t="n">
        <v>3</v>
      </c>
      <c r="BO50" t="n">
        <v>100</v>
      </c>
      <c r="BP50" t="n">
        <v>8</v>
      </c>
      <c r="BQ50" t="n">
        <v>0</v>
      </c>
      <c r="BR50" t="n">
        <v>5</v>
      </c>
      <c r="BS50" t="inlineStr">
        <is>
          <t>Tier 4</t>
        </is>
      </c>
      <c r="BT50" t="n">
        <v>3</v>
      </c>
      <c r="BU50" t="inlineStr">
        <is>
          <t>FALSE</t>
        </is>
      </c>
      <c r="BV50" t="inlineStr">
        <is>
          <t>cissus</t>
        </is>
      </c>
      <c r="BW50" t="inlineStr">
        <is>
          <t>TRUE</t>
        </is>
      </c>
      <c r="BX50" t="inlineStr">
        <is>
          <t>Pass 10 refreshed scoring from 1 mapped compounds | Pass 13 rescored from 1 mapped compounds</t>
        </is>
      </c>
      <c r="CA50" t="n">
        <v>2</v>
      </c>
      <c r="CB50" t="n">
        <v>0</v>
      </c>
      <c r="CC50" t="n">
        <v>0</v>
      </c>
      <c r="CE50" t="inlineStr">
        <is>
          <t>Pass 13 rescored after herb-name normalization and real top-herb compound sweep</t>
        </is>
      </c>
      <c r="CF50" t="inlineStr">
        <is>
          <t>General</t>
        </is>
      </c>
      <c r="CH50" s="68" t="inlineStr">
        <is>
          <t>Start with low single-herb exposure and increase only if tolerated</t>
        </is>
      </c>
      <c r="CI50" s="68" t="inlineStr">
        <is>
          <t>Product-ideation framing only; not clinical dosing advice.</t>
        </is>
      </c>
      <c r="CJ50" s="68" t="str"/>
      <c r="CK50" s="68" t="str"/>
      <c r="CL50" s="68" t="inlineStr">
        <is>
          <t>Baseline</t>
        </is>
      </c>
      <c r="CM50" s="68" t="inlineStr">
        <is>
          <t>No</t>
        </is>
      </c>
      <c r="CN50" s="68" t="str"/>
      <c r="CO50" s="68" t="inlineStr">
        <is>
          <t>Pass 21 herb-level safety and dose framing</t>
        </is>
      </c>
      <c r="CP50" t="inlineStr">
        <is>
          <t>Baseline</t>
        </is>
      </c>
      <c r="CQ50" t="inlineStr">
        <is>
          <t>No</t>
        </is>
      </c>
      <c r="CS50" t="inlineStr">
        <is>
          <t>Pass 22 refined safety rule severity and reduced broad keyword over-flagging</t>
        </is>
      </c>
      <c r="CT50" t="inlineStr">
        <is>
          <t>Recovery</t>
        </is>
      </c>
      <c r="CU50" t="inlineStr">
        <is>
          <t>connective tissue support; recovery support</t>
        </is>
      </c>
      <c r="CV50" t="inlineStr">
        <is>
          <t>Human</t>
        </is>
      </c>
      <c r="CW50" t="inlineStr">
        <is>
          <t>Pass 26 normalization: categories, mechanisms, evidence tiers</t>
        </is>
      </c>
      <c r="CX50" t="inlineStr">
        <is>
          <t>Human + preclinical</t>
        </is>
      </c>
      <c r="CY50" t="inlineStr">
        <is>
          <t>Generally well tolerated.</t>
        </is>
      </c>
      <c r="CZ50" t="inlineStr">
        <is>
          <t>Use caution with aggressive performance claims</t>
        </is>
      </c>
      <c r="DB50" t="inlineStr">
        <is>
          <t>Pass 28 normalized evidence and safety-related free text</t>
        </is>
      </c>
      <c r="DD50" t="inlineStr">
        <is>
          <t>No standardized dose established; use conservative, product-dependent ranges.</t>
        </is>
      </c>
      <c r="DE50" t="inlineStr">
        <is>
          <t>Common forms include extracts, powders, or teas depending on herb part.</t>
        </is>
      </c>
      <c r="DF50" t="inlineStr">
        <is>
          <t>Quality varies by extraction method, standardization, and contamination risk.</t>
        </is>
      </c>
      <c r="DG50" t="inlineStr">
        <is>
          <t>Moderate to high</t>
        </is>
      </c>
      <c r="DH50" t="inlineStr">
        <is>
          <t>Pass 29 completeness repair</t>
        </is>
      </c>
      <c r="DI50" t="n">
        <v>6</v>
      </c>
      <c r="DJ50" t="inlineStr">
        <is>
          <t>Inflammation / Recovery</t>
        </is>
      </c>
      <c r="DL50" t="inlineStr">
        <is>
          <t>Notoginseng; Chamomile</t>
        </is>
      </c>
      <c r="DM50" t="inlineStr">
        <is>
          <t>Pass 31 relationship intelligence: density, cluster, anchor class, nearest herbs</t>
        </is>
      </c>
      <c r="DP50" t="inlineStr">
        <is>
          <t>Inflammation / Recovery</t>
        </is>
      </c>
      <c r="DQ50" t="inlineStr">
        <is>
          <t>Pass 32 substitute engine + cluster cleanup</t>
        </is>
      </c>
      <c r="DT50" t="inlineStr">
        <is>
          <t>no strong safe fallback found</t>
        </is>
      </c>
      <c r="DU50" t="inlineStr">
        <is>
          <t>Not needed</t>
        </is>
      </c>
      <c r="DV50" t="inlineStr">
        <is>
          <t>Pass 33 fallback replacement engine</t>
        </is>
      </c>
      <c r="DY50" t="inlineStr">
        <is>
          <t>Pass 35 expanded fallback pool with second-pass candidate exploration</t>
        </is>
      </c>
      <c r="EA50" t="inlineStr">
        <is>
          <t>Recovery</t>
        </is>
      </c>
      <c r="EB50" t="inlineStr">
        <is>
          <t>NF-kB inhibition; COX modulation</t>
        </is>
      </c>
      <c r="EC50" t="inlineStr">
        <is>
          <t>High</t>
        </is>
      </c>
      <c r="ED50" t="inlineStr">
        <is>
          <t>Pass 40 reinforced weak-category herb data</t>
        </is>
      </c>
      <c r="EG50" t="n">
        <v>3</v>
      </c>
      <c r="EH50" t="n">
        <v>3</v>
      </c>
      <c r="EI50" t="n">
        <v>0</v>
      </c>
      <c r="EJ50" t="n">
        <v>0</v>
      </c>
      <c r="EK50" t="n">
        <v>11</v>
      </c>
      <c r="EL50" t="n">
        <v>7</v>
      </c>
      <c r="EM50" t="inlineStr">
        <is>
          <t>quadrangularin a</t>
        </is>
      </c>
      <c r="EN50" t="inlineStr">
        <is>
          <t>Pass 48 rolled compound scores into herb-level scoring</t>
        </is>
      </c>
    </row>
    <row r="51">
      <c r="A51" s="68" t="inlineStr">
        <is>
          <t>Ashitaba</t>
        </is>
      </c>
      <c r="B51" s="68" t="inlineStr">
        <is>
          <t>ashitaba</t>
        </is>
      </c>
      <c r="C51" s="68" t="inlineStr">
        <is>
          <t>Angelica keiskei</t>
        </is>
      </c>
      <c r="D51" s="68" t="inlineStr">
        <is>
          <t>herb</t>
        </is>
      </c>
      <c r="E51" s="68" t="inlineStr">
        <is>
          <t>leaf/stem</t>
        </is>
      </c>
      <c r="F51" s="68" t="inlineStr">
        <is>
          <t>leaf; stem</t>
        </is>
      </c>
      <c r="G51" s="68" t="inlineStr">
        <is>
          <t>ashitaba</t>
        </is>
      </c>
      <c r="H51" s="68" t="inlineStr">
        <is>
          <t>Japan</t>
        </is>
      </c>
      <c r="I51" s="68" t="inlineStr">
        <is>
          <t>Ashitaba is positioned for metabolic and antioxidant support.</t>
        </is>
      </c>
      <c r="J51" s="68" t="inlineStr">
        <is>
          <t>It is best framed around chalcone-rich chemistry with modest translational evidence.</t>
        </is>
      </c>
      <c r="K51" s="68" t="inlineStr">
        <is>
          <t>xanthoangelol; 4-hydroxyderricin</t>
        </is>
      </c>
      <c r="L51" s="68" t="inlineStr">
        <is>
          <t>4-hydroxyderricin</t>
        </is>
      </c>
      <c r="M51" s="68" t="inlineStr">
        <is>
          <t>Chalcones are associated with antioxidant and metabolic-support positioning.</t>
        </is>
      </c>
      <c r="N51" s="68" t="inlineStr">
        <is>
          <t>metabolic support; antioxidant</t>
        </is>
      </c>
      <c r="O51" s="68" t="inlineStr">
        <is>
          <t>preclinical + limited human</t>
        </is>
      </c>
      <c r="P51" s="68" t="inlineStr">
        <is>
          <t>Generally well tolerated.</t>
        </is>
      </c>
      <c r="Q51" s="68" t="inlineStr">
        <is>
          <t>Use caution with concentrated extract marketing claims.</t>
        </is>
      </c>
      <c r="R51" s="68" t="n"/>
      <c r="S51" s="68" t="n"/>
      <c r="T51" s="68" t="n"/>
      <c r="U51" s="68" t="n"/>
      <c r="V51" s="68" t="n"/>
      <c r="W51" s="68" t="inlineStr">
        <is>
          <t>High</t>
        </is>
      </c>
      <c r="X51" s="68" t="inlineStr">
        <is>
          <t>validated</t>
        </is>
      </c>
      <c r="Y51" s="68" t="n"/>
      <c r="Z51" s="68" t="inlineStr">
        <is>
          <t>present</t>
        </is>
      </c>
      <c r="AA51" s="68" t="inlineStr">
        <is>
          <t>Internal workbook + enrichment queue</t>
        </is>
      </c>
      <c r="AB51" s="68" t="n"/>
      <c r="AC51" s="68" t="n"/>
      <c r="AD51" s="68" t="n"/>
      <c r="AE51" s="68" t="n"/>
      <c r="AF51" s="68" t="n"/>
      <c r="AG51" s="68" t="n">
        <v>3</v>
      </c>
      <c r="AH51" s="68" t="n">
        <v>1</v>
      </c>
      <c r="AI51" s="68" t="n">
        <v>3</v>
      </c>
      <c r="AJ51" s="68" t="n">
        <v>7</v>
      </c>
      <c r="AK51" s="68" t="inlineStr">
        <is>
          <t>Medium</t>
        </is>
      </c>
      <c r="AL51" s="68" t="n"/>
      <c r="AM51" s="68" t="inlineStr">
        <is>
          <t>Linked primary/secondary</t>
        </is>
      </c>
      <c r="AN51" s="68" t="n">
        <v>0.9</v>
      </c>
      <c r="AO51" s="68" t="inlineStr">
        <is>
          <t>Near ready</t>
        </is>
      </c>
      <c r="AP51" s="68" t="n"/>
      <c r="AQ51" s="68" t="n"/>
      <c r="AR51" s="68" t="inlineStr">
        <is>
          <t>Editorial polish</t>
        </is>
      </c>
      <c r="AS51" s="68" t="inlineStr">
        <is>
          <t>Not started</t>
        </is>
      </c>
      <c r="AT51" s="68" t="n"/>
      <c r="AU51" s="68" t="n"/>
      <c r="AV51" s="68" t="n"/>
      <c r="AW51" s="68" t="n"/>
      <c r="AX51" s="68" t="n"/>
      <c r="AY51" s="68" t="n"/>
      <c r="AZ51" s="68" t="n"/>
      <c r="BA51" s="68" t="n"/>
      <c r="BB51" s="68" t="n"/>
      <c r="BC51" s="68" t="n"/>
      <c r="BD51" s="68" t="n"/>
      <c r="BE51" s="68" t="inlineStr">
        <is>
          <t>2026-04-10</t>
        </is>
      </c>
      <c r="BF51" s="68" t="inlineStr">
        <is>
          <t>Metadata normalized from internal workbook links</t>
        </is>
      </c>
      <c r="BG51" s="68" t="inlineStr">
        <is>
          <t>ashitaba|2026-04-10</t>
        </is>
      </c>
      <c r="BH51" s="68" t="inlineStr">
        <is>
          <t>2026-04-10:auto-normalized</t>
        </is>
      </c>
      <c r="BI51" t="inlineStr">
        <is>
          <t>ashitaba</t>
        </is>
      </c>
      <c r="BJ51" t="inlineStr">
        <is>
          <t>Ashitaba</t>
        </is>
      </c>
      <c r="BK51" t="n">
        <v>1</v>
      </c>
      <c r="BL51" t="n">
        <v>1</v>
      </c>
      <c r="BM51" t="n">
        <v>3</v>
      </c>
      <c r="BN51" t="n">
        <v>7</v>
      </c>
      <c r="BO51" t="n">
        <v>100</v>
      </c>
      <c r="BP51" t="n">
        <v>8</v>
      </c>
      <c r="BQ51" t="n">
        <v>10</v>
      </c>
      <c r="BR51" t="n">
        <v>5</v>
      </c>
      <c r="BS51" t="inlineStr">
        <is>
          <t>Tier 1</t>
        </is>
      </c>
      <c r="BT51" t="n">
        <v>5</v>
      </c>
      <c r="BU51" t="inlineStr">
        <is>
          <t>FALSE</t>
        </is>
      </c>
      <c r="BV51" t="inlineStr">
        <is>
          <t>ashitaba</t>
        </is>
      </c>
      <c r="BW51" t="inlineStr">
        <is>
          <t>TRUE</t>
        </is>
      </c>
      <c r="BX51" t="inlineStr">
        <is>
          <t>Pass 10 refreshed scoring from 1 mapped compounds | Pass 13 rescored from 1 mapped compounds</t>
        </is>
      </c>
      <c r="BY51" t="inlineStr">
        <is>
          <t>unclassified</t>
        </is>
      </c>
      <c r="CA51" t="n">
        <v>2</v>
      </c>
      <c r="CB51" t="n">
        <v>0</v>
      </c>
      <c r="CC51" t="n">
        <v>0</v>
      </c>
      <c r="CD51" t="inlineStr">
        <is>
          <t>4-hydroxyderricin; unclassified</t>
        </is>
      </c>
      <c r="CE51" t="inlineStr">
        <is>
          <t>Pass 13 rescored after herb-name normalization and real top-herb compound sweep</t>
        </is>
      </c>
      <c r="CF51" t="inlineStr">
        <is>
          <t>General</t>
        </is>
      </c>
      <c r="CH51" s="68" t="inlineStr">
        <is>
          <t>Start with low single-herb exposure and increase only if tolerated</t>
        </is>
      </c>
      <c r="CI51" s="68" t="inlineStr">
        <is>
          <t>Product-ideation framing only; not clinical dosing advice.</t>
        </is>
      </c>
      <c r="CJ51" s="68" t="str"/>
      <c r="CK51" s="68" t="str"/>
      <c r="CL51" s="68" t="inlineStr">
        <is>
          <t>Moderate</t>
        </is>
      </c>
      <c r="CM51" s="68" t="inlineStr">
        <is>
          <t>No</t>
        </is>
      </c>
      <c r="CN51" s="68" t="str"/>
      <c r="CO51" s="68" t="inlineStr">
        <is>
          <t>Pass 21 herb-level safety and dose framing</t>
        </is>
      </c>
      <c r="CP51" t="inlineStr">
        <is>
          <t>Baseline</t>
        </is>
      </c>
      <c r="CQ51" t="inlineStr">
        <is>
          <t>No</t>
        </is>
      </c>
      <c r="CS51" t="inlineStr">
        <is>
          <t>Pass 22 refined safety rule severity and reduced broad keyword over-flagging</t>
        </is>
      </c>
      <c r="CT51" t="inlineStr">
        <is>
          <t>Metabolic Support</t>
        </is>
      </c>
      <c r="CU51" t="inlineStr">
        <is>
          <t>antioxidant; metabolic support</t>
        </is>
      </c>
      <c r="CV51" t="inlineStr">
        <is>
          <t>Human</t>
        </is>
      </c>
      <c r="CW51" t="inlineStr">
        <is>
          <t>Pass 26 normalization: categories, mechanisms, evidence tiers</t>
        </is>
      </c>
      <c r="CX51" t="inlineStr">
        <is>
          <t>Human + preclinical</t>
        </is>
      </c>
      <c r="CY51" t="inlineStr">
        <is>
          <t>Generally well tolerated.</t>
        </is>
      </c>
      <c r="CZ51" t="inlineStr">
        <is>
          <t>Use caution with concentrated extract marketing claims</t>
        </is>
      </c>
      <c r="DB51" t="inlineStr">
        <is>
          <t>Pass 28 normalized evidence and safety-related free text</t>
        </is>
      </c>
      <c r="DD51" t="inlineStr">
        <is>
          <t>No standardized dose established; use conservative, product-dependent ranges.</t>
        </is>
      </c>
      <c r="DE51" t="inlineStr">
        <is>
          <t>Common forms include extracts, powders, or teas depending on herb part.</t>
        </is>
      </c>
      <c r="DF51" t="inlineStr">
        <is>
          <t>Quality varies by extraction method, standardization, and contamination risk.</t>
        </is>
      </c>
      <c r="DG51" t="inlineStr">
        <is>
          <t>Moderate to high</t>
        </is>
      </c>
      <c r="DH51" t="inlineStr">
        <is>
          <t>Pass 29 completeness repair</t>
        </is>
      </c>
      <c r="DI51" t="n">
        <v>9</v>
      </c>
      <c r="DJ51" t="inlineStr">
        <is>
          <t>Metabolic</t>
        </is>
      </c>
      <c r="DK51" t="inlineStr">
        <is>
          <t>4-hydroxyderricin</t>
        </is>
      </c>
      <c r="DL51" t="inlineStr">
        <is>
          <t>Banaba; Curry Leaf; Eucommia; Guarana; Kuding Tea</t>
        </is>
      </c>
      <c r="DM51" t="inlineStr">
        <is>
          <t>Pass 31 relationship intelligence: density, cluster, anchor class, nearest herbs</t>
        </is>
      </c>
      <c r="DN51" t="inlineStr">
        <is>
          <t>Banaba; Curry Leaf; Eucommia; Guarana; Kuding Tea</t>
        </is>
      </c>
      <c r="DO51" t="inlineStr">
        <is>
          <t>Banaba (1 shared pathways) | Curry Leaf (1 shared pathways) | Eucommia (1 shared pathways)</t>
        </is>
      </c>
      <c r="DP51" t="inlineStr">
        <is>
          <t>Metabolic</t>
        </is>
      </c>
      <c r="DQ51" t="inlineStr">
        <is>
          <t>Pass 32 substitute engine + cluster cleanup</t>
        </is>
      </c>
      <c r="DR51" t="inlineStr">
        <is>
          <t>Banaba</t>
        </is>
      </c>
      <c r="DS51" t="inlineStr">
        <is>
          <t>Curry Leaf</t>
        </is>
      </c>
      <c r="DT51" t="inlineStr">
        <is>
          <t>same cluster; lower safety burden; similarity-backed</t>
        </is>
      </c>
      <c r="DU51" t="inlineStr">
        <is>
          <t>Not needed</t>
        </is>
      </c>
      <c r="DV51" t="inlineStr">
        <is>
          <t>Pass 33 fallback replacement engine</t>
        </is>
      </c>
      <c r="DW51" t="inlineStr">
        <is>
          <t>Eucommia</t>
        </is>
      </c>
      <c r="DX51" t="inlineStr">
        <is>
          <t>Banaba; Curry Leaf; Eucommia; Guarana; Kuding Tea</t>
        </is>
      </c>
      <c r="DY51" t="inlineStr">
        <is>
          <t>Pass 35 expanded fallback pool with second-pass candidate exploration</t>
        </is>
      </c>
      <c r="EG51" t="n">
        <v>6</v>
      </c>
      <c r="EH51" t="n">
        <v>6</v>
      </c>
      <c r="EI51" t="n">
        <v>0</v>
      </c>
      <c r="EJ51" t="n">
        <v>0</v>
      </c>
      <c r="EK51" t="n">
        <v>20</v>
      </c>
      <c r="EL51" t="n">
        <v>13</v>
      </c>
      <c r="EM51" t="inlineStr">
        <is>
          <t>4-hydroxyderricin</t>
        </is>
      </c>
      <c r="EN51" t="inlineStr">
        <is>
          <t>Pass 48 rolled compound scores into herb-level scoring</t>
        </is>
      </c>
    </row>
    <row r="52">
      <c r="A52" s="68" t="inlineStr">
        <is>
          <t>Pomegranate</t>
        </is>
      </c>
      <c r="B52" s="68" t="inlineStr">
        <is>
          <t>pomegranate</t>
        </is>
      </c>
      <c r="C52" s="68" t="inlineStr">
        <is>
          <t>Punica granatum</t>
        </is>
      </c>
      <c r="D52" s="68" t="inlineStr">
        <is>
          <t>herb</t>
        </is>
      </c>
      <c r="E52" s="68" t="inlineStr">
        <is>
          <t>fruit rind/juice</t>
        </is>
      </c>
      <c r="F52" s="68" t="inlineStr">
        <is>
          <t>fruit; rind</t>
        </is>
      </c>
      <c r="G52" s="68" t="inlineStr">
        <is>
          <t>pomegranate</t>
        </is>
      </c>
      <c r="H52" s="68" t="inlineStr">
        <is>
          <t>Mediterranean to West Asia; cultivated globally</t>
        </is>
      </c>
      <c r="I52" s="68" t="inlineStr">
        <is>
          <t>Pomegranate is positioned for vascular and antioxidant support.</t>
        </is>
      </c>
      <c r="J52" s="68" t="inlineStr">
        <is>
          <t>It is best framed as a polyphenol-rich fruit botanical with food-form relevance and moderate evidence.</t>
        </is>
      </c>
      <c r="K52" s="68" t="inlineStr">
        <is>
          <t>punicalagins; ellagic acid</t>
        </is>
      </c>
      <c r="L52" s="68" t="inlineStr">
        <is>
          <t>punicalagins</t>
        </is>
      </c>
      <c r="M52" s="68" t="inlineStr">
        <is>
          <t>Ellagitannins are associated with antioxidant and vascular-support positioning.</t>
        </is>
      </c>
      <c r="N52" s="68" t="inlineStr">
        <is>
          <t>vascular support; antioxidant</t>
        </is>
      </c>
      <c r="O52" s="68" t="inlineStr">
        <is>
          <t>mixed human + food/supplement literature</t>
        </is>
      </c>
      <c r="P52" s="68" t="inlineStr">
        <is>
          <t>Generally well tolerated.</t>
        </is>
      </c>
      <c r="Q52" s="68" t="inlineStr">
        <is>
          <t>Use caution with overgeneralized disease claims.</t>
        </is>
      </c>
      <c r="R52" s="68" t="n"/>
      <c r="S52" s="68" t="n"/>
      <c r="T52" s="68" t="n"/>
      <c r="U52" s="68" t="n"/>
      <c r="V52" s="68" t="n"/>
      <c r="W52" s="68" t="inlineStr">
        <is>
          <t>High</t>
        </is>
      </c>
      <c r="X52" s="68" t="inlineStr">
        <is>
          <t>validated</t>
        </is>
      </c>
      <c r="Y52" s="68" t="n"/>
      <c r="Z52" s="68" t="inlineStr">
        <is>
          <t>present</t>
        </is>
      </c>
      <c r="AA52" s="68" t="inlineStr">
        <is>
          <t>Internal workbook + enrichment queue</t>
        </is>
      </c>
      <c r="AB52" s="68" t="n"/>
      <c r="AC52" s="68" t="n"/>
      <c r="AD52" s="68" t="n"/>
      <c r="AE52" s="68" t="n"/>
      <c r="AF52" s="68" t="n"/>
      <c r="AG52" s="68" t="n">
        <v>3</v>
      </c>
      <c r="AH52" s="68" t="n">
        <v>1</v>
      </c>
      <c r="AI52" s="68" t="n">
        <v>3</v>
      </c>
      <c r="AJ52" s="68" t="n">
        <v>7</v>
      </c>
      <c r="AK52" s="68" t="inlineStr">
        <is>
          <t>Medium</t>
        </is>
      </c>
      <c r="AL52" s="68" t="n"/>
      <c r="AM52" s="68" t="inlineStr">
        <is>
          <t>Linked primary/secondary</t>
        </is>
      </c>
      <c r="AN52" s="68" t="n">
        <v>0.9</v>
      </c>
      <c r="AO52" s="68" t="inlineStr">
        <is>
          <t>Near ready</t>
        </is>
      </c>
      <c r="AP52" s="68" t="n"/>
      <c r="AQ52" s="68" t="n"/>
      <c r="AR52" s="68" t="inlineStr">
        <is>
          <t>Editorial polish</t>
        </is>
      </c>
      <c r="AS52" s="68" t="inlineStr">
        <is>
          <t>Not started</t>
        </is>
      </c>
      <c r="AT52" s="68" t="n"/>
      <c r="AU52" s="68" t="n"/>
      <c r="AV52" s="68" t="n"/>
      <c r="AW52" s="68" t="n"/>
      <c r="AX52" s="68" t="n"/>
      <c r="AY52" s="68" t="n"/>
      <c r="AZ52" s="68" t="n"/>
      <c r="BA52" s="68" t="n"/>
      <c r="BB52" s="68" t="n"/>
      <c r="BC52" s="68" t="n"/>
      <c r="BD52" s="68" t="n"/>
      <c r="BE52" s="68" t="inlineStr">
        <is>
          <t>2026-04-10</t>
        </is>
      </c>
      <c r="BF52" s="68" t="inlineStr">
        <is>
          <t>Metadata normalized from internal workbook links</t>
        </is>
      </c>
      <c r="BG52" s="68" t="inlineStr">
        <is>
          <t>pomegranate|2026-04-10</t>
        </is>
      </c>
      <c r="BH52" s="68" t="inlineStr">
        <is>
          <t>2026-04-10:auto-normalized</t>
        </is>
      </c>
      <c r="BI52" t="inlineStr">
        <is>
          <t>pomegranate</t>
        </is>
      </c>
      <c r="BJ52" t="inlineStr">
        <is>
          <t>Pomegranate</t>
        </is>
      </c>
      <c r="BK52" t="n">
        <v>1</v>
      </c>
      <c r="BL52" t="n">
        <v>1</v>
      </c>
      <c r="BM52" t="n">
        <v>3</v>
      </c>
      <c r="BN52" t="n">
        <v>7</v>
      </c>
      <c r="BO52" t="n">
        <v>100</v>
      </c>
      <c r="BP52" t="n">
        <v>8</v>
      </c>
      <c r="BQ52" t="n">
        <v>10</v>
      </c>
      <c r="BR52" t="n">
        <v>5</v>
      </c>
      <c r="BS52" t="inlineStr">
        <is>
          <t>Tier 1</t>
        </is>
      </c>
      <c r="BT52" t="n">
        <v>5</v>
      </c>
      <c r="BU52" t="inlineStr">
        <is>
          <t>FALSE</t>
        </is>
      </c>
      <c r="BV52" t="inlineStr">
        <is>
          <t>pomegranate</t>
        </is>
      </c>
      <c r="BW52" t="inlineStr">
        <is>
          <t>TRUE</t>
        </is>
      </c>
      <c r="BX52" t="inlineStr">
        <is>
          <t>Pass 10 refreshed scoring from 1 mapped compounds | Pass 13 rescored from 1 mapped compounds</t>
        </is>
      </c>
      <c r="BY52" t="inlineStr">
        <is>
          <t>unclassified</t>
        </is>
      </c>
      <c r="CA52" t="n">
        <v>2</v>
      </c>
      <c r="CB52" t="n">
        <v>0</v>
      </c>
      <c r="CC52" t="n">
        <v>0</v>
      </c>
      <c r="CD52" t="inlineStr">
        <is>
          <t>punicalagins; unclassified</t>
        </is>
      </c>
      <c r="CE52" t="inlineStr">
        <is>
          <t>Pass 13 rescored after herb-name normalization and real top-herb compound sweep</t>
        </is>
      </c>
      <c r="CF52" t="inlineStr">
        <is>
          <t>General</t>
        </is>
      </c>
      <c r="CH52" s="68" t="inlineStr">
        <is>
          <t>Start low; usually daytime use</t>
        </is>
      </c>
      <c r="CI52" s="68" t="inlineStr">
        <is>
          <t>Product-ideation framing only; not clinical dosing advice.</t>
        </is>
      </c>
      <c r="CJ52" s="68" t="inlineStr">
        <is>
          <t>blood-pressure</t>
        </is>
      </c>
      <c r="CK52" s="68" t="str"/>
      <c r="CL52" s="68" t="inlineStr">
        <is>
          <t>Baseline</t>
        </is>
      </c>
      <c r="CM52" s="68" t="inlineStr">
        <is>
          <t>No</t>
        </is>
      </c>
      <c r="CN52" s="68" t="str"/>
      <c r="CO52" s="68" t="inlineStr">
        <is>
          <t>Pass 21 herb-level safety and dose framing</t>
        </is>
      </c>
      <c r="CP52" t="inlineStr">
        <is>
          <t>Baseline</t>
        </is>
      </c>
      <c r="CQ52" t="inlineStr">
        <is>
          <t>No</t>
        </is>
      </c>
      <c r="CS52" t="inlineStr">
        <is>
          <t>Pass 22 refined safety rule severity and reduced broad keyword over-flagging</t>
        </is>
      </c>
      <c r="CT52" t="inlineStr">
        <is>
          <t>General</t>
        </is>
      </c>
      <c r="CU52" t="inlineStr">
        <is>
          <t>antioxidant; vascular support</t>
        </is>
      </c>
      <c r="CV52" t="inlineStr">
        <is>
          <t>Human</t>
        </is>
      </c>
      <c r="CW52" t="inlineStr">
        <is>
          <t>Pass 26 normalization: categories, mechanisms, evidence tiers</t>
        </is>
      </c>
      <c r="CX52" t="inlineStr">
        <is>
          <t>Limited human</t>
        </is>
      </c>
      <c r="CY52" t="inlineStr">
        <is>
          <t>Generally well tolerated.</t>
        </is>
      </c>
      <c r="CZ52" t="inlineStr">
        <is>
          <t>Use caution with overgeneralized disease claims</t>
        </is>
      </c>
      <c r="DB52" t="inlineStr">
        <is>
          <t>Pass 28 normalized evidence and safety-related free text</t>
        </is>
      </c>
      <c r="DD52" t="inlineStr">
        <is>
          <t>No standardized dose established; use conservative, product-dependent ranges.</t>
        </is>
      </c>
      <c r="DE52" t="inlineStr">
        <is>
          <t>Common forms include extracts, powders, or teas depending on herb part.</t>
        </is>
      </c>
      <c r="DF52" t="inlineStr">
        <is>
          <t>Quality varies by extraction method, standardization, and contamination risk.</t>
        </is>
      </c>
      <c r="DG52" t="inlineStr">
        <is>
          <t>Moderate to high</t>
        </is>
      </c>
      <c r="DH52" t="inlineStr">
        <is>
          <t>Pass 29 completeness repair</t>
        </is>
      </c>
      <c r="DI52" t="n">
        <v>9</v>
      </c>
      <c r="DJ52" t="inlineStr">
        <is>
          <t>General</t>
        </is>
      </c>
      <c r="DK52" t="inlineStr">
        <is>
          <t>punicalagins</t>
        </is>
      </c>
      <c r="DL52" t="inlineStr">
        <is>
          <t>Agarikon; Ajwain; Angelica Root; Artichoke; Ashoka</t>
        </is>
      </c>
      <c r="DM52" t="inlineStr">
        <is>
          <t>Pass 31 relationship intelligence: density, cluster, anchor class, nearest herbs</t>
        </is>
      </c>
      <c r="DN52" t="inlineStr">
        <is>
          <t>Artichoke; Blue Lotus; Burdock; Butterbur; Calendula</t>
        </is>
      </c>
      <c r="DO52" t="inlineStr">
        <is>
          <t>Artichoke (1 shared pathways) | Blue Lotus (1 shared pathways) | Burdock (1 shared pathways)</t>
        </is>
      </c>
      <c r="DP52" t="inlineStr">
        <is>
          <t>Generalist</t>
        </is>
      </c>
      <c r="DQ52" t="inlineStr">
        <is>
          <t>Pass 32 substitute engine + cluster cleanup</t>
        </is>
      </c>
      <c r="DR52" t="inlineStr">
        <is>
          <t>Blue Lotus</t>
        </is>
      </c>
      <c r="DS52" t="inlineStr">
        <is>
          <t>Burdock</t>
        </is>
      </c>
      <c r="DT52" t="inlineStr">
        <is>
          <t>same cluster; lower safety burden; similarity-backed</t>
        </is>
      </c>
      <c r="DU52" t="inlineStr">
        <is>
          <t>Not needed</t>
        </is>
      </c>
      <c r="DV52" t="inlineStr">
        <is>
          <t>Pass 33 fallback replacement engine</t>
        </is>
      </c>
      <c r="DW52" t="inlineStr">
        <is>
          <t>Butterbur</t>
        </is>
      </c>
      <c r="DX52" t="inlineStr">
        <is>
          <t>Blue Lotus; Burdock; Butterbur; Calendula; Agarikon; Ajwain; Angelica Root; Ashoka</t>
        </is>
      </c>
      <c r="DY52" t="inlineStr">
        <is>
          <t>Pass 35 expanded fallback pool with second-pass candidate exploration</t>
        </is>
      </c>
      <c r="EA52" t="inlineStr">
        <is>
          <t>General</t>
        </is>
      </c>
      <c r="EB52" t="inlineStr">
        <is>
          <t>unclassified</t>
        </is>
      </c>
      <c r="EC52" t="inlineStr">
        <is>
          <t>High</t>
        </is>
      </c>
      <c r="ED52" t="inlineStr">
        <is>
          <t>Pass 40 reinforced weak-category herb data</t>
        </is>
      </c>
      <c r="EG52" t="n">
        <v>3</v>
      </c>
      <c r="EH52" t="n">
        <v>3</v>
      </c>
      <c r="EI52" t="n">
        <v>0</v>
      </c>
      <c r="EJ52" t="n">
        <v>0</v>
      </c>
      <c r="EK52" t="n">
        <v>11</v>
      </c>
      <c r="EL52" t="n">
        <v>7</v>
      </c>
      <c r="EM52" t="inlineStr">
        <is>
          <t>punicalagins</t>
        </is>
      </c>
      <c r="EN52" t="inlineStr">
        <is>
          <t>Pass 48 rolled compound scores into herb-level scoring</t>
        </is>
      </c>
    </row>
    <row r="53">
      <c r="A53" s="68" t="inlineStr">
        <is>
          <t>Moringa</t>
        </is>
      </c>
      <c r="B53" s="68" t="inlineStr">
        <is>
          <t>moringa</t>
        </is>
      </c>
      <c r="C53" s="68" t="inlineStr">
        <is>
          <t>Moringa oleifera</t>
        </is>
      </c>
      <c r="D53" s="68" t="inlineStr">
        <is>
          <t>herb</t>
        </is>
      </c>
      <c r="E53" s="68" t="inlineStr">
        <is>
          <t>leaf/tree</t>
        </is>
      </c>
      <c r="F53" s="68" t="inlineStr">
        <is>
          <t>leaf; seed</t>
        </is>
      </c>
      <c r="G53" s="68" t="inlineStr">
        <is>
          <t>moringa</t>
        </is>
      </c>
      <c r="H53" s="68" t="inlineStr">
        <is>
          <t>India, Africa, tropical regions</t>
        </is>
      </c>
      <c r="I53" s="68" t="inlineStr">
        <is>
          <t>Moringa is positioned for nutritive, antioxidant, and metabolic support.</t>
        </is>
      </c>
      <c r="J53" s="68" t="inlineStr">
        <is>
          <t>It is best framed as a nutrient-dense botanical with mixed translational evidence rather than as a universal superfood cure-all.</t>
        </is>
      </c>
      <c r="K53" s="68" t="inlineStr">
        <is>
          <t>moringin; isothiocyanates</t>
        </is>
      </c>
      <c r="L53" s="68" t="inlineStr">
        <is>
          <t>moringin</t>
        </is>
      </c>
      <c r="M53" s="68" t="inlineStr">
        <is>
          <t>Glucosinolates and isothiocyanates support antioxidant and metabolic positioning.</t>
        </is>
      </c>
      <c r="N53" s="68" t="inlineStr">
        <is>
          <t>nutritive support; antioxidant; metabolic support</t>
        </is>
      </c>
      <c r="O53" s="68" t="inlineStr">
        <is>
          <t>mixed human + preclinical</t>
        </is>
      </c>
      <c r="P53" s="68" t="inlineStr">
        <is>
          <t>Generally well tolerated.</t>
        </is>
      </c>
      <c r="Q53" s="68" t="inlineStr">
        <is>
          <t>Use caution with concentrated extracts and glucose-lowering strategies.</t>
        </is>
      </c>
      <c r="R53" s="68" t="n"/>
      <c r="S53" s="68" t="n"/>
      <c r="T53" s="68" t="n"/>
      <c r="U53" s="68" t="n"/>
      <c r="V53" s="68" t="n"/>
      <c r="W53" s="68" t="inlineStr">
        <is>
          <t>Medium</t>
        </is>
      </c>
      <c r="X53" s="68" t="inlineStr">
        <is>
          <t>validated</t>
        </is>
      </c>
      <c r="Y53" s="68" t="inlineStr">
        <is>
          <t>Pass 125 curated expansion</t>
        </is>
      </c>
      <c r="Z53" s="68" t="inlineStr">
        <is>
          <t>present</t>
        </is>
      </c>
      <c r="AA53" s="68" t="inlineStr">
        <is>
          <t>Curated expansion</t>
        </is>
      </c>
      <c r="AB53" s="68" t="inlineStr">
        <is>
          <t>Pass 125 curated expansion</t>
        </is>
      </c>
      <c r="AC53" s="68" t="inlineStr">
        <is>
          <t>Pass 125 curated expansion</t>
        </is>
      </c>
      <c r="AD53" s="68" t="inlineStr">
        <is>
          <t>Pass 125 curated expansion</t>
        </is>
      </c>
      <c r="AE53" s="68" t="inlineStr">
        <is>
          <t>Pass 125 curated expansion</t>
        </is>
      </c>
      <c r="AF53" s="68" t="inlineStr">
        <is>
          <t>Added in Pass 125.</t>
        </is>
      </c>
      <c r="AG53" s="68" t="n">
        <v>2</v>
      </c>
      <c r="AH53" s="68" t="n">
        <v>2</v>
      </c>
      <c r="AI53" s="68" t="n">
        <v>1</v>
      </c>
      <c r="AJ53" s="68" t="n">
        <v>5</v>
      </c>
      <c r="AK53" s="68" t="inlineStr">
        <is>
          <t>Medium</t>
        </is>
      </c>
      <c r="AL53" s="68" t="inlineStr">
        <is>
          <t>Missing</t>
        </is>
      </c>
      <c r="AM53" s="68" t="inlineStr">
        <is>
          <t>Curated expansion</t>
        </is>
      </c>
      <c r="AN53" s="68" t="n">
        <v>0.55</v>
      </c>
      <c r="AO53" s="68" t="inlineStr">
        <is>
          <t>Needs work</t>
        </is>
      </c>
      <c r="AP53" s="68" t="inlineStr">
        <is>
          <t>Research</t>
        </is>
      </c>
      <c r="AQ53" s="68" t="n"/>
      <c r="AR53" s="68" t="inlineStr">
        <is>
          <t>Source review</t>
        </is>
      </c>
      <c r="AS53" s="68" t="inlineStr">
        <is>
          <t>Not started</t>
        </is>
      </c>
      <c r="AT53" s="68" t="inlineStr">
        <is>
          <t>No</t>
        </is>
      </c>
      <c r="AU53" s="68" t="inlineStr">
        <is>
          <t>No</t>
        </is>
      </c>
      <c r="AV53" s="68" t="inlineStr">
        <is>
          <t>No</t>
        </is>
      </c>
      <c r="AW53" s="68" t="inlineStr">
        <is>
          <t>Yes</t>
        </is>
      </c>
      <c r="AX53" s="68" t="inlineStr">
        <is>
          <t>Add source-linked dosage and standardization fields</t>
        </is>
      </c>
      <c r="AY53" s="68" t="n">
        <v>1</v>
      </c>
      <c r="AZ53" s="68" t="n"/>
      <c r="BA53" s="68" t="n"/>
      <c r="BB53" s="68" t="inlineStr">
        <is>
          <t>Source review</t>
        </is>
      </c>
      <c r="BC53" s="68" t="inlineStr">
        <is>
          <t>Pending</t>
        </is>
      </c>
      <c r="BD53" s="68" t="n"/>
      <c r="BE53" s="68" t="inlineStr">
        <is>
          <t>2026-04-10</t>
        </is>
      </c>
      <c r="BF53" s="68" t="inlineStr">
        <is>
          <t>Metadata normalized from internal workbook links</t>
        </is>
      </c>
      <c r="BG53" s="68" t="inlineStr">
        <is>
          <t>moringa-R1</t>
        </is>
      </c>
      <c r="BH53" s="68" t="n">
        <v>0</v>
      </c>
      <c r="BI53" t="inlineStr">
        <is>
          <t>moringa</t>
        </is>
      </c>
      <c r="BJ53" t="inlineStr">
        <is>
          <t>Moringa</t>
        </is>
      </c>
      <c r="BK53" t="n">
        <v>1</v>
      </c>
      <c r="BL53" t="n">
        <v>1</v>
      </c>
      <c r="BM53" t="n">
        <v>3</v>
      </c>
      <c r="BN53" t="n">
        <v>7</v>
      </c>
      <c r="BO53" t="n">
        <v>100</v>
      </c>
      <c r="BP53" t="n">
        <v>8</v>
      </c>
      <c r="BQ53" t="n">
        <v>10</v>
      </c>
      <c r="BR53" t="n">
        <v>5</v>
      </c>
      <c r="BS53" t="inlineStr">
        <is>
          <t>Tier 1</t>
        </is>
      </c>
      <c r="BT53" t="n">
        <v>5</v>
      </c>
      <c r="BU53" t="inlineStr">
        <is>
          <t>FALSE</t>
        </is>
      </c>
      <c r="BV53" t="inlineStr">
        <is>
          <t>moringa</t>
        </is>
      </c>
      <c r="BW53" t="inlineStr">
        <is>
          <t>TRUE</t>
        </is>
      </c>
      <c r="BX53" t="inlineStr">
        <is>
          <t>Pass 10 refreshed scoring from 1 mapped compounds | Pass 13 rescored from 1 mapped compounds</t>
        </is>
      </c>
      <c r="BY53" t="inlineStr">
        <is>
          <t>unclassified</t>
        </is>
      </c>
      <c r="CA53" t="n">
        <v>2</v>
      </c>
      <c r="CB53" t="n">
        <v>0</v>
      </c>
      <c r="CC53" t="n">
        <v>0</v>
      </c>
      <c r="CD53" t="inlineStr">
        <is>
          <t>moringin; unclassified</t>
        </is>
      </c>
      <c r="CE53" t="inlineStr">
        <is>
          <t>Pass 13 rescored after herb-name normalization and real top-herb compound sweep</t>
        </is>
      </c>
      <c r="CF53" t="inlineStr">
        <is>
          <t>General</t>
        </is>
      </c>
      <c r="CH53" s="68" t="inlineStr">
        <is>
          <t>Start with low single-herb exposure and increase only if tolerated</t>
        </is>
      </c>
      <c r="CI53" s="68" t="inlineStr">
        <is>
          <t>Product-ideation framing only; not clinical dosing advice.</t>
        </is>
      </c>
      <c r="CJ53" s="68" t="inlineStr">
        <is>
          <t>glucose-lowering</t>
        </is>
      </c>
      <c r="CK53" s="68" t="str"/>
      <c r="CL53" s="68" t="inlineStr">
        <is>
          <t>Baseline</t>
        </is>
      </c>
      <c r="CM53" s="68" t="inlineStr">
        <is>
          <t>No</t>
        </is>
      </c>
      <c r="CN53" s="68" t="str"/>
      <c r="CO53" s="68" t="inlineStr">
        <is>
          <t>Pass 21 herb-level safety and dose framing</t>
        </is>
      </c>
      <c r="CP53" t="inlineStr">
        <is>
          <t>Baseline</t>
        </is>
      </c>
      <c r="CQ53" t="inlineStr">
        <is>
          <t>No</t>
        </is>
      </c>
      <c r="CS53" t="inlineStr">
        <is>
          <t>Pass 22 refined safety rule severity and reduced broad keyword over-flagging</t>
        </is>
      </c>
      <c r="CT53" t="inlineStr">
        <is>
          <t>Metabolic Support</t>
        </is>
      </c>
      <c r="CU53" t="inlineStr">
        <is>
          <t>antioxidant; metabolic support; nutritive support</t>
        </is>
      </c>
      <c r="CV53" t="inlineStr">
        <is>
          <t>Human</t>
        </is>
      </c>
      <c r="CW53" t="inlineStr">
        <is>
          <t>Pass 26 normalization: categories, mechanisms, evidence tiers</t>
        </is>
      </c>
      <c r="CX53" t="inlineStr">
        <is>
          <t>Human + preclinical</t>
        </is>
      </c>
      <c r="CY53" t="inlineStr">
        <is>
          <t>Generally well tolerated.</t>
        </is>
      </c>
      <c r="CZ53" t="inlineStr">
        <is>
          <t>Use caution with concentrated extracts and glucose-lowering strategies</t>
        </is>
      </c>
      <c r="DB53" t="inlineStr">
        <is>
          <t>Pass 28 normalized evidence and safety-related free text</t>
        </is>
      </c>
      <c r="DD53" t="inlineStr">
        <is>
          <t>No standardized dose established; use conservative, product-dependent ranges.</t>
        </is>
      </c>
      <c r="DE53" t="inlineStr">
        <is>
          <t>Common forms include extracts, powders, or teas depending on herb part.</t>
        </is>
      </c>
      <c r="DF53" t="inlineStr">
        <is>
          <t>Quality varies by extraction method, standardization, and contamination risk.</t>
        </is>
      </c>
      <c r="DG53" t="inlineStr">
        <is>
          <t>Moderate to high</t>
        </is>
      </c>
      <c r="DH53" t="inlineStr">
        <is>
          <t>Pass 29 completeness repair</t>
        </is>
      </c>
      <c r="DI53" t="n">
        <v>9</v>
      </c>
      <c r="DJ53" t="inlineStr">
        <is>
          <t>Metabolic</t>
        </is>
      </c>
      <c r="DK53" t="inlineStr">
        <is>
          <t>moringin</t>
        </is>
      </c>
      <c r="DL53" t="inlineStr">
        <is>
          <t>Ashitaba; Banaba; Curry Leaf; Eucommia; Guarana</t>
        </is>
      </c>
      <c r="DM53" t="inlineStr">
        <is>
          <t>Pass 31 relationship intelligence: density, cluster, anchor class, nearest herbs</t>
        </is>
      </c>
      <c r="DN53" t="inlineStr">
        <is>
          <t>Ashitaba; Banaba; Guarana</t>
        </is>
      </c>
      <c r="DO53" t="inlineStr">
        <is>
          <t>Ashitaba (1 shared pathways) | Banaba (1 shared pathways) | Guarana (1 shared pathways)</t>
        </is>
      </c>
      <c r="DP53" t="inlineStr">
        <is>
          <t>Metabolic</t>
        </is>
      </c>
      <c r="DQ53" t="inlineStr">
        <is>
          <t>Pass 32 substitute engine + cluster cleanup</t>
        </is>
      </c>
      <c r="DR53" t="inlineStr">
        <is>
          <t>Ashitaba</t>
        </is>
      </c>
      <c r="DS53" t="inlineStr">
        <is>
          <t>Banaba</t>
        </is>
      </c>
      <c r="DT53" t="inlineStr">
        <is>
          <t>same cluster; lower safety burden; similarity-backed</t>
        </is>
      </c>
      <c r="DU53" t="inlineStr">
        <is>
          <t>Not needed</t>
        </is>
      </c>
      <c r="DV53" t="inlineStr">
        <is>
          <t>Pass 33 fallback replacement engine</t>
        </is>
      </c>
      <c r="DW53" t="inlineStr">
        <is>
          <t>Guarana</t>
        </is>
      </c>
      <c r="DX53" t="inlineStr">
        <is>
          <t>Ashitaba; Banaba; Guarana; Curry Leaf; Eucommia; Kuding Tea</t>
        </is>
      </c>
      <c r="DY53" t="inlineStr">
        <is>
          <t>Pass 35 expanded fallback pool with second-pass candidate exploration</t>
        </is>
      </c>
      <c r="EG53" t="n">
        <v>3</v>
      </c>
      <c r="EH53" t="n">
        <v>3</v>
      </c>
      <c r="EI53" t="n">
        <v>0</v>
      </c>
      <c r="EJ53" t="n">
        <v>0</v>
      </c>
      <c r="EK53" t="n">
        <v>11</v>
      </c>
      <c r="EL53" t="n">
        <v>7</v>
      </c>
      <c r="EM53" t="inlineStr">
        <is>
          <t>moringin</t>
        </is>
      </c>
      <c r="EN53" t="inlineStr">
        <is>
          <t>Pass 48 rolled compound scores into herb-level scoring</t>
        </is>
      </c>
    </row>
    <row r="54">
      <c r="A54" s="68" t="inlineStr">
        <is>
          <t>Arjuna</t>
        </is>
      </c>
      <c r="B54" s="68" t="inlineStr">
        <is>
          <t>arjuna</t>
        </is>
      </c>
      <c r="C54" s="68" t="inlineStr">
        <is>
          <t>Terminalia arjuna</t>
        </is>
      </c>
      <c r="D54" s="68" t="inlineStr">
        <is>
          <t>herb</t>
        </is>
      </c>
      <c r="E54" s="68" t="inlineStr">
        <is>
          <t>bark</t>
        </is>
      </c>
      <c r="F54" s="68" t="inlineStr">
        <is>
          <t>bark</t>
        </is>
      </c>
      <c r="G54" s="68" t="inlineStr">
        <is>
          <t>arjuna</t>
        </is>
      </c>
      <c r="H54" s="68" t="inlineStr">
        <is>
          <t>India and South Asia</t>
        </is>
      </c>
      <c r="I54" s="68" t="inlineStr">
        <is>
          <t>Arjuna is positioned for cardiovascular and vascular support.</t>
        </is>
      </c>
      <c r="J54" s="68" t="inlineStr">
        <is>
          <t>It is best framed around bark polyphenols and triterpenes with specific cardiotonic-support positioning.</t>
        </is>
      </c>
      <c r="K54" s="68" t="inlineStr">
        <is>
          <t>arjunolic acid; triterpenes</t>
        </is>
      </c>
      <c r="L54" s="68" t="inlineStr">
        <is>
          <t>arjunolic acid</t>
        </is>
      </c>
      <c r="M54" s="68" t="inlineStr">
        <is>
          <t>Triterpenes and polyphenols support cardiovascular and antioxidant positioning.</t>
        </is>
      </c>
      <c r="N54" s="68" t="inlineStr">
        <is>
          <t>cardiovascular support; vascular support</t>
        </is>
      </c>
      <c r="O54" s="68" t="inlineStr">
        <is>
          <t>mixed human + preclinical</t>
        </is>
      </c>
      <c r="P54" s="68" t="inlineStr">
        <is>
          <t>Generally well tolerated.</t>
        </is>
      </c>
      <c r="Q54" s="68" t="inlineStr">
        <is>
          <t>Use caution with blood-pressure-lowering strategies.</t>
        </is>
      </c>
      <c r="R54" s="68" t="n"/>
      <c r="S54" s="68" t="n"/>
      <c r="T54" s="68" t="n"/>
      <c r="U54" s="68" t="n"/>
      <c r="V54" s="68" t="n"/>
      <c r="W54" s="68" t="inlineStr">
        <is>
          <t>Medium</t>
        </is>
      </c>
      <c r="X54" s="68" t="inlineStr">
        <is>
          <t>validated</t>
        </is>
      </c>
      <c r="Y54" s="68" t="inlineStr">
        <is>
          <t>Pass 125 curated expansion</t>
        </is>
      </c>
      <c r="Z54" s="68" t="inlineStr">
        <is>
          <t>present</t>
        </is>
      </c>
      <c r="AA54" s="68" t="inlineStr">
        <is>
          <t>Curated expansion</t>
        </is>
      </c>
      <c r="AB54" s="68" t="inlineStr">
        <is>
          <t>Pass 125 curated expansion</t>
        </is>
      </c>
      <c r="AC54" s="68" t="inlineStr">
        <is>
          <t>Pass 125 curated expansion</t>
        </is>
      </c>
      <c r="AD54" s="68" t="inlineStr">
        <is>
          <t>Pass 125 curated expansion</t>
        </is>
      </c>
      <c r="AE54" s="68" t="inlineStr">
        <is>
          <t>Pass 125 curated expansion</t>
        </is>
      </c>
      <c r="AF54" s="68" t="inlineStr">
        <is>
          <t>Added in Pass 125.</t>
        </is>
      </c>
      <c r="AG54" s="68" t="n">
        <v>2</v>
      </c>
      <c r="AH54" s="68" t="n">
        <v>2</v>
      </c>
      <c r="AI54" s="68" t="n">
        <v>1</v>
      </c>
      <c r="AJ54" s="68" t="n">
        <v>5</v>
      </c>
      <c r="AK54" s="68" t="inlineStr">
        <is>
          <t>Medium</t>
        </is>
      </c>
      <c r="AL54" s="68" t="inlineStr">
        <is>
          <t>Missing</t>
        </is>
      </c>
      <c r="AM54" s="68" t="inlineStr">
        <is>
          <t>Curated expansion</t>
        </is>
      </c>
      <c r="AN54" s="68" t="n">
        <v>0.55</v>
      </c>
      <c r="AO54" s="68" t="inlineStr">
        <is>
          <t>Needs work</t>
        </is>
      </c>
      <c r="AP54" s="68" t="inlineStr">
        <is>
          <t>Research</t>
        </is>
      </c>
      <c r="AQ54" s="68" t="n"/>
      <c r="AR54" s="68" t="inlineStr">
        <is>
          <t>Source review</t>
        </is>
      </c>
      <c r="AS54" s="68" t="inlineStr">
        <is>
          <t>Not started</t>
        </is>
      </c>
      <c r="AT54" s="68" t="inlineStr">
        <is>
          <t>No</t>
        </is>
      </c>
      <c r="AU54" s="68" t="inlineStr">
        <is>
          <t>No</t>
        </is>
      </c>
      <c r="AV54" s="68" t="inlineStr">
        <is>
          <t>No</t>
        </is>
      </c>
      <c r="AW54" s="68" t="inlineStr">
        <is>
          <t>Yes</t>
        </is>
      </c>
      <c r="AX54" s="68" t="inlineStr">
        <is>
          <t>Add source-linked dosage and standardization fields</t>
        </is>
      </c>
      <c r="AY54" s="68" t="n">
        <v>1</v>
      </c>
      <c r="AZ54" s="68" t="n"/>
      <c r="BA54" s="68" t="n"/>
      <c r="BB54" s="68" t="inlineStr">
        <is>
          <t>Source review</t>
        </is>
      </c>
      <c r="BC54" s="68" t="inlineStr">
        <is>
          <t>Pending</t>
        </is>
      </c>
      <c r="BD54" s="68" t="n"/>
      <c r="BE54" s="68" t="inlineStr">
        <is>
          <t>2026-04-10</t>
        </is>
      </c>
      <c r="BF54" s="68" t="inlineStr">
        <is>
          <t>Metadata normalized from internal workbook links</t>
        </is>
      </c>
      <c r="BG54" s="68" t="inlineStr">
        <is>
          <t>arjuna-R1</t>
        </is>
      </c>
      <c r="BH54" s="68" t="n">
        <v>0</v>
      </c>
      <c r="BI54" t="inlineStr">
        <is>
          <t>arjuna</t>
        </is>
      </c>
      <c r="BJ54" t="inlineStr">
        <is>
          <t>Arjuna</t>
        </is>
      </c>
      <c r="BK54" t="n">
        <v>2</v>
      </c>
      <c r="BL54" t="n">
        <v>2</v>
      </c>
      <c r="BM54" t="n">
        <v>3</v>
      </c>
      <c r="BN54" t="n">
        <v>14</v>
      </c>
      <c r="BO54" t="n">
        <v>100</v>
      </c>
      <c r="BP54" t="n">
        <v>17</v>
      </c>
      <c r="BQ54" t="n">
        <v>20</v>
      </c>
      <c r="BR54" t="n">
        <v>12</v>
      </c>
      <c r="BS54" t="inlineStr">
        <is>
          <t>Tier 1</t>
        </is>
      </c>
      <c r="BT54" t="n">
        <v>10</v>
      </c>
      <c r="BU54" t="inlineStr">
        <is>
          <t>FALSE</t>
        </is>
      </c>
      <c r="BV54" t="inlineStr">
        <is>
          <t>arjuna</t>
        </is>
      </c>
      <c r="BW54" t="inlineStr">
        <is>
          <t>TRUE</t>
        </is>
      </c>
      <c r="BX54" t="inlineStr">
        <is>
          <t>Pass 10 refreshed scoring from 1 mapped compounds | Pass 13 rescored from 2 mapped compounds</t>
        </is>
      </c>
      <c r="BY54" t="inlineStr">
        <is>
          <t>cardiovascular signaling; unclassified</t>
        </is>
      </c>
      <c r="BZ54" t="inlineStr">
        <is>
          <t>cardiovascular protective signaling</t>
        </is>
      </c>
      <c r="CA54" t="n">
        <v>5</v>
      </c>
      <c r="CB54" t="n">
        <v>0</v>
      </c>
      <c r="CC54" t="n">
        <v>0</v>
      </c>
      <c r="CD54" t="inlineStr">
        <is>
          <t>Triterpenoid; arjunolic acid; cardiovascular signaling; unclassified</t>
        </is>
      </c>
      <c r="CE54" t="inlineStr">
        <is>
          <t>Pass 13 rescored after herb-name normalization and real top-herb compound sweep</t>
        </is>
      </c>
      <c r="CF54" t="inlineStr">
        <is>
          <t>Circulation</t>
        </is>
      </c>
      <c r="CG54" t="inlineStr">
        <is>
          <t>Circulation</t>
        </is>
      </c>
      <c r="CH54" s="68" t="inlineStr">
        <is>
          <t>Start low; usually daytime use</t>
        </is>
      </c>
      <c r="CI54" s="68" t="inlineStr">
        <is>
          <t>Product-ideation framing only; not clinical dosing advice.</t>
        </is>
      </c>
      <c r="CJ54" s="68" t="inlineStr">
        <is>
          <t>blood-pressure</t>
        </is>
      </c>
      <c r="CK54" s="68" t="str"/>
      <c r="CL54" s="68" t="inlineStr">
        <is>
          <t>Baseline</t>
        </is>
      </c>
      <c r="CM54" s="68" t="inlineStr">
        <is>
          <t>No</t>
        </is>
      </c>
      <c r="CN54" s="68" t="str"/>
      <c r="CO54" s="68" t="inlineStr">
        <is>
          <t>Pass 21 herb-level safety and dose framing</t>
        </is>
      </c>
      <c r="CP54" t="inlineStr">
        <is>
          <t>Baseline</t>
        </is>
      </c>
      <c r="CQ54" t="inlineStr">
        <is>
          <t>No</t>
        </is>
      </c>
      <c r="CS54" t="inlineStr">
        <is>
          <t>Pass 22 refined safety rule severity and reduced broad keyword over-flagging</t>
        </is>
      </c>
      <c r="CT54" t="inlineStr">
        <is>
          <t>Circulation</t>
        </is>
      </c>
      <c r="CU54" t="inlineStr">
        <is>
          <t>cardiovascular support; vascular support</t>
        </is>
      </c>
      <c r="CV54" t="inlineStr">
        <is>
          <t>Human</t>
        </is>
      </c>
      <c r="CW54" t="inlineStr">
        <is>
          <t>Pass 26 normalization: categories, mechanisms, evidence tiers</t>
        </is>
      </c>
      <c r="CX54" t="inlineStr">
        <is>
          <t>Human + preclinical</t>
        </is>
      </c>
      <c r="CY54" t="inlineStr">
        <is>
          <t>Generally well tolerated.</t>
        </is>
      </c>
      <c r="CZ54" t="inlineStr">
        <is>
          <t>Use caution with blood-pressure-lowering strategies</t>
        </is>
      </c>
      <c r="DB54" t="inlineStr">
        <is>
          <t>Pass 28 normalized evidence and safety-related free text</t>
        </is>
      </c>
      <c r="DD54" t="inlineStr">
        <is>
          <t>No standardized dose established; use conservative, product-dependent ranges.</t>
        </is>
      </c>
      <c r="DE54" t="inlineStr">
        <is>
          <t>Common forms include extracts, powders, or teas depending on herb part.</t>
        </is>
      </c>
      <c r="DF54" t="inlineStr">
        <is>
          <t>Quality varies by extraction method, standardization, and contamination risk.</t>
        </is>
      </c>
      <c r="DG54" t="inlineStr">
        <is>
          <t>Moderate to high</t>
        </is>
      </c>
      <c r="DH54" t="inlineStr">
        <is>
          <t>Pass 29 completeness repair</t>
        </is>
      </c>
      <c r="DI54" t="n">
        <v>21</v>
      </c>
      <c r="DJ54" t="inlineStr">
        <is>
          <t>Vascular</t>
        </is>
      </c>
      <c r="DK54" t="inlineStr">
        <is>
          <t>arjunolic acid</t>
        </is>
      </c>
      <c r="DL54" t="inlineStr">
        <is>
          <t>Epimedium; Agarikon; Ajwain; Angelica Root; Artichoke</t>
        </is>
      </c>
      <c r="DM54" t="inlineStr">
        <is>
          <t>Pass 31 relationship intelligence: density, cluster, anchor class, nearest herbs</t>
        </is>
      </c>
      <c r="DP54" t="inlineStr">
        <is>
          <t>Circulation / Vascular</t>
        </is>
      </c>
      <c r="DQ54" t="inlineStr">
        <is>
          <t>Pass 32 substitute engine + cluster cleanup</t>
        </is>
      </c>
      <c r="DT54" t="inlineStr">
        <is>
          <t>no strong safe fallback found</t>
        </is>
      </c>
      <c r="DU54" t="inlineStr">
        <is>
          <t>Not needed</t>
        </is>
      </c>
      <c r="DV54" t="inlineStr">
        <is>
          <t>Pass 33 fallback replacement engine</t>
        </is>
      </c>
      <c r="DY54" t="inlineStr">
        <is>
          <t>Pass 35 expanded fallback pool with second-pass candidate exploration</t>
        </is>
      </c>
      <c r="EA54" t="inlineStr">
        <is>
          <t>Circulation</t>
        </is>
      </c>
      <c r="EB54" t="inlineStr">
        <is>
          <t>cardiovascular signaling; unclassified</t>
        </is>
      </c>
      <c r="EC54" t="inlineStr">
        <is>
          <t>High</t>
        </is>
      </c>
      <c r="ED54" t="inlineStr">
        <is>
          <t>Pass 40 reinforced weak-category herb data</t>
        </is>
      </c>
      <c r="EE54" t="inlineStr">
        <is>
          <t>Pass 42 added real compounds for weak-category reinforcement</t>
        </is>
      </c>
      <c r="EF54" t="inlineStr">
        <is>
          <t>Pass 43 hardening</t>
        </is>
      </c>
      <c r="EG54" t="n">
        <v>21</v>
      </c>
      <c r="EH54" t="n">
        <v>5.25</v>
      </c>
      <c r="EI54" t="n">
        <v>0</v>
      </c>
      <c r="EJ54" t="n">
        <v>2</v>
      </c>
      <c r="EK54" t="n">
        <v>40</v>
      </c>
      <c r="EL54" t="n">
        <v>34</v>
      </c>
      <c r="EM54" t="inlineStr">
        <is>
          <t>Arjunetin; Arjungenin; Arjunic acid; arjunolic acid</t>
        </is>
      </c>
      <c r="EN54" t="inlineStr">
        <is>
          <t>Pass 48 rolled compound scores into herb-level scoring</t>
        </is>
      </c>
    </row>
    <row r="55">
      <c r="A55" s="68" t="inlineStr">
        <is>
          <t>Noni</t>
        </is>
      </c>
      <c r="B55" s="68" t="inlineStr">
        <is>
          <t>noni</t>
        </is>
      </c>
      <c r="C55" s="68" t="inlineStr">
        <is>
          <t>Morinda citrifolia</t>
        </is>
      </c>
      <c r="D55" s="68" t="inlineStr">
        <is>
          <t>herb</t>
        </is>
      </c>
      <c r="E55" s="68" t="inlineStr">
        <is>
          <t>fruit</t>
        </is>
      </c>
      <c r="F55" s="68" t="inlineStr">
        <is>
          <t>fruit</t>
        </is>
      </c>
      <c r="G55" s="68" t="inlineStr">
        <is>
          <t>noni</t>
        </is>
      </c>
      <c r="H55" s="68" t="inlineStr">
        <is>
          <t>Pacific Islands; tropical regions</t>
        </is>
      </c>
      <c r="I55" s="68" t="inlineStr">
        <is>
          <t>Noni is positioned for antioxidant and traditional wellness support.</t>
        </is>
      </c>
      <c r="J55" s="68" t="inlineStr">
        <is>
          <t>It should be framed conservatively because broad folk claims exceed the strength of modern evidence.</t>
        </is>
      </c>
      <c r="K55" s="68" t="inlineStr">
        <is>
          <t>damnacanthal; iridoids</t>
        </is>
      </c>
      <c r="L55" s="68" t="inlineStr">
        <is>
          <t>damnacanthal</t>
        </is>
      </c>
      <c r="M55" s="68" t="inlineStr">
        <is>
          <t>Anthraquinone-adjacent and iridoid chemistry support antioxidant and traditional-support positioning.</t>
        </is>
      </c>
      <c r="N55" s="68" t="inlineStr">
        <is>
          <t>traditional wellness support; antioxidant</t>
        </is>
      </c>
      <c r="O55" s="68" t="inlineStr">
        <is>
          <t>traditional use + limited human</t>
        </is>
      </c>
      <c r="P55" s="68" t="inlineStr">
        <is>
          <t>Generally well tolerated.</t>
        </is>
      </c>
      <c r="Q55" s="68" t="inlineStr">
        <is>
          <t>Use caution with overgeneralized disease claims.</t>
        </is>
      </c>
      <c r="R55" s="68" t="n"/>
      <c r="S55" s="68" t="n"/>
      <c r="T55" s="68" t="n"/>
      <c r="U55" s="68" t="n"/>
      <c r="V55" s="68" t="n"/>
      <c r="W55" s="68" t="inlineStr">
        <is>
          <t>Medium</t>
        </is>
      </c>
      <c r="X55" s="68" t="inlineStr">
        <is>
          <t>validated</t>
        </is>
      </c>
      <c r="Y55" s="68" t="inlineStr">
        <is>
          <t>Pass 125 curated expansion</t>
        </is>
      </c>
      <c r="Z55" s="68" t="inlineStr">
        <is>
          <t>present</t>
        </is>
      </c>
      <c r="AA55" s="68" t="inlineStr">
        <is>
          <t>Curated expansion</t>
        </is>
      </c>
      <c r="AB55" s="68" t="inlineStr">
        <is>
          <t>Pass 125 curated expansion</t>
        </is>
      </c>
      <c r="AC55" s="68" t="inlineStr">
        <is>
          <t>Pass 125 curated expansion</t>
        </is>
      </c>
      <c r="AD55" s="68" t="inlineStr">
        <is>
          <t>Pass 125 curated expansion</t>
        </is>
      </c>
      <c r="AE55" s="68" t="inlineStr">
        <is>
          <t>Pass 125 curated expansion</t>
        </is>
      </c>
      <c r="AF55" s="68" t="inlineStr">
        <is>
          <t>Added in Pass 125.</t>
        </is>
      </c>
      <c r="AG55" s="68" t="n">
        <v>2</v>
      </c>
      <c r="AH55" s="68" t="n">
        <v>2</v>
      </c>
      <c r="AI55" s="68" t="n">
        <v>1</v>
      </c>
      <c r="AJ55" s="68" t="n">
        <v>5</v>
      </c>
      <c r="AK55" s="68" t="inlineStr">
        <is>
          <t>Medium</t>
        </is>
      </c>
      <c r="AL55" s="68" t="inlineStr">
        <is>
          <t>Missing</t>
        </is>
      </c>
      <c r="AM55" s="68" t="inlineStr">
        <is>
          <t>Curated expansion</t>
        </is>
      </c>
      <c r="AN55" s="68" t="n">
        <v>0.55</v>
      </c>
      <c r="AO55" s="68" t="inlineStr">
        <is>
          <t>Needs work</t>
        </is>
      </c>
      <c r="AP55" s="68" t="inlineStr">
        <is>
          <t>Research</t>
        </is>
      </c>
      <c r="AQ55" s="68" t="n"/>
      <c r="AR55" s="68" t="inlineStr">
        <is>
          <t>Source review</t>
        </is>
      </c>
      <c r="AS55" s="68" t="inlineStr">
        <is>
          <t>Not started</t>
        </is>
      </c>
      <c r="AT55" s="68" t="inlineStr">
        <is>
          <t>No</t>
        </is>
      </c>
      <c r="AU55" s="68" t="inlineStr">
        <is>
          <t>No</t>
        </is>
      </c>
      <c r="AV55" s="68" t="inlineStr">
        <is>
          <t>No</t>
        </is>
      </c>
      <c r="AW55" s="68" t="inlineStr">
        <is>
          <t>Yes</t>
        </is>
      </c>
      <c r="AX55" s="68" t="inlineStr">
        <is>
          <t>Add source-linked dosage and standardization fields</t>
        </is>
      </c>
      <c r="AY55" s="68" t="n">
        <v>1</v>
      </c>
      <c r="AZ55" s="68" t="n"/>
      <c r="BA55" s="68" t="n"/>
      <c r="BB55" s="68" t="inlineStr">
        <is>
          <t>Source review</t>
        </is>
      </c>
      <c r="BC55" s="68" t="inlineStr">
        <is>
          <t>Pending</t>
        </is>
      </c>
      <c r="BD55" s="68" t="n"/>
      <c r="BE55" s="68" t="inlineStr">
        <is>
          <t>2026-04-10</t>
        </is>
      </c>
      <c r="BF55" s="68" t="inlineStr">
        <is>
          <t>Metadata normalized from internal workbook links</t>
        </is>
      </c>
      <c r="BG55" s="68" t="inlineStr">
        <is>
          <t>noni-R1</t>
        </is>
      </c>
      <c r="BH55" s="68" t="n">
        <v>0</v>
      </c>
      <c r="BI55" t="inlineStr">
        <is>
          <t>noni</t>
        </is>
      </c>
      <c r="BJ55" t="inlineStr">
        <is>
          <t>Noni</t>
        </is>
      </c>
      <c r="BK55" t="n">
        <v>1</v>
      </c>
      <c r="BL55" t="n">
        <v>1</v>
      </c>
      <c r="BM55" t="n">
        <v>3</v>
      </c>
      <c r="BN55" t="n">
        <v>7</v>
      </c>
      <c r="BO55" t="n">
        <v>100</v>
      </c>
      <c r="BP55" t="n">
        <v>8</v>
      </c>
      <c r="BQ55" t="n">
        <v>10</v>
      </c>
      <c r="BR55" t="n">
        <v>5</v>
      </c>
      <c r="BS55" t="inlineStr">
        <is>
          <t>Tier 1</t>
        </is>
      </c>
      <c r="BT55" t="n">
        <v>5</v>
      </c>
      <c r="BU55" t="inlineStr">
        <is>
          <t>FALSE</t>
        </is>
      </c>
      <c r="BV55" t="inlineStr">
        <is>
          <t>noni</t>
        </is>
      </c>
      <c r="BW55" t="inlineStr">
        <is>
          <t>TRUE</t>
        </is>
      </c>
      <c r="BX55" t="inlineStr">
        <is>
          <t>Pass 10 refreshed scoring from 1 mapped compounds | Pass 13 rescored from 1 mapped compounds</t>
        </is>
      </c>
      <c r="BY55" t="inlineStr">
        <is>
          <t>unclassified</t>
        </is>
      </c>
      <c r="CA55" t="n">
        <v>2</v>
      </c>
      <c r="CB55" t="n">
        <v>0</v>
      </c>
      <c r="CC55" t="n">
        <v>0</v>
      </c>
      <c r="CD55" t="inlineStr">
        <is>
          <t>damnacanthal; unclassified</t>
        </is>
      </c>
      <c r="CE55" t="inlineStr">
        <is>
          <t>Pass 13 rescored after herb-name normalization and real top-herb compound sweep</t>
        </is>
      </c>
      <c r="CF55" t="inlineStr">
        <is>
          <t>General</t>
        </is>
      </c>
      <c r="CH55" s="68" t="inlineStr">
        <is>
          <t>Start with low single-herb exposure and increase only if tolerated</t>
        </is>
      </c>
      <c r="CI55" s="68" t="inlineStr">
        <is>
          <t>Product-ideation framing only; not clinical dosing advice.</t>
        </is>
      </c>
      <c r="CJ55" s="68" t="str"/>
      <c r="CK55" s="68" t="str"/>
      <c r="CL55" s="68" t="inlineStr">
        <is>
          <t>Moderate</t>
        </is>
      </c>
      <c r="CM55" s="68" t="inlineStr">
        <is>
          <t>No</t>
        </is>
      </c>
      <c r="CN55" s="68" t="str"/>
      <c r="CO55" s="68" t="inlineStr">
        <is>
          <t>Pass 21 herb-level safety and dose framing</t>
        </is>
      </c>
      <c r="CP55" t="inlineStr">
        <is>
          <t>Baseline</t>
        </is>
      </c>
      <c r="CQ55" t="inlineStr">
        <is>
          <t>No</t>
        </is>
      </c>
      <c r="CS55" t="inlineStr">
        <is>
          <t>Pass 22 refined safety rule severity and reduced broad keyword over-flagging</t>
        </is>
      </c>
      <c r="CT55" t="inlineStr">
        <is>
          <t>General</t>
        </is>
      </c>
      <c r="CU55" t="inlineStr">
        <is>
          <t>antioxidant; traditional wellness support</t>
        </is>
      </c>
      <c r="CV55" t="inlineStr">
        <is>
          <t>Human</t>
        </is>
      </c>
      <c r="CW55" t="inlineStr">
        <is>
          <t>Pass 26 normalization: categories, mechanisms, evidence tiers</t>
        </is>
      </c>
      <c r="CX55" t="inlineStr">
        <is>
          <t>Limited human</t>
        </is>
      </c>
      <c r="CY55" t="inlineStr">
        <is>
          <t>Generally well tolerated.</t>
        </is>
      </c>
      <c r="CZ55" t="inlineStr">
        <is>
          <t>Use caution with overgeneralized disease claims</t>
        </is>
      </c>
      <c r="DB55" t="inlineStr">
        <is>
          <t>Pass 28 normalized evidence and safety-related free text</t>
        </is>
      </c>
      <c r="DD55" t="inlineStr">
        <is>
          <t>No standardized dose established; use conservative, product-dependent ranges.</t>
        </is>
      </c>
      <c r="DE55" t="inlineStr">
        <is>
          <t>Common forms include extracts, powders, or teas depending on herb part.</t>
        </is>
      </c>
      <c r="DF55" t="inlineStr">
        <is>
          <t>Quality varies by extraction method, standardization, and contamination risk.</t>
        </is>
      </c>
      <c r="DG55" t="inlineStr">
        <is>
          <t>Moderate to high</t>
        </is>
      </c>
      <c r="DH55" t="inlineStr">
        <is>
          <t>Pass 29 completeness repair</t>
        </is>
      </c>
      <c r="DI55" t="n">
        <v>9</v>
      </c>
      <c r="DJ55" t="inlineStr">
        <is>
          <t>General</t>
        </is>
      </c>
      <c r="DK55" t="inlineStr">
        <is>
          <t>damnacanthal</t>
        </is>
      </c>
      <c r="DL55" t="inlineStr">
        <is>
          <t>Agarikon; Ajwain; Angelica Root; Artichoke; Ashoka</t>
        </is>
      </c>
      <c r="DM55" t="inlineStr">
        <is>
          <t>Pass 31 relationship intelligence: density, cluster, anchor class, nearest herbs</t>
        </is>
      </c>
      <c r="DN55" t="inlineStr">
        <is>
          <t>Artichoke; Blue Lotus; Burdock; Butterbur; Calendula</t>
        </is>
      </c>
      <c r="DO55" t="inlineStr">
        <is>
          <t>Artichoke (1 shared pathways) | Blue Lotus (1 shared pathways) | Burdock (1 shared pathways)</t>
        </is>
      </c>
      <c r="DP55" t="inlineStr">
        <is>
          <t>Generalist</t>
        </is>
      </c>
      <c r="DQ55" t="inlineStr">
        <is>
          <t>Pass 32 substitute engine + cluster cleanup</t>
        </is>
      </c>
      <c r="DR55" t="inlineStr">
        <is>
          <t>Blue Lotus</t>
        </is>
      </c>
      <c r="DS55" t="inlineStr">
        <is>
          <t>Burdock</t>
        </is>
      </c>
      <c r="DT55" t="inlineStr">
        <is>
          <t>same cluster; lower safety burden; similarity-backed</t>
        </is>
      </c>
      <c r="DU55" t="inlineStr">
        <is>
          <t>Not needed</t>
        </is>
      </c>
      <c r="DV55" t="inlineStr">
        <is>
          <t>Pass 33 fallback replacement engine</t>
        </is>
      </c>
      <c r="DW55" t="inlineStr">
        <is>
          <t>Butterbur</t>
        </is>
      </c>
      <c r="DX55" t="inlineStr">
        <is>
          <t>Blue Lotus; Burdock; Butterbur; Calendula; Agarikon; Ajwain; Angelica Root; Ashoka</t>
        </is>
      </c>
      <c r="DY55" t="inlineStr">
        <is>
          <t>Pass 35 expanded fallback pool with second-pass candidate exploration</t>
        </is>
      </c>
      <c r="EA55" t="inlineStr">
        <is>
          <t>General</t>
        </is>
      </c>
      <c r="EB55" t="inlineStr">
        <is>
          <t>unclassified</t>
        </is>
      </c>
      <c r="EC55" t="inlineStr">
        <is>
          <t>Medium</t>
        </is>
      </c>
      <c r="ED55" t="inlineStr">
        <is>
          <t>Pass 40 reinforced weak-category herb data</t>
        </is>
      </c>
      <c r="EG55" t="n">
        <v>3</v>
      </c>
      <c r="EH55" t="n">
        <v>3</v>
      </c>
      <c r="EI55" t="n">
        <v>0</v>
      </c>
      <c r="EJ55" t="n">
        <v>0</v>
      </c>
      <c r="EK55" t="n">
        <v>11</v>
      </c>
      <c r="EL55" t="n">
        <v>7</v>
      </c>
      <c r="EM55" t="inlineStr">
        <is>
          <t>damnacanthal</t>
        </is>
      </c>
      <c r="EN55" t="inlineStr">
        <is>
          <t>Pass 48 rolled compound scores into herb-level scoring</t>
        </is>
      </c>
    </row>
    <row r="56">
      <c r="A56" s="68" t="inlineStr">
        <is>
          <t>Cranberry</t>
        </is>
      </c>
      <c r="B56" s="68" t="inlineStr">
        <is>
          <t>cranberry</t>
        </is>
      </c>
      <c r="C56" s="68" t="inlineStr">
        <is>
          <t>Vaccinium macrocarpon</t>
        </is>
      </c>
      <c r="D56" s="68" t="inlineStr">
        <is>
          <t>herb</t>
        </is>
      </c>
      <c r="E56" s="68" t="inlineStr">
        <is>
          <t>berry</t>
        </is>
      </c>
      <c r="F56" s="68" t="inlineStr">
        <is>
          <t>fruit</t>
        </is>
      </c>
      <c r="G56" s="68" t="inlineStr">
        <is>
          <t>cranberry</t>
        </is>
      </c>
      <c r="H56" s="68" t="inlineStr">
        <is>
          <t>North America</t>
        </is>
      </c>
      <c r="I56" s="68" t="inlineStr">
        <is>
          <t>Cranberry is positioned for urinary and antioxidant support.</t>
        </is>
      </c>
      <c r="J56" s="68" t="inlineStr">
        <is>
          <t>It is best framed around proanthocyanidin-rich urinary-support positioning rather than broad antimicrobial claims.</t>
        </is>
      </c>
      <c r="K56" s="68" t="inlineStr">
        <is>
          <t>A-type proanthocyanidins</t>
        </is>
      </c>
      <c r="L56" s="68" t="inlineStr">
        <is>
          <t>A-type proanthocyanidins</t>
        </is>
      </c>
      <c r="M56" s="68" t="inlineStr">
        <is>
          <t>Polyphenols support urinary and antioxidant positioning.</t>
        </is>
      </c>
      <c r="N56" s="68" t="inlineStr">
        <is>
          <t>urinary support; antioxidant</t>
        </is>
      </c>
      <c r="O56" s="68" t="inlineStr">
        <is>
          <t>mixed human + food/supplement literature</t>
        </is>
      </c>
      <c r="P56" s="68" t="inlineStr">
        <is>
          <t>Generally well tolerated.</t>
        </is>
      </c>
      <c r="Q56" s="68" t="inlineStr">
        <is>
          <t>Use caution with anticoagulant-sensitive contexts.</t>
        </is>
      </c>
      <c r="R56" s="68" t="n"/>
      <c r="S56" s="68" t="n"/>
      <c r="T56" s="68" t="n"/>
      <c r="U56" s="68" t="n"/>
      <c r="V56" s="68" t="n"/>
      <c r="W56" s="68" t="inlineStr">
        <is>
          <t>Medium</t>
        </is>
      </c>
      <c r="X56" s="68" t="inlineStr">
        <is>
          <t>partial</t>
        </is>
      </c>
      <c r="Y56" s="68" t="inlineStr">
        <is>
          <t>Pass 125 curated expansion</t>
        </is>
      </c>
      <c r="Z56" s="68" t="inlineStr">
        <is>
          <t>present</t>
        </is>
      </c>
      <c r="AA56" s="68" t="inlineStr">
        <is>
          <t>Curated expansion</t>
        </is>
      </c>
      <c r="AB56" s="68" t="inlineStr">
        <is>
          <t>Pass 125 curated expansion</t>
        </is>
      </c>
      <c r="AC56" s="68" t="inlineStr">
        <is>
          <t>Pass 125 curated expansion</t>
        </is>
      </c>
      <c r="AD56" s="68" t="inlineStr">
        <is>
          <t>Pass 125 curated expansion</t>
        </is>
      </c>
      <c r="AE56" s="68" t="inlineStr">
        <is>
          <t>Pass 125 curated expansion</t>
        </is>
      </c>
      <c r="AF56" s="68" t="inlineStr">
        <is>
          <t>Added in Pass 125.</t>
        </is>
      </c>
      <c r="AG56" s="68" t="n">
        <v>2</v>
      </c>
      <c r="AH56" s="68" t="n">
        <v>2</v>
      </c>
      <c r="AI56" s="68" t="n">
        <v>1</v>
      </c>
      <c r="AJ56" s="68" t="n">
        <v>5</v>
      </c>
      <c r="AK56" s="68" t="inlineStr">
        <is>
          <t>Medium</t>
        </is>
      </c>
      <c r="AL56" s="68" t="inlineStr">
        <is>
          <t>Missing</t>
        </is>
      </c>
      <c r="AM56" s="68" t="inlineStr">
        <is>
          <t>Curated expansion</t>
        </is>
      </c>
      <c r="AN56" s="68" t="n">
        <v>0.55</v>
      </c>
      <c r="AO56" s="68" t="inlineStr">
        <is>
          <t>Needs work</t>
        </is>
      </c>
      <c r="AP56" s="68" t="inlineStr">
        <is>
          <t>Research</t>
        </is>
      </c>
      <c r="AQ56" s="68" t="n"/>
      <c r="AR56" s="68" t="inlineStr">
        <is>
          <t>Source review</t>
        </is>
      </c>
      <c r="AS56" s="68" t="inlineStr">
        <is>
          <t>Not started</t>
        </is>
      </c>
      <c r="AT56" s="68" t="inlineStr">
        <is>
          <t>No</t>
        </is>
      </c>
      <c r="AU56" s="68" t="inlineStr">
        <is>
          <t>No</t>
        </is>
      </c>
      <c r="AV56" s="68" t="inlineStr">
        <is>
          <t>No</t>
        </is>
      </c>
      <c r="AW56" s="68" t="inlineStr">
        <is>
          <t>Yes</t>
        </is>
      </c>
      <c r="AX56" s="68" t="inlineStr">
        <is>
          <t>Add source-linked dosage and standardization fields</t>
        </is>
      </c>
      <c r="AY56" s="68" t="n">
        <v>1</v>
      </c>
      <c r="AZ56" s="68" t="n"/>
      <c r="BA56" s="68" t="n"/>
      <c r="BB56" s="68" t="inlineStr">
        <is>
          <t>Source review</t>
        </is>
      </c>
      <c r="BC56" s="68" t="inlineStr">
        <is>
          <t>Pending</t>
        </is>
      </c>
      <c r="BD56" s="68" t="n"/>
      <c r="BE56" s="68" t="inlineStr">
        <is>
          <t>2026-04-10</t>
        </is>
      </c>
      <c r="BF56" s="68" t="inlineStr">
        <is>
          <t>Metadata normalized from internal workbook links</t>
        </is>
      </c>
      <c r="BG56" s="68" t="inlineStr">
        <is>
          <t>cranberry-R1</t>
        </is>
      </c>
      <c r="BH56" s="68" t="n">
        <v>0</v>
      </c>
      <c r="BI56" t="inlineStr">
        <is>
          <t>cranberry</t>
        </is>
      </c>
      <c r="BJ56" t="inlineStr">
        <is>
          <t>Cranberry</t>
        </is>
      </c>
      <c r="BK56" t="n">
        <v>1</v>
      </c>
      <c r="BL56" t="n">
        <v>0</v>
      </c>
      <c r="BM56" t="n">
        <v>3</v>
      </c>
      <c r="BN56" t="n">
        <v>3</v>
      </c>
      <c r="BO56" t="n">
        <v>100</v>
      </c>
      <c r="BP56" t="n">
        <v>8</v>
      </c>
      <c r="BQ56" t="n">
        <v>0</v>
      </c>
      <c r="BR56" t="n">
        <v>5</v>
      </c>
      <c r="BS56" t="inlineStr">
        <is>
          <t>Tier 4</t>
        </is>
      </c>
      <c r="BT56" t="n">
        <v>3</v>
      </c>
      <c r="BU56" t="inlineStr">
        <is>
          <t>FALSE</t>
        </is>
      </c>
      <c r="BV56" t="inlineStr">
        <is>
          <t>cranberry</t>
        </is>
      </c>
      <c r="BW56" t="inlineStr">
        <is>
          <t>TRUE</t>
        </is>
      </c>
      <c r="BX56" t="inlineStr">
        <is>
          <t>Pass 10 refreshed scoring from 1 mapped compounds | Pass 13 rescored from 1 mapped compounds</t>
        </is>
      </c>
      <c r="CA56" t="n">
        <v>2</v>
      </c>
      <c r="CB56" t="n">
        <v>0</v>
      </c>
      <c r="CC56" t="n">
        <v>0</v>
      </c>
      <c r="CE56" t="inlineStr">
        <is>
          <t>Pass 13 rescored after herb-name normalization and real top-herb compound sweep</t>
        </is>
      </c>
      <c r="CF56" t="inlineStr">
        <is>
          <t>General</t>
        </is>
      </c>
      <c r="CH56" s="68" t="inlineStr">
        <is>
          <t>Start with low single-herb exposure and increase only if tolerated</t>
        </is>
      </c>
      <c r="CI56" s="68" t="inlineStr">
        <is>
          <t>Keep conservative around surgery, anticoagulants, or antiplatelet use.</t>
        </is>
      </c>
      <c r="CJ56" s="68" t="inlineStr">
        <is>
          <t>bleeding-risk</t>
        </is>
      </c>
      <c r="CK56" s="68" t="str"/>
      <c r="CL56" s="68" t="inlineStr">
        <is>
          <t>Baseline</t>
        </is>
      </c>
      <c r="CM56" s="68" t="inlineStr">
        <is>
          <t>No</t>
        </is>
      </c>
      <c r="CN56" s="68" t="str"/>
      <c r="CO56" s="68" t="inlineStr">
        <is>
          <t>Pass 21 herb-level safety and dose framing</t>
        </is>
      </c>
      <c r="CP56" t="inlineStr">
        <is>
          <t>Baseline</t>
        </is>
      </c>
      <c r="CQ56" t="inlineStr">
        <is>
          <t>No</t>
        </is>
      </c>
      <c r="CS56" t="inlineStr">
        <is>
          <t>Pass 22 refined safety rule severity and reduced broad keyword over-flagging</t>
        </is>
      </c>
      <c r="CT56" t="inlineStr">
        <is>
          <t>General</t>
        </is>
      </c>
      <c r="CU56" t="inlineStr">
        <is>
          <t>antioxidant; urinary support</t>
        </is>
      </c>
      <c r="CV56" t="inlineStr">
        <is>
          <t>Human</t>
        </is>
      </c>
      <c r="CW56" t="inlineStr">
        <is>
          <t>Pass 26 normalization: categories, mechanisms, evidence tiers</t>
        </is>
      </c>
      <c r="CX56" t="inlineStr">
        <is>
          <t>Limited human</t>
        </is>
      </c>
      <c r="CY56" t="inlineStr">
        <is>
          <t>Generally well tolerated.</t>
        </is>
      </c>
      <c r="CZ56" t="inlineStr">
        <is>
          <t>Use caution with anticoagulant-sensitive contexts</t>
        </is>
      </c>
      <c r="DB56" t="inlineStr">
        <is>
          <t>Pass 28 normalized evidence and safety-related free text</t>
        </is>
      </c>
      <c r="DD56" t="inlineStr">
        <is>
          <t>No standardized dose established; use conservative, product-dependent ranges.</t>
        </is>
      </c>
      <c r="DE56" t="inlineStr">
        <is>
          <t>Common forms include extracts, powders, or teas depending on herb part.</t>
        </is>
      </c>
      <c r="DF56" t="inlineStr">
        <is>
          <t>Quality varies by extraction method, standardization, and contamination risk.</t>
        </is>
      </c>
      <c r="DG56" t="inlineStr">
        <is>
          <t>Moderate to high</t>
        </is>
      </c>
      <c r="DH56" t="inlineStr">
        <is>
          <t>Pass 29 completeness repair</t>
        </is>
      </c>
      <c r="DI56" t="n">
        <v>6</v>
      </c>
      <c r="DJ56" t="inlineStr">
        <is>
          <t>General</t>
        </is>
      </c>
      <c r="DL56" t="inlineStr">
        <is>
          <t>Acerola; Agarikon; Ajwain; Aloe Vera; American Ginseng</t>
        </is>
      </c>
      <c r="DM56" t="inlineStr">
        <is>
          <t>Pass 31 relationship intelligence: density, cluster, anchor class, nearest herbs</t>
        </is>
      </c>
      <c r="DP56" t="inlineStr">
        <is>
          <t>Generalist</t>
        </is>
      </c>
      <c r="DQ56" t="inlineStr">
        <is>
          <t>Pass 32 substitute engine + cluster cleanup</t>
        </is>
      </c>
      <c r="DT56" t="inlineStr">
        <is>
          <t>no strong safe fallback found</t>
        </is>
      </c>
      <c r="DU56" t="inlineStr">
        <is>
          <t>Not needed</t>
        </is>
      </c>
      <c r="DV56" t="inlineStr">
        <is>
          <t>Pass 33 fallback replacement engine</t>
        </is>
      </c>
      <c r="DY56" t="inlineStr">
        <is>
          <t>Pass 35 expanded fallback pool with second-pass candidate exploration</t>
        </is>
      </c>
      <c r="EA56" t="inlineStr">
        <is>
          <t>General</t>
        </is>
      </c>
      <c r="EC56" t="inlineStr">
        <is>
          <t>Medium</t>
        </is>
      </c>
      <c r="ED56" t="inlineStr">
        <is>
          <t>Pass 40 reinforced weak-category herb data</t>
        </is>
      </c>
      <c r="EG56" t="n">
        <v>3</v>
      </c>
      <c r="EH56" t="n">
        <v>3</v>
      </c>
      <c r="EI56" t="n">
        <v>0</v>
      </c>
      <c r="EJ56" t="n">
        <v>0</v>
      </c>
      <c r="EK56" t="n">
        <v>11</v>
      </c>
      <c r="EL56" t="n">
        <v>7</v>
      </c>
      <c r="EM56" t="inlineStr">
        <is>
          <t>a-type proanthocyanidins</t>
        </is>
      </c>
      <c r="EN56" t="inlineStr">
        <is>
          <t>Pass 48 rolled compound scores into herb-level scoring</t>
        </is>
      </c>
    </row>
    <row r="57">
      <c r="A57" s="68" t="inlineStr">
        <is>
          <t>Rose Hips</t>
        </is>
      </c>
      <c r="B57" s="68" t="inlineStr">
        <is>
          <t>rose-hips</t>
        </is>
      </c>
      <c r="C57" s="68" t="inlineStr">
        <is>
          <t>Rosa canina</t>
        </is>
      </c>
      <c r="D57" s="68" t="inlineStr">
        <is>
          <t>herb</t>
        </is>
      </c>
      <c r="E57" s="68" t="inlineStr">
        <is>
          <t>fruit</t>
        </is>
      </c>
      <c r="F57" s="68" t="inlineStr">
        <is>
          <t>fruit</t>
        </is>
      </c>
      <c r="G57" s="68" t="inlineStr">
        <is>
          <t>rose hips</t>
        </is>
      </c>
      <c r="H57" s="68" t="inlineStr">
        <is>
          <t>Europe and temperate regions</t>
        </is>
      </c>
      <c r="I57" s="68" t="inlineStr">
        <is>
          <t>Rose hips are positioned for antioxidant, nutritive, and joint-support use.</t>
        </is>
      </c>
      <c r="J57" s="68" t="inlineStr">
        <is>
          <t>They are best framed as polyphenol- and vitamin-rich fruit material with modest but relevant human evidence.</t>
        </is>
      </c>
      <c r="K57" s="68" t="inlineStr">
        <is>
          <t>trans-tiliroside; vitamin C</t>
        </is>
      </c>
      <c r="L57" s="68" t="inlineStr">
        <is>
          <t>trans-tiliroside</t>
        </is>
      </c>
      <c r="M57" s="68" t="inlineStr">
        <is>
          <t>Polyphenols and ascorbate-rich fruit chemistry support antioxidant positioning.</t>
        </is>
      </c>
      <c r="N57" s="68" t="inlineStr">
        <is>
          <t>antioxidant; nutritive support</t>
        </is>
      </c>
      <c r="O57" s="68" t="inlineStr">
        <is>
          <t>mixed human + food/supplement literature</t>
        </is>
      </c>
      <c r="P57" s="68" t="inlineStr">
        <is>
          <t>Generally well tolerated.</t>
        </is>
      </c>
      <c r="Q57" s="68" t="inlineStr">
        <is>
          <t>Use caution with overly concentrated extract claims.</t>
        </is>
      </c>
      <c r="R57" s="68" t="n"/>
      <c r="S57" s="68" t="n"/>
      <c r="T57" s="68" t="n"/>
      <c r="U57" s="68" t="n"/>
      <c r="V57" s="68" t="n"/>
      <c r="W57" s="68" t="inlineStr">
        <is>
          <t>Medium</t>
        </is>
      </c>
      <c r="X57" s="68" t="inlineStr">
        <is>
          <t>validated</t>
        </is>
      </c>
      <c r="Y57" s="68" t="inlineStr">
        <is>
          <t>Pass 125 curated expansion</t>
        </is>
      </c>
      <c r="Z57" s="68" t="inlineStr">
        <is>
          <t>present</t>
        </is>
      </c>
      <c r="AA57" s="68" t="inlineStr">
        <is>
          <t>Curated expansion</t>
        </is>
      </c>
      <c r="AB57" s="68" t="inlineStr">
        <is>
          <t>Pass 125 curated expansion</t>
        </is>
      </c>
      <c r="AC57" s="68" t="inlineStr">
        <is>
          <t>Pass 125 curated expansion</t>
        </is>
      </c>
      <c r="AD57" s="68" t="inlineStr">
        <is>
          <t>Pass 125 curated expansion</t>
        </is>
      </c>
      <c r="AE57" s="68" t="inlineStr">
        <is>
          <t>Pass 125 curated expansion</t>
        </is>
      </c>
      <c r="AF57" s="68" t="inlineStr">
        <is>
          <t>Added in Pass 125.</t>
        </is>
      </c>
      <c r="AG57" s="68" t="n">
        <v>2</v>
      </c>
      <c r="AH57" s="68" t="n">
        <v>2</v>
      </c>
      <c r="AI57" s="68" t="n">
        <v>1</v>
      </c>
      <c r="AJ57" s="68" t="n">
        <v>5</v>
      </c>
      <c r="AK57" s="68" t="inlineStr">
        <is>
          <t>Medium</t>
        </is>
      </c>
      <c r="AL57" s="68" t="inlineStr">
        <is>
          <t>Missing</t>
        </is>
      </c>
      <c r="AM57" s="68" t="inlineStr">
        <is>
          <t>Curated expansion</t>
        </is>
      </c>
      <c r="AN57" s="68" t="n">
        <v>0.55</v>
      </c>
      <c r="AO57" s="68" t="inlineStr">
        <is>
          <t>Needs work</t>
        </is>
      </c>
      <c r="AP57" s="68" t="inlineStr">
        <is>
          <t>Research</t>
        </is>
      </c>
      <c r="AQ57" s="68" t="n"/>
      <c r="AR57" s="68" t="inlineStr">
        <is>
          <t>Source review</t>
        </is>
      </c>
      <c r="AS57" s="68" t="inlineStr">
        <is>
          <t>Not started</t>
        </is>
      </c>
      <c r="AT57" s="68" t="inlineStr">
        <is>
          <t>No</t>
        </is>
      </c>
      <c r="AU57" s="68" t="inlineStr">
        <is>
          <t>No</t>
        </is>
      </c>
      <c r="AV57" s="68" t="inlineStr">
        <is>
          <t>No</t>
        </is>
      </c>
      <c r="AW57" s="68" t="inlineStr">
        <is>
          <t>Yes</t>
        </is>
      </c>
      <c r="AX57" s="68" t="inlineStr">
        <is>
          <t>Add source-linked dosage and standardization fields</t>
        </is>
      </c>
      <c r="AY57" s="68" t="n">
        <v>1</v>
      </c>
      <c r="AZ57" s="68" t="n"/>
      <c r="BA57" s="68" t="n"/>
      <c r="BB57" s="68" t="inlineStr">
        <is>
          <t>Source review</t>
        </is>
      </c>
      <c r="BC57" s="68" t="inlineStr">
        <is>
          <t>Pending</t>
        </is>
      </c>
      <c r="BD57" s="68" t="n"/>
      <c r="BE57" s="68" t="inlineStr">
        <is>
          <t>2026-04-10</t>
        </is>
      </c>
      <c r="BF57" s="68" t="inlineStr">
        <is>
          <t>Metadata normalized from internal workbook links</t>
        </is>
      </c>
      <c r="BG57" s="68" t="inlineStr">
        <is>
          <t>rose-hips-R1</t>
        </is>
      </c>
      <c r="BH57" s="68" t="n">
        <v>0</v>
      </c>
      <c r="BI57" t="inlineStr">
        <is>
          <t>rose-hips</t>
        </is>
      </c>
      <c r="BJ57" t="inlineStr">
        <is>
          <t>Rose Hips</t>
        </is>
      </c>
      <c r="BK57" t="n">
        <v>1</v>
      </c>
      <c r="BL57" t="n">
        <v>1</v>
      </c>
      <c r="BM57" t="n">
        <v>3</v>
      </c>
      <c r="BN57" t="n">
        <v>7</v>
      </c>
      <c r="BO57" t="n">
        <v>100</v>
      </c>
      <c r="BP57" t="n">
        <v>8</v>
      </c>
      <c r="BQ57" t="n">
        <v>10</v>
      </c>
      <c r="BR57" t="n">
        <v>5</v>
      </c>
      <c r="BS57" t="inlineStr">
        <is>
          <t>Tier 1</t>
        </is>
      </c>
      <c r="BT57" t="n">
        <v>5</v>
      </c>
      <c r="BU57" t="inlineStr">
        <is>
          <t>FALSE</t>
        </is>
      </c>
      <c r="BV57" t="inlineStr">
        <is>
          <t>rose-hips</t>
        </is>
      </c>
      <c r="BW57" t="inlineStr">
        <is>
          <t>TRUE</t>
        </is>
      </c>
      <c r="BX57" t="inlineStr">
        <is>
          <t>Pass 10 refreshed scoring from 1 mapped compounds | Pass 13 rescored from 1 mapped compounds</t>
        </is>
      </c>
      <c r="BY57" t="inlineStr">
        <is>
          <t>unclassified</t>
        </is>
      </c>
      <c r="CA57" t="n">
        <v>2</v>
      </c>
      <c r="CB57" t="n">
        <v>0</v>
      </c>
      <c r="CC57" t="n">
        <v>0</v>
      </c>
      <c r="CD57" t="inlineStr">
        <is>
          <t>trans-tiliroside; unclassified</t>
        </is>
      </c>
      <c r="CE57" t="inlineStr">
        <is>
          <t>Pass 13 rescored after herb-name normalization and real top-herb compound sweep</t>
        </is>
      </c>
      <c r="CF57" t="inlineStr">
        <is>
          <t>General</t>
        </is>
      </c>
      <c r="CH57" s="68" t="inlineStr">
        <is>
          <t>Start with low single-herb exposure and increase only if tolerated</t>
        </is>
      </c>
      <c r="CI57" s="68" t="inlineStr">
        <is>
          <t>Product-ideation framing only; not clinical dosing advice.</t>
        </is>
      </c>
      <c r="CJ57" s="68" t="str"/>
      <c r="CK57" s="68" t="str"/>
      <c r="CL57" s="68" t="inlineStr">
        <is>
          <t>Baseline</t>
        </is>
      </c>
      <c r="CM57" s="68" t="inlineStr">
        <is>
          <t>No</t>
        </is>
      </c>
      <c r="CN57" s="68" t="str"/>
      <c r="CO57" s="68" t="inlineStr">
        <is>
          <t>Pass 21 herb-level safety and dose framing</t>
        </is>
      </c>
      <c r="CP57" t="inlineStr">
        <is>
          <t>Baseline</t>
        </is>
      </c>
      <c r="CQ57" t="inlineStr">
        <is>
          <t>No</t>
        </is>
      </c>
      <c r="CS57" t="inlineStr">
        <is>
          <t>Pass 22 refined safety rule severity and reduced broad keyword over-flagging</t>
        </is>
      </c>
      <c r="CT57" t="inlineStr">
        <is>
          <t>General</t>
        </is>
      </c>
      <c r="CU57" t="inlineStr">
        <is>
          <t>antioxidant; nutritive support</t>
        </is>
      </c>
      <c r="CV57" t="inlineStr">
        <is>
          <t>Human</t>
        </is>
      </c>
      <c r="CW57" t="inlineStr">
        <is>
          <t>Pass 26 normalization: categories, mechanisms, evidence tiers</t>
        </is>
      </c>
      <c r="CX57" t="inlineStr">
        <is>
          <t>Limited human</t>
        </is>
      </c>
      <c r="CY57" t="inlineStr">
        <is>
          <t>Generally well tolerated.</t>
        </is>
      </c>
      <c r="CZ57" t="inlineStr">
        <is>
          <t>Use caution with overly concentrated extract claims</t>
        </is>
      </c>
      <c r="DB57" t="inlineStr">
        <is>
          <t>Pass 28 normalized evidence and safety-related free text</t>
        </is>
      </c>
      <c r="DD57" t="inlineStr">
        <is>
          <t>No standardized dose established; use conservative, product-dependent ranges.</t>
        </is>
      </c>
      <c r="DE57" t="inlineStr">
        <is>
          <t>Common forms include extracts, powders, or teas depending on herb part.</t>
        </is>
      </c>
      <c r="DF57" t="inlineStr">
        <is>
          <t>Quality varies by extraction method, standardization, and contamination risk.</t>
        </is>
      </c>
      <c r="DG57" t="inlineStr">
        <is>
          <t>Moderate to high</t>
        </is>
      </c>
      <c r="DH57" t="inlineStr">
        <is>
          <t>Pass 29 completeness repair</t>
        </is>
      </c>
      <c r="DI57" t="n">
        <v>9</v>
      </c>
      <c r="DJ57" t="inlineStr">
        <is>
          <t>General</t>
        </is>
      </c>
      <c r="DK57" t="inlineStr">
        <is>
          <t>trans-tiliroside</t>
        </is>
      </c>
      <c r="DL57" t="inlineStr">
        <is>
          <t>Agarikon; Ajwain; Angelica Root; Artichoke; Ashoka</t>
        </is>
      </c>
      <c r="DM57" t="inlineStr">
        <is>
          <t>Pass 31 relationship intelligence: density, cluster, anchor class, nearest herbs</t>
        </is>
      </c>
      <c r="DN57" t="inlineStr">
        <is>
          <t>Artichoke; Blue Lotus; Burdock; Butterbur; Calendula</t>
        </is>
      </c>
      <c r="DO57" t="inlineStr">
        <is>
          <t>Artichoke (1 shared pathways) | Blue Lotus (1 shared pathways) | Burdock (1 shared pathways)</t>
        </is>
      </c>
      <c r="DP57" t="inlineStr">
        <is>
          <t>Generalist</t>
        </is>
      </c>
      <c r="DQ57" t="inlineStr">
        <is>
          <t>Pass 32 substitute engine + cluster cleanup</t>
        </is>
      </c>
      <c r="DR57" t="inlineStr">
        <is>
          <t>Blue Lotus</t>
        </is>
      </c>
      <c r="DS57" t="inlineStr">
        <is>
          <t>Burdock</t>
        </is>
      </c>
      <c r="DT57" t="inlineStr">
        <is>
          <t>same cluster; lower safety burden; similarity-backed</t>
        </is>
      </c>
      <c r="DU57" t="inlineStr">
        <is>
          <t>Not needed</t>
        </is>
      </c>
      <c r="DV57" t="inlineStr">
        <is>
          <t>Pass 33 fallback replacement engine</t>
        </is>
      </c>
      <c r="DW57" t="inlineStr">
        <is>
          <t>Butterbur</t>
        </is>
      </c>
      <c r="DX57" t="inlineStr">
        <is>
          <t>Blue Lotus; Burdock; Butterbur; Calendula; Agarikon; Ajwain; Angelica Root; Ashoka</t>
        </is>
      </c>
      <c r="DY57" t="inlineStr">
        <is>
          <t>Pass 35 expanded fallback pool with second-pass candidate exploration</t>
        </is>
      </c>
      <c r="EA57" t="inlineStr">
        <is>
          <t>General</t>
        </is>
      </c>
      <c r="EB57" t="inlineStr">
        <is>
          <t>unclassified</t>
        </is>
      </c>
      <c r="EC57" t="inlineStr">
        <is>
          <t>Medium</t>
        </is>
      </c>
      <c r="ED57" t="inlineStr">
        <is>
          <t>Pass 40 reinforced weak-category herb data</t>
        </is>
      </c>
      <c r="EG57" t="n">
        <v>3</v>
      </c>
      <c r="EH57" t="n">
        <v>3</v>
      </c>
      <c r="EI57" t="n">
        <v>0</v>
      </c>
      <c r="EJ57" t="n">
        <v>0</v>
      </c>
      <c r="EK57" t="n">
        <v>11</v>
      </c>
      <c r="EL57" t="n">
        <v>7</v>
      </c>
      <c r="EM57" t="inlineStr">
        <is>
          <t>trans-tiliroside</t>
        </is>
      </c>
      <c r="EN57" t="inlineStr">
        <is>
          <t>Pass 48 rolled compound scores into herb-level scoring</t>
        </is>
      </c>
    </row>
    <row r="58">
      <c r="A58" s="68" t="inlineStr">
        <is>
          <t>Juniper</t>
        </is>
      </c>
      <c r="B58" s="68" t="inlineStr">
        <is>
          <t>juniper</t>
        </is>
      </c>
      <c r="C58" s="68" t="inlineStr">
        <is>
          <t>Juniperus communis</t>
        </is>
      </c>
      <c r="D58" s="68" t="inlineStr">
        <is>
          <t>herb</t>
        </is>
      </c>
      <c r="E58" s="68" t="inlineStr">
        <is>
          <t>berry/cone</t>
        </is>
      </c>
      <c r="F58" s="68" t="inlineStr">
        <is>
          <t>berry</t>
        </is>
      </c>
      <c r="G58" s="68" t="inlineStr">
        <is>
          <t>juniper berry</t>
        </is>
      </c>
      <c r="H58" s="68" t="inlineStr">
        <is>
          <t>Europe, Asia, North America</t>
        </is>
      </c>
      <c r="I58" s="68" t="inlineStr">
        <is>
          <t>Juniper is positioned for aromatic digestive and urinary support.</t>
        </is>
      </c>
      <c r="J58" s="68" t="inlineStr">
        <is>
          <t>It should be framed as an aromatic berry botanical with traditional GI and urinary relevance.</t>
        </is>
      </c>
      <c r="K58" s="68" t="inlineStr">
        <is>
          <t>alpha-pinene; terpenes</t>
        </is>
      </c>
      <c r="L58" s="68" t="inlineStr">
        <is>
          <t>alpha-pinene</t>
        </is>
      </c>
      <c r="M58" s="68" t="inlineStr">
        <is>
          <t>Volatile terpenes support digestive and aromatic positioning.</t>
        </is>
      </c>
      <c r="N58" s="68" t="inlineStr">
        <is>
          <t>digestive support; urinary support; aromatic support</t>
        </is>
      </c>
      <c r="O58" s="68" t="inlineStr">
        <is>
          <t>traditional use + limited human</t>
        </is>
      </c>
      <c r="P58" s="68" t="inlineStr">
        <is>
          <t>Use cautiously in concentrated forms.</t>
        </is>
      </c>
      <c r="Q58" s="68" t="inlineStr">
        <is>
          <t>Avoid long-duration casual use.</t>
        </is>
      </c>
      <c r="R58" s="68" t="n"/>
      <c r="S58" s="68" t="n"/>
      <c r="T58" s="68" t="n"/>
      <c r="U58" s="68" t="n"/>
      <c r="V58" s="68" t="n"/>
      <c r="W58" s="68" t="inlineStr">
        <is>
          <t>Medium</t>
        </is>
      </c>
      <c r="X58" s="68" t="inlineStr">
        <is>
          <t>validated</t>
        </is>
      </c>
      <c r="Y58" s="68" t="inlineStr">
        <is>
          <t>Pass 125 curated expansion</t>
        </is>
      </c>
      <c r="Z58" s="68" t="inlineStr">
        <is>
          <t>present</t>
        </is>
      </c>
      <c r="AA58" s="68" t="inlineStr">
        <is>
          <t>Curated expansion</t>
        </is>
      </c>
      <c r="AB58" s="68" t="inlineStr">
        <is>
          <t>Pass 125 curated expansion</t>
        </is>
      </c>
      <c r="AC58" s="68" t="inlineStr">
        <is>
          <t>Pass 125 curated expansion</t>
        </is>
      </c>
      <c r="AD58" s="68" t="inlineStr">
        <is>
          <t>Pass 125 curated expansion</t>
        </is>
      </c>
      <c r="AE58" s="68" t="inlineStr">
        <is>
          <t>Pass 125 curated expansion</t>
        </is>
      </c>
      <c r="AF58" s="68" t="inlineStr">
        <is>
          <t>Added in Pass 125.</t>
        </is>
      </c>
      <c r="AG58" s="68" t="n">
        <v>2</v>
      </c>
      <c r="AH58" s="68" t="n">
        <v>2</v>
      </c>
      <c r="AI58" s="68" t="n">
        <v>1</v>
      </c>
      <c r="AJ58" s="68" t="n">
        <v>5</v>
      </c>
      <c r="AK58" s="68" t="inlineStr">
        <is>
          <t>Medium</t>
        </is>
      </c>
      <c r="AL58" s="68" t="inlineStr">
        <is>
          <t>Missing</t>
        </is>
      </c>
      <c r="AM58" s="68" t="inlineStr">
        <is>
          <t>Curated expansion</t>
        </is>
      </c>
      <c r="AN58" s="68" t="n">
        <v>0.55</v>
      </c>
      <c r="AO58" s="68" t="inlineStr">
        <is>
          <t>Needs work</t>
        </is>
      </c>
      <c r="AP58" s="68" t="inlineStr">
        <is>
          <t>Research</t>
        </is>
      </c>
      <c r="AQ58" s="68" t="n"/>
      <c r="AR58" s="68" t="inlineStr">
        <is>
          <t>Source review</t>
        </is>
      </c>
      <c r="AS58" s="68" t="inlineStr">
        <is>
          <t>Not started</t>
        </is>
      </c>
      <c r="AT58" s="68" t="inlineStr">
        <is>
          <t>No</t>
        </is>
      </c>
      <c r="AU58" s="68" t="inlineStr">
        <is>
          <t>No</t>
        </is>
      </c>
      <c r="AV58" s="68" t="inlineStr">
        <is>
          <t>No</t>
        </is>
      </c>
      <c r="AW58" s="68" t="inlineStr">
        <is>
          <t>Yes</t>
        </is>
      </c>
      <c r="AX58" s="68" t="inlineStr">
        <is>
          <t>Add source-linked dosage and standardization fields</t>
        </is>
      </c>
      <c r="AY58" s="68" t="n">
        <v>1</v>
      </c>
      <c r="AZ58" s="68" t="n"/>
      <c r="BA58" s="68" t="n"/>
      <c r="BB58" s="68" t="inlineStr">
        <is>
          <t>Source review</t>
        </is>
      </c>
      <c r="BC58" s="68" t="inlineStr">
        <is>
          <t>Pending</t>
        </is>
      </c>
      <c r="BD58" s="68" t="n"/>
      <c r="BE58" s="68" t="inlineStr">
        <is>
          <t>2026-04-10</t>
        </is>
      </c>
      <c r="BF58" s="68" t="inlineStr">
        <is>
          <t>Metadata normalized from internal workbook links</t>
        </is>
      </c>
      <c r="BG58" s="68" t="inlineStr">
        <is>
          <t>juniper-R1</t>
        </is>
      </c>
      <c r="BH58" s="68" t="n">
        <v>0</v>
      </c>
      <c r="BI58" t="inlineStr">
        <is>
          <t>juniper</t>
        </is>
      </c>
      <c r="BJ58" t="inlineStr">
        <is>
          <t>Juniper</t>
        </is>
      </c>
      <c r="BK58" t="n">
        <v>1</v>
      </c>
      <c r="BL58" t="n">
        <v>1</v>
      </c>
      <c r="BM58" t="n">
        <v>3</v>
      </c>
      <c r="BN58" t="n">
        <v>7</v>
      </c>
      <c r="BO58" t="n">
        <v>100</v>
      </c>
      <c r="BP58" t="n">
        <v>8</v>
      </c>
      <c r="BQ58" t="n">
        <v>10</v>
      </c>
      <c r="BR58" t="n">
        <v>5</v>
      </c>
      <c r="BS58" t="inlineStr">
        <is>
          <t>Tier 1</t>
        </is>
      </c>
      <c r="BT58" t="n">
        <v>5</v>
      </c>
      <c r="BU58" t="inlineStr">
        <is>
          <t>FALSE</t>
        </is>
      </c>
      <c r="BV58" t="inlineStr">
        <is>
          <t>juniper</t>
        </is>
      </c>
      <c r="BW58" t="inlineStr">
        <is>
          <t>TRUE</t>
        </is>
      </c>
      <c r="BX58" t="inlineStr">
        <is>
          <t>Pass 10 refreshed scoring from 1 mapped compounds | Pass 13 rescored from 1 mapped compounds</t>
        </is>
      </c>
      <c r="BY58" t="inlineStr">
        <is>
          <t>adrenergic signaling</t>
        </is>
      </c>
      <c r="CA58" t="n">
        <v>2</v>
      </c>
      <c r="CB58" t="n">
        <v>0</v>
      </c>
      <c r="CC58" t="n">
        <v>0</v>
      </c>
      <c r="CD58" t="inlineStr">
        <is>
          <t>alpha-pinene; adrenergic signaling</t>
        </is>
      </c>
      <c r="CE58" t="inlineStr">
        <is>
          <t>Pass 13 rescored after herb-name normalization and real top-herb compound sweep</t>
        </is>
      </c>
      <c r="CF58" t="inlineStr">
        <is>
          <t>General</t>
        </is>
      </c>
      <c r="CH58" s="68" t="inlineStr">
        <is>
          <t>Start with low single-herb exposure and increase only if tolerated</t>
        </is>
      </c>
      <c r="CI58" s="68" t="inlineStr">
        <is>
          <t>Product-ideation framing only; not clinical dosing advice.</t>
        </is>
      </c>
      <c r="CJ58" s="68" t="str"/>
      <c r="CK58" s="68" t="str"/>
      <c r="CL58" s="68" t="inlineStr">
        <is>
          <t>Moderate</t>
        </is>
      </c>
      <c r="CM58" s="68" t="inlineStr">
        <is>
          <t>No</t>
        </is>
      </c>
      <c r="CN58" s="68" t="str"/>
      <c r="CO58" s="68" t="inlineStr">
        <is>
          <t>Pass 21 herb-level safety and dose framing</t>
        </is>
      </c>
      <c r="CP58" t="inlineStr">
        <is>
          <t>Baseline</t>
        </is>
      </c>
      <c r="CQ58" t="inlineStr">
        <is>
          <t>No</t>
        </is>
      </c>
      <c r="CS58" t="inlineStr">
        <is>
          <t>Pass 22 refined safety rule severity and reduced broad keyword over-flagging</t>
        </is>
      </c>
      <c r="CT58" t="inlineStr">
        <is>
          <t>General</t>
        </is>
      </c>
      <c r="CU58" t="inlineStr">
        <is>
          <t>aromatic support; digestive support; urinary support</t>
        </is>
      </c>
      <c r="CV58" t="inlineStr">
        <is>
          <t>Human</t>
        </is>
      </c>
      <c r="CW58" t="inlineStr">
        <is>
          <t>Pass 26 normalization: categories, mechanisms, evidence tiers</t>
        </is>
      </c>
      <c r="CX58" t="inlineStr">
        <is>
          <t>Limited human</t>
        </is>
      </c>
      <c r="CY58" t="inlineStr">
        <is>
          <t>Use cautiously in concentrated forms.</t>
        </is>
      </c>
      <c r="CZ58" t="inlineStr">
        <is>
          <t>Avoid long-duration casual use</t>
        </is>
      </c>
      <c r="DB58" t="inlineStr">
        <is>
          <t>Pass 28 normalized evidence and safety-related free text</t>
        </is>
      </c>
      <c r="DD58" t="inlineStr">
        <is>
          <t>No standardized dose established; use conservative, product-dependent ranges.</t>
        </is>
      </c>
      <c r="DE58" t="inlineStr">
        <is>
          <t>Common forms include extracts, powders, or teas depending on herb part.</t>
        </is>
      </c>
      <c r="DF58" t="inlineStr">
        <is>
          <t>Quality varies by extraction method, standardization, and contamination risk.</t>
        </is>
      </c>
      <c r="DG58" t="inlineStr">
        <is>
          <t>Moderate to high</t>
        </is>
      </c>
      <c r="DH58" t="inlineStr">
        <is>
          <t>Pass 29 completeness repair</t>
        </is>
      </c>
      <c r="DI58" t="n">
        <v>9</v>
      </c>
      <c r="DJ58" t="inlineStr">
        <is>
          <t>General</t>
        </is>
      </c>
      <c r="DK58" t="inlineStr">
        <is>
          <t>alpha-pinene</t>
        </is>
      </c>
      <c r="DL58" t="inlineStr">
        <is>
          <t>Mangosteen; Acerola; Agarikon; Ajwain; Aloe Vera</t>
        </is>
      </c>
      <c r="DM58" t="inlineStr">
        <is>
          <t>Pass 31 relationship intelligence: density, cluster, anchor class, nearest herbs</t>
        </is>
      </c>
      <c r="DN58" t="inlineStr">
        <is>
          <t>Mangosteen</t>
        </is>
      </c>
      <c r="DO58" t="inlineStr">
        <is>
          <t>Mangosteen (1 shared pathways)</t>
        </is>
      </c>
      <c r="DP58" t="inlineStr">
        <is>
          <t>Generalist</t>
        </is>
      </c>
      <c r="DQ58" t="inlineStr">
        <is>
          <t>Pass 32 substitute engine + cluster cleanup</t>
        </is>
      </c>
      <c r="DR58" t="inlineStr">
        <is>
          <t>Mangosteen</t>
        </is>
      </c>
      <c r="DT58" t="inlineStr">
        <is>
          <t>same cluster; lower safety burden; similarity-backed</t>
        </is>
      </c>
      <c r="DU58" t="inlineStr">
        <is>
          <t>Not needed</t>
        </is>
      </c>
      <c r="DV58" t="inlineStr">
        <is>
          <t>Pass 33 fallback replacement engine</t>
        </is>
      </c>
      <c r="DX58" t="inlineStr">
        <is>
          <t>Mangosteen</t>
        </is>
      </c>
      <c r="DY58" t="inlineStr">
        <is>
          <t>Pass 35 expanded fallback pool with second-pass candidate exploration</t>
        </is>
      </c>
      <c r="EA58" t="inlineStr">
        <is>
          <t>General</t>
        </is>
      </c>
      <c r="EB58" t="inlineStr">
        <is>
          <t>adrenergic signaling</t>
        </is>
      </c>
      <c r="EC58" t="inlineStr">
        <is>
          <t>Medium</t>
        </is>
      </c>
      <c r="ED58" t="inlineStr">
        <is>
          <t>Pass 40 reinforced weak-category herb data</t>
        </is>
      </c>
      <c r="EG58" t="n">
        <v>3</v>
      </c>
      <c r="EH58" t="n">
        <v>3</v>
      </c>
      <c r="EI58" t="n">
        <v>0</v>
      </c>
      <c r="EJ58" t="n">
        <v>0</v>
      </c>
      <c r="EK58" t="n">
        <v>11</v>
      </c>
      <c r="EL58" t="n">
        <v>7</v>
      </c>
      <c r="EM58" t="inlineStr">
        <is>
          <t>alpha-pinene</t>
        </is>
      </c>
      <c r="EN58" t="inlineStr">
        <is>
          <t>Pass 48 rolled compound scores into herb-level scoring</t>
        </is>
      </c>
    </row>
    <row r="59">
      <c r="A59" s="68" t="inlineStr">
        <is>
          <t>Myrtle</t>
        </is>
      </c>
      <c r="B59" s="68" t="inlineStr">
        <is>
          <t>myrtle</t>
        </is>
      </c>
      <c r="C59" s="68" t="inlineStr">
        <is>
          <t>Myrtus communis</t>
        </is>
      </c>
      <c r="D59" s="68" t="inlineStr">
        <is>
          <t>herb</t>
        </is>
      </c>
      <c r="E59" s="68" t="inlineStr">
        <is>
          <t>leaf</t>
        </is>
      </c>
      <c r="F59" s="68" t="inlineStr">
        <is>
          <t>leaf</t>
        </is>
      </c>
      <c r="G59" s="68" t="inlineStr">
        <is>
          <t>myrtle</t>
        </is>
      </c>
      <c r="H59" s="68" t="inlineStr">
        <is>
          <t>Mediterranean</t>
        </is>
      </c>
      <c r="I59" s="68" t="inlineStr">
        <is>
          <t>Myrtle is positioned for aromatic and antioxidant support.</t>
        </is>
      </c>
      <c r="J59" s="68" t="inlineStr">
        <is>
          <t>It is best framed as an aromatic Mediterranean leaf botanical with modest modern evidence.</t>
        </is>
      </c>
      <c r="K59" s="68" t="inlineStr">
        <is>
          <t>myrtenyl acetate; myricetin</t>
        </is>
      </c>
      <c r="L59" s="68" t="inlineStr">
        <is>
          <t>myrtenyl acetate</t>
        </is>
      </c>
      <c r="M59" s="68" t="inlineStr">
        <is>
          <t>Volatile constituents and polyphenols support aromatic and antioxidant positioning.</t>
        </is>
      </c>
      <c r="N59" s="68" t="inlineStr">
        <is>
          <t>aromatic support; antioxidant</t>
        </is>
      </c>
      <c r="O59" s="68" t="inlineStr">
        <is>
          <t>traditional use + limited human</t>
        </is>
      </c>
      <c r="P59" s="68" t="inlineStr">
        <is>
          <t>Generally well tolerated.</t>
        </is>
      </c>
      <c r="Q59" s="68" t="inlineStr">
        <is>
          <t>Use caution with concentrated oil assumptions.</t>
        </is>
      </c>
      <c r="R59" s="68" t="n"/>
      <c r="S59" s="68" t="n"/>
      <c r="T59" s="68" t="n"/>
      <c r="U59" s="68" t="n"/>
      <c r="V59" s="68" t="n"/>
      <c r="W59" s="68" t="inlineStr">
        <is>
          <t>Medium</t>
        </is>
      </c>
      <c r="X59" s="68" t="inlineStr">
        <is>
          <t>validated</t>
        </is>
      </c>
      <c r="Y59" s="68" t="inlineStr">
        <is>
          <t>Pass 125 curated expansion</t>
        </is>
      </c>
      <c r="Z59" s="68" t="inlineStr">
        <is>
          <t>present</t>
        </is>
      </c>
      <c r="AA59" s="68" t="inlineStr">
        <is>
          <t>Curated expansion</t>
        </is>
      </c>
      <c r="AB59" s="68" t="inlineStr">
        <is>
          <t>Pass 125 curated expansion</t>
        </is>
      </c>
      <c r="AC59" s="68" t="inlineStr">
        <is>
          <t>Pass 125 curated expansion</t>
        </is>
      </c>
      <c r="AD59" s="68" t="inlineStr">
        <is>
          <t>Pass 125 curated expansion</t>
        </is>
      </c>
      <c r="AE59" s="68" t="inlineStr">
        <is>
          <t>Pass 125 curated expansion</t>
        </is>
      </c>
      <c r="AF59" s="68" t="inlineStr">
        <is>
          <t>Added in Pass 125.</t>
        </is>
      </c>
      <c r="AG59" s="68" t="n">
        <v>2</v>
      </c>
      <c r="AH59" s="68" t="n">
        <v>2</v>
      </c>
      <c r="AI59" s="68" t="n">
        <v>1</v>
      </c>
      <c r="AJ59" s="68" t="n">
        <v>5</v>
      </c>
      <c r="AK59" s="68" t="inlineStr">
        <is>
          <t>Medium</t>
        </is>
      </c>
      <c r="AL59" s="68" t="inlineStr">
        <is>
          <t>Missing</t>
        </is>
      </c>
      <c r="AM59" s="68" t="inlineStr">
        <is>
          <t>Curated expansion</t>
        </is>
      </c>
      <c r="AN59" s="68" t="n">
        <v>0.55</v>
      </c>
      <c r="AO59" s="68" t="inlineStr">
        <is>
          <t>Needs work</t>
        </is>
      </c>
      <c r="AP59" s="68" t="inlineStr">
        <is>
          <t>Research</t>
        </is>
      </c>
      <c r="AQ59" s="68" t="n"/>
      <c r="AR59" s="68" t="inlineStr">
        <is>
          <t>Source review</t>
        </is>
      </c>
      <c r="AS59" s="68" t="inlineStr">
        <is>
          <t>Not started</t>
        </is>
      </c>
      <c r="AT59" s="68" t="inlineStr">
        <is>
          <t>No</t>
        </is>
      </c>
      <c r="AU59" s="68" t="inlineStr">
        <is>
          <t>No</t>
        </is>
      </c>
      <c r="AV59" s="68" t="inlineStr">
        <is>
          <t>No</t>
        </is>
      </c>
      <c r="AW59" s="68" t="inlineStr">
        <is>
          <t>Yes</t>
        </is>
      </c>
      <c r="AX59" s="68" t="inlineStr">
        <is>
          <t>Add source-linked dosage and standardization fields</t>
        </is>
      </c>
      <c r="AY59" s="68" t="n">
        <v>1</v>
      </c>
      <c r="AZ59" s="68" t="n"/>
      <c r="BA59" s="68" t="n"/>
      <c r="BB59" s="68" t="inlineStr">
        <is>
          <t>Source review</t>
        </is>
      </c>
      <c r="BC59" s="68" t="inlineStr">
        <is>
          <t>Pending</t>
        </is>
      </c>
      <c r="BD59" s="68" t="n"/>
      <c r="BE59" s="68" t="inlineStr">
        <is>
          <t>2026-04-10</t>
        </is>
      </c>
      <c r="BF59" s="68" t="inlineStr">
        <is>
          <t>Metadata normalized from internal workbook links</t>
        </is>
      </c>
      <c r="BG59" s="68" t="inlineStr">
        <is>
          <t>myrtle-R1</t>
        </is>
      </c>
      <c r="BH59" s="68" t="n">
        <v>0</v>
      </c>
      <c r="BI59" t="inlineStr">
        <is>
          <t>myrtle</t>
        </is>
      </c>
      <c r="BJ59" t="inlineStr">
        <is>
          <t>Myrtle</t>
        </is>
      </c>
      <c r="BK59" t="n">
        <v>1</v>
      </c>
      <c r="BL59" t="n">
        <v>1</v>
      </c>
      <c r="BM59" t="n">
        <v>3</v>
      </c>
      <c r="BN59" t="n">
        <v>7</v>
      </c>
      <c r="BO59" t="n">
        <v>100</v>
      </c>
      <c r="BP59" t="n">
        <v>8</v>
      </c>
      <c r="BQ59" t="n">
        <v>10</v>
      </c>
      <c r="BR59" t="n">
        <v>5</v>
      </c>
      <c r="BS59" t="inlineStr">
        <is>
          <t>Tier 1</t>
        </is>
      </c>
      <c r="BT59" t="n">
        <v>5</v>
      </c>
      <c r="BU59" t="inlineStr">
        <is>
          <t>FALSE</t>
        </is>
      </c>
      <c r="BV59" t="inlineStr">
        <is>
          <t>myrtle</t>
        </is>
      </c>
      <c r="BW59" t="inlineStr">
        <is>
          <t>TRUE</t>
        </is>
      </c>
      <c r="BX59" t="inlineStr">
        <is>
          <t>Pass 10 refreshed scoring from 1 mapped compounds | Pass 13 rescored from 1 mapped compounds</t>
        </is>
      </c>
      <c r="BY59" t="inlineStr">
        <is>
          <t>unclassified</t>
        </is>
      </c>
      <c r="CA59" t="n">
        <v>2</v>
      </c>
      <c r="CB59" t="n">
        <v>0</v>
      </c>
      <c r="CC59" t="n">
        <v>0</v>
      </c>
      <c r="CD59" t="inlineStr">
        <is>
          <t>myrtenyl acetate; unclassified</t>
        </is>
      </c>
      <c r="CE59" t="inlineStr">
        <is>
          <t>Pass 13 rescored after herb-name normalization and real top-herb compound sweep</t>
        </is>
      </c>
      <c r="CF59" t="inlineStr">
        <is>
          <t>General</t>
        </is>
      </c>
      <c r="CH59" s="68" t="inlineStr">
        <is>
          <t>Start with low single-herb exposure and increase only if tolerated</t>
        </is>
      </c>
      <c r="CI59" s="68" t="inlineStr">
        <is>
          <t>Product-ideation framing only; not clinical dosing advice.</t>
        </is>
      </c>
      <c r="CJ59" s="68" t="str"/>
      <c r="CK59" s="68" t="str"/>
      <c r="CL59" s="68" t="inlineStr">
        <is>
          <t>Moderate</t>
        </is>
      </c>
      <c r="CM59" s="68" t="inlineStr">
        <is>
          <t>No</t>
        </is>
      </c>
      <c r="CN59" s="68" t="str"/>
      <c r="CO59" s="68" t="inlineStr">
        <is>
          <t>Pass 21 herb-level safety and dose framing</t>
        </is>
      </c>
      <c r="CP59" t="inlineStr">
        <is>
          <t>Baseline</t>
        </is>
      </c>
      <c r="CQ59" t="inlineStr">
        <is>
          <t>No</t>
        </is>
      </c>
      <c r="CS59" t="inlineStr">
        <is>
          <t>Pass 22 refined safety rule severity and reduced broad keyword over-flagging</t>
        </is>
      </c>
      <c r="CT59" t="inlineStr">
        <is>
          <t>General</t>
        </is>
      </c>
      <c r="CU59" t="inlineStr">
        <is>
          <t>antioxidant; aromatic support</t>
        </is>
      </c>
      <c r="CV59" t="inlineStr">
        <is>
          <t>Human</t>
        </is>
      </c>
      <c r="CW59" t="inlineStr">
        <is>
          <t>Pass 26 normalization: categories, mechanisms, evidence tiers</t>
        </is>
      </c>
      <c r="CX59" t="inlineStr">
        <is>
          <t>Limited human</t>
        </is>
      </c>
      <c r="CY59" t="inlineStr">
        <is>
          <t>Generally well tolerated.</t>
        </is>
      </c>
      <c r="CZ59" t="inlineStr">
        <is>
          <t>Use caution with concentrated oil assumptions</t>
        </is>
      </c>
      <c r="DB59" t="inlineStr">
        <is>
          <t>Pass 28 normalized evidence and safety-related free text</t>
        </is>
      </c>
      <c r="DD59" t="inlineStr">
        <is>
          <t>No standardized dose established; use conservative, product-dependent ranges.</t>
        </is>
      </c>
      <c r="DE59" t="inlineStr">
        <is>
          <t>Common forms include extracts, powders, or teas depending on herb part.</t>
        </is>
      </c>
      <c r="DF59" t="inlineStr">
        <is>
          <t>Quality varies by extraction method, standardization, and contamination risk.</t>
        </is>
      </c>
      <c r="DG59" t="inlineStr">
        <is>
          <t>Moderate to high</t>
        </is>
      </c>
      <c r="DH59" t="inlineStr">
        <is>
          <t>Pass 29 completeness repair</t>
        </is>
      </c>
      <c r="DI59" t="n">
        <v>9</v>
      </c>
      <c r="DJ59" t="inlineStr">
        <is>
          <t>General</t>
        </is>
      </c>
      <c r="DK59" t="inlineStr">
        <is>
          <t>myrtenyl acetate</t>
        </is>
      </c>
      <c r="DL59" t="inlineStr">
        <is>
          <t>Agarikon; Ajwain; Angelica Root; Artichoke; Ashoka</t>
        </is>
      </c>
      <c r="DM59" t="inlineStr">
        <is>
          <t>Pass 31 relationship intelligence: density, cluster, anchor class, nearest herbs</t>
        </is>
      </c>
      <c r="DN59" t="inlineStr">
        <is>
          <t>Artichoke; Blue Lotus; Burdock; Butterbur; Calendula</t>
        </is>
      </c>
      <c r="DO59" t="inlineStr">
        <is>
          <t>Artichoke (1 shared pathways) | Blue Lotus (1 shared pathways) | Burdock (1 shared pathways)</t>
        </is>
      </c>
      <c r="DP59" t="inlineStr">
        <is>
          <t>Generalist</t>
        </is>
      </c>
      <c r="DQ59" t="inlineStr">
        <is>
          <t>Pass 32 substitute engine + cluster cleanup</t>
        </is>
      </c>
      <c r="DR59" t="inlineStr">
        <is>
          <t>Blue Lotus</t>
        </is>
      </c>
      <c r="DS59" t="inlineStr">
        <is>
          <t>Burdock</t>
        </is>
      </c>
      <c r="DT59" t="inlineStr">
        <is>
          <t>same cluster; lower safety burden; similarity-backed</t>
        </is>
      </c>
      <c r="DU59" t="inlineStr">
        <is>
          <t>Not needed</t>
        </is>
      </c>
      <c r="DV59" t="inlineStr">
        <is>
          <t>Pass 33 fallback replacement engine</t>
        </is>
      </c>
      <c r="DW59" t="inlineStr">
        <is>
          <t>Butterbur</t>
        </is>
      </c>
      <c r="DX59" t="inlineStr">
        <is>
          <t>Blue Lotus; Burdock; Butterbur; Calendula; Agarikon; Ajwain; Angelica Root; Ashoka</t>
        </is>
      </c>
      <c r="DY59" t="inlineStr">
        <is>
          <t>Pass 35 expanded fallback pool with second-pass candidate exploration</t>
        </is>
      </c>
      <c r="EA59" t="inlineStr">
        <is>
          <t>General</t>
        </is>
      </c>
      <c r="EB59" t="inlineStr">
        <is>
          <t>unclassified</t>
        </is>
      </c>
      <c r="EC59" t="inlineStr">
        <is>
          <t>Medium</t>
        </is>
      </c>
      <c r="ED59" t="inlineStr">
        <is>
          <t>Pass 40 reinforced weak-category herb data</t>
        </is>
      </c>
      <c r="EG59" t="n">
        <v>3</v>
      </c>
      <c r="EH59" t="n">
        <v>3</v>
      </c>
      <c r="EI59" t="n">
        <v>0</v>
      </c>
      <c r="EJ59" t="n">
        <v>0</v>
      </c>
      <c r="EK59" t="n">
        <v>11</v>
      </c>
      <c r="EL59" t="n">
        <v>7</v>
      </c>
      <c r="EM59" t="inlineStr">
        <is>
          <t>myrtenyl acetate</t>
        </is>
      </c>
      <c r="EN59" t="inlineStr">
        <is>
          <t>Pass 48 rolled compound scores into herb-level scoring</t>
        </is>
      </c>
    </row>
    <row r="60">
      <c r="A60" s="68" t="inlineStr">
        <is>
          <t>Acerola</t>
        </is>
      </c>
      <c r="B60" s="68" t="inlineStr">
        <is>
          <t>acerola</t>
        </is>
      </c>
      <c r="C60" s="68" t="inlineStr">
        <is>
          <t>Malpighia emarginata</t>
        </is>
      </c>
      <c r="D60" s="68" t="inlineStr">
        <is>
          <t>herb</t>
        </is>
      </c>
      <c r="E60" s="68" t="inlineStr">
        <is>
          <t>fruit</t>
        </is>
      </c>
      <c r="F60" s="68" t="inlineStr">
        <is>
          <t>fruit</t>
        </is>
      </c>
      <c r="G60" s="68" t="inlineStr">
        <is>
          <t>acerola cherry</t>
        </is>
      </c>
      <c r="H60" s="68" t="inlineStr">
        <is>
          <t>Caribbean; tropical Americas</t>
        </is>
      </c>
      <c r="I60" s="68" t="inlineStr">
        <is>
          <t>Acerola is positioned for antioxidant and nutritive support.</t>
        </is>
      </c>
      <c r="J60" s="68" t="inlineStr">
        <is>
          <t>It is best framed as a vitamin-C-rich fruit botanical with food/supplement relevance.</t>
        </is>
      </c>
      <c r="K60" s="68" t="inlineStr">
        <is>
          <t>ascorbic acid; carotenoids</t>
        </is>
      </c>
      <c r="L60" s="68" t="inlineStr">
        <is>
          <t>ascorbic acid</t>
        </is>
      </c>
      <c r="M60" s="68" t="inlineStr">
        <is>
          <t>Fruit polyphenols and vitamin content support antioxidant and nutritive positioning.</t>
        </is>
      </c>
      <c r="N60" s="68" t="inlineStr">
        <is>
          <t>antioxidant; nutritive support</t>
        </is>
      </c>
      <c r="O60" s="68" t="inlineStr">
        <is>
          <t>food/supplement literature</t>
        </is>
      </c>
      <c r="P60" s="68" t="inlineStr">
        <is>
          <t>Generally well tolerated.</t>
        </is>
      </c>
      <c r="Q60" s="68" t="inlineStr">
        <is>
          <t>Use caution with overextended immune claims.</t>
        </is>
      </c>
      <c r="R60" s="68" t="n"/>
      <c r="S60" s="68" t="n"/>
      <c r="T60" s="68" t="n"/>
      <c r="U60" s="68" t="n"/>
      <c r="V60" s="68" t="n"/>
      <c r="W60" s="68" t="inlineStr">
        <is>
          <t>Medium</t>
        </is>
      </c>
      <c r="X60" s="68" t="inlineStr">
        <is>
          <t>partial</t>
        </is>
      </c>
      <c r="Y60" s="68" t="inlineStr">
        <is>
          <t>Pass 125 curated expansion</t>
        </is>
      </c>
      <c r="Z60" s="68" t="inlineStr">
        <is>
          <t>present</t>
        </is>
      </c>
      <c r="AA60" s="68" t="inlineStr">
        <is>
          <t>Curated expansion</t>
        </is>
      </c>
      <c r="AB60" s="68" t="inlineStr">
        <is>
          <t>Pass 125 curated expansion</t>
        </is>
      </c>
      <c r="AC60" s="68" t="inlineStr">
        <is>
          <t>Pass 125 curated expansion</t>
        </is>
      </c>
      <c r="AD60" s="68" t="inlineStr">
        <is>
          <t>Pass 125 curated expansion</t>
        </is>
      </c>
      <c r="AE60" s="68" t="inlineStr">
        <is>
          <t>Pass 125 curated expansion</t>
        </is>
      </c>
      <c r="AF60" s="68" t="inlineStr">
        <is>
          <t>Added in Pass 125.</t>
        </is>
      </c>
      <c r="AG60" s="68" t="n">
        <v>2</v>
      </c>
      <c r="AH60" s="68" t="n">
        <v>2</v>
      </c>
      <c r="AI60" s="68" t="n">
        <v>1</v>
      </c>
      <c r="AJ60" s="68" t="n">
        <v>5</v>
      </c>
      <c r="AK60" s="68" t="inlineStr">
        <is>
          <t>Medium</t>
        </is>
      </c>
      <c r="AL60" s="68" t="inlineStr">
        <is>
          <t>Missing</t>
        </is>
      </c>
      <c r="AM60" s="68" t="inlineStr">
        <is>
          <t>Curated expansion</t>
        </is>
      </c>
      <c r="AN60" s="68" t="n">
        <v>0.55</v>
      </c>
      <c r="AO60" s="68" t="inlineStr">
        <is>
          <t>Needs work</t>
        </is>
      </c>
      <c r="AP60" s="68" t="inlineStr">
        <is>
          <t>Research</t>
        </is>
      </c>
      <c r="AQ60" s="68" t="n"/>
      <c r="AR60" s="68" t="inlineStr">
        <is>
          <t>Source review</t>
        </is>
      </c>
      <c r="AS60" s="68" t="inlineStr">
        <is>
          <t>Not started</t>
        </is>
      </c>
      <c r="AT60" s="68" t="inlineStr">
        <is>
          <t>No</t>
        </is>
      </c>
      <c r="AU60" s="68" t="inlineStr">
        <is>
          <t>No</t>
        </is>
      </c>
      <c r="AV60" s="68" t="inlineStr">
        <is>
          <t>No</t>
        </is>
      </c>
      <c r="AW60" s="68" t="inlineStr">
        <is>
          <t>Yes</t>
        </is>
      </c>
      <c r="AX60" s="68" t="inlineStr">
        <is>
          <t>Add source-linked dosage and standardization fields</t>
        </is>
      </c>
      <c r="AY60" s="68" t="n">
        <v>1</v>
      </c>
      <c r="AZ60" s="68" t="n"/>
      <c r="BA60" s="68" t="n"/>
      <c r="BB60" s="68" t="inlineStr">
        <is>
          <t>Source review</t>
        </is>
      </c>
      <c r="BC60" s="68" t="inlineStr">
        <is>
          <t>Pending</t>
        </is>
      </c>
      <c r="BD60" s="68" t="n"/>
      <c r="BE60" s="68" t="inlineStr">
        <is>
          <t>2026-04-10</t>
        </is>
      </c>
      <c r="BF60" s="68" t="inlineStr">
        <is>
          <t>Metadata normalized from internal workbook links</t>
        </is>
      </c>
      <c r="BG60" s="68" t="inlineStr">
        <is>
          <t>acerola-R1</t>
        </is>
      </c>
      <c r="BH60" s="68" t="n">
        <v>0</v>
      </c>
      <c r="BI60" t="inlineStr">
        <is>
          <t>acerola</t>
        </is>
      </c>
      <c r="BJ60" t="inlineStr">
        <is>
          <t>Acerola</t>
        </is>
      </c>
      <c r="BK60" t="n">
        <v>1</v>
      </c>
      <c r="BL60" t="n">
        <v>0</v>
      </c>
      <c r="BM60" t="n">
        <v>1</v>
      </c>
      <c r="BN60" t="n">
        <v>3</v>
      </c>
      <c r="BO60" t="n">
        <v>100</v>
      </c>
      <c r="BP60" t="n">
        <v>8</v>
      </c>
      <c r="BQ60" t="n">
        <v>0</v>
      </c>
      <c r="BR60" t="n">
        <v>5</v>
      </c>
      <c r="BS60" t="inlineStr">
        <is>
          <t>Tier 4</t>
        </is>
      </c>
      <c r="BT60" t="n">
        <v>3</v>
      </c>
      <c r="BU60" t="inlineStr">
        <is>
          <t>FALSE</t>
        </is>
      </c>
      <c r="BV60" t="inlineStr">
        <is>
          <t>acerola</t>
        </is>
      </c>
      <c r="BW60" t="inlineStr">
        <is>
          <t>TRUE</t>
        </is>
      </c>
      <c r="BX60" t="inlineStr">
        <is>
          <t>Pass 10 refreshed scoring from 1 mapped compounds | Pass 13 rescored from 1 mapped compounds</t>
        </is>
      </c>
      <c r="CA60" t="n">
        <v>2</v>
      </c>
      <c r="CB60" t="n">
        <v>0</v>
      </c>
      <c r="CC60" t="n">
        <v>0</v>
      </c>
      <c r="CE60" t="inlineStr">
        <is>
          <t>Pass 13 rescored after herb-name normalization and real top-herb compound sweep</t>
        </is>
      </c>
      <c r="CF60" t="inlineStr">
        <is>
          <t>General</t>
        </is>
      </c>
      <c r="CH60" s="68" t="inlineStr">
        <is>
          <t>Start with low single-herb exposure and increase only if tolerated</t>
        </is>
      </c>
      <c r="CI60" s="68" t="inlineStr">
        <is>
          <t>Product-ideation framing only; not clinical dosing advice.</t>
        </is>
      </c>
      <c r="CJ60" s="68" t="inlineStr">
        <is>
          <t>immune-caution</t>
        </is>
      </c>
      <c r="CK60" s="68" t="str"/>
      <c r="CL60" s="68" t="inlineStr">
        <is>
          <t>Baseline</t>
        </is>
      </c>
      <c r="CM60" s="68" t="inlineStr">
        <is>
          <t>No</t>
        </is>
      </c>
      <c r="CN60" s="68" t="str"/>
      <c r="CO60" s="68" t="inlineStr">
        <is>
          <t>Pass 21 herb-level safety and dose framing</t>
        </is>
      </c>
      <c r="CP60" t="inlineStr">
        <is>
          <t>Baseline</t>
        </is>
      </c>
      <c r="CQ60" t="inlineStr">
        <is>
          <t>No</t>
        </is>
      </c>
      <c r="CS60" t="inlineStr">
        <is>
          <t>Pass 22 refined safety rule severity and reduced broad keyword over-flagging</t>
        </is>
      </c>
      <c r="CT60" t="inlineStr">
        <is>
          <t>General</t>
        </is>
      </c>
      <c r="CU60" t="inlineStr">
        <is>
          <t>antioxidant; nutritive support</t>
        </is>
      </c>
      <c r="CV60" t="inlineStr">
        <is>
          <t>Unknown</t>
        </is>
      </c>
      <c r="CW60" t="inlineStr">
        <is>
          <t>Pass 26 normalization: categories, mechanisms, evidence tiers</t>
        </is>
      </c>
      <c r="CX60" t="inlineStr">
        <is>
          <t>Food/supplement literature</t>
        </is>
      </c>
      <c r="CY60" t="inlineStr">
        <is>
          <t>Generally well tolerated.</t>
        </is>
      </c>
      <c r="CZ60" t="inlineStr">
        <is>
          <t>Use caution with overextended immune claims</t>
        </is>
      </c>
      <c r="DB60" t="inlineStr">
        <is>
          <t>Pass 28 normalized evidence and safety-related free text</t>
        </is>
      </c>
      <c r="DD60" t="inlineStr">
        <is>
          <t>No standardized dose established; use conservative, product-dependent ranges.</t>
        </is>
      </c>
      <c r="DE60" t="inlineStr">
        <is>
          <t>Common forms include extracts, powders, or teas depending on herb part.</t>
        </is>
      </c>
      <c r="DF60" t="inlineStr">
        <is>
          <t>Quality varies by extraction method, standardization, and contamination risk.</t>
        </is>
      </c>
      <c r="DG60" t="inlineStr">
        <is>
          <t>Low</t>
        </is>
      </c>
      <c r="DH60" t="inlineStr">
        <is>
          <t>Pass 29 completeness repair</t>
        </is>
      </c>
      <c r="DI60" t="n">
        <v>6</v>
      </c>
      <c r="DJ60" t="inlineStr">
        <is>
          <t>General</t>
        </is>
      </c>
      <c r="DL60" t="inlineStr">
        <is>
          <t>Agarikon; Ajwain; Aloe Vera; American Ginseng; American Yellow Lotus</t>
        </is>
      </c>
      <c r="DM60" t="inlineStr">
        <is>
          <t>Pass 31 relationship intelligence: density, cluster, anchor class, nearest herbs</t>
        </is>
      </c>
      <c r="DP60" t="inlineStr">
        <is>
          <t>Generalist</t>
        </is>
      </c>
      <c r="DQ60" t="inlineStr">
        <is>
          <t>Pass 32 substitute engine + cluster cleanup</t>
        </is>
      </c>
      <c r="DT60" t="inlineStr">
        <is>
          <t>no strong safe fallback found</t>
        </is>
      </c>
      <c r="DU60" t="inlineStr">
        <is>
          <t>Not needed</t>
        </is>
      </c>
      <c r="DV60" t="inlineStr">
        <is>
          <t>Pass 33 fallback replacement engine</t>
        </is>
      </c>
      <c r="DY60" t="inlineStr">
        <is>
          <t>Pass 35 expanded fallback pool with second-pass candidate exploration</t>
        </is>
      </c>
      <c r="EA60" t="inlineStr">
        <is>
          <t>General</t>
        </is>
      </c>
      <c r="EC60" t="inlineStr">
        <is>
          <t>Medium</t>
        </is>
      </c>
      <c r="ED60" t="inlineStr">
        <is>
          <t>Pass 40 reinforced weak-category herb data</t>
        </is>
      </c>
      <c r="EG60" t="n">
        <v>0</v>
      </c>
      <c r="EH60" t="n">
        <v>0</v>
      </c>
      <c r="EI60" t="n">
        <v>0</v>
      </c>
      <c r="EJ60" t="n">
        <v>0</v>
      </c>
      <c r="EK60" t="n">
        <v>0</v>
      </c>
      <c r="EL60" t="n">
        <v>0</v>
      </c>
      <c r="EN60" t="inlineStr">
        <is>
          <t>Pass 48 rolled compound scores into herb-level scoring</t>
        </is>
      </c>
    </row>
    <row r="61">
      <c r="A61" s="68" t="inlineStr">
        <is>
          <t>Mangosteen</t>
        </is>
      </c>
      <c r="B61" s="68" t="inlineStr">
        <is>
          <t>mangosteen</t>
        </is>
      </c>
      <c r="C61" s="68" t="inlineStr">
        <is>
          <t>Garcinia mangostana</t>
        </is>
      </c>
      <c r="D61" s="68" t="inlineStr">
        <is>
          <t>herb</t>
        </is>
      </c>
      <c r="E61" s="68" t="inlineStr">
        <is>
          <t>pericarp/fruit</t>
        </is>
      </c>
      <c r="F61" s="68" t="inlineStr">
        <is>
          <t>pericarp</t>
        </is>
      </c>
      <c r="G61" s="68" t="inlineStr">
        <is>
          <t>mangosteen</t>
        </is>
      </c>
      <c r="H61" s="68" t="inlineStr">
        <is>
          <t>Southeast Asia</t>
        </is>
      </c>
      <c r="I61" s="68" t="inlineStr">
        <is>
          <t>Mangosteen is positioned for antioxidant and traditional wellness support.</t>
        </is>
      </c>
      <c r="J61" s="68" t="inlineStr">
        <is>
          <t>It should be framed conservatively because broad anti-inflammatory and disease claims outrun the evidence.</t>
        </is>
      </c>
      <c r="K61" s="68" t="inlineStr">
        <is>
          <t>alpha-mangostin; xanthones</t>
        </is>
      </c>
      <c r="L61" s="68" t="inlineStr">
        <is>
          <t>alpha-mangostin</t>
        </is>
      </c>
      <c r="M61" s="68" t="inlineStr">
        <is>
          <t>Xanthones support antioxidant and traditional-support positioning.</t>
        </is>
      </c>
      <c r="N61" s="68" t="inlineStr">
        <is>
          <t>antioxidant; traditional wellness support</t>
        </is>
      </c>
      <c r="O61" s="68" t="inlineStr">
        <is>
          <t>preclinical + limited human</t>
        </is>
      </c>
      <c r="P61" s="68" t="inlineStr">
        <is>
          <t>Generally well tolerated.</t>
        </is>
      </c>
      <c r="Q61" s="68" t="inlineStr">
        <is>
          <t>Use caution with exaggerated anti-inflammatory claims.</t>
        </is>
      </c>
      <c r="R61" s="68" t="n"/>
      <c r="S61" s="68" t="n"/>
      <c r="T61" s="68" t="n"/>
      <c r="U61" s="68" t="n"/>
      <c r="V61" s="68" t="n"/>
      <c r="W61" s="68" t="inlineStr">
        <is>
          <t>Medium</t>
        </is>
      </c>
      <c r="X61" s="68" t="inlineStr">
        <is>
          <t>validated</t>
        </is>
      </c>
      <c r="Y61" s="68" t="inlineStr">
        <is>
          <t>Pass 125 curated expansion</t>
        </is>
      </c>
      <c r="Z61" s="68" t="inlineStr">
        <is>
          <t>present</t>
        </is>
      </c>
      <c r="AA61" s="68" t="inlineStr">
        <is>
          <t>Curated expansion</t>
        </is>
      </c>
      <c r="AB61" s="68" t="inlineStr">
        <is>
          <t>Pass 125 curated expansion</t>
        </is>
      </c>
      <c r="AC61" s="68" t="inlineStr">
        <is>
          <t>Pass 125 curated expansion</t>
        </is>
      </c>
      <c r="AD61" s="68" t="inlineStr">
        <is>
          <t>Pass 125 curated expansion</t>
        </is>
      </c>
      <c r="AE61" s="68" t="inlineStr">
        <is>
          <t>Pass 125 curated expansion</t>
        </is>
      </c>
      <c r="AF61" s="68" t="inlineStr">
        <is>
          <t>Added in Pass 125.</t>
        </is>
      </c>
      <c r="AG61" s="68" t="n">
        <v>2</v>
      </c>
      <c r="AH61" s="68" t="n">
        <v>2</v>
      </c>
      <c r="AI61" s="68" t="n">
        <v>1</v>
      </c>
      <c r="AJ61" s="68" t="n">
        <v>5</v>
      </c>
      <c r="AK61" s="68" t="inlineStr">
        <is>
          <t>Medium</t>
        </is>
      </c>
      <c r="AL61" s="68" t="inlineStr">
        <is>
          <t>Missing</t>
        </is>
      </c>
      <c r="AM61" s="68" t="inlineStr">
        <is>
          <t>Curated expansion</t>
        </is>
      </c>
      <c r="AN61" s="68" t="n">
        <v>0.55</v>
      </c>
      <c r="AO61" s="68" t="inlineStr">
        <is>
          <t>Needs work</t>
        </is>
      </c>
      <c r="AP61" s="68" t="inlineStr">
        <is>
          <t>Research</t>
        </is>
      </c>
      <c r="AQ61" s="68" t="n"/>
      <c r="AR61" s="68" t="inlineStr">
        <is>
          <t>Source review</t>
        </is>
      </c>
      <c r="AS61" s="68" t="inlineStr">
        <is>
          <t>Not started</t>
        </is>
      </c>
      <c r="AT61" s="68" t="inlineStr">
        <is>
          <t>No</t>
        </is>
      </c>
      <c r="AU61" s="68" t="inlineStr">
        <is>
          <t>No</t>
        </is>
      </c>
      <c r="AV61" s="68" t="inlineStr">
        <is>
          <t>No</t>
        </is>
      </c>
      <c r="AW61" s="68" t="inlineStr">
        <is>
          <t>Yes</t>
        </is>
      </c>
      <c r="AX61" s="68" t="inlineStr">
        <is>
          <t>Add source-linked dosage and standardization fields</t>
        </is>
      </c>
      <c r="AY61" s="68" t="n">
        <v>1</v>
      </c>
      <c r="AZ61" s="68" t="n"/>
      <c r="BA61" s="68" t="n"/>
      <c r="BB61" s="68" t="inlineStr">
        <is>
          <t>Source review</t>
        </is>
      </c>
      <c r="BC61" s="68" t="inlineStr">
        <is>
          <t>Pending</t>
        </is>
      </c>
      <c r="BD61" s="68" t="n"/>
      <c r="BE61" s="68" t="inlineStr">
        <is>
          <t>2026-04-10</t>
        </is>
      </c>
      <c r="BF61" s="68" t="inlineStr">
        <is>
          <t>Metadata normalized from internal workbook links</t>
        </is>
      </c>
      <c r="BG61" s="68" t="inlineStr">
        <is>
          <t>mangosteen-R1</t>
        </is>
      </c>
      <c r="BH61" s="68" t="n">
        <v>0</v>
      </c>
      <c r="BI61" t="inlineStr">
        <is>
          <t>mangosteen</t>
        </is>
      </c>
      <c r="BJ61" t="inlineStr">
        <is>
          <t>Mangosteen</t>
        </is>
      </c>
      <c r="BK61" t="n">
        <v>1</v>
      </c>
      <c r="BL61" t="n">
        <v>1</v>
      </c>
      <c r="BM61" t="n">
        <v>3</v>
      </c>
      <c r="BN61" t="n">
        <v>7</v>
      </c>
      <c r="BO61" t="n">
        <v>100</v>
      </c>
      <c r="BP61" t="n">
        <v>8</v>
      </c>
      <c r="BQ61" t="n">
        <v>10</v>
      </c>
      <c r="BR61" t="n">
        <v>5</v>
      </c>
      <c r="BS61" t="inlineStr">
        <is>
          <t>Tier 1</t>
        </is>
      </c>
      <c r="BT61" t="n">
        <v>5</v>
      </c>
      <c r="BU61" t="inlineStr">
        <is>
          <t>FALSE</t>
        </is>
      </c>
      <c r="BV61" t="inlineStr">
        <is>
          <t>mangosteen</t>
        </is>
      </c>
      <c r="BW61" t="inlineStr">
        <is>
          <t>TRUE</t>
        </is>
      </c>
      <c r="BX61" t="inlineStr">
        <is>
          <t>Pass 10 refreshed scoring from 1 mapped compounds | Pass 13 rescored from 1 mapped compounds</t>
        </is>
      </c>
      <c r="BY61" t="inlineStr">
        <is>
          <t>adrenergic signaling</t>
        </is>
      </c>
      <c r="CA61" t="n">
        <v>2</v>
      </c>
      <c r="CB61" t="n">
        <v>0</v>
      </c>
      <c r="CC61" t="n">
        <v>0</v>
      </c>
      <c r="CD61" t="inlineStr">
        <is>
          <t>alpha-mangostin; adrenergic signaling</t>
        </is>
      </c>
      <c r="CE61" t="inlineStr">
        <is>
          <t>Pass 13 rescored after herb-name normalization and real top-herb compound sweep</t>
        </is>
      </c>
      <c r="CF61" t="inlineStr">
        <is>
          <t>General</t>
        </is>
      </c>
      <c r="CH61" s="68" t="inlineStr">
        <is>
          <t>Start with low single-herb exposure and increase only if tolerated</t>
        </is>
      </c>
      <c r="CI61" s="68" t="inlineStr">
        <is>
          <t>Product-ideation framing only; not clinical dosing advice.</t>
        </is>
      </c>
      <c r="CJ61" s="68" t="str"/>
      <c r="CK61" s="68" t="str"/>
      <c r="CL61" s="68" t="inlineStr">
        <is>
          <t>Moderate</t>
        </is>
      </c>
      <c r="CM61" s="68" t="inlineStr">
        <is>
          <t>No</t>
        </is>
      </c>
      <c r="CN61" s="68" t="str"/>
      <c r="CO61" s="68" t="inlineStr">
        <is>
          <t>Pass 21 herb-level safety and dose framing</t>
        </is>
      </c>
      <c r="CP61" t="inlineStr">
        <is>
          <t>Baseline</t>
        </is>
      </c>
      <c r="CQ61" t="inlineStr">
        <is>
          <t>No</t>
        </is>
      </c>
      <c r="CS61" t="inlineStr">
        <is>
          <t>Pass 22 refined safety rule severity and reduced broad keyword over-flagging</t>
        </is>
      </c>
      <c r="CT61" t="inlineStr">
        <is>
          <t>General</t>
        </is>
      </c>
      <c r="CU61" t="inlineStr">
        <is>
          <t>antioxidant; traditional wellness support</t>
        </is>
      </c>
      <c r="CV61" t="inlineStr">
        <is>
          <t>Human</t>
        </is>
      </c>
      <c r="CW61" t="inlineStr">
        <is>
          <t>Pass 26 normalization: categories, mechanisms, evidence tiers</t>
        </is>
      </c>
      <c r="CX61" t="inlineStr">
        <is>
          <t>Human + preclinical</t>
        </is>
      </c>
      <c r="CY61" t="inlineStr">
        <is>
          <t>Generally well tolerated.</t>
        </is>
      </c>
      <c r="CZ61" t="inlineStr">
        <is>
          <t>Use caution with exaggerated anti-inflammatory claims</t>
        </is>
      </c>
      <c r="DB61" t="inlineStr">
        <is>
          <t>Pass 28 normalized evidence and safety-related free text</t>
        </is>
      </c>
      <c r="DD61" t="inlineStr">
        <is>
          <t>No standardized dose established; use conservative, product-dependent ranges.</t>
        </is>
      </c>
      <c r="DE61" t="inlineStr">
        <is>
          <t>Common forms include extracts, powders, or teas depending on herb part.</t>
        </is>
      </c>
      <c r="DF61" t="inlineStr">
        <is>
          <t>Quality varies by extraction method, standardization, and contamination risk.</t>
        </is>
      </c>
      <c r="DG61" t="inlineStr">
        <is>
          <t>Moderate to high</t>
        </is>
      </c>
      <c r="DH61" t="inlineStr">
        <is>
          <t>Pass 29 completeness repair</t>
        </is>
      </c>
      <c r="DI61" t="n">
        <v>9</v>
      </c>
      <c r="DJ61" t="inlineStr">
        <is>
          <t>General</t>
        </is>
      </c>
      <c r="DK61" t="inlineStr">
        <is>
          <t>alpha-mangostin</t>
        </is>
      </c>
      <c r="DL61" t="inlineStr">
        <is>
          <t>Juniper; Acerola; Agarikon; Ajwain; Aloe Vera</t>
        </is>
      </c>
      <c r="DM61" t="inlineStr">
        <is>
          <t>Pass 31 relationship intelligence: density, cluster, anchor class, nearest herbs</t>
        </is>
      </c>
      <c r="DN61" t="inlineStr">
        <is>
          <t>Juniper</t>
        </is>
      </c>
      <c r="DO61" t="inlineStr">
        <is>
          <t>Juniper (1 shared pathways)</t>
        </is>
      </c>
      <c r="DP61" t="inlineStr">
        <is>
          <t>Generalist</t>
        </is>
      </c>
      <c r="DQ61" t="inlineStr">
        <is>
          <t>Pass 32 substitute engine + cluster cleanup</t>
        </is>
      </c>
      <c r="DR61" t="inlineStr">
        <is>
          <t>Juniper</t>
        </is>
      </c>
      <c r="DT61" t="inlineStr">
        <is>
          <t>same cluster; lower safety burden; similarity-backed</t>
        </is>
      </c>
      <c r="DU61" t="inlineStr">
        <is>
          <t>Not needed</t>
        </is>
      </c>
      <c r="DV61" t="inlineStr">
        <is>
          <t>Pass 33 fallback replacement engine</t>
        </is>
      </c>
      <c r="DX61" t="inlineStr">
        <is>
          <t>Juniper</t>
        </is>
      </c>
      <c r="DY61" t="inlineStr">
        <is>
          <t>Pass 35 expanded fallback pool with second-pass candidate exploration</t>
        </is>
      </c>
      <c r="EA61" t="inlineStr">
        <is>
          <t>General</t>
        </is>
      </c>
      <c r="EB61" t="inlineStr">
        <is>
          <t>adrenergic signaling</t>
        </is>
      </c>
      <c r="EC61" t="inlineStr">
        <is>
          <t>Medium</t>
        </is>
      </c>
      <c r="ED61" t="inlineStr">
        <is>
          <t>Pass 40 reinforced weak-category herb data</t>
        </is>
      </c>
      <c r="EG61" t="n">
        <v>3</v>
      </c>
      <c r="EH61" t="n">
        <v>3</v>
      </c>
      <c r="EI61" t="n">
        <v>0</v>
      </c>
      <c r="EJ61" t="n">
        <v>0</v>
      </c>
      <c r="EK61" t="n">
        <v>11</v>
      </c>
      <c r="EL61" t="n">
        <v>7</v>
      </c>
      <c r="EM61" t="inlineStr">
        <is>
          <t>alpha-mangostin</t>
        </is>
      </c>
      <c r="EN61" t="inlineStr">
        <is>
          <t>Pass 48 rolled compound scores into herb-level scoring</t>
        </is>
      </c>
    </row>
    <row r="62">
      <c r="A62" s="68" t="inlineStr">
        <is>
          <t>Boldo</t>
        </is>
      </c>
      <c r="B62" s="68" t="inlineStr">
        <is>
          <t>boldo</t>
        </is>
      </c>
      <c r="C62" s="68" t="inlineStr">
        <is>
          <t>Peumus boldus</t>
        </is>
      </c>
      <c r="D62" s="68" t="inlineStr">
        <is>
          <t>herb</t>
        </is>
      </c>
      <c r="E62" s="68" t="inlineStr">
        <is>
          <t>leaf</t>
        </is>
      </c>
      <c r="F62" s="68" t="inlineStr">
        <is>
          <t>leaf</t>
        </is>
      </c>
      <c r="G62" s="68" t="inlineStr">
        <is>
          <t>boldo</t>
        </is>
      </c>
      <c r="H62" s="68" t="inlineStr">
        <is>
          <t>South America</t>
        </is>
      </c>
      <c r="I62" s="68" t="inlineStr">
        <is>
          <t>Boldo is positioned for digestive and hepatobiliary support.</t>
        </is>
      </c>
      <c r="J62" s="68" t="inlineStr">
        <is>
          <t>It is best framed as an aromatic bitter leaf botanical with modest human evidence.</t>
        </is>
      </c>
      <c r="K62" s="68" t="inlineStr">
        <is>
          <t>boldine</t>
        </is>
      </c>
      <c r="L62" s="68" t="inlineStr">
        <is>
          <t>boldine</t>
        </is>
      </c>
      <c r="M62" s="68" t="inlineStr">
        <is>
          <t>Alkaloids and aromatic constituents support digestive and hepatobiliary positioning.</t>
        </is>
      </c>
      <c r="N62" s="68" t="inlineStr">
        <is>
          <t>digestive support; hepatobiliary support</t>
        </is>
      </c>
      <c r="O62" s="68" t="inlineStr">
        <is>
          <t>traditional use + limited human</t>
        </is>
      </c>
      <c r="P62" s="68" t="inlineStr">
        <is>
          <t>Use cautiously in concentrated forms.</t>
        </is>
      </c>
      <c r="Q62" s="68" t="inlineStr">
        <is>
          <t>Avoid with bile obstruction or excessive casual use.</t>
        </is>
      </c>
      <c r="R62" s="68" t="n"/>
      <c r="S62" s="68" t="n"/>
      <c r="T62" s="68" t="n"/>
      <c r="U62" s="68" t="n"/>
      <c r="V62" s="68" t="n"/>
      <c r="W62" s="68" t="inlineStr">
        <is>
          <t>Medium</t>
        </is>
      </c>
      <c r="X62" s="68" t="inlineStr">
        <is>
          <t>partial</t>
        </is>
      </c>
      <c r="Y62" s="68" t="inlineStr">
        <is>
          <t>Pass 125 curated expansion</t>
        </is>
      </c>
      <c r="Z62" s="68" t="inlineStr">
        <is>
          <t>present</t>
        </is>
      </c>
      <c r="AA62" s="68" t="inlineStr">
        <is>
          <t>Curated expansion</t>
        </is>
      </c>
      <c r="AB62" s="68" t="inlineStr">
        <is>
          <t>Pass 125 curated expansion</t>
        </is>
      </c>
      <c r="AC62" s="68" t="inlineStr">
        <is>
          <t>Pass 125 curated expansion</t>
        </is>
      </c>
      <c r="AD62" s="68" t="inlineStr">
        <is>
          <t>Pass 125 curated expansion</t>
        </is>
      </c>
      <c r="AE62" s="68" t="inlineStr">
        <is>
          <t>Pass 125 curated expansion</t>
        </is>
      </c>
      <c r="AF62" s="68" t="inlineStr">
        <is>
          <t>Added in Pass 125.</t>
        </is>
      </c>
      <c r="AG62" s="68" t="n">
        <v>2</v>
      </c>
      <c r="AH62" s="68" t="n">
        <v>2</v>
      </c>
      <c r="AI62" s="68" t="n">
        <v>1</v>
      </c>
      <c r="AJ62" s="68" t="n">
        <v>5</v>
      </c>
      <c r="AK62" s="68" t="inlineStr">
        <is>
          <t>Medium</t>
        </is>
      </c>
      <c r="AL62" s="68" t="inlineStr">
        <is>
          <t>Missing</t>
        </is>
      </c>
      <c r="AM62" s="68" t="inlineStr">
        <is>
          <t>Curated expansion</t>
        </is>
      </c>
      <c r="AN62" s="68" t="n">
        <v>0.55</v>
      </c>
      <c r="AO62" s="68" t="inlineStr">
        <is>
          <t>Needs work</t>
        </is>
      </c>
      <c r="AP62" s="68" t="inlineStr">
        <is>
          <t>Research</t>
        </is>
      </c>
      <c r="AQ62" s="68" t="n"/>
      <c r="AR62" s="68" t="inlineStr">
        <is>
          <t>Source review</t>
        </is>
      </c>
      <c r="AS62" s="68" t="inlineStr">
        <is>
          <t>Not started</t>
        </is>
      </c>
      <c r="AT62" s="68" t="inlineStr">
        <is>
          <t>No</t>
        </is>
      </c>
      <c r="AU62" s="68" t="inlineStr">
        <is>
          <t>No</t>
        </is>
      </c>
      <c r="AV62" s="68" t="inlineStr">
        <is>
          <t>No</t>
        </is>
      </c>
      <c r="AW62" s="68" t="inlineStr">
        <is>
          <t>Yes</t>
        </is>
      </c>
      <c r="AX62" s="68" t="inlineStr">
        <is>
          <t>Add source-linked dosage and standardization fields</t>
        </is>
      </c>
      <c r="AY62" s="68" t="n">
        <v>1</v>
      </c>
      <c r="AZ62" s="68" t="n"/>
      <c r="BA62" s="68" t="n"/>
      <c r="BB62" s="68" t="inlineStr">
        <is>
          <t>Source review</t>
        </is>
      </c>
      <c r="BC62" s="68" t="inlineStr">
        <is>
          <t>Pending</t>
        </is>
      </c>
      <c r="BD62" s="68" t="n"/>
      <c r="BE62" s="68" t="inlineStr">
        <is>
          <t>2026-04-10</t>
        </is>
      </c>
      <c r="BF62" s="68" t="inlineStr">
        <is>
          <t>Metadata normalized from internal workbook links</t>
        </is>
      </c>
      <c r="BG62" s="68" t="inlineStr">
        <is>
          <t>boldo-R1</t>
        </is>
      </c>
      <c r="BH62" s="68" t="n">
        <v>0</v>
      </c>
      <c r="BI62" t="inlineStr">
        <is>
          <t>boldo</t>
        </is>
      </c>
      <c r="BJ62" t="inlineStr">
        <is>
          <t>Boldo</t>
        </is>
      </c>
      <c r="BK62" t="n">
        <v>1</v>
      </c>
      <c r="BL62" t="n">
        <v>1</v>
      </c>
      <c r="BM62" t="n">
        <v>3</v>
      </c>
      <c r="BN62" t="n">
        <v>7</v>
      </c>
      <c r="BO62" t="n">
        <v>100</v>
      </c>
      <c r="BP62" t="n">
        <v>8</v>
      </c>
      <c r="BQ62" t="n">
        <v>10</v>
      </c>
      <c r="BR62" t="n">
        <v>5</v>
      </c>
      <c r="BS62" t="inlineStr">
        <is>
          <t>Tier 1</t>
        </is>
      </c>
      <c r="BT62" t="n">
        <v>5</v>
      </c>
      <c r="BU62" t="inlineStr">
        <is>
          <t>FALSE</t>
        </is>
      </c>
      <c r="BV62" t="inlineStr">
        <is>
          <t>boldo</t>
        </is>
      </c>
      <c r="BW62" t="inlineStr">
        <is>
          <t>TRUE</t>
        </is>
      </c>
      <c r="BX62" t="inlineStr">
        <is>
          <t>Pass 10 refreshed scoring from 1 mapped compounds | Pass 13 rescored from 1 mapped compounds</t>
        </is>
      </c>
      <c r="BY62" t="inlineStr">
        <is>
          <t>unclassified</t>
        </is>
      </c>
      <c r="CA62" t="n">
        <v>2</v>
      </c>
      <c r="CB62" t="n">
        <v>0</v>
      </c>
      <c r="CC62" t="n">
        <v>0</v>
      </c>
      <c r="CD62" t="inlineStr">
        <is>
          <t>boldine; unclassified</t>
        </is>
      </c>
      <c r="CE62" t="inlineStr">
        <is>
          <t>Pass 13 rescored after herb-name normalization and real top-herb compound sweep</t>
        </is>
      </c>
      <c r="CF62" t="inlineStr">
        <is>
          <t>General</t>
        </is>
      </c>
      <c r="CH62" s="68" t="inlineStr">
        <is>
          <t>Start with low single-herb exposure and increase only if tolerated</t>
        </is>
      </c>
      <c r="CI62" s="68" t="inlineStr">
        <is>
          <t>Prefer conservative use and avoid default inclusion in liver-sensitive audiences.</t>
        </is>
      </c>
      <c r="CJ62" s="68" t="inlineStr">
        <is>
          <t>hepatic-caution</t>
        </is>
      </c>
      <c r="CK62" s="68" t="str"/>
      <c r="CL62" s="68" t="inlineStr">
        <is>
          <t>Moderate</t>
        </is>
      </c>
      <c r="CM62" s="68" t="inlineStr">
        <is>
          <t>No</t>
        </is>
      </c>
      <c r="CN62" s="68" t="str"/>
      <c r="CO62" s="68" t="inlineStr">
        <is>
          <t>Pass 21 herb-level safety and dose framing</t>
        </is>
      </c>
      <c r="CP62" t="inlineStr">
        <is>
          <t>Moderate</t>
        </is>
      </c>
      <c r="CQ62" t="inlineStr">
        <is>
          <t>No</t>
        </is>
      </c>
      <c r="CS62" t="inlineStr">
        <is>
          <t>Pass 22 refined safety rule severity and reduced broad keyword over-flagging</t>
        </is>
      </c>
      <c r="CT62" t="inlineStr">
        <is>
          <t>General</t>
        </is>
      </c>
      <c r="CU62" t="inlineStr">
        <is>
          <t>digestive support; hepatobiliary support</t>
        </is>
      </c>
      <c r="CV62" t="inlineStr">
        <is>
          <t>Human</t>
        </is>
      </c>
      <c r="CW62" t="inlineStr">
        <is>
          <t>Pass 26 normalization: categories, mechanisms, evidence tiers</t>
        </is>
      </c>
      <c r="CX62" t="inlineStr">
        <is>
          <t>Limited human</t>
        </is>
      </c>
      <c r="CY62" t="inlineStr">
        <is>
          <t>Use cautiously in concentrated forms.</t>
        </is>
      </c>
      <c r="CZ62" t="inlineStr">
        <is>
          <t>Avoid with bile obstruction or excessive casual use</t>
        </is>
      </c>
      <c r="DB62" t="inlineStr">
        <is>
          <t>Pass 28 normalized evidence and safety-related free text</t>
        </is>
      </c>
      <c r="DD62" t="inlineStr">
        <is>
          <t>No standardized dose established; use conservative, product-dependent ranges.</t>
        </is>
      </c>
      <c r="DE62" t="inlineStr">
        <is>
          <t>Common forms include extracts, powders, or teas depending on herb part.</t>
        </is>
      </c>
      <c r="DF62" t="inlineStr">
        <is>
          <t>Quality varies by extraction method, standardization, and contamination risk.</t>
        </is>
      </c>
      <c r="DG62" t="inlineStr">
        <is>
          <t>Moderate to high</t>
        </is>
      </c>
      <c r="DH62" t="inlineStr">
        <is>
          <t>Pass 29 completeness repair</t>
        </is>
      </c>
      <c r="DI62" t="n">
        <v>9</v>
      </c>
      <c r="DJ62" t="inlineStr">
        <is>
          <t>General</t>
        </is>
      </c>
      <c r="DK62" t="inlineStr">
        <is>
          <t>boldine</t>
        </is>
      </c>
      <c r="DL62" t="inlineStr">
        <is>
          <t>Agarikon; Ajwain; Angelica Root; Artichoke; Ashoka</t>
        </is>
      </c>
      <c r="DM62" t="inlineStr">
        <is>
          <t>Pass 31 relationship intelligence: density, cluster, anchor class, nearest herbs</t>
        </is>
      </c>
      <c r="DN62" t="inlineStr">
        <is>
          <t>Agarikon; Ajwain; Angelica Root; Artichoke; Ashoka</t>
        </is>
      </c>
      <c r="DO62" t="inlineStr">
        <is>
          <t>Agarikon (1 shared pathways) | Ajwain (1 shared pathways) | Angelica Root (1 shared pathways)</t>
        </is>
      </c>
      <c r="DP62" t="inlineStr">
        <is>
          <t>Generalist</t>
        </is>
      </c>
      <c r="DQ62" t="inlineStr">
        <is>
          <t>Pass 32 substitute engine + cluster cleanup</t>
        </is>
      </c>
      <c r="DR62" t="inlineStr">
        <is>
          <t>Agarikon</t>
        </is>
      </c>
      <c r="DS62" t="inlineStr">
        <is>
          <t>Ajwain</t>
        </is>
      </c>
      <c r="DT62" t="inlineStr">
        <is>
          <t>same cluster; lower safety burden; similarity-backed</t>
        </is>
      </c>
      <c r="DU62" t="inlineStr">
        <is>
          <t>Optional</t>
        </is>
      </c>
      <c r="DV62" t="inlineStr">
        <is>
          <t>Pass 33 fallback replacement engine</t>
        </is>
      </c>
      <c r="DW62" t="inlineStr">
        <is>
          <t>Angelica Root</t>
        </is>
      </c>
      <c r="DX62" t="inlineStr">
        <is>
          <t>Agarikon; Ajwain; Angelica Root; Ashoka; Blue Lotus; Artichoke; Rosemary; Sage</t>
        </is>
      </c>
      <c r="DY62" t="inlineStr">
        <is>
          <t>Pass 35 expanded fallback pool with second-pass candidate exploration</t>
        </is>
      </c>
      <c r="EA62" t="inlineStr">
        <is>
          <t>General</t>
        </is>
      </c>
      <c r="EB62" t="inlineStr">
        <is>
          <t>unclassified</t>
        </is>
      </c>
      <c r="EC62" t="inlineStr">
        <is>
          <t>Medium</t>
        </is>
      </c>
      <c r="ED62" t="inlineStr">
        <is>
          <t>Pass 40 reinforced weak-category herb data</t>
        </is>
      </c>
      <c r="EG62" t="n">
        <v>3</v>
      </c>
      <c r="EH62" t="n">
        <v>3</v>
      </c>
      <c r="EI62" t="n">
        <v>0</v>
      </c>
      <c r="EJ62" t="n">
        <v>0</v>
      </c>
      <c r="EK62" t="n">
        <v>11</v>
      </c>
      <c r="EL62" t="n">
        <v>7</v>
      </c>
      <c r="EM62" t="inlineStr">
        <is>
          <t>boldine</t>
        </is>
      </c>
      <c r="EN62" t="inlineStr">
        <is>
          <t>Pass 48 rolled compound scores into herb-level scoring</t>
        </is>
      </c>
    </row>
    <row r="63">
      <c r="A63" s="68" t="inlineStr">
        <is>
          <t>Suma</t>
        </is>
      </c>
      <c r="B63" s="68" t="inlineStr">
        <is>
          <t>suma</t>
        </is>
      </c>
      <c r="C63" s="68" t="inlineStr">
        <is>
          <t>Pfaffia paniculata</t>
        </is>
      </c>
      <c r="D63" s="68" t="inlineStr">
        <is>
          <t>herb</t>
        </is>
      </c>
      <c r="E63" s="68" t="inlineStr">
        <is>
          <t>root</t>
        </is>
      </c>
      <c r="F63" s="68" t="inlineStr">
        <is>
          <t>root</t>
        </is>
      </c>
      <c r="G63" s="68" t="inlineStr">
        <is>
          <t>suma; Brazilian ginseng</t>
        </is>
      </c>
      <c r="H63" s="68" t="inlineStr">
        <is>
          <t>South America</t>
        </is>
      </c>
      <c r="I63" s="68" t="inlineStr">
        <is>
          <t>Suma is positioned for traditional adaptogenic and restorative support.</t>
        </is>
      </c>
      <c r="J63" s="68" t="inlineStr">
        <is>
          <t>It should be framed conservatively because traditional-use breadth exceeds evidence depth.</t>
        </is>
      </c>
      <c r="K63" s="68" t="inlineStr">
        <is>
          <t>pfaffic acid; saponins</t>
        </is>
      </c>
      <c r="L63" s="68" t="inlineStr">
        <is>
          <t>pfaffic acid</t>
        </is>
      </c>
      <c r="M63" s="68" t="inlineStr">
        <is>
          <t>Saponins support traditional restorative and adaptogenic positioning.</t>
        </is>
      </c>
      <c r="N63" s="68" t="inlineStr">
        <is>
          <t>traditional restorative support; adaptogenic support</t>
        </is>
      </c>
      <c r="O63" s="68" t="inlineStr">
        <is>
          <t>traditional use + limited human</t>
        </is>
      </c>
      <c r="P63" s="68" t="inlineStr">
        <is>
          <t>Generally well tolerated.</t>
        </is>
      </c>
      <c r="Q63" s="68" t="inlineStr">
        <is>
          <t>Avoid overextended vitality claims.</t>
        </is>
      </c>
      <c r="R63" s="68" t="n"/>
      <c r="S63" s="68" t="n"/>
      <c r="T63" s="68" t="n"/>
      <c r="U63" s="68" t="n"/>
      <c r="V63" s="68" t="n"/>
      <c r="W63" s="68" t="inlineStr">
        <is>
          <t>Medium</t>
        </is>
      </c>
      <c r="X63" s="68" t="inlineStr">
        <is>
          <t>validated</t>
        </is>
      </c>
      <c r="Y63" s="68" t="inlineStr">
        <is>
          <t>Pass 125 curated expansion</t>
        </is>
      </c>
      <c r="Z63" s="68" t="inlineStr">
        <is>
          <t>present</t>
        </is>
      </c>
      <c r="AA63" s="68" t="inlineStr">
        <is>
          <t>Curated expansion</t>
        </is>
      </c>
      <c r="AB63" s="68" t="inlineStr">
        <is>
          <t>Pass 125 curated expansion</t>
        </is>
      </c>
      <c r="AC63" s="68" t="inlineStr">
        <is>
          <t>Pass 125 curated expansion</t>
        </is>
      </c>
      <c r="AD63" s="68" t="inlineStr">
        <is>
          <t>Pass 125 curated expansion</t>
        </is>
      </c>
      <c r="AE63" s="68" t="inlineStr">
        <is>
          <t>Pass 125 curated expansion</t>
        </is>
      </c>
      <c r="AF63" s="68" t="inlineStr">
        <is>
          <t>Added in Pass 125.</t>
        </is>
      </c>
      <c r="AG63" s="68" t="n">
        <v>2</v>
      </c>
      <c r="AH63" s="68" t="n">
        <v>2</v>
      </c>
      <c r="AI63" s="68" t="n">
        <v>1</v>
      </c>
      <c r="AJ63" s="68" t="n">
        <v>5</v>
      </c>
      <c r="AK63" s="68" t="inlineStr">
        <is>
          <t>Medium</t>
        </is>
      </c>
      <c r="AL63" s="68" t="inlineStr">
        <is>
          <t>Missing</t>
        </is>
      </c>
      <c r="AM63" s="68" t="inlineStr">
        <is>
          <t>Curated expansion</t>
        </is>
      </c>
      <c r="AN63" s="68" t="n">
        <v>0.55</v>
      </c>
      <c r="AO63" s="68" t="inlineStr">
        <is>
          <t>Needs work</t>
        </is>
      </c>
      <c r="AP63" s="68" t="inlineStr">
        <is>
          <t>Research</t>
        </is>
      </c>
      <c r="AQ63" s="68" t="n"/>
      <c r="AR63" s="68" t="inlineStr">
        <is>
          <t>Source review</t>
        </is>
      </c>
      <c r="AS63" s="68" t="inlineStr">
        <is>
          <t>Not started</t>
        </is>
      </c>
      <c r="AT63" s="68" t="inlineStr">
        <is>
          <t>No</t>
        </is>
      </c>
      <c r="AU63" s="68" t="inlineStr">
        <is>
          <t>No</t>
        </is>
      </c>
      <c r="AV63" s="68" t="inlineStr">
        <is>
          <t>No</t>
        </is>
      </c>
      <c r="AW63" s="68" t="inlineStr">
        <is>
          <t>Yes</t>
        </is>
      </c>
      <c r="AX63" s="68" t="inlineStr">
        <is>
          <t>Add source-linked dosage and standardization fields</t>
        </is>
      </c>
      <c r="AY63" s="68" t="n">
        <v>1</v>
      </c>
      <c r="AZ63" s="68" t="n"/>
      <c r="BA63" s="68" t="n"/>
      <c r="BB63" s="68" t="inlineStr">
        <is>
          <t>Source review</t>
        </is>
      </c>
      <c r="BC63" s="68" t="inlineStr">
        <is>
          <t>Pending</t>
        </is>
      </c>
      <c r="BD63" s="68" t="n"/>
      <c r="BE63" s="68" t="inlineStr">
        <is>
          <t>2026-04-10</t>
        </is>
      </c>
      <c r="BF63" s="68" t="inlineStr">
        <is>
          <t>Metadata normalized from internal workbook links</t>
        </is>
      </c>
      <c r="BG63" s="68" t="inlineStr">
        <is>
          <t>suma-R1</t>
        </is>
      </c>
      <c r="BH63" s="68" t="n">
        <v>0</v>
      </c>
      <c r="BI63" t="inlineStr">
        <is>
          <t>suma</t>
        </is>
      </c>
      <c r="BJ63" t="inlineStr">
        <is>
          <t>Suma</t>
        </is>
      </c>
      <c r="BK63" t="n">
        <v>1</v>
      </c>
      <c r="BL63" t="n">
        <v>1</v>
      </c>
      <c r="BM63" t="n">
        <v>3</v>
      </c>
      <c r="BN63" t="n">
        <v>7</v>
      </c>
      <c r="BO63" t="n">
        <v>100</v>
      </c>
      <c r="BP63" t="n">
        <v>8</v>
      </c>
      <c r="BQ63" t="n">
        <v>10</v>
      </c>
      <c r="BR63" t="n">
        <v>5</v>
      </c>
      <c r="BS63" t="inlineStr">
        <is>
          <t>Tier 1</t>
        </is>
      </c>
      <c r="BT63" t="n">
        <v>5</v>
      </c>
      <c r="BU63" t="inlineStr">
        <is>
          <t>FALSE</t>
        </is>
      </c>
      <c r="BV63" t="inlineStr">
        <is>
          <t>suma</t>
        </is>
      </c>
      <c r="BW63" t="inlineStr">
        <is>
          <t>TRUE</t>
        </is>
      </c>
      <c r="BX63" t="inlineStr">
        <is>
          <t>Pass 10 refreshed scoring from 1 mapped compounds | Pass 13 rescored from 1 mapped compounds</t>
        </is>
      </c>
      <c r="BY63" t="inlineStr">
        <is>
          <t>unclassified</t>
        </is>
      </c>
      <c r="CA63" t="n">
        <v>2</v>
      </c>
      <c r="CB63" t="n">
        <v>0</v>
      </c>
      <c r="CC63" t="n">
        <v>0</v>
      </c>
      <c r="CD63" t="inlineStr">
        <is>
          <t>pfaffic acid; unclassified</t>
        </is>
      </c>
      <c r="CE63" t="inlineStr">
        <is>
          <t>Pass 13 rescored after herb-name normalization and real top-herb compound sweep</t>
        </is>
      </c>
      <c r="CF63" t="inlineStr">
        <is>
          <t>General</t>
        </is>
      </c>
      <c r="CH63" s="68" t="inlineStr">
        <is>
          <t>Start with low single-herb exposure and increase only if tolerated</t>
        </is>
      </c>
      <c r="CI63" s="68" t="inlineStr">
        <is>
          <t>Product-ideation framing only; not clinical dosing advice.</t>
        </is>
      </c>
      <c r="CJ63" s="68" t="str"/>
      <c r="CK63" s="68" t="str"/>
      <c r="CL63" s="68" t="inlineStr">
        <is>
          <t>Moderate</t>
        </is>
      </c>
      <c r="CM63" s="68" t="inlineStr">
        <is>
          <t>No</t>
        </is>
      </c>
      <c r="CN63" s="68" t="str"/>
      <c r="CO63" s="68" t="inlineStr">
        <is>
          <t>Pass 21 herb-level safety and dose framing</t>
        </is>
      </c>
      <c r="CP63" t="inlineStr">
        <is>
          <t>Baseline</t>
        </is>
      </c>
      <c r="CQ63" t="inlineStr">
        <is>
          <t>No</t>
        </is>
      </c>
      <c r="CS63" t="inlineStr">
        <is>
          <t>Pass 22 refined safety rule severity and reduced broad keyword over-flagging</t>
        </is>
      </c>
      <c r="CT63" t="inlineStr">
        <is>
          <t>Stress</t>
        </is>
      </c>
      <c r="CU63" t="inlineStr">
        <is>
          <t>adaptogenic support; traditional restorative support</t>
        </is>
      </c>
      <c r="CV63" t="inlineStr">
        <is>
          <t>Human</t>
        </is>
      </c>
      <c r="CW63" t="inlineStr">
        <is>
          <t>Pass 26 normalization: categories, mechanisms, evidence tiers</t>
        </is>
      </c>
      <c r="CX63" t="inlineStr">
        <is>
          <t>Limited human</t>
        </is>
      </c>
      <c r="CY63" t="inlineStr">
        <is>
          <t>Generally well tolerated.</t>
        </is>
      </c>
      <c r="CZ63" t="inlineStr">
        <is>
          <t>Avoid overextended vitality claims</t>
        </is>
      </c>
      <c r="DB63" t="inlineStr">
        <is>
          <t>Pass 28 normalized evidence and safety-related free text</t>
        </is>
      </c>
      <c r="DD63" t="inlineStr">
        <is>
          <t>No standardized dose established; use conservative, product-dependent ranges.</t>
        </is>
      </c>
      <c r="DE63" t="inlineStr">
        <is>
          <t>Common forms include extracts, powders, or teas depending on herb part.</t>
        </is>
      </c>
      <c r="DF63" t="inlineStr">
        <is>
          <t>Quality varies by extraction method, standardization, and contamination risk.</t>
        </is>
      </c>
      <c r="DG63" t="inlineStr">
        <is>
          <t>Moderate to high</t>
        </is>
      </c>
      <c r="DH63" t="inlineStr">
        <is>
          <t>Pass 29 completeness repair</t>
        </is>
      </c>
      <c r="DI63" t="n">
        <v>9</v>
      </c>
      <c r="DJ63" t="inlineStr">
        <is>
          <t>Adaptogenic</t>
        </is>
      </c>
      <c r="DK63" t="inlineStr">
        <is>
          <t>pfaffic acid</t>
        </is>
      </c>
      <c r="DL63" t="inlineStr">
        <is>
          <t>Holy Basil; Holy Basil Purple; Maca; Maral Root; Rhodiola</t>
        </is>
      </c>
      <c r="DM63" t="inlineStr">
        <is>
          <t>Pass 31 relationship intelligence: density, cluster, anchor class, nearest herbs</t>
        </is>
      </c>
      <c r="DN63" t="inlineStr">
        <is>
          <t>Holy Basil</t>
        </is>
      </c>
      <c r="DO63" t="inlineStr">
        <is>
          <t>Holy Basil (1 shared pathways)</t>
        </is>
      </c>
      <c r="DP63" t="inlineStr">
        <is>
          <t>Stress / Adaptogenic</t>
        </is>
      </c>
      <c r="DQ63" t="inlineStr">
        <is>
          <t>Pass 32 substitute engine + cluster cleanup</t>
        </is>
      </c>
      <c r="DR63" t="inlineStr">
        <is>
          <t>Holy Basil</t>
        </is>
      </c>
      <c r="DT63" t="inlineStr">
        <is>
          <t>same cluster; similarity-backed</t>
        </is>
      </c>
      <c r="DU63" t="inlineStr">
        <is>
          <t>Not needed</t>
        </is>
      </c>
      <c r="DV63" t="inlineStr">
        <is>
          <t>Pass 33 fallback replacement engine</t>
        </is>
      </c>
      <c r="DW63" t="inlineStr">
        <is>
          <t>Maral Root</t>
        </is>
      </c>
      <c r="DX63" t="inlineStr">
        <is>
          <t>Holy Basil Purple; Maca; Maral Root; Rhodiola; Holy Basil; Rhodiola Rosea</t>
        </is>
      </c>
      <c r="DY63" t="inlineStr">
        <is>
          <t>Pass 35 expanded fallback pool with second-pass candidate exploration</t>
        </is>
      </c>
      <c r="EA63" t="inlineStr">
        <is>
          <t>Stress</t>
        </is>
      </c>
      <c r="EB63" t="inlineStr">
        <is>
          <t>unclassified</t>
        </is>
      </c>
      <c r="EC63" t="inlineStr">
        <is>
          <t>Medium</t>
        </is>
      </c>
      <c r="ED63" t="inlineStr">
        <is>
          <t>Pass 40 reinforced weak-category herb data</t>
        </is>
      </c>
      <c r="EG63" t="n">
        <v>3</v>
      </c>
      <c r="EH63" t="n">
        <v>3</v>
      </c>
      <c r="EI63" t="n">
        <v>0</v>
      </c>
      <c r="EJ63" t="n">
        <v>0</v>
      </c>
      <c r="EK63" t="n">
        <v>11</v>
      </c>
      <c r="EL63" t="n">
        <v>7</v>
      </c>
      <c r="EM63" t="inlineStr">
        <is>
          <t>pfaffic acid</t>
        </is>
      </c>
      <c r="EN63" t="inlineStr">
        <is>
          <t>Pass 48 rolled compound scores into herb-level scoring</t>
        </is>
      </c>
    </row>
    <row r="64">
      <c r="A64" s="68" t="inlineStr">
        <is>
          <t>Maral Root</t>
        </is>
      </c>
      <c r="B64" s="68" t="inlineStr">
        <is>
          <t>maral-root</t>
        </is>
      </c>
      <c r="C64" s="68" t="inlineStr">
        <is>
          <t>Rhaponticum carthamoides</t>
        </is>
      </c>
      <c r="D64" s="68" t="inlineStr">
        <is>
          <t>herb</t>
        </is>
      </c>
      <c r="E64" s="68" t="inlineStr">
        <is>
          <t>root</t>
        </is>
      </c>
      <c r="F64" s="68" t="inlineStr">
        <is>
          <t>root</t>
        </is>
      </c>
      <c r="G64" s="68" t="inlineStr">
        <is>
          <t>maral root</t>
        </is>
      </c>
      <c r="H64" s="68" t="inlineStr">
        <is>
          <t>Central Asia</t>
        </is>
      </c>
      <c r="I64" s="68" t="inlineStr">
        <is>
          <t>Maral root is positioned for adaptogenic and performance-adjacent support.</t>
        </is>
      </c>
      <c r="J64" s="68" t="inlineStr">
        <is>
          <t>It is best framed carefully because ecdysteroid narratives often outpace evidence quality.</t>
        </is>
      </c>
      <c r="K64" s="68" t="inlineStr">
        <is>
          <t>ecdysterone</t>
        </is>
      </c>
      <c r="L64" s="68" t="inlineStr">
        <is>
          <t>ecdysterone</t>
        </is>
      </c>
      <c r="M64" s="68" t="inlineStr">
        <is>
          <t>Ecdysteroids support adaptogenic and performance-adjacent positioning.</t>
        </is>
      </c>
      <c r="N64" s="68" t="inlineStr">
        <is>
          <t>adaptogenic support; recovery support</t>
        </is>
      </c>
      <c r="O64" s="68" t="inlineStr">
        <is>
          <t>preclinical + limited human</t>
        </is>
      </c>
      <c r="P64" s="68" t="inlineStr">
        <is>
          <t>Generally well tolerated.</t>
        </is>
      </c>
      <c r="Q64" s="68" t="inlineStr">
        <is>
          <t>Use caution with aggressive performance claims.</t>
        </is>
      </c>
      <c r="R64" s="68" t="n"/>
      <c r="S64" s="68" t="n"/>
      <c r="T64" s="68" t="n"/>
      <c r="U64" s="68" t="n"/>
      <c r="V64" s="68" t="n"/>
      <c r="W64" s="68" t="inlineStr">
        <is>
          <t>Medium</t>
        </is>
      </c>
      <c r="X64" s="68" t="inlineStr">
        <is>
          <t>partial</t>
        </is>
      </c>
      <c r="Y64" s="68" t="inlineStr">
        <is>
          <t>Pass 125 curated expansion</t>
        </is>
      </c>
      <c r="Z64" s="68" t="inlineStr">
        <is>
          <t>present</t>
        </is>
      </c>
      <c r="AA64" s="68" t="inlineStr">
        <is>
          <t>Curated expansion</t>
        </is>
      </c>
      <c r="AB64" s="68" t="inlineStr">
        <is>
          <t>Pass 125 curated expansion</t>
        </is>
      </c>
      <c r="AC64" s="68" t="inlineStr">
        <is>
          <t>Pass 125 curated expansion</t>
        </is>
      </c>
      <c r="AD64" s="68" t="inlineStr">
        <is>
          <t>Pass 125 curated expansion</t>
        </is>
      </c>
      <c r="AE64" s="68" t="inlineStr">
        <is>
          <t>Pass 125 curated expansion</t>
        </is>
      </c>
      <c r="AF64" s="68" t="inlineStr">
        <is>
          <t>Added in Pass 125.</t>
        </is>
      </c>
      <c r="AG64" s="68" t="n">
        <v>2</v>
      </c>
      <c r="AH64" s="68" t="n">
        <v>2</v>
      </c>
      <c r="AI64" s="68" t="n">
        <v>1</v>
      </c>
      <c r="AJ64" s="68" t="n">
        <v>5</v>
      </c>
      <c r="AK64" s="68" t="inlineStr">
        <is>
          <t>Medium</t>
        </is>
      </c>
      <c r="AL64" s="68" t="inlineStr">
        <is>
          <t>Missing</t>
        </is>
      </c>
      <c r="AM64" s="68" t="inlineStr">
        <is>
          <t>Curated expansion</t>
        </is>
      </c>
      <c r="AN64" s="68" t="n">
        <v>0.55</v>
      </c>
      <c r="AO64" s="68" t="inlineStr">
        <is>
          <t>Needs work</t>
        </is>
      </c>
      <c r="AP64" s="68" t="inlineStr">
        <is>
          <t>Research</t>
        </is>
      </c>
      <c r="AQ64" s="68" t="n"/>
      <c r="AR64" s="68" t="inlineStr">
        <is>
          <t>Source review</t>
        </is>
      </c>
      <c r="AS64" s="68" t="inlineStr">
        <is>
          <t>Not started</t>
        </is>
      </c>
      <c r="AT64" s="68" t="inlineStr">
        <is>
          <t>No</t>
        </is>
      </c>
      <c r="AU64" s="68" t="inlineStr">
        <is>
          <t>No</t>
        </is>
      </c>
      <c r="AV64" s="68" t="inlineStr">
        <is>
          <t>No</t>
        </is>
      </c>
      <c r="AW64" s="68" t="inlineStr">
        <is>
          <t>Yes</t>
        </is>
      </c>
      <c r="AX64" s="68" t="inlineStr">
        <is>
          <t>Add source-linked dosage and standardization fields</t>
        </is>
      </c>
      <c r="AY64" s="68" t="n">
        <v>1</v>
      </c>
      <c r="AZ64" s="68" t="n"/>
      <c r="BA64" s="68" t="n"/>
      <c r="BB64" s="68" t="inlineStr">
        <is>
          <t>Source review</t>
        </is>
      </c>
      <c r="BC64" s="68" t="inlineStr">
        <is>
          <t>Pending</t>
        </is>
      </c>
      <c r="BD64" s="68" t="n"/>
      <c r="BE64" s="68" t="inlineStr">
        <is>
          <t>2026-04-10</t>
        </is>
      </c>
      <c r="BF64" s="68" t="inlineStr">
        <is>
          <t>Metadata normalized from internal workbook links</t>
        </is>
      </c>
      <c r="BG64" s="68" t="inlineStr">
        <is>
          <t>maral-root-R1</t>
        </is>
      </c>
      <c r="BH64" s="68" t="n">
        <v>0</v>
      </c>
      <c r="BI64" t="inlineStr">
        <is>
          <t>maral-root</t>
        </is>
      </c>
      <c r="BJ64" t="inlineStr">
        <is>
          <t>Maral Root</t>
        </is>
      </c>
      <c r="BK64" t="n">
        <v>1</v>
      </c>
      <c r="BL64" t="n">
        <v>1</v>
      </c>
      <c r="BM64" t="n">
        <v>3</v>
      </c>
      <c r="BN64" t="n">
        <v>7</v>
      </c>
      <c r="BO64" t="n">
        <v>100</v>
      </c>
      <c r="BP64" t="n">
        <v>8</v>
      </c>
      <c r="BQ64" t="n">
        <v>10</v>
      </c>
      <c r="BR64" t="n">
        <v>5</v>
      </c>
      <c r="BS64" t="inlineStr">
        <is>
          <t>Tier 1</t>
        </is>
      </c>
      <c r="BT64" t="n">
        <v>5</v>
      </c>
      <c r="BU64" t="inlineStr">
        <is>
          <t>FALSE</t>
        </is>
      </c>
      <c r="BV64" t="inlineStr">
        <is>
          <t>maral-root</t>
        </is>
      </c>
      <c r="BW64" t="inlineStr">
        <is>
          <t>TRUE</t>
        </is>
      </c>
      <c r="BX64" t="inlineStr">
        <is>
          <t>Pass 10 refreshed scoring from 1 mapped compounds | Pass 13 rescored from 1 mapped compounds</t>
        </is>
      </c>
      <c r="BY64" t="inlineStr">
        <is>
          <t>unclassified</t>
        </is>
      </c>
      <c r="CA64" t="n">
        <v>2</v>
      </c>
      <c r="CB64" t="n">
        <v>0</v>
      </c>
      <c r="CC64" t="n">
        <v>0</v>
      </c>
      <c r="CD64" t="inlineStr">
        <is>
          <t>ecdysterone; unclassified</t>
        </is>
      </c>
      <c r="CE64" t="inlineStr">
        <is>
          <t>Pass 13 rescored after herb-name normalization and real top-herb compound sweep</t>
        </is>
      </c>
      <c r="CF64" t="inlineStr">
        <is>
          <t>General</t>
        </is>
      </c>
      <c r="CH64" s="68" t="inlineStr">
        <is>
          <t>Start with low single-herb exposure and increase only if tolerated</t>
        </is>
      </c>
      <c r="CI64" s="68" t="inlineStr">
        <is>
          <t>Product-ideation framing only; not clinical dosing advice.</t>
        </is>
      </c>
      <c r="CJ64" s="68" t="str"/>
      <c r="CK64" s="68" t="str"/>
      <c r="CL64" s="68" t="inlineStr">
        <is>
          <t>Moderate</t>
        </is>
      </c>
      <c r="CM64" s="68" t="inlineStr">
        <is>
          <t>No</t>
        </is>
      </c>
      <c r="CN64" s="68" t="str"/>
      <c r="CO64" s="68" t="inlineStr">
        <is>
          <t>Pass 21 herb-level safety and dose framing</t>
        </is>
      </c>
      <c r="CP64" t="inlineStr">
        <is>
          <t>Baseline</t>
        </is>
      </c>
      <c r="CQ64" t="inlineStr">
        <is>
          <t>No</t>
        </is>
      </c>
      <c r="CS64" t="inlineStr">
        <is>
          <t>Pass 22 refined safety rule severity and reduced broad keyword over-flagging</t>
        </is>
      </c>
      <c r="CT64" t="inlineStr">
        <is>
          <t>Stress</t>
        </is>
      </c>
      <c r="CU64" t="inlineStr">
        <is>
          <t>adaptogenic support; recovery support</t>
        </is>
      </c>
      <c r="CV64" t="inlineStr">
        <is>
          <t>Human</t>
        </is>
      </c>
      <c r="CW64" t="inlineStr">
        <is>
          <t>Pass 26 normalization: categories, mechanisms, evidence tiers</t>
        </is>
      </c>
      <c r="CX64" t="inlineStr">
        <is>
          <t>Human + preclinical</t>
        </is>
      </c>
      <c r="CY64" t="inlineStr">
        <is>
          <t>Generally well tolerated.</t>
        </is>
      </c>
      <c r="CZ64" t="inlineStr">
        <is>
          <t>Use caution with aggressive performance claims</t>
        </is>
      </c>
      <c r="DB64" t="inlineStr">
        <is>
          <t>Pass 28 normalized evidence and safety-related free text</t>
        </is>
      </c>
      <c r="DD64" t="inlineStr">
        <is>
          <t>No standardized dose established; use conservative, product-dependent ranges.</t>
        </is>
      </c>
      <c r="DE64" t="inlineStr">
        <is>
          <t>Common forms include extracts, powders, or teas depending on herb part.</t>
        </is>
      </c>
      <c r="DF64" t="inlineStr">
        <is>
          <t>Quality varies by extraction method, standardization, and contamination risk.</t>
        </is>
      </c>
      <c r="DG64" t="inlineStr">
        <is>
          <t>Moderate to high</t>
        </is>
      </c>
      <c r="DH64" t="inlineStr">
        <is>
          <t>Pass 29 completeness repair</t>
        </is>
      </c>
      <c r="DI64" t="n">
        <v>9</v>
      </c>
      <c r="DJ64" t="inlineStr">
        <is>
          <t>Adaptogenic</t>
        </is>
      </c>
      <c r="DK64" t="inlineStr">
        <is>
          <t>ecdysterone</t>
        </is>
      </c>
      <c r="DL64" t="inlineStr">
        <is>
          <t>Holy Basil; Holy Basil Purple; Maca; Rhodiola; Rhodiola Rosea</t>
        </is>
      </c>
      <c r="DM64" t="inlineStr">
        <is>
          <t>Pass 31 relationship intelligence: density, cluster, anchor class, nearest herbs</t>
        </is>
      </c>
      <c r="DN64" t="inlineStr">
        <is>
          <t>Holy Basil</t>
        </is>
      </c>
      <c r="DO64" t="inlineStr">
        <is>
          <t>Holy Basil (1 shared pathways)</t>
        </is>
      </c>
      <c r="DP64" t="inlineStr">
        <is>
          <t>Stress / Adaptogenic</t>
        </is>
      </c>
      <c r="DQ64" t="inlineStr">
        <is>
          <t>Pass 32 substitute engine + cluster cleanup</t>
        </is>
      </c>
      <c r="DR64" t="inlineStr">
        <is>
          <t>Holy Basil</t>
        </is>
      </c>
      <c r="DT64" t="inlineStr">
        <is>
          <t>same cluster; similarity-backed</t>
        </is>
      </c>
      <c r="DU64" t="inlineStr">
        <is>
          <t>Not needed</t>
        </is>
      </c>
      <c r="DV64" t="inlineStr">
        <is>
          <t>Pass 33 fallback replacement engine</t>
        </is>
      </c>
      <c r="DW64" t="inlineStr">
        <is>
          <t>Rhodiola</t>
        </is>
      </c>
      <c r="DX64" t="inlineStr">
        <is>
          <t>Holy Basil Purple; Maca; Rhodiola; Holy Basil; Rhodiola Rosea</t>
        </is>
      </c>
      <c r="DY64" t="inlineStr">
        <is>
          <t>Pass 35 expanded fallback pool with second-pass candidate exploration</t>
        </is>
      </c>
      <c r="EA64" t="inlineStr">
        <is>
          <t>Stress</t>
        </is>
      </c>
      <c r="EB64" t="inlineStr">
        <is>
          <t>unclassified</t>
        </is>
      </c>
      <c r="EC64" t="inlineStr">
        <is>
          <t>Medium</t>
        </is>
      </c>
      <c r="ED64" t="inlineStr">
        <is>
          <t>Pass 40 reinforced weak-category herb data</t>
        </is>
      </c>
      <c r="EG64" t="n">
        <v>3</v>
      </c>
      <c r="EH64" t="n">
        <v>3</v>
      </c>
      <c r="EI64" t="n">
        <v>0</v>
      </c>
      <c r="EJ64" t="n">
        <v>0</v>
      </c>
      <c r="EK64" t="n">
        <v>11</v>
      </c>
      <c r="EL64" t="n">
        <v>7</v>
      </c>
      <c r="EM64" t="inlineStr">
        <is>
          <t>ecdysterone</t>
        </is>
      </c>
      <c r="EN64" t="inlineStr">
        <is>
          <t>Pass 48 rolled compound scores into herb-level scoring</t>
        </is>
      </c>
    </row>
    <row r="65">
      <c r="A65" s="68" t="inlineStr">
        <is>
          <t>Jatamansi</t>
        </is>
      </c>
      <c r="B65" s="68" t="inlineStr">
        <is>
          <t>jatamansi</t>
        </is>
      </c>
      <c r="C65" s="68" t="inlineStr">
        <is>
          <t>Nardostachys jatamansi</t>
        </is>
      </c>
      <c r="D65" s="68" t="inlineStr">
        <is>
          <t>herb</t>
        </is>
      </c>
      <c r="E65" s="68" t="inlineStr">
        <is>
          <t>rhizome</t>
        </is>
      </c>
      <c r="F65" s="68" t="inlineStr">
        <is>
          <t>rhizome</t>
        </is>
      </c>
      <c r="G65" s="68" t="inlineStr">
        <is>
          <t>spikenard; jatamansi</t>
        </is>
      </c>
      <c r="H65" s="68" t="inlineStr">
        <is>
          <t>Himalayan regions</t>
        </is>
      </c>
      <c r="I65" s="68" t="inlineStr">
        <is>
          <t>Jatamansi is positioned for calming and traditional nervous-system support.</t>
        </is>
      </c>
      <c r="J65" s="68" t="inlineStr">
        <is>
          <t>It should be framed as a traditional aromatic rhizome with modest clinical depth.</t>
        </is>
      </c>
      <c r="K65" s="68" t="inlineStr">
        <is>
          <t>jatamansone</t>
        </is>
      </c>
      <c r="L65" s="68" t="inlineStr">
        <is>
          <t>jatamansone</t>
        </is>
      </c>
      <c r="M65" s="68" t="inlineStr">
        <is>
          <t>Sesquiterpenes support calming and traditional nervous-system positioning.</t>
        </is>
      </c>
      <c r="N65" s="68" t="inlineStr">
        <is>
          <t>calming support; traditional nervous-system support</t>
        </is>
      </c>
      <c r="O65" s="68" t="inlineStr">
        <is>
          <t>traditional use + limited human</t>
        </is>
      </c>
      <c r="P65" s="68" t="inlineStr">
        <is>
          <t>Generally well tolerated.</t>
        </is>
      </c>
      <c r="Q65" s="68" t="inlineStr">
        <is>
          <t>Use caution with sedative stacking.</t>
        </is>
      </c>
      <c r="R65" s="68" t="n"/>
      <c r="S65" s="68" t="n"/>
      <c r="T65" s="68" t="n"/>
      <c r="U65" s="68" t="n"/>
      <c r="V65" s="68" t="n"/>
      <c r="W65" s="68" t="inlineStr">
        <is>
          <t>Medium</t>
        </is>
      </c>
      <c r="X65" s="68" t="inlineStr">
        <is>
          <t>partial</t>
        </is>
      </c>
      <c r="Y65" s="68" t="inlineStr">
        <is>
          <t>Pass 125 curated expansion</t>
        </is>
      </c>
      <c r="Z65" s="68" t="inlineStr">
        <is>
          <t>present</t>
        </is>
      </c>
      <c r="AA65" s="68" t="inlineStr">
        <is>
          <t>Curated expansion</t>
        </is>
      </c>
      <c r="AB65" s="68" t="inlineStr">
        <is>
          <t>Pass 125 curated expansion</t>
        </is>
      </c>
      <c r="AC65" s="68" t="inlineStr">
        <is>
          <t>Pass 125 curated expansion</t>
        </is>
      </c>
      <c r="AD65" s="68" t="inlineStr">
        <is>
          <t>Pass 125 curated expansion</t>
        </is>
      </c>
      <c r="AE65" s="68" t="inlineStr">
        <is>
          <t>Pass 125 curated expansion</t>
        </is>
      </c>
      <c r="AF65" s="68" t="inlineStr">
        <is>
          <t>Added in Pass 125.</t>
        </is>
      </c>
      <c r="AG65" s="68" t="n">
        <v>2</v>
      </c>
      <c r="AH65" s="68" t="n">
        <v>2</v>
      </c>
      <c r="AI65" s="68" t="n">
        <v>1</v>
      </c>
      <c r="AJ65" s="68" t="n">
        <v>5</v>
      </c>
      <c r="AK65" s="68" t="inlineStr">
        <is>
          <t>Medium</t>
        </is>
      </c>
      <c r="AL65" s="68" t="inlineStr">
        <is>
          <t>Missing</t>
        </is>
      </c>
      <c r="AM65" s="68" t="inlineStr">
        <is>
          <t>Curated expansion</t>
        </is>
      </c>
      <c r="AN65" s="68" t="n">
        <v>0.55</v>
      </c>
      <c r="AO65" s="68" t="inlineStr">
        <is>
          <t>Needs work</t>
        </is>
      </c>
      <c r="AP65" s="68" t="inlineStr">
        <is>
          <t>Research</t>
        </is>
      </c>
      <c r="AQ65" s="68" t="n"/>
      <c r="AR65" s="68" t="inlineStr">
        <is>
          <t>Source review</t>
        </is>
      </c>
      <c r="AS65" s="68" t="inlineStr">
        <is>
          <t>Not started</t>
        </is>
      </c>
      <c r="AT65" s="68" t="inlineStr">
        <is>
          <t>No</t>
        </is>
      </c>
      <c r="AU65" s="68" t="inlineStr">
        <is>
          <t>No</t>
        </is>
      </c>
      <c r="AV65" s="68" t="inlineStr">
        <is>
          <t>No</t>
        </is>
      </c>
      <c r="AW65" s="68" t="inlineStr">
        <is>
          <t>Yes</t>
        </is>
      </c>
      <c r="AX65" s="68" t="inlineStr">
        <is>
          <t>Add source-linked dosage and standardization fields</t>
        </is>
      </c>
      <c r="AY65" s="68" t="n">
        <v>1</v>
      </c>
      <c r="AZ65" s="68" t="n"/>
      <c r="BA65" s="68" t="n"/>
      <c r="BB65" s="68" t="inlineStr">
        <is>
          <t>Source review</t>
        </is>
      </c>
      <c r="BC65" s="68" t="inlineStr">
        <is>
          <t>Pending</t>
        </is>
      </c>
      <c r="BD65" s="68" t="n"/>
      <c r="BE65" s="68" t="inlineStr">
        <is>
          <t>2026-04-10</t>
        </is>
      </c>
      <c r="BF65" s="68" t="inlineStr">
        <is>
          <t>Metadata normalized from internal workbook links</t>
        </is>
      </c>
      <c r="BG65" s="68" t="inlineStr">
        <is>
          <t>jatamansi-R1</t>
        </is>
      </c>
      <c r="BH65" s="68" t="n">
        <v>0</v>
      </c>
      <c r="BI65" t="inlineStr">
        <is>
          <t>jatamansi</t>
        </is>
      </c>
      <c r="BJ65" t="inlineStr">
        <is>
          <t>Jatamansi</t>
        </is>
      </c>
      <c r="BK65" t="n">
        <v>1</v>
      </c>
      <c r="BL65" t="n">
        <v>1</v>
      </c>
      <c r="BM65" t="n">
        <v>3</v>
      </c>
      <c r="BN65" t="n">
        <v>7</v>
      </c>
      <c r="BO65" t="n">
        <v>100</v>
      </c>
      <c r="BP65" t="n">
        <v>8</v>
      </c>
      <c r="BQ65" t="n">
        <v>10</v>
      </c>
      <c r="BR65" t="n">
        <v>5</v>
      </c>
      <c r="BS65" t="inlineStr">
        <is>
          <t>Tier 1</t>
        </is>
      </c>
      <c r="BT65" t="n">
        <v>5</v>
      </c>
      <c r="BU65" t="inlineStr">
        <is>
          <t>FALSE</t>
        </is>
      </c>
      <c r="BV65" t="inlineStr">
        <is>
          <t>jatamansi</t>
        </is>
      </c>
      <c r="BW65" t="inlineStr">
        <is>
          <t>TRUE</t>
        </is>
      </c>
      <c r="BX65" t="inlineStr">
        <is>
          <t>Pass 10 refreshed scoring from 1 mapped compounds | Pass 13 rescored from 1 mapped compounds</t>
        </is>
      </c>
      <c r="BY65" t="inlineStr">
        <is>
          <t>unclassified</t>
        </is>
      </c>
      <c r="CA65" t="n">
        <v>2</v>
      </c>
      <c r="CB65" t="n">
        <v>0</v>
      </c>
      <c r="CC65" t="n">
        <v>0</v>
      </c>
      <c r="CD65" t="inlineStr">
        <is>
          <t>jatamansone; unclassified</t>
        </is>
      </c>
      <c r="CE65" t="inlineStr">
        <is>
          <t>Pass 13 rescored after herb-name normalization and real top-herb compound sweep</t>
        </is>
      </c>
      <c r="CF65" t="inlineStr">
        <is>
          <t>General</t>
        </is>
      </c>
      <c r="CH65" s="68" t="inlineStr">
        <is>
          <t>Start low; usually evening or split use</t>
        </is>
      </c>
      <c r="CI65" s="68" t="inlineStr">
        <is>
          <t>Prefer evening or split dosing; avoid stacking with other sedative-heavy products by default.</t>
        </is>
      </c>
      <c r="CJ65" s="68" t="inlineStr">
        <is>
          <t>sedation-cns</t>
        </is>
      </c>
      <c r="CK65" s="68" t="str"/>
      <c r="CL65" s="68" t="inlineStr">
        <is>
          <t>Moderate</t>
        </is>
      </c>
      <c r="CM65" s="68" t="inlineStr">
        <is>
          <t>No</t>
        </is>
      </c>
      <c r="CN65" s="68" t="str"/>
      <c r="CO65" s="68" t="inlineStr">
        <is>
          <t>Pass 21 herb-level safety and dose framing</t>
        </is>
      </c>
      <c r="CP65" t="inlineStr">
        <is>
          <t>Baseline</t>
        </is>
      </c>
      <c r="CQ65" t="inlineStr">
        <is>
          <t>No</t>
        </is>
      </c>
      <c r="CS65" t="inlineStr">
        <is>
          <t>Pass 22 refined safety rule severity and reduced broad keyword over-flagging</t>
        </is>
      </c>
      <c r="CT65" t="inlineStr">
        <is>
          <t>General</t>
        </is>
      </c>
      <c r="CU65" t="inlineStr">
        <is>
          <t>calming support; traditional nervous-system support</t>
        </is>
      </c>
      <c r="CV65" t="inlineStr">
        <is>
          <t>Human</t>
        </is>
      </c>
      <c r="CW65" t="inlineStr">
        <is>
          <t>Pass 26 normalization: categories, mechanisms, evidence tiers</t>
        </is>
      </c>
      <c r="CX65" t="inlineStr">
        <is>
          <t>Limited human</t>
        </is>
      </c>
      <c r="CY65" t="inlineStr">
        <is>
          <t>Generally well tolerated.</t>
        </is>
      </c>
      <c r="CZ65" t="inlineStr">
        <is>
          <t>Use caution with sedative stacking</t>
        </is>
      </c>
      <c r="DB65" t="inlineStr">
        <is>
          <t>Pass 28 normalized evidence and safety-related free text</t>
        </is>
      </c>
      <c r="DD65" t="inlineStr">
        <is>
          <t>No standardized dose established; use conservative, product-dependent ranges.</t>
        </is>
      </c>
      <c r="DE65" t="inlineStr">
        <is>
          <t>Common forms include extracts, powders, or teas depending on herb part.</t>
        </is>
      </c>
      <c r="DF65" t="inlineStr">
        <is>
          <t>Quality varies by extraction method, standardization, and contamination risk.</t>
        </is>
      </c>
      <c r="DG65" t="inlineStr">
        <is>
          <t>Moderate to high</t>
        </is>
      </c>
      <c r="DH65" t="inlineStr">
        <is>
          <t>Pass 29 completeness repair</t>
        </is>
      </c>
      <c r="DI65" t="n">
        <v>9</v>
      </c>
      <c r="DJ65" t="inlineStr">
        <is>
          <t>General</t>
        </is>
      </c>
      <c r="DK65" t="inlineStr">
        <is>
          <t>jatamansone</t>
        </is>
      </c>
      <c r="DL65" t="inlineStr">
        <is>
          <t>Agarikon; Ajwain; Angelica Root; Artichoke; Ashoka</t>
        </is>
      </c>
      <c r="DM65" t="inlineStr">
        <is>
          <t>Pass 31 relationship intelligence: density, cluster, anchor class, nearest herbs</t>
        </is>
      </c>
      <c r="DN65" t="inlineStr">
        <is>
          <t>Agarikon; Ajwain; Angelica Root; Artichoke; Ashoka</t>
        </is>
      </c>
      <c r="DO65" t="inlineStr">
        <is>
          <t>Agarikon (1 shared pathways) | Ajwain (1 shared pathways) | Angelica Root (1 shared pathways)</t>
        </is>
      </c>
      <c r="DP65" t="inlineStr">
        <is>
          <t>Generalist</t>
        </is>
      </c>
      <c r="DQ65" t="inlineStr">
        <is>
          <t>Pass 32 substitute engine + cluster cleanup</t>
        </is>
      </c>
      <c r="DR65" t="inlineStr">
        <is>
          <t>Agarikon</t>
        </is>
      </c>
      <c r="DS65" t="inlineStr">
        <is>
          <t>Ajwain</t>
        </is>
      </c>
      <c r="DT65" t="inlineStr">
        <is>
          <t>same cluster; lower safety burden; similarity-backed</t>
        </is>
      </c>
      <c r="DU65" t="inlineStr">
        <is>
          <t>Not needed</t>
        </is>
      </c>
      <c r="DV65" t="inlineStr">
        <is>
          <t>Pass 33 fallback replacement engine</t>
        </is>
      </c>
      <c r="DW65" t="inlineStr">
        <is>
          <t>Angelica Root</t>
        </is>
      </c>
      <c r="DX65" t="inlineStr">
        <is>
          <t>Agarikon; Ajwain; Angelica Root; Ashoka; Blue Lotus; Artichoke; Rosemary; Sage</t>
        </is>
      </c>
      <c r="DY65" t="inlineStr">
        <is>
          <t>Pass 35 expanded fallback pool with second-pass candidate exploration</t>
        </is>
      </c>
      <c r="EA65" t="inlineStr">
        <is>
          <t>General</t>
        </is>
      </c>
      <c r="EB65" t="inlineStr">
        <is>
          <t>unclassified</t>
        </is>
      </c>
      <c r="EC65" t="inlineStr">
        <is>
          <t>Medium</t>
        </is>
      </c>
      <c r="ED65" t="inlineStr">
        <is>
          <t>Pass 40 reinforced weak-category herb data</t>
        </is>
      </c>
      <c r="EG65" t="n">
        <v>3</v>
      </c>
      <c r="EH65" t="n">
        <v>3</v>
      </c>
      <c r="EI65" t="n">
        <v>0</v>
      </c>
      <c r="EJ65" t="n">
        <v>0</v>
      </c>
      <c r="EK65" t="n">
        <v>11</v>
      </c>
      <c r="EL65" t="n">
        <v>7</v>
      </c>
      <c r="EM65" t="inlineStr">
        <is>
          <t>jatamansone</t>
        </is>
      </c>
      <c r="EN65" t="inlineStr">
        <is>
          <t>Pass 48 rolled compound scores into herb-level scoring</t>
        </is>
      </c>
    </row>
    <row r="66">
      <c r="A66" s="68" t="inlineStr">
        <is>
          <t>Soursop</t>
        </is>
      </c>
      <c r="B66" s="68" t="inlineStr">
        <is>
          <t>soursop</t>
        </is>
      </c>
      <c r="C66" s="68" t="inlineStr">
        <is>
          <t>Annona muricata</t>
        </is>
      </c>
      <c r="D66" s="68" t="inlineStr">
        <is>
          <t>herb</t>
        </is>
      </c>
      <c r="E66" s="68" t="inlineStr">
        <is>
          <t>leaf/fruit</t>
        </is>
      </c>
      <c r="F66" s="68" t="inlineStr">
        <is>
          <t>leaf; fruit</t>
        </is>
      </c>
      <c r="G66" s="68" t="inlineStr">
        <is>
          <t>soursop; graviola</t>
        </is>
      </c>
      <c r="H66" s="68" t="inlineStr">
        <is>
          <t>Tropical Americas</t>
        </is>
      </c>
      <c r="I66" s="68" t="inlineStr">
        <is>
          <t>Soursop is positioned for antioxidant and traditional wellness support.</t>
        </is>
      </c>
      <c r="J66" s="68" t="inlineStr">
        <is>
          <t>It must be framed carefully because anticancer folklore claims greatly exceed evidence and safety certainty.</t>
        </is>
      </c>
      <c r="K66" s="68" t="inlineStr">
        <is>
          <t>annonacin</t>
        </is>
      </c>
      <c r="L66" s="68" t="inlineStr">
        <is>
          <t>annonacin</t>
        </is>
      </c>
      <c r="M66" s="68" t="inlineStr">
        <is>
          <t>Acetogenins support traditional and preclinical positioning.</t>
        </is>
      </c>
      <c r="N66" s="68" t="inlineStr">
        <is>
          <t>traditional wellness support; antioxidant</t>
        </is>
      </c>
      <c r="O66" s="68" t="inlineStr">
        <is>
          <t>preclinical + traditional use</t>
        </is>
      </c>
      <c r="P66" s="68" t="inlineStr">
        <is>
          <t>Use cautiously.</t>
        </is>
      </c>
      <c r="Q66" s="68" t="inlineStr">
        <is>
          <t>Avoid exaggerated oncology claims.</t>
        </is>
      </c>
      <c r="R66" s="68" t="n"/>
      <c r="S66" s="68" t="n"/>
      <c r="T66" s="68" t="n"/>
      <c r="U66" s="68" t="n"/>
      <c r="V66" s="68" t="n"/>
      <c r="W66" s="68" t="inlineStr">
        <is>
          <t>Medium</t>
        </is>
      </c>
      <c r="X66" s="68" t="inlineStr">
        <is>
          <t>partial</t>
        </is>
      </c>
      <c r="Y66" s="68" t="inlineStr">
        <is>
          <t>Pass 125 curated expansion</t>
        </is>
      </c>
      <c r="Z66" s="68" t="inlineStr">
        <is>
          <t>present</t>
        </is>
      </c>
      <c r="AA66" s="68" t="inlineStr">
        <is>
          <t>Curated expansion</t>
        </is>
      </c>
      <c r="AB66" s="68" t="inlineStr">
        <is>
          <t>Pass 125 curated expansion</t>
        </is>
      </c>
      <c r="AC66" s="68" t="inlineStr">
        <is>
          <t>Pass 125 curated expansion</t>
        </is>
      </c>
      <c r="AD66" s="68" t="inlineStr">
        <is>
          <t>Pass 125 curated expansion</t>
        </is>
      </c>
      <c r="AE66" s="68" t="inlineStr">
        <is>
          <t>Pass 125 curated expansion</t>
        </is>
      </c>
      <c r="AF66" s="68" t="inlineStr">
        <is>
          <t>Added in Pass 125.</t>
        </is>
      </c>
      <c r="AG66" s="68" t="n">
        <v>2</v>
      </c>
      <c r="AH66" s="68" t="n">
        <v>2</v>
      </c>
      <c r="AI66" s="68" t="n">
        <v>1</v>
      </c>
      <c r="AJ66" s="68" t="n">
        <v>5</v>
      </c>
      <c r="AK66" s="68" t="inlineStr">
        <is>
          <t>Medium</t>
        </is>
      </c>
      <c r="AL66" s="68" t="inlineStr">
        <is>
          <t>Missing</t>
        </is>
      </c>
      <c r="AM66" s="68" t="inlineStr">
        <is>
          <t>Curated expansion</t>
        </is>
      </c>
      <c r="AN66" s="68" t="n">
        <v>0.55</v>
      </c>
      <c r="AO66" s="68" t="inlineStr">
        <is>
          <t>Needs work</t>
        </is>
      </c>
      <c r="AP66" s="68" t="inlineStr">
        <is>
          <t>Research</t>
        </is>
      </c>
      <c r="AQ66" s="68" t="n"/>
      <c r="AR66" s="68" t="inlineStr">
        <is>
          <t>Source review</t>
        </is>
      </c>
      <c r="AS66" s="68" t="inlineStr">
        <is>
          <t>Not started</t>
        </is>
      </c>
      <c r="AT66" s="68" t="inlineStr">
        <is>
          <t>No</t>
        </is>
      </c>
      <c r="AU66" s="68" t="inlineStr">
        <is>
          <t>No</t>
        </is>
      </c>
      <c r="AV66" s="68" t="inlineStr">
        <is>
          <t>No</t>
        </is>
      </c>
      <c r="AW66" s="68" t="inlineStr">
        <is>
          <t>Yes</t>
        </is>
      </c>
      <c r="AX66" s="68" t="inlineStr">
        <is>
          <t>Add source-linked dosage and standardization fields</t>
        </is>
      </c>
      <c r="AY66" s="68" t="n">
        <v>1</v>
      </c>
      <c r="AZ66" s="68" t="n"/>
      <c r="BA66" s="68" t="n"/>
      <c r="BB66" s="68" t="inlineStr">
        <is>
          <t>Source review</t>
        </is>
      </c>
      <c r="BC66" s="68" t="inlineStr">
        <is>
          <t>Pending</t>
        </is>
      </c>
      <c r="BD66" s="68" t="n"/>
      <c r="BE66" s="68" t="inlineStr">
        <is>
          <t>2026-04-10</t>
        </is>
      </c>
      <c r="BF66" s="68" t="inlineStr">
        <is>
          <t>Metadata normalized from internal workbook links</t>
        </is>
      </c>
      <c r="BG66" s="68" t="inlineStr">
        <is>
          <t>soursop-R1</t>
        </is>
      </c>
      <c r="BH66" s="68" t="n">
        <v>0</v>
      </c>
      <c r="BI66" t="inlineStr">
        <is>
          <t>soursop</t>
        </is>
      </c>
      <c r="BJ66" t="inlineStr">
        <is>
          <t>Soursop</t>
        </is>
      </c>
      <c r="BK66" t="n">
        <v>1</v>
      </c>
      <c r="BL66" t="n">
        <v>1</v>
      </c>
      <c r="BM66" t="n">
        <v>3</v>
      </c>
      <c r="BN66" t="n">
        <v>7</v>
      </c>
      <c r="BO66" t="n">
        <v>100</v>
      </c>
      <c r="BP66" t="n">
        <v>8</v>
      </c>
      <c r="BQ66" t="n">
        <v>10</v>
      </c>
      <c r="BR66" t="n">
        <v>5</v>
      </c>
      <c r="BS66" t="inlineStr">
        <is>
          <t>Tier 1</t>
        </is>
      </c>
      <c r="BT66" t="n">
        <v>5</v>
      </c>
      <c r="BU66" t="inlineStr">
        <is>
          <t>FALSE</t>
        </is>
      </c>
      <c r="BV66" t="inlineStr">
        <is>
          <t>soursop</t>
        </is>
      </c>
      <c r="BW66" t="inlineStr">
        <is>
          <t>TRUE</t>
        </is>
      </c>
      <c r="BX66" t="inlineStr">
        <is>
          <t>Pass 10 refreshed scoring from 1 mapped compounds | Pass 13 rescored from 1 mapped compounds</t>
        </is>
      </c>
      <c r="BY66" t="inlineStr">
        <is>
          <t>unclassified</t>
        </is>
      </c>
      <c r="CA66" t="n">
        <v>2</v>
      </c>
      <c r="CB66" t="n">
        <v>0</v>
      </c>
      <c r="CC66" t="n">
        <v>0</v>
      </c>
      <c r="CD66" t="inlineStr">
        <is>
          <t>annonacin; unclassified</t>
        </is>
      </c>
      <c r="CE66" t="inlineStr">
        <is>
          <t>Pass 13 rescored after herb-name normalization and real top-herb compound sweep</t>
        </is>
      </c>
      <c r="CF66" t="inlineStr">
        <is>
          <t>General</t>
        </is>
      </c>
      <c r="CH66" s="68" t="inlineStr">
        <is>
          <t>Start with low single-herb exposure and increase only if tolerated</t>
        </is>
      </c>
      <c r="CI66" s="68" t="inlineStr">
        <is>
          <t>Product-ideation framing only; not clinical dosing advice.</t>
        </is>
      </c>
      <c r="CJ66" s="68" t="str"/>
      <c r="CK66" s="68" t="str"/>
      <c r="CL66" s="68" t="inlineStr">
        <is>
          <t>Baseline</t>
        </is>
      </c>
      <c r="CM66" s="68" t="inlineStr">
        <is>
          <t>No</t>
        </is>
      </c>
      <c r="CN66" s="68" t="str"/>
      <c r="CO66" s="68" t="inlineStr">
        <is>
          <t>Pass 21 herb-level safety and dose framing</t>
        </is>
      </c>
      <c r="CP66" t="inlineStr">
        <is>
          <t>Baseline</t>
        </is>
      </c>
      <c r="CQ66" t="inlineStr">
        <is>
          <t>No</t>
        </is>
      </c>
      <c r="CS66" t="inlineStr">
        <is>
          <t>Pass 22 refined safety rule severity and reduced broad keyword over-flagging</t>
        </is>
      </c>
      <c r="CT66" t="inlineStr">
        <is>
          <t>General</t>
        </is>
      </c>
      <c r="CU66" t="inlineStr">
        <is>
          <t>antioxidant; traditional wellness support</t>
        </is>
      </c>
      <c r="CV66" t="inlineStr">
        <is>
          <t>Preclinical</t>
        </is>
      </c>
      <c r="CW66" t="inlineStr">
        <is>
          <t>Pass 26 normalization: categories, mechanisms, evidence tiers</t>
        </is>
      </c>
      <c r="CX66" t="inlineStr">
        <is>
          <t>Preclinical</t>
        </is>
      </c>
      <c r="CY66" t="inlineStr">
        <is>
          <t>Use cautiously.</t>
        </is>
      </c>
      <c r="CZ66" t="inlineStr">
        <is>
          <t>Avoid exaggerated oncology claims</t>
        </is>
      </c>
      <c r="DB66" t="inlineStr">
        <is>
          <t>Pass 28 normalized evidence and safety-related free text</t>
        </is>
      </c>
      <c r="DD66" t="inlineStr">
        <is>
          <t>No standardized dose established; use conservative, product-dependent ranges.</t>
        </is>
      </c>
      <c r="DE66" t="inlineStr">
        <is>
          <t>Common forms include extracts, powders, or teas depending on herb part.</t>
        </is>
      </c>
      <c r="DF66" t="inlineStr">
        <is>
          <t>Quality varies by extraction method, standardization, and contamination risk.</t>
        </is>
      </c>
      <c r="DG66" t="inlineStr">
        <is>
          <t>Low to moderate</t>
        </is>
      </c>
      <c r="DH66" t="inlineStr">
        <is>
          <t>Pass 29 completeness repair</t>
        </is>
      </c>
      <c r="DI66" t="n">
        <v>9</v>
      </c>
      <c r="DJ66" t="inlineStr">
        <is>
          <t>General</t>
        </is>
      </c>
      <c r="DK66" t="inlineStr">
        <is>
          <t>annonacin</t>
        </is>
      </c>
      <c r="DL66" t="inlineStr">
        <is>
          <t>Agarikon; Ajwain; Angelica Root; Artichoke; Ashoka</t>
        </is>
      </c>
      <c r="DM66" t="inlineStr">
        <is>
          <t>Pass 31 relationship intelligence: density, cluster, anchor class, nearest herbs</t>
        </is>
      </c>
      <c r="DN66" t="inlineStr">
        <is>
          <t>Artichoke; Blue Lotus; Boldo; Burdock; Butterbur</t>
        </is>
      </c>
      <c r="DO66" t="inlineStr">
        <is>
          <t>Artichoke (1 shared pathways) | Blue Lotus (1 shared pathways) | Boldo (1 shared pathways)</t>
        </is>
      </c>
      <c r="DP66" t="inlineStr">
        <is>
          <t>Generalist</t>
        </is>
      </c>
      <c r="DQ66" t="inlineStr">
        <is>
          <t>Pass 32 substitute engine + cluster cleanup</t>
        </is>
      </c>
      <c r="DR66" t="inlineStr">
        <is>
          <t>Blue Lotus</t>
        </is>
      </c>
      <c r="DS66" t="inlineStr">
        <is>
          <t>Artichoke</t>
        </is>
      </c>
      <c r="DT66" t="inlineStr">
        <is>
          <t>same cluster; lower safety burden; similarity-backed</t>
        </is>
      </c>
      <c r="DU66" t="inlineStr">
        <is>
          <t>Not needed</t>
        </is>
      </c>
      <c r="DV66" t="inlineStr">
        <is>
          <t>Pass 33 fallback replacement engine</t>
        </is>
      </c>
      <c r="DW66" t="inlineStr">
        <is>
          <t>Butterbur</t>
        </is>
      </c>
      <c r="DX66" t="inlineStr">
        <is>
          <t>Blue Lotus; Burdock; Butterbur; Agarikon; Ajwain; Angelica Root; Ashoka; Damiana</t>
        </is>
      </c>
      <c r="DY66" t="inlineStr">
        <is>
          <t>Pass 35 expanded fallback pool with second-pass candidate exploration</t>
        </is>
      </c>
      <c r="EA66" t="inlineStr">
        <is>
          <t>General</t>
        </is>
      </c>
      <c r="EB66" t="inlineStr">
        <is>
          <t>unclassified</t>
        </is>
      </c>
      <c r="EC66" t="inlineStr">
        <is>
          <t>Medium</t>
        </is>
      </c>
      <c r="ED66" t="inlineStr">
        <is>
          <t>Pass 40 reinforced weak-category herb data</t>
        </is>
      </c>
      <c r="EG66" t="n">
        <v>3</v>
      </c>
      <c r="EH66" t="n">
        <v>3</v>
      </c>
      <c r="EI66" t="n">
        <v>0</v>
      </c>
      <c r="EJ66" t="n">
        <v>0</v>
      </c>
      <c r="EK66" t="n">
        <v>11</v>
      </c>
      <c r="EL66" t="n">
        <v>7</v>
      </c>
      <c r="EM66" t="inlineStr">
        <is>
          <t>annonacin</t>
        </is>
      </c>
      <c r="EN66" t="inlineStr">
        <is>
          <t>Pass 48 rolled compound scores into herb-level scoring</t>
        </is>
      </c>
    </row>
    <row r="67">
      <c r="A67" s="68" t="inlineStr">
        <is>
          <t>Ashoka</t>
        </is>
      </c>
      <c r="B67" s="68" t="inlineStr">
        <is>
          <t>ashoka</t>
        </is>
      </c>
      <c r="C67" s="68" t="inlineStr">
        <is>
          <t>Saraca asoca</t>
        </is>
      </c>
      <c r="D67" s="68" t="inlineStr">
        <is>
          <t>herb</t>
        </is>
      </c>
      <c r="E67" s="68" t="inlineStr">
        <is>
          <t>bark</t>
        </is>
      </c>
      <c r="F67" s="68" t="inlineStr">
        <is>
          <t>bark</t>
        </is>
      </c>
      <c r="G67" s="68" t="inlineStr">
        <is>
          <t>ashoka</t>
        </is>
      </c>
      <c r="H67" s="68" t="inlineStr">
        <is>
          <t>India and South Asia</t>
        </is>
      </c>
      <c r="I67" s="68" t="inlineStr">
        <is>
          <t>Ashoka is positioned for traditional cycle-related support.</t>
        </is>
      </c>
      <c r="J67" s="68" t="inlineStr">
        <is>
          <t>It should be framed conservatively because traditional gynecologic use is much stronger than modern evidence.</t>
        </is>
      </c>
      <c r="K67" s="68" t="inlineStr">
        <is>
          <t>catechins; flavonoids</t>
        </is>
      </c>
      <c r="L67" s="68" t="inlineStr">
        <is>
          <t>catechins</t>
        </is>
      </c>
      <c r="M67" s="68" t="inlineStr">
        <is>
          <t>Polyphenols support traditional cycle-related positioning.</t>
        </is>
      </c>
      <c r="N67" s="68" t="inlineStr">
        <is>
          <t>traditional cycle support</t>
        </is>
      </c>
      <c r="O67" s="68" t="inlineStr">
        <is>
          <t>traditional use + limited human</t>
        </is>
      </c>
      <c r="P67" s="68" t="inlineStr">
        <is>
          <t>Generally well tolerated.</t>
        </is>
      </c>
      <c r="Q67" s="68" t="inlineStr">
        <is>
          <t>Avoid overextended reproductive-health claims.</t>
        </is>
      </c>
      <c r="R67" s="68" t="n"/>
      <c r="S67" s="68" t="n"/>
      <c r="T67" s="68" t="n"/>
      <c r="U67" s="68" t="n"/>
      <c r="V67" s="68" t="n"/>
      <c r="W67" s="68" t="inlineStr">
        <is>
          <t>Medium</t>
        </is>
      </c>
      <c r="X67" s="68" t="inlineStr">
        <is>
          <t>validated</t>
        </is>
      </c>
      <c r="Y67" s="68" t="inlineStr">
        <is>
          <t>Pass 125 curated expansion</t>
        </is>
      </c>
      <c r="Z67" s="68" t="inlineStr">
        <is>
          <t>present</t>
        </is>
      </c>
      <c r="AA67" s="68" t="inlineStr">
        <is>
          <t>Curated expansion</t>
        </is>
      </c>
      <c r="AB67" s="68" t="inlineStr">
        <is>
          <t>Pass 125 curated expansion</t>
        </is>
      </c>
      <c r="AC67" s="68" t="inlineStr">
        <is>
          <t>Pass 125 curated expansion</t>
        </is>
      </c>
      <c r="AD67" s="68" t="inlineStr">
        <is>
          <t>Pass 125 curated expansion</t>
        </is>
      </c>
      <c r="AE67" s="68" t="inlineStr">
        <is>
          <t>Pass 125 curated expansion</t>
        </is>
      </c>
      <c r="AF67" s="68" t="inlineStr">
        <is>
          <t>Added in Pass 125.</t>
        </is>
      </c>
      <c r="AG67" s="68" t="n">
        <v>2</v>
      </c>
      <c r="AH67" s="68" t="n">
        <v>2</v>
      </c>
      <c r="AI67" s="68" t="n">
        <v>1</v>
      </c>
      <c r="AJ67" s="68" t="n">
        <v>5</v>
      </c>
      <c r="AK67" s="68" t="inlineStr">
        <is>
          <t>Medium</t>
        </is>
      </c>
      <c r="AL67" s="68" t="inlineStr">
        <is>
          <t>Missing</t>
        </is>
      </c>
      <c r="AM67" s="68" t="inlineStr">
        <is>
          <t>Curated expansion</t>
        </is>
      </c>
      <c r="AN67" s="68" t="n">
        <v>0.55</v>
      </c>
      <c r="AO67" s="68" t="inlineStr">
        <is>
          <t>Needs work</t>
        </is>
      </c>
      <c r="AP67" s="68" t="inlineStr">
        <is>
          <t>Research</t>
        </is>
      </c>
      <c r="AQ67" s="68" t="n"/>
      <c r="AR67" s="68" t="inlineStr">
        <is>
          <t>Source review</t>
        </is>
      </c>
      <c r="AS67" s="68" t="inlineStr">
        <is>
          <t>Not started</t>
        </is>
      </c>
      <c r="AT67" s="68" t="inlineStr">
        <is>
          <t>No</t>
        </is>
      </c>
      <c r="AU67" s="68" t="inlineStr">
        <is>
          <t>No</t>
        </is>
      </c>
      <c r="AV67" s="68" t="inlineStr">
        <is>
          <t>No</t>
        </is>
      </c>
      <c r="AW67" s="68" t="inlineStr">
        <is>
          <t>Yes</t>
        </is>
      </c>
      <c r="AX67" s="68" t="inlineStr">
        <is>
          <t>Add source-linked dosage and standardization fields</t>
        </is>
      </c>
      <c r="AY67" s="68" t="n">
        <v>1</v>
      </c>
      <c r="AZ67" s="68" t="n"/>
      <c r="BA67" s="68" t="n"/>
      <c r="BB67" s="68" t="inlineStr">
        <is>
          <t>Source review</t>
        </is>
      </c>
      <c r="BC67" s="68" t="inlineStr">
        <is>
          <t>Pending</t>
        </is>
      </c>
      <c r="BD67" s="68" t="n"/>
      <c r="BE67" s="68" t="inlineStr">
        <is>
          <t>2026-04-10</t>
        </is>
      </c>
      <c r="BF67" s="68" t="inlineStr">
        <is>
          <t>Metadata normalized from internal workbook links</t>
        </is>
      </c>
      <c r="BG67" s="68" t="inlineStr">
        <is>
          <t>ashoka-R1</t>
        </is>
      </c>
      <c r="BH67" s="68" t="n">
        <v>0</v>
      </c>
      <c r="BI67" t="inlineStr">
        <is>
          <t>ashoka</t>
        </is>
      </c>
      <c r="BJ67" t="inlineStr">
        <is>
          <t>Ashoka</t>
        </is>
      </c>
      <c r="BK67" t="n">
        <v>1</v>
      </c>
      <c r="BL67" t="n">
        <v>1</v>
      </c>
      <c r="BM67" t="n">
        <v>3</v>
      </c>
      <c r="BN67" t="n">
        <v>7</v>
      </c>
      <c r="BO67" t="n">
        <v>100</v>
      </c>
      <c r="BP67" t="n">
        <v>8</v>
      </c>
      <c r="BQ67" t="n">
        <v>10</v>
      </c>
      <c r="BR67" t="n">
        <v>5</v>
      </c>
      <c r="BS67" t="inlineStr">
        <is>
          <t>Tier 1</t>
        </is>
      </c>
      <c r="BT67" t="n">
        <v>5</v>
      </c>
      <c r="BU67" t="inlineStr">
        <is>
          <t>FALSE</t>
        </is>
      </c>
      <c r="BV67" t="inlineStr">
        <is>
          <t>ashoka</t>
        </is>
      </c>
      <c r="BW67" t="inlineStr">
        <is>
          <t>TRUE</t>
        </is>
      </c>
      <c r="BX67" t="inlineStr">
        <is>
          <t>Pass 10 refreshed scoring from 1 mapped compounds | Pass 13 rescored from 1 mapped compounds</t>
        </is>
      </c>
      <c r="BY67" t="inlineStr">
        <is>
          <t>unclassified</t>
        </is>
      </c>
      <c r="CA67" t="n">
        <v>2</v>
      </c>
      <c r="CB67" t="n">
        <v>0</v>
      </c>
      <c r="CC67" t="n">
        <v>0</v>
      </c>
      <c r="CD67" t="inlineStr">
        <is>
          <t>catechins (egcg); unclassified</t>
        </is>
      </c>
      <c r="CE67" t="inlineStr">
        <is>
          <t>Pass 13 rescored after herb-name normalization and real top-herb compound sweep</t>
        </is>
      </c>
      <c r="CF67" t="inlineStr">
        <is>
          <t>General</t>
        </is>
      </c>
      <c r="CH67" s="68" t="inlineStr">
        <is>
          <t>Start with low single-herb exposure and increase only if tolerated</t>
        </is>
      </c>
      <c r="CI67" s="68" t="inlineStr">
        <is>
          <t>Product-ideation framing only; not clinical dosing advice.</t>
        </is>
      </c>
      <c r="CJ67" s="68" t="str"/>
      <c r="CK67" s="68" t="str"/>
      <c r="CL67" s="68" t="inlineStr">
        <is>
          <t>Moderate</t>
        </is>
      </c>
      <c r="CM67" s="68" t="inlineStr">
        <is>
          <t>No</t>
        </is>
      </c>
      <c r="CN67" s="68" t="str"/>
      <c r="CO67" s="68" t="inlineStr">
        <is>
          <t>Pass 21 herb-level safety and dose framing</t>
        </is>
      </c>
      <c r="CP67" t="inlineStr">
        <is>
          <t>Baseline</t>
        </is>
      </c>
      <c r="CQ67" t="inlineStr">
        <is>
          <t>No</t>
        </is>
      </c>
      <c r="CS67" t="inlineStr">
        <is>
          <t>Pass 22 refined safety rule severity and reduced broad keyword over-flagging</t>
        </is>
      </c>
      <c r="CT67" t="inlineStr">
        <is>
          <t>General</t>
        </is>
      </c>
      <c r="CU67" t="inlineStr">
        <is>
          <t>traditional cycle support</t>
        </is>
      </c>
      <c r="CV67" t="inlineStr">
        <is>
          <t>Human</t>
        </is>
      </c>
      <c r="CW67" t="inlineStr">
        <is>
          <t>Pass 26 normalization: categories, mechanisms, evidence tiers</t>
        </is>
      </c>
      <c r="CX67" t="inlineStr">
        <is>
          <t>Limited human</t>
        </is>
      </c>
      <c r="CY67" t="inlineStr">
        <is>
          <t>Generally well tolerated.</t>
        </is>
      </c>
      <c r="CZ67" t="inlineStr">
        <is>
          <t>Avoid overextended reproductive-health claims</t>
        </is>
      </c>
      <c r="DB67" t="inlineStr">
        <is>
          <t>Pass 28 normalized evidence and safety-related free text</t>
        </is>
      </c>
      <c r="DD67" t="inlineStr">
        <is>
          <t>No standardized dose established; use conservative, product-dependent ranges.</t>
        </is>
      </c>
      <c r="DE67" t="inlineStr">
        <is>
          <t>Common forms include extracts, powders, or teas depending on herb part.</t>
        </is>
      </c>
      <c r="DF67" t="inlineStr">
        <is>
          <t>Quality varies by extraction method, standardization, and contamination risk.</t>
        </is>
      </c>
      <c r="DG67" t="inlineStr">
        <is>
          <t>Moderate to high</t>
        </is>
      </c>
      <c r="DH67" t="inlineStr">
        <is>
          <t>Pass 29 completeness repair</t>
        </is>
      </c>
      <c r="DI67" t="n">
        <v>9</v>
      </c>
      <c r="DJ67" t="inlineStr">
        <is>
          <t>General</t>
        </is>
      </c>
      <c r="DK67" t="inlineStr">
        <is>
          <t>catechins (egcg)</t>
        </is>
      </c>
      <c r="DL67" t="inlineStr">
        <is>
          <t>Agarikon; Ajwain; Angelica Root; Artichoke; Blue Lotus</t>
        </is>
      </c>
      <c r="DM67" t="inlineStr">
        <is>
          <t>Pass 31 relationship intelligence: density, cluster, anchor class, nearest herbs</t>
        </is>
      </c>
      <c r="DN67" t="inlineStr">
        <is>
          <t>Agarikon; Ajwain; Angelica Root; Artichoke; Blue Lotus</t>
        </is>
      </c>
      <c r="DO67" t="inlineStr">
        <is>
          <t>Agarikon (1 shared pathways) | Ajwain (1 shared pathways) | Angelica Root (1 shared pathways)</t>
        </is>
      </c>
      <c r="DP67" t="inlineStr">
        <is>
          <t>Generalist</t>
        </is>
      </c>
      <c r="DQ67" t="inlineStr">
        <is>
          <t>Pass 32 substitute engine + cluster cleanup</t>
        </is>
      </c>
      <c r="DR67" t="inlineStr">
        <is>
          <t>Agarikon</t>
        </is>
      </c>
      <c r="DS67" t="inlineStr">
        <is>
          <t>Ajwain</t>
        </is>
      </c>
      <c r="DT67" t="inlineStr">
        <is>
          <t>same cluster; lower safety burden; similarity-backed</t>
        </is>
      </c>
      <c r="DU67" t="inlineStr">
        <is>
          <t>Not needed</t>
        </is>
      </c>
      <c r="DV67" t="inlineStr">
        <is>
          <t>Pass 33 fallback replacement engine</t>
        </is>
      </c>
      <c r="DW67" t="inlineStr">
        <is>
          <t>Angelica Root</t>
        </is>
      </c>
      <c r="DX67" t="inlineStr">
        <is>
          <t>Agarikon; Ajwain; Angelica Root; Blue Lotus; Damiana; Artichoke; Rosemary; Sage</t>
        </is>
      </c>
      <c r="DY67" t="inlineStr">
        <is>
          <t>Pass 35 expanded fallback pool with second-pass candidate exploration</t>
        </is>
      </c>
      <c r="EA67" t="inlineStr">
        <is>
          <t>General</t>
        </is>
      </c>
      <c r="EB67" t="inlineStr">
        <is>
          <t>unclassified</t>
        </is>
      </c>
      <c r="EC67" t="inlineStr">
        <is>
          <t>Medium</t>
        </is>
      </c>
      <c r="ED67" t="inlineStr">
        <is>
          <t>Pass 40 reinforced weak-category herb data</t>
        </is>
      </c>
      <c r="EG67" t="n">
        <v>3</v>
      </c>
      <c r="EH67" t="n">
        <v>3</v>
      </c>
      <c r="EI67" t="n">
        <v>0</v>
      </c>
      <c r="EJ67" t="n">
        <v>0</v>
      </c>
      <c r="EK67" t="n">
        <v>11</v>
      </c>
      <c r="EL67" t="n">
        <v>7</v>
      </c>
      <c r="EM67" t="inlineStr">
        <is>
          <t>catechins</t>
        </is>
      </c>
      <c r="EN67" t="inlineStr">
        <is>
          <t>Pass 48 rolled compound scores into herb-level scoring</t>
        </is>
      </c>
    </row>
    <row r="68">
      <c r="A68" s="68" t="inlineStr">
        <is>
          <t>Shankhpushpi</t>
        </is>
      </c>
      <c r="B68" s="68" t="inlineStr">
        <is>
          <t>shankhpushpi</t>
        </is>
      </c>
      <c r="C68" s="68" t="inlineStr">
        <is>
          <t>Convolvulus pluricaulis</t>
        </is>
      </c>
      <c r="D68" s="68" t="inlineStr">
        <is>
          <t>herb</t>
        </is>
      </c>
      <c r="E68" s="68" t="inlineStr">
        <is>
          <t>whole herb</t>
        </is>
      </c>
      <c r="F68" s="68" t="inlineStr">
        <is>
          <t>aerial parts</t>
        </is>
      </c>
      <c r="G68" s="68" t="inlineStr">
        <is>
          <t>shankhpushpi</t>
        </is>
      </c>
      <c r="H68" s="68" t="inlineStr">
        <is>
          <t>India and South Asia</t>
        </is>
      </c>
      <c r="I68" s="68" t="inlineStr">
        <is>
          <t>Shankhpushpi is positioned for traditional cognitive and calming support.</t>
        </is>
      </c>
      <c r="J68" s="68" t="inlineStr">
        <is>
          <t>It is best framed as a traditional cognitive-support herb with limited modern clinical depth.</t>
        </is>
      </c>
      <c r="K68" s="68" t="inlineStr">
        <is>
          <t>convolvine</t>
        </is>
      </c>
      <c r="L68" s="68" t="inlineStr">
        <is>
          <t>convolvine</t>
        </is>
      </c>
      <c r="M68" s="68" t="inlineStr">
        <is>
          <t>Traditional use centers on calming and cognitive-support positioning.</t>
        </is>
      </c>
      <c r="N68" s="68" t="inlineStr">
        <is>
          <t>traditional cognitive support; calming support</t>
        </is>
      </c>
      <c r="O68" s="68" t="inlineStr">
        <is>
          <t>traditional use + limited human</t>
        </is>
      </c>
      <c r="P68" s="68" t="inlineStr">
        <is>
          <t>Generally well tolerated.</t>
        </is>
      </c>
      <c r="Q68" s="68" t="inlineStr">
        <is>
          <t>Avoid overstated nootropic claims.</t>
        </is>
      </c>
      <c r="R68" s="68" t="n"/>
      <c r="S68" s="68" t="n"/>
      <c r="T68" s="68" t="n"/>
      <c r="U68" s="68" t="n"/>
      <c r="V68" s="68" t="n"/>
      <c r="W68" s="68" t="inlineStr">
        <is>
          <t>Medium</t>
        </is>
      </c>
      <c r="X68" s="68" t="inlineStr">
        <is>
          <t>partial</t>
        </is>
      </c>
      <c r="Y68" s="68" t="inlineStr">
        <is>
          <t>Pass 125 curated expansion</t>
        </is>
      </c>
      <c r="Z68" s="68" t="inlineStr">
        <is>
          <t>present</t>
        </is>
      </c>
      <c r="AA68" s="68" t="inlineStr">
        <is>
          <t>Curated expansion</t>
        </is>
      </c>
      <c r="AB68" s="68" t="inlineStr">
        <is>
          <t>Pass 125 curated expansion</t>
        </is>
      </c>
      <c r="AC68" s="68" t="inlineStr">
        <is>
          <t>Pass 125 curated expansion</t>
        </is>
      </c>
      <c r="AD68" s="68" t="inlineStr">
        <is>
          <t>Pass 125 curated expansion</t>
        </is>
      </c>
      <c r="AE68" s="68" t="inlineStr">
        <is>
          <t>Pass 125 curated expansion</t>
        </is>
      </c>
      <c r="AF68" s="68" t="inlineStr">
        <is>
          <t>Added in Pass 125.</t>
        </is>
      </c>
      <c r="AG68" s="68" t="n">
        <v>2</v>
      </c>
      <c r="AH68" s="68" t="n">
        <v>2</v>
      </c>
      <c r="AI68" s="68" t="n">
        <v>1</v>
      </c>
      <c r="AJ68" s="68" t="n">
        <v>5</v>
      </c>
      <c r="AK68" s="68" t="inlineStr">
        <is>
          <t>Medium</t>
        </is>
      </c>
      <c r="AL68" s="68" t="inlineStr">
        <is>
          <t>Missing</t>
        </is>
      </c>
      <c r="AM68" s="68" t="inlineStr">
        <is>
          <t>Curated expansion</t>
        </is>
      </c>
      <c r="AN68" s="68" t="n">
        <v>0.55</v>
      </c>
      <c r="AO68" s="68" t="inlineStr">
        <is>
          <t>Needs work</t>
        </is>
      </c>
      <c r="AP68" s="68" t="inlineStr">
        <is>
          <t>Research</t>
        </is>
      </c>
      <c r="AQ68" s="68" t="n"/>
      <c r="AR68" s="68" t="inlineStr">
        <is>
          <t>Source review</t>
        </is>
      </c>
      <c r="AS68" s="68" t="inlineStr">
        <is>
          <t>Not started</t>
        </is>
      </c>
      <c r="AT68" s="68" t="inlineStr">
        <is>
          <t>No</t>
        </is>
      </c>
      <c r="AU68" s="68" t="inlineStr">
        <is>
          <t>No</t>
        </is>
      </c>
      <c r="AV68" s="68" t="inlineStr">
        <is>
          <t>No</t>
        </is>
      </c>
      <c r="AW68" s="68" t="inlineStr">
        <is>
          <t>Yes</t>
        </is>
      </c>
      <c r="AX68" s="68" t="inlineStr">
        <is>
          <t>Add source-linked dosage and standardization fields</t>
        </is>
      </c>
      <c r="AY68" s="68" t="n">
        <v>1</v>
      </c>
      <c r="AZ68" s="68" t="n"/>
      <c r="BA68" s="68" t="n"/>
      <c r="BB68" s="68" t="inlineStr">
        <is>
          <t>Source review</t>
        </is>
      </c>
      <c r="BC68" s="68" t="inlineStr">
        <is>
          <t>Pending</t>
        </is>
      </c>
      <c r="BD68" s="68" t="n"/>
      <c r="BE68" s="68" t="inlineStr">
        <is>
          <t>2026-04-10</t>
        </is>
      </c>
      <c r="BF68" s="68" t="inlineStr">
        <is>
          <t>Metadata normalized from internal workbook links</t>
        </is>
      </c>
      <c r="BG68" s="68" t="inlineStr">
        <is>
          <t>shankhpushpi-R1</t>
        </is>
      </c>
      <c r="BH68" s="68" t="n">
        <v>0</v>
      </c>
      <c r="BI68" t="inlineStr">
        <is>
          <t>shankhpushpi</t>
        </is>
      </c>
      <c r="BJ68" t="inlineStr">
        <is>
          <t>Shankhpushpi</t>
        </is>
      </c>
      <c r="BK68" t="n">
        <v>1</v>
      </c>
      <c r="BL68" t="n">
        <v>1</v>
      </c>
      <c r="BM68" t="n">
        <v>3</v>
      </c>
      <c r="BN68" t="n">
        <v>7</v>
      </c>
      <c r="BO68" t="n">
        <v>100</v>
      </c>
      <c r="BP68" t="n">
        <v>8</v>
      </c>
      <c r="BQ68" t="n">
        <v>10</v>
      </c>
      <c r="BR68" t="n">
        <v>5</v>
      </c>
      <c r="BS68" t="inlineStr">
        <is>
          <t>Tier 1</t>
        </is>
      </c>
      <c r="BT68" t="n">
        <v>5</v>
      </c>
      <c r="BU68" t="inlineStr">
        <is>
          <t>FALSE</t>
        </is>
      </c>
      <c r="BV68" t="inlineStr">
        <is>
          <t>shankhpushpi</t>
        </is>
      </c>
      <c r="BW68" t="inlineStr">
        <is>
          <t>TRUE</t>
        </is>
      </c>
      <c r="BX68" t="inlineStr">
        <is>
          <t>Pass 10 refreshed scoring from 1 mapped compounds | Pass 13 rescored from 1 mapped compounds</t>
        </is>
      </c>
      <c r="BY68" t="inlineStr">
        <is>
          <t>unclassified</t>
        </is>
      </c>
      <c r="CA68" t="n">
        <v>2</v>
      </c>
      <c r="CB68" t="n">
        <v>0</v>
      </c>
      <c r="CC68" t="n">
        <v>0</v>
      </c>
      <c r="CD68" t="inlineStr">
        <is>
          <t>convolvine; unclassified</t>
        </is>
      </c>
      <c r="CE68" t="inlineStr">
        <is>
          <t>Pass 13 rescored after herb-name normalization and real top-herb compound sweep</t>
        </is>
      </c>
      <c r="CF68" t="inlineStr">
        <is>
          <t>General</t>
        </is>
      </c>
      <c r="CH68" s="68" t="inlineStr">
        <is>
          <t>Start with low single-herb exposure and increase only if tolerated</t>
        </is>
      </c>
      <c r="CI68" s="68" t="inlineStr">
        <is>
          <t>Product-ideation framing only; not clinical dosing advice.</t>
        </is>
      </c>
      <c r="CJ68" s="68" t="str"/>
      <c r="CK68" s="68" t="str"/>
      <c r="CL68" s="68" t="inlineStr">
        <is>
          <t>Moderate</t>
        </is>
      </c>
      <c r="CM68" s="68" t="inlineStr">
        <is>
          <t>No</t>
        </is>
      </c>
      <c r="CN68" s="68" t="str"/>
      <c r="CO68" s="68" t="inlineStr">
        <is>
          <t>Pass 21 herb-level safety and dose framing</t>
        </is>
      </c>
      <c r="CP68" t="inlineStr">
        <is>
          <t>Baseline</t>
        </is>
      </c>
      <c r="CQ68" t="inlineStr">
        <is>
          <t>No</t>
        </is>
      </c>
      <c r="CS68" t="inlineStr">
        <is>
          <t>Pass 22 refined safety rule severity and reduced broad keyword over-flagging</t>
        </is>
      </c>
      <c r="CT68" t="inlineStr">
        <is>
          <t>Focus</t>
        </is>
      </c>
      <c r="CU68" t="inlineStr">
        <is>
          <t>calming support; traditional cognitive support</t>
        </is>
      </c>
      <c r="CV68" t="inlineStr">
        <is>
          <t>Human</t>
        </is>
      </c>
      <c r="CW68" t="inlineStr">
        <is>
          <t>Pass 26 normalization: categories, mechanisms, evidence tiers</t>
        </is>
      </c>
      <c r="CX68" t="inlineStr">
        <is>
          <t>Limited human</t>
        </is>
      </c>
      <c r="CY68" t="inlineStr">
        <is>
          <t>Generally well tolerated.</t>
        </is>
      </c>
      <c r="CZ68" t="inlineStr">
        <is>
          <t>Avoid overstated nootropic claims</t>
        </is>
      </c>
      <c r="DB68" t="inlineStr">
        <is>
          <t>Pass 28 normalized evidence and safety-related free text</t>
        </is>
      </c>
      <c r="DD68" t="inlineStr">
        <is>
          <t>No standardized dose established; use conservative, product-dependent ranges.</t>
        </is>
      </c>
      <c r="DE68" t="inlineStr">
        <is>
          <t>Common forms include extracts, powders, or teas depending on herb part.</t>
        </is>
      </c>
      <c r="DF68" t="inlineStr">
        <is>
          <t>Quality varies by extraction method, standardization, and contamination risk.</t>
        </is>
      </c>
      <c r="DG68" t="inlineStr">
        <is>
          <t>Moderate to high</t>
        </is>
      </c>
      <c r="DH68" t="inlineStr">
        <is>
          <t>Pass 29 completeness repair</t>
        </is>
      </c>
      <c r="DI68" t="n">
        <v>9</v>
      </c>
      <c r="DJ68" t="inlineStr">
        <is>
          <t>Neurocognitive</t>
        </is>
      </c>
      <c r="DK68" t="inlineStr">
        <is>
          <t>convolvine</t>
        </is>
      </c>
      <c r="DL68" t="inlineStr">
        <is>
          <t>Polygala; Agarikon; Ajwain; Angelica Root; Artichoke</t>
        </is>
      </c>
      <c r="DM68" t="inlineStr">
        <is>
          <t>Pass 31 relationship intelligence: density, cluster, anchor class, nearest herbs</t>
        </is>
      </c>
      <c r="DP68" t="inlineStr">
        <is>
          <t>Neuro / Cognitive</t>
        </is>
      </c>
      <c r="DQ68" t="inlineStr">
        <is>
          <t>Pass 32 substitute engine + cluster cleanup</t>
        </is>
      </c>
      <c r="DT68" t="inlineStr">
        <is>
          <t>no strong safe fallback found</t>
        </is>
      </c>
      <c r="DU68" t="inlineStr">
        <is>
          <t>Not needed</t>
        </is>
      </c>
      <c r="DV68" t="inlineStr">
        <is>
          <t>Pass 33 fallback replacement engine</t>
        </is>
      </c>
      <c r="DY68" t="inlineStr">
        <is>
          <t>Pass 35 expanded fallback pool with second-pass candidate exploration</t>
        </is>
      </c>
      <c r="EG68" t="n">
        <v>3</v>
      </c>
      <c r="EH68" t="n">
        <v>3</v>
      </c>
      <c r="EI68" t="n">
        <v>0</v>
      </c>
      <c r="EJ68" t="n">
        <v>0</v>
      </c>
      <c r="EK68" t="n">
        <v>11</v>
      </c>
      <c r="EL68" t="n">
        <v>7</v>
      </c>
      <c r="EM68" t="inlineStr">
        <is>
          <t>convolvine</t>
        </is>
      </c>
      <c r="EN68" t="inlineStr">
        <is>
          <t>Pass 48 rolled compound scores into herb-level scoring</t>
        </is>
      </c>
    </row>
    <row r="69">
      <c r="A69" s="68" t="inlineStr">
        <is>
          <t>Hops</t>
        </is>
      </c>
      <c r="B69" s="68" t="inlineStr">
        <is>
          <t>hops</t>
        </is>
      </c>
      <c r="C69" s="68" t="inlineStr">
        <is>
          <t>Humulus lupulus</t>
        </is>
      </c>
      <c r="D69" s="68" t="inlineStr">
        <is>
          <t>herb</t>
        </is>
      </c>
      <c r="E69" s="68" t="inlineStr">
        <is>
          <t>strobile</t>
        </is>
      </c>
      <c r="F69" s="68" t="inlineStr">
        <is>
          <t>female cones</t>
        </is>
      </c>
      <c r="G69" s="68" t="inlineStr">
        <is>
          <t>hops</t>
        </is>
      </c>
      <c r="H69" s="68" t="inlineStr">
        <is>
          <t>Europe, Asia, North America</t>
        </is>
      </c>
      <c r="I69" s="68" t="inlineStr">
        <is>
          <t>Hops is positioned for calming and sleep-support use.</t>
        </is>
      </c>
      <c r="J69" s="68" t="inlineStr">
        <is>
          <t>It is best framed around bitter-resin and prenylflavonoid chemistry with modest selected human evidence.</t>
        </is>
      </c>
      <c r="K69" s="68" t="inlineStr">
        <is>
          <t>humulone; xanthohumol</t>
        </is>
      </c>
      <c r="L69" s="68" t="inlineStr">
        <is>
          <t>humulone</t>
        </is>
      </c>
      <c r="M69" s="68" t="inlineStr">
        <is>
          <t>Bitter acids and prenylflavonoids support calming and anti-inflammatory positioning.</t>
        </is>
      </c>
      <c r="N69" s="68" t="inlineStr">
        <is>
          <t>calming support; sleep support</t>
        </is>
      </c>
      <c r="O69" s="68" t="inlineStr">
        <is>
          <t>mixed human + preclinical</t>
        </is>
      </c>
      <c r="P69" s="68" t="inlineStr">
        <is>
          <t>Generally well tolerated.</t>
        </is>
      </c>
      <c r="Q69" s="68" t="inlineStr">
        <is>
          <t>Use caution with sedative stacking.</t>
        </is>
      </c>
      <c r="R69" s="68" t="n"/>
      <c r="S69" s="68" t="n"/>
      <c r="T69" s="68" t="n"/>
      <c r="U69" s="68" t="n"/>
      <c r="V69" s="68" t="n"/>
      <c r="W69" s="68" t="inlineStr">
        <is>
          <t>Medium</t>
        </is>
      </c>
      <c r="X69" s="68" t="inlineStr">
        <is>
          <t>validated</t>
        </is>
      </c>
      <c r="Y69" s="68" t="inlineStr">
        <is>
          <t>Pass 125 curated expansion</t>
        </is>
      </c>
      <c r="Z69" s="68" t="inlineStr">
        <is>
          <t>present</t>
        </is>
      </c>
      <c r="AA69" s="68" t="inlineStr">
        <is>
          <t>Curated expansion</t>
        </is>
      </c>
      <c r="AB69" s="68" t="inlineStr">
        <is>
          <t>Pass 125 curated expansion</t>
        </is>
      </c>
      <c r="AC69" s="68" t="inlineStr">
        <is>
          <t>Pass 125 curated expansion</t>
        </is>
      </c>
      <c r="AD69" s="68" t="inlineStr">
        <is>
          <t>Pass 125 curated expansion</t>
        </is>
      </c>
      <c r="AE69" s="68" t="inlineStr">
        <is>
          <t>Pass 125 curated expansion</t>
        </is>
      </c>
      <c r="AF69" s="68" t="inlineStr">
        <is>
          <t>Added in Pass 125.</t>
        </is>
      </c>
      <c r="AG69" s="68" t="n">
        <v>2</v>
      </c>
      <c r="AH69" s="68" t="n">
        <v>2</v>
      </c>
      <c r="AI69" s="68" t="n">
        <v>1</v>
      </c>
      <c r="AJ69" s="68" t="n">
        <v>5</v>
      </c>
      <c r="AK69" s="68" t="inlineStr">
        <is>
          <t>Medium</t>
        </is>
      </c>
      <c r="AL69" s="68" t="inlineStr">
        <is>
          <t>Missing</t>
        </is>
      </c>
      <c r="AM69" s="68" t="inlineStr">
        <is>
          <t>Curated expansion</t>
        </is>
      </c>
      <c r="AN69" s="68" t="n">
        <v>0.55</v>
      </c>
      <c r="AO69" s="68" t="inlineStr">
        <is>
          <t>Needs work</t>
        </is>
      </c>
      <c r="AP69" s="68" t="inlineStr">
        <is>
          <t>Research</t>
        </is>
      </c>
      <c r="AQ69" s="68" t="n"/>
      <c r="AR69" s="68" t="inlineStr">
        <is>
          <t>Source review</t>
        </is>
      </c>
      <c r="AS69" s="68" t="inlineStr">
        <is>
          <t>Not started</t>
        </is>
      </c>
      <c r="AT69" s="68" t="inlineStr">
        <is>
          <t>No</t>
        </is>
      </c>
      <c r="AU69" s="68" t="inlineStr">
        <is>
          <t>No</t>
        </is>
      </c>
      <c r="AV69" s="68" t="inlineStr">
        <is>
          <t>No</t>
        </is>
      </c>
      <c r="AW69" s="68" t="inlineStr">
        <is>
          <t>Yes</t>
        </is>
      </c>
      <c r="AX69" s="68" t="inlineStr">
        <is>
          <t>Add source-linked dosage and standardization fields</t>
        </is>
      </c>
      <c r="AY69" s="68" t="n">
        <v>1</v>
      </c>
      <c r="AZ69" s="68" t="n"/>
      <c r="BA69" s="68" t="n"/>
      <c r="BB69" s="68" t="inlineStr">
        <is>
          <t>Source review</t>
        </is>
      </c>
      <c r="BC69" s="68" t="inlineStr">
        <is>
          <t>Pending</t>
        </is>
      </c>
      <c r="BD69" s="68" t="n"/>
      <c r="BE69" s="68" t="inlineStr">
        <is>
          <t>2026-04-10</t>
        </is>
      </c>
      <c r="BF69" s="68" t="inlineStr">
        <is>
          <t>Metadata normalized from internal workbook links</t>
        </is>
      </c>
      <c r="BG69" s="68" t="inlineStr">
        <is>
          <t>hops-R1</t>
        </is>
      </c>
      <c r="BH69" s="68" t="n">
        <v>0</v>
      </c>
      <c r="BI69" t="inlineStr">
        <is>
          <t>hops</t>
        </is>
      </c>
      <c r="BJ69" t="inlineStr">
        <is>
          <t>Hops</t>
        </is>
      </c>
      <c r="BK69" t="n">
        <v>1</v>
      </c>
      <c r="BL69" t="n">
        <v>1</v>
      </c>
      <c r="BM69" t="n">
        <v>3</v>
      </c>
      <c r="BN69" t="n">
        <v>7</v>
      </c>
      <c r="BO69" t="n">
        <v>100</v>
      </c>
      <c r="BP69" t="n">
        <v>8</v>
      </c>
      <c r="BQ69" t="n">
        <v>10</v>
      </c>
      <c r="BR69" t="n">
        <v>5</v>
      </c>
      <c r="BS69" t="inlineStr">
        <is>
          <t>Tier 1</t>
        </is>
      </c>
      <c r="BT69" t="n">
        <v>5</v>
      </c>
      <c r="BU69" t="inlineStr">
        <is>
          <t>FALSE</t>
        </is>
      </c>
      <c r="BV69" t="inlineStr">
        <is>
          <t>hops</t>
        </is>
      </c>
      <c r="BW69" t="inlineStr">
        <is>
          <t>TRUE</t>
        </is>
      </c>
      <c r="BX69" t="inlineStr">
        <is>
          <t>Pass 10 refreshed scoring from 1 mapped compounds | Pass 13 rescored from 1 mapped compounds</t>
        </is>
      </c>
      <c r="BY69" t="inlineStr">
        <is>
          <t>unclassified</t>
        </is>
      </c>
      <c r="CA69" t="n">
        <v>2</v>
      </c>
      <c r="CB69" t="n">
        <v>0</v>
      </c>
      <c r="CC69" t="n">
        <v>0</v>
      </c>
      <c r="CD69" t="inlineStr">
        <is>
          <t>humulone; unclassified</t>
        </is>
      </c>
      <c r="CE69" t="inlineStr">
        <is>
          <t>Pass 13 rescored after herb-name normalization and real top-herb compound sweep</t>
        </is>
      </c>
      <c r="CF69" t="inlineStr">
        <is>
          <t>General</t>
        </is>
      </c>
      <c r="CH69" s="68" t="inlineStr">
        <is>
          <t>Start low; usually evening or split use</t>
        </is>
      </c>
      <c r="CI69" s="68" t="inlineStr">
        <is>
          <t>Prefer evening or split dosing; avoid stacking with other sedative-heavy products by default.</t>
        </is>
      </c>
      <c r="CJ69" s="68" t="inlineStr">
        <is>
          <t>sedation-cns</t>
        </is>
      </c>
      <c r="CK69" s="68" t="str"/>
      <c r="CL69" s="68" t="inlineStr">
        <is>
          <t>Baseline</t>
        </is>
      </c>
      <c r="CM69" s="68" t="inlineStr">
        <is>
          <t>No</t>
        </is>
      </c>
      <c r="CN69" s="68" t="str"/>
      <c r="CO69" s="68" t="inlineStr">
        <is>
          <t>Pass 21 herb-level safety and dose framing</t>
        </is>
      </c>
      <c r="CP69" t="inlineStr">
        <is>
          <t>Baseline</t>
        </is>
      </c>
      <c r="CQ69" t="inlineStr">
        <is>
          <t>No</t>
        </is>
      </c>
      <c r="CS69" t="inlineStr">
        <is>
          <t>Pass 22 refined safety rule severity and reduced broad keyword over-flagging</t>
        </is>
      </c>
      <c r="CT69" t="inlineStr">
        <is>
          <t>General</t>
        </is>
      </c>
      <c r="CU69" t="inlineStr">
        <is>
          <t>calming support; sleep support</t>
        </is>
      </c>
      <c r="CV69" t="inlineStr">
        <is>
          <t>Human</t>
        </is>
      </c>
      <c r="CW69" t="inlineStr">
        <is>
          <t>Pass 26 normalization: categories, mechanisms, evidence tiers</t>
        </is>
      </c>
      <c r="CX69" t="inlineStr">
        <is>
          <t>Human + preclinical</t>
        </is>
      </c>
      <c r="CY69" t="inlineStr">
        <is>
          <t>Generally well tolerated.</t>
        </is>
      </c>
      <c r="CZ69" t="inlineStr">
        <is>
          <t>Use caution with sedative stacking</t>
        </is>
      </c>
      <c r="DB69" t="inlineStr">
        <is>
          <t>Pass 28 normalized evidence and safety-related free text</t>
        </is>
      </c>
      <c r="DD69" t="inlineStr">
        <is>
          <t>No standardized dose established; use conservative, product-dependent ranges.</t>
        </is>
      </c>
      <c r="DE69" t="inlineStr">
        <is>
          <t>Common forms include extracts, powders, or teas depending on herb part.</t>
        </is>
      </c>
      <c r="DF69" t="inlineStr">
        <is>
          <t>Quality varies by extraction method, standardization, and contamination risk.</t>
        </is>
      </c>
      <c r="DG69" t="inlineStr">
        <is>
          <t>Moderate to high</t>
        </is>
      </c>
      <c r="DH69" t="inlineStr">
        <is>
          <t>Pass 29 completeness repair</t>
        </is>
      </c>
      <c r="DI69" t="n">
        <v>9</v>
      </c>
      <c r="DJ69" t="inlineStr">
        <is>
          <t>General</t>
        </is>
      </c>
      <c r="DK69" t="inlineStr">
        <is>
          <t>humulone</t>
        </is>
      </c>
      <c r="DL69" t="inlineStr">
        <is>
          <t>Agarikon; Ajwain; Angelica Root; Artichoke; Ashoka</t>
        </is>
      </c>
      <c r="DM69" t="inlineStr">
        <is>
          <t>Pass 31 relationship intelligence: density, cluster, anchor class, nearest herbs</t>
        </is>
      </c>
      <c r="DN69" t="inlineStr">
        <is>
          <t>Agarikon; Ajwain; Angelica Root; Artichoke; Ashoka</t>
        </is>
      </c>
      <c r="DO69" t="inlineStr">
        <is>
          <t>Agarikon (1 shared pathways) | Ajwain (1 shared pathways) | Angelica Root (1 shared pathways)</t>
        </is>
      </c>
      <c r="DP69" t="inlineStr">
        <is>
          <t>Generalist</t>
        </is>
      </c>
      <c r="DQ69" t="inlineStr">
        <is>
          <t>Pass 32 substitute engine + cluster cleanup</t>
        </is>
      </c>
      <c r="DR69" t="inlineStr">
        <is>
          <t>Agarikon</t>
        </is>
      </c>
      <c r="DS69" t="inlineStr">
        <is>
          <t>Ajwain</t>
        </is>
      </c>
      <c r="DT69" t="inlineStr">
        <is>
          <t>same cluster; lower safety burden; similarity-backed</t>
        </is>
      </c>
      <c r="DU69" t="inlineStr">
        <is>
          <t>Not needed</t>
        </is>
      </c>
      <c r="DV69" t="inlineStr">
        <is>
          <t>Pass 33 fallback replacement engine</t>
        </is>
      </c>
      <c r="DW69" t="inlineStr">
        <is>
          <t>Angelica Root</t>
        </is>
      </c>
      <c r="DX69" t="inlineStr">
        <is>
          <t>Agarikon; Ajwain; Angelica Root; Ashoka; Blue Lotus; Artichoke; Rosemary; Sage</t>
        </is>
      </c>
      <c r="DY69" t="inlineStr">
        <is>
          <t>Pass 35 expanded fallback pool with second-pass candidate exploration</t>
        </is>
      </c>
      <c r="EA69" t="inlineStr">
        <is>
          <t>General</t>
        </is>
      </c>
      <c r="EB69" t="inlineStr">
        <is>
          <t>unclassified</t>
        </is>
      </c>
      <c r="EC69" t="inlineStr">
        <is>
          <t>Medium</t>
        </is>
      </c>
      <c r="ED69" t="inlineStr">
        <is>
          <t>Pass 40 reinforced weak-category herb data</t>
        </is>
      </c>
      <c r="EG69" t="n">
        <v>3</v>
      </c>
      <c r="EH69" t="n">
        <v>3</v>
      </c>
      <c r="EI69" t="n">
        <v>0</v>
      </c>
      <c r="EJ69" t="n">
        <v>0</v>
      </c>
      <c r="EK69" t="n">
        <v>11</v>
      </c>
      <c r="EL69" t="n">
        <v>7</v>
      </c>
      <c r="EM69" t="inlineStr">
        <is>
          <t>humulone</t>
        </is>
      </c>
      <c r="EN69" t="inlineStr">
        <is>
          <t>Pass 48 rolled compound scores into herb-level scoring</t>
        </is>
      </c>
    </row>
    <row r="70">
      <c r="A70" s="68" t="inlineStr">
        <is>
          <t>Lemongrass</t>
        </is>
      </c>
      <c r="B70" s="68" t="inlineStr">
        <is>
          <t>lemongrass</t>
        </is>
      </c>
      <c r="C70" s="68" t="inlineStr">
        <is>
          <t>Cymbopogon citratus</t>
        </is>
      </c>
      <c r="D70" s="68" t="inlineStr">
        <is>
          <t>herb</t>
        </is>
      </c>
      <c r="E70" s="68" t="inlineStr">
        <is>
          <t>leaf</t>
        </is>
      </c>
      <c r="F70" s="68" t="inlineStr">
        <is>
          <t>leaf</t>
        </is>
      </c>
      <c r="G70" s="68" t="inlineStr">
        <is>
          <t>lemongrass</t>
        </is>
      </c>
      <c r="H70" s="68" t="inlineStr">
        <is>
          <t>Tropical Asia; cultivated globally</t>
        </is>
      </c>
      <c r="I70" s="68" t="inlineStr">
        <is>
          <t>Lemongrass is positioned for digestive, calming, and aromatic support.</t>
        </is>
      </c>
      <c r="J70" s="68" t="inlineStr">
        <is>
          <t>It is best framed as an aromatic culinary-medicinal grass with modest clinical depth.</t>
        </is>
      </c>
      <c r="K70" s="68" t="inlineStr">
        <is>
          <t>citral; citronellal</t>
        </is>
      </c>
      <c r="L70" s="68" t="inlineStr">
        <is>
          <t>citral</t>
        </is>
      </c>
      <c r="M70" s="68" t="inlineStr">
        <is>
          <t>Volatile constituents support digestive and calming aromatic positioning.</t>
        </is>
      </c>
      <c r="N70" s="68" t="inlineStr">
        <is>
          <t>digestive support; calming support; aromatic support</t>
        </is>
      </c>
      <c r="O70" s="68" t="inlineStr">
        <is>
          <t>traditional use + mixed human</t>
        </is>
      </c>
      <c r="P70" s="68" t="inlineStr">
        <is>
          <t>Generally well tolerated.</t>
        </is>
      </c>
      <c r="Q70" s="68" t="inlineStr">
        <is>
          <t>Use caution with concentrated oil assumptions.</t>
        </is>
      </c>
      <c r="R70" s="68" t="n"/>
      <c r="S70" s="68" t="n"/>
      <c r="T70" s="68" t="n"/>
      <c r="U70" s="68" t="n"/>
      <c r="V70" s="68" t="n"/>
      <c r="W70" s="68" t="inlineStr">
        <is>
          <t>Medium</t>
        </is>
      </c>
      <c r="X70" s="68" t="inlineStr">
        <is>
          <t>validated</t>
        </is>
      </c>
      <c r="Y70" s="68" t="inlineStr">
        <is>
          <t>Pass 125 curated expansion</t>
        </is>
      </c>
      <c r="Z70" s="68" t="inlineStr">
        <is>
          <t>present</t>
        </is>
      </c>
      <c r="AA70" s="68" t="inlineStr">
        <is>
          <t>Curated expansion</t>
        </is>
      </c>
      <c r="AB70" s="68" t="inlineStr">
        <is>
          <t>Pass 125 curated expansion</t>
        </is>
      </c>
      <c r="AC70" s="68" t="inlineStr">
        <is>
          <t>Pass 125 curated expansion</t>
        </is>
      </c>
      <c r="AD70" s="68" t="inlineStr">
        <is>
          <t>Pass 125 curated expansion</t>
        </is>
      </c>
      <c r="AE70" s="68" t="inlineStr">
        <is>
          <t>Pass 125 curated expansion</t>
        </is>
      </c>
      <c r="AF70" s="68" t="inlineStr">
        <is>
          <t>Added in Pass 125.</t>
        </is>
      </c>
      <c r="AG70" s="68" t="n">
        <v>2</v>
      </c>
      <c r="AH70" s="68" t="n">
        <v>2</v>
      </c>
      <c r="AI70" s="68" t="n">
        <v>1</v>
      </c>
      <c r="AJ70" s="68" t="n">
        <v>5</v>
      </c>
      <c r="AK70" s="68" t="inlineStr">
        <is>
          <t>Medium</t>
        </is>
      </c>
      <c r="AL70" s="68" t="inlineStr">
        <is>
          <t>Missing</t>
        </is>
      </c>
      <c r="AM70" s="68" t="inlineStr">
        <is>
          <t>Curated expansion</t>
        </is>
      </c>
      <c r="AN70" s="68" t="n">
        <v>0.55</v>
      </c>
      <c r="AO70" s="68" t="inlineStr">
        <is>
          <t>Needs work</t>
        </is>
      </c>
      <c r="AP70" s="68" t="inlineStr">
        <is>
          <t>Research</t>
        </is>
      </c>
      <c r="AQ70" s="68" t="n"/>
      <c r="AR70" s="68" t="inlineStr">
        <is>
          <t>Source review</t>
        </is>
      </c>
      <c r="AS70" s="68" t="inlineStr">
        <is>
          <t>Not started</t>
        </is>
      </c>
      <c r="AT70" s="68" t="inlineStr">
        <is>
          <t>No</t>
        </is>
      </c>
      <c r="AU70" s="68" t="inlineStr">
        <is>
          <t>No</t>
        </is>
      </c>
      <c r="AV70" s="68" t="inlineStr">
        <is>
          <t>No</t>
        </is>
      </c>
      <c r="AW70" s="68" t="inlineStr">
        <is>
          <t>Yes</t>
        </is>
      </c>
      <c r="AX70" s="68" t="inlineStr">
        <is>
          <t>Add source-linked dosage and standardization fields</t>
        </is>
      </c>
      <c r="AY70" s="68" t="n">
        <v>1</v>
      </c>
      <c r="AZ70" s="68" t="n"/>
      <c r="BA70" s="68" t="n"/>
      <c r="BB70" s="68" t="inlineStr">
        <is>
          <t>Source review</t>
        </is>
      </c>
      <c r="BC70" s="68" t="inlineStr">
        <is>
          <t>Pending</t>
        </is>
      </c>
      <c r="BD70" s="68" t="n"/>
      <c r="BE70" s="68" t="inlineStr">
        <is>
          <t>2026-04-10</t>
        </is>
      </c>
      <c r="BF70" s="68" t="inlineStr">
        <is>
          <t>Metadata normalized from internal workbook links</t>
        </is>
      </c>
      <c r="BG70" s="68" t="inlineStr">
        <is>
          <t>lemongrass-R1</t>
        </is>
      </c>
      <c r="BH70" s="68" t="n">
        <v>0</v>
      </c>
      <c r="BI70" t="inlineStr">
        <is>
          <t>lemongrass</t>
        </is>
      </c>
      <c r="BJ70" t="inlineStr">
        <is>
          <t>Lemongrass</t>
        </is>
      </c>
      <c r="BK70" t="n">
        <v>1</v>
      </c>
      <c r="BL70" t="n">
        <v>1</v>
      </c>
      <c r="BM70" t="n">
        <v>3</v>
      </c>
      <c r="BN70" t="n">
        <v>7</v>
      </c>
      <c r="BO70" t="n">
        <v>100</v>
      </c>
      <c r="BP70" t="n">
        <v>8</v>
      </c>
      <c r="BQ70" t="n">
        <v>10</v>
      </c>
      <c r="BR70" t="n">
        <v>5</v>
      </c>
      <c r="BS70" t="inlineStr">
        <is>
          <t>Tier 1</t>
        </is>
      </c>
      <c r="BT70" t="n">
        <v>5</v>
      </c>
      <c r="BU70" t="inlineStr">
        <is>
          <t>FALSE</t>
        </is>
      </c>
      <c r="BV70" t="inlineStr">
        <is>
          <t>lemongrass</t>
        </is>
      </c>
      <c r="BW70" t="inlineStr">
        <is>
          <t>TRUE</t>
        </is>
      </c>
      <c r="BX70" t="inlineStr">
        <is>
          <t>Pass 10 refreshed scoring from 1 mapped compounds | Pass 13 rescored from 1 mapped compounds</t>
        </is>
      </c>
      <c r="BY70" t="inlineStr">
        <is>
          <t>unclassified</t>
        </is>
      </c>
      <c r="CA70" t="n">
        <v>2</v>
      </c>
      <c r="CB70" t="n">
        <v>0</v>
      </c>
      <c r="CC70" t="n">
        <v>0</v>
      </c>
      <c r="CD70" t="inlineStr">
        <is>
          <t>citral; unclassified</t>
        </is>
      </c>
      <c r="CE70" t="inlineStr">
        <is>
          <t>Pass 13 rescored after herb-name normalization and real top-herb compound sweep</t>
        </is>
      </c>
      <c r="CF70" t="inlineStr">
        <is>
          <t>General</t>
        </is>
      </c>
      <c r="CH70" s="68" t="inlineStr">
        <is>
          <t>Start with low single-herb exposure and increase only if tolerated</t>
        </is>
      </c>
      <c r="CI70" s="68" t="inlineStr">
        <is>
          <t>Product-ideation framing only; not clinical dosing advice.</t>
        </is>
      </c>
      <c r="CJ70" s="68" t="str"/>
      <c r="CK70" s="68" t="str"/>
      <c r="CL70" s="68" t="inlineStr">
        <is>
          <t>Baseline</t>
        </is>
      </c>
      <c r="CM70" s="68" t="inlineStr">
        <is>
          <t>No</t>
        </is>
      </c>
      <c r="CN70" s="68" t="str"/>
      <c r="CO70" s="68" t="inlineStr">
        <is>
          <t>Pass 21 herb-level safety and dose framing</t>
        </is>
      </c>
      <c r="CP70" t="inlineStr">
        <is>
          <t>Baseline</t>
        </is>
      </c>
      <c r="CQ70" t="inlineStr">
        <is>
          <t>No</t>
        </is>
      </c>
      <c r="CS70" t="inlineStr">
        <is>
          <t>Pass 22 refined safety rule severity and reduced broad keyword over-flagging</t>
        </is>
      </c>
      <c r="CT70" t="inlineStr">
        <is>
          <t>General</t>
        </is>
      </c>
      <c r="CU70" t="inlineStr">
        <is>
          <t>aromatic support; calming support; digestive support</t>
        </is>
      </c>
      <c r="CV70" t="inlineStr">
        <is>
          <t>Human</t>
        </is>
      </c>
      <c r="CW70" t="inlineStr">
        <is>
          <t>Pass 26 normalization: categories, mechanisms, evidence tiers</t>
        </is>
      </c>
      <c r="CX70" t="inlineStr">
        <is>
          <t>Limited human</t>
        </is>
      </c>
      <c r="CY70" t="inlineStr">
        <is>
          <t>Generally well tolerated.</t>
        </is>
      </c>
      <c r="CZ70" t="inlineStr">
        <is>
          <t>Use caution with concentrated oil assumptions</t>
        </is>
      </c>
      <c r="DB70" t="inlineStr">
        <is>
          <t>Pass 28 normalized evidence and safety-related free text</t>
        </is>
      </c>
      <c r="DD70" t="inlineStr">
        <is>
          <t>No standardized dose established; use conservative, product-dependent ranges.</t>
        </is>
      </c>
      <c r="DE70" t="inlineStr">
        <is>
          <t>Common forms include extracts, powders, or teas depending on herb part.</t>
        </is>
      </c>
      <c r="DF70" t="inlineStr">
        <is>
          <t>Quality varies by extraction method, standardization, and contamination risk.</t>
        </is>
      </c>
      <c r="DG70" t="inlineStr">
        <is>
          <t>Moderate to high</t>
        </is>
      </c>
      <c r="DH70" t="inlineStr">
        <is>
          <t>Pass 29 completeness repair</t>
        </is>
      </c>
      <c r="DI70" t="n">
        <v>9</v>
      </c>
      <c r="DJ70" t="inlineStr">
        <is>
          <t>General</t>
        </is>
      </c>
      <c r="DK70" t="inlineStr">
        <is>
          <t>citral</t>
        </is>
      </c>
      <c r="DL70" t="inlineStr">
        <is>
          <t>Agarikon; Ajwain; Angelica Root; Artichoke; Ashoka</t>
        </is>
      </c>
      <c r="DM70" t="inlineStr">
        <is>
          <t>Pass 31 relationship intelligence: density, cluster, anchor class, nearest herbs</t>
        </is>
      </c>
      <c r="DN70" t="inlineStr">
        <is>
          <t>Artichoke; Ashoka; Blue Lotus; Boldo; Burdock</t>
        </is>
      </c>
      <c r="DO70" t="inlineStr">
        <is>
          <t>Artichoke (1 shared pathways) | Ashoka (1 shared pathways) | Blue Lotus (1 shared pathways)</t>
        </is>
      </c>
      <c r="DP70" t="inlineStr">
        <is>
          <t>Generalist</t>
        </is>
      </c>
      <c r="DQ70" t="inlineStr">
        <is>
          <t>Pass 32 substitute engine + cluster cleanup</t>
        </is>
      </c>
      <c r="DR70" t="inlineStr">
        <is>
          <t>Ashoka</t>
        </is>
      </c>
      <c r="DS70" t="inlineStr">
        <is>
          <t>Blue Lotus</t>
        </is>
      </c>
      <c r="DT70" t="inlineStr">
        <is>
          <t>same cluster; lower safety burden; similarity-backed</t>
        </is>
      </c>
      <c r="DU70" t="inlineStr">
        <is>
          <t>Not needed</t>
        </is>
      </c>
      <c r="DV70" t="inlineStr">
        <is>
          <t>Pass 33 fallback replacement engine</t>
        </is>
      </c>
      <c r="DW70" t="inlineStr">
        <is>
          <t>Burdock</t>
        </is>
      </c>
      <c r="DX70" t="inlineStr">
        <is>
          <t>Ashoka; Blue Lotus; Burdock; Agarikon; Ajwain; Angelica Root; Damiana; Artichoke</t>
        </is>
      </c>
      <c r="DY70" t="inlineStr">
        <is>
          <t>Pass 35 expanded fallback pool with second-pass candidate exploration</t>
        </is>
      </c>
      <c r="EA70" t="inlineStr">
        <is>
          <t>General</t>
        </is>
      </c>
      <c r="EB70" t="inlineStr">
        <is>
          <t>unclassified</t>
        </is>
      </c>
      <c r="EC70" t="inlineStr">
        <is>
          <t>Medium</t>
        </is>
      </c>
      <c r="ED70" t="inlineStr">
        <is>
          <t>Pass 40 reinforced weak-category herb data</t>
        </is>
      </c>
      <c r="EG70" t="n">
        <v>6</v>
      </c>
      <c r="EH70" t="n">
        <v>6</v>
      </c>
      <c r="EI70" t="n">
        <v>0</v>
      </c>
      <c r="EJ70" t="n">
        <v>0</v>
      </c>
      <c r="EK70" t="n">
        <v>20</v>
      </c>
      <c r="EL70" t="n">
        <v>13</v>
      </c>
      <c r="EM70" t="inlineStr">
        <is>
          <t>citral</t>
        </is>
      </c>
      <c r="EN70" t="inlineStr">
        <is>
          <t>Pass 48 rolled compound scores into herb-level scoring</t>
        </is>
      </c>
    </row>
    <row r="71">
      <c r="A71" s="68" t="inlineStr">
        <is>
          <t>Perilla</t>
        </is>
      </c>
      <c r="B71" s="68" t="inlineStr">
        <is>
          <t>perilla</t>
        </is>
      </c>
      <c r="C71" s="68" t="inlineStr">
        <is>
          <t>Perilla frutescens</t>
        </is>
      </c>
      <c r="D71" s="68" t="inlineStr">
        <is>
          <t>herb</t>
        </is>
      </c>
      <c r="E71" s="68" t="inlineStr">
        <is>
          <t>leaf/seed</t>
        </is>
      </c>
      <c r="F71" s="68" t="inlineStr">
        <is>
          <t>leaf; seed</t>
        </is>
      </c>
      <c r="G71" s="68" t="inlineStr">
        <is>
          <t>perilla; shiso</t>
        </is>
      </c>
      <c r="H71" s="68" t="inlineStr">
        <is>
          <t>East Asia</t>
        </is>
      </c>
      <c r="I71" s="68" t="inlineStr">
        <is>
          <t>Perilla is positioned for antioxidant, seasonal, and aromatic support.</t>
        </is>
      </c>
      <c r="J71" s="68" t="inlineStr">
        <is>
          <t>It is best framed as a culinary-medicinal herb with modest but relevant translational evidence.</t>
        </is>
      </c>
      <c r="K71" s="68" t="inlineStr">
        <is>
          <t>perillaldehyde; rosmarinic acid</t>
        </is>
      </c>
      <c r="L71" s="68" t="inlineStr">
        <is>
          <t>perillaldehyde</t>
        </is>
      </c>
      <c r="M71" s="68" t="inlineStr">
        <is>
          <t>Volatile and polyphenolic constituents support seasonal and aromatic positioning.</t>
        </is>
      </c>
      <c r="N71" s="68" t="inlineStr">
        <is>
          <t>seasonal support; antioxidant; aromatic support</t>
        </is>
      </c>
      <c r="O71" s="68" t="inlineStr">
        <is>
          <t>traditional use + limited human</t>
        </is>
      </c>
      <c r="P71" s="68" t="inlineStr">
        <is>
          <t>Generally well tolerated.</t>
        </is>
      </c>
      <c r="Q71" s="68" t="inlineStr">
        <is>
          <t>Use caution with concentrated oil assumptions.</t>
        </is>
      </c>
      <c r="R71" s="68" t="n"/>
      <c r="S71" s="68" t="n"/>
      <c r="T71" s="68" t="n"/>
      <c r="U71" s="68" t="n"/>
      <c r="V71" s="68" t="n"/>
      <c r="W71" s="68" t="inlineStr">
        <is>
          <t>Medium</t>
        </is>
      </c>
      <c r="X71" s="68" t="inlineStr">
        <is>
          <t>validated</t>
        </is>
      </c>
      <c r="Y71" s="68" t="inlineStr">
        <is>
          <t>Pass 125 curated expansion</t>
        </is>
      </c>
      <c r="Z71" s="68" t="inlineStr">
        <is>
          <t>present</t>
        </is>
      </c>
      <c r="AA71" s="68" t="inlineStr">
        <is>
          <t>Curated expansion</t>
        </is>
      </c>
      <c r="AB71" s="68" t="inlineStr">
        <is>
          <t>Pass 125 curated expansion</t>
        </is>
      </c>
      <c r="AC71" s="68" t="inlineStr">
        <is>
          <t>Pass 125 curated expansion</t>
        </is>
      </c>
      <c r="AD71" s="68" t="inlineStr">
        <is>
          <t>Pass 125 curated expansion</t>
        </is>
      </c>
      <c r="AE71" s="68" t="inlineStr">
        <is>
          <t>Pass 125 curated expansion</t>
        </is>
      </c>
      <c r="AF71" s="68" t="inlineStr">
        <is>
          <t>Added in Pass 125.</t>
        </is>
      </c>
      <c r="AG71" s="68" t="n">
        <v>2</v>
      </c>
      <c r="AH71" s="68" t="n">
        <v>2</v>
      </c>
      <c r="AI71" s="68" t="n">
        <v>1</v>
      </c>
      <c r="AJ71" s="68" t="n">
        <v>5</v>
      </c>
      <c r="AK71" s="68" t="inlineStr">
        <is>
          <t>Medium</t>
        </is>
      </c>
      <c r="AL71" s="68" t="inlineStr">
        <is>
          <t>Missing</t>
        </is>
      </c>
      <c r="AM71" s="68" t="inlineStr">
        <is>
          <t>Curated expansion</t>
        </is>
      </c>
      <c r="AN71" s="68" t="n">
        <v>0.55</v>
      </c>
      <c r="AO71" s="68" t="inlineStr">
        <is>
          <t>Needs work</t>
        </is>
      </c>
      <c r="AP71" s="68" t="inlineStr">
        <is>
          <t>Research</t>
        </is>
      </c>
      <c r="AQ71" s="68" t="n"/>
      <c r="AR71" s="68" t="inlineStr">
        <is>
          <t>Source review</t>
        </is>
      </c>
      <c r="AS71" s="68" t="inlineStr">
        <is>
          <t>Not started</t>
        </is>
      </c>
      <c r="AT71" s="68" t="inlineStr">
        <is>
          <t>No</t>
        </is>
      </c>
      <c r="AU71" s="68" t="inlineStr">
        <is>
          <t>No</t>
        </is>
      </c>
      <c r="AV71" s="68" t="inlineStr">
        <is>
          <t>No</t>
        </is>
      </c>
      <c r="AW71" s="68" t="inlineStr">
        <is>
          <t>Yes</t>
        </is>
      </c>
      <c r="AX71" s="68" t="inlineStr">
        <is>
          <t>Add source-linked dosage and standardization fields</t>
        </is>
      </c>
      <c r="AY71" s="68" t="n">
        <v>1</v>
      </c>
      <c r="AZ71" s="68" t="n"/>
      <c r="BA71" s="68" t="n"/>
      <c r="BB71" s="68" t="inlineStr">
        <is>
          <t>Source review</t>
        </is>
      </c>
      <c r="BC71" s="68" t="inlineStr">
        <is>
          <t>Pending</t>
        </is>
      </c>
      <c r="BD71" s="68" t="n"/>
      <c r="BE71" s="68" t="inlineStr">
        <is>
          <t>2026-04-10</t>
        </is>
      </c>
      <c r="BF71" s="68" t="inlineStr">
        <is>
          <t>Metadata normalized from internal workbook links</t>
        </is>
      </c>
      <c r="BG71" s="68" t="inlineStr">
        <is>
          <t>perilla-R1</t>
        </is>
      </c>
      <c r="BH71" s="68" t="n">
        <v>0</v>
      </c>
      <c r="BI71" t="inlineStr">
        <is>
          <t>perilla</t>
        </is>
      </c>
      <c r="BJ71" t="inlineStr">
        <is>
          <t>Perilla</t>
        </is>
      </c>
      <c r="BK71" t="n">
        <v>1</v>
      </c>
      <c r="BL71" t="n">
        <v>1</v>
      </c>
      <c r="BM71" t="n">
        <v>3</v>
      </c>
      <c r="BN71" t="n">
        <v>7</v>
      </c>
      <c r="BO71" t="n">
        <v>100</v>
      </c>
      <c r="BP71" t="n">
        <v>8</v>
      </c>
      <c r="BQ71" t="n">
        <v>10</v>
      </c>
      <c r="BR71" t="n">
        <v>5</v>
      </c>
      <c r="BS71" t="inlineStr">
        <is>
          <t>Tier 1</t>
        </is>
      </c>
      <c r="BT71" t="n">
        <v>5</v>
      </c>
      <c r="BU71" t="inlineStr">
        <is>
          <t>FALSE</t>
        </is>
      </c>
      <c r="BV71" t="inlineStr">
        <is>
          <t>perilla</t>
        </is>
      </c>
      <c r="BW71" t="inlineStr">
        <is>
          <t>TRUE</t>
        </is>
      </c>
      <c r="BX71" t="inlineStr">
        <is>
          <t>Pass 10 refreshed scoring from 1 mapped compounds | Pass 13 rescored from 1 mapped compounds</t>
        </is>
      </c>
      <c r="BY71" t="inlineStr">
        <is>
          <t>unclassified</t>
        </is>
      </c>
      <c r="CA71" t="n">
        <v>2</v>
      </c>
      <c r="CB71" t="n">
        <v>0</v>
      </c>
      <c r="CC71" t="n">
        <v>0</v>
      </c>
      <c r="CD71" t="inlineStr">
        <is>
          <t>perillaldehyde; unclassified</t>
        </is>
      </c>
      <c r="CE71" t="inlineStr">
        <is>
          <t>Pass 13 rescored after herb-name normalization and real top-herb compound sweep</t>
        </is>
      </c>
      <c r="CF71" t="inlineStr">
        <is>
          <t>General</t>
        </is>
      </c>
      <c r="CH71" s="68" t="inlineStr">
        <is>
          <t>Start with low single-herb exposure and increase only if tolerated</t>
        </is>
      </c>
      <c r="CI71" s="68" t="inlineStr">
        <is>
          <t>Product-ideation framing only; not clinical dosing advice.</t>
        </is>
      </c>
      <c r="CJ71" s="68" t="str"/>
      <c r="CK71" s="68" t="str"/>
      <c r="CL71" s="68" t="inlineStr">
        <is>
          <t>Moderate</t>
        </is>
      </c>
      <c r="CM71" s="68" t="inlineStr">
        <is>
          <t>No</t>
        </is>
      </c>
      <c r="CN71" s="68" t="str"/>
      <c r="CO71" s="68" t="inlineStr">
        <is>
          <t>Pass 21 herb-level safety and dose framing</t>
        </is>
      </c>
      <c r="CP71" t="inlineStr">
        <is>
          <t>Baseline</t>
        </is>
      </c>
      <c r="CQ71" t="inlineStr">
        <is>
          <t>No</t>
        </is>
      </c>
      <c r="CS71" t="inlineStr">
        <is>
          <t>Pass 22 refined safety rule severity and reduced broad keyword over-flagging</t>
        </is>
      </c>
      <c r="CT71" t="inlineStr">
        <is>
          <t>General</t>
        </is>
      </c>
      <c r="CU71" t="inlineStr">
        <is>
          <t>antioxidant; aromatic support; seasonal support</t>
        </is>
      </c>
      <c r="CV71" t="inlineStr">
        <is>
          <t>Human</t>
        </is>
      </c>
      <c r="CW71" t="inlineStr">
        <is>
          <t>Pass 26 normalization: categories, mechanisms, evidence tiers</t>
        </is>
      </c>
      <c r="CX71" t="inlineStr">
        <is>
          <t>Limited human</t>
        </is>
      </c>
      <c r="CY71" t="inlineStr">
        <is>
          <t>Generally well tolerated.</t>
        </is>
      </c>
      <c r="CZ71" t="inlineStr">
        <is>
          <t>Use caution with concentrated oil assumptions</t>
        </is>
      </c>
      <c r="DB71" t="inlineStr">
        <is>
          <t>Pass 28 normalized evidence and safety-related free text</t>
        </is>
      </c>
      <c r="DD71" t="inlineStr">
        <is>
          <t>No standardized dose established; use conservative, product-dependent ranges.</t>
        </is>
      </c>
      <c r="DE71" t="inlineStr">
        <is>
          <t>Common forms include extracts, powders, or teas depending on herb part.</t>
        </is>
      </c>
      <c r="DF71" t="inlineStr">
        <is>
          <t>Quality varies by extraction method, standardization, and contamination risk.</t>
        </is>
      </c>
      <c r="DG71" t="inlineStr">
        <is>
          <t>Moderate to high</t>
        </is>
      </c>
      <c r="DH71" t="inlineStr">
        <is>
          <t>Pass 29 completeness repair</t>
        </is>
      </c>
      <c r="DI71" t="n">
        <v>9</v>
      </c>
      <c r="DJ71" t="inlineStr">
        <is>
          <t>General</t>
        </is>
      </c>
      <c r="DK71" t="inlineStr">
        <is>
          <t>perillaldehyde</t>
        </is>
      </c>
      <c r="DL71" t="inlineStr">
        <is>
          <t>Agarikon; Ajwain; Angelica Root; Artichoke; Ashoka</t>
        </is>
      </c>
      <c r="DM71" t="inlineStr">
        <is>
          <t>Pass 31 relationship intelligence: density, cluster, anchor class, nearest herbs</t>
        </is>
      </c>
      <c r="DN71" t="inlineStr">
        <is>
          <t>Artichoke; Ashoka; Blue Lotus; Boldo; Burdock</t>
        </is>
      </c>
      <c r="DO71" t="inlineStr">
        <is>
          <t>Artichoke (1 shared pathways) | Ashoka (1 shared pathways) | Blue Lotus (1 shared pathways)</t>
        </is>
      </c>
      <c r="DP71" t="inlineStr">
        <is>
          <t>Generalist</t>
        </is>
      </c>
      <c r="DQ71" t="inlineStr">
        <is>
          <t>Pass 32 substitute engine + cluster cleanup</t>
        </is>
      </c>
      <c r="DR71" t="inlineStr">
        <is>
          <t>Ashoka</t>
        </is>
      </c>
      <c r="DS71" t="inlineStr">
        <is>
          <t>Blue Lotus</t>
        </is>
      </c>
      <c r="DT71" t="inlineStr">
        <is>
          <t>same cluster; lower safety burden; similarity-backed</t>
        </is>
      </c>
      <c r="DU71" t="inlineStr">
        <is>
          <t>Not needed</t>
        </is>
      </c>
      <c r="DV71" t="inlineStr">
        <is>
          <t>Pass 33 fallback replacement engine</t>
        </is>
      </c>
      <c r="DW71" t="inlineStr">
        <is>
          <t>Burdock</t>
        </is>
      </c>
      <c r="DX71" t="inlineStr">
        <is>
          <t>Ashoka; Blue Lotus; Burdock; Agarikon; Ajwain; Angelica Root; Damiana; Artichoke</t>
        </is>
      </c>
      <c r="DY71" t="inlineStr">
        <is>
          <t>Pass 35 expanded fallback pool with second-pass candidate exploration</t>
        </is>
      </c>
      <c r="EA71" t="inlineStr">
        <is>
          <t>General</t>
        </is>
      </c>
      <c r="EB71" t="inlineStr">
        <is>
          <t>unclassified</t>
        </is>
      </c>
      <c r="EC71" t="inlineStr">
        <is>
          <t>Medium</t>
        </is>
      </c>
      <c r="ED71" t="inlineStr">
        <is>
          <t>Pass 40 reinforced weak-category herb data</t>
        </is>
      </c>
      <c r="EG71" t="n">
        <v>3</v>
      </c>
      <c r="EH71" t="n">
        <v>3</v>
      </c>
      <c r="EI71" t="n">
        <v>0</v>
      </c>
      <c r="EJ71" t="n">
        <v>0</v>
      </c>
      <c r="EK71" t="n">
        <v>11</v>
      </c>
      <c r="EL71" t="n">
        <v>7</v>
      </c>
      <c r="EM71" t="inlineStr">
        <is>
          <t>perillaldehyde</t>
        </is>
      </c>
      <c r="EN71" t="inlineStr">
        <is>
          <t>Pass 48 rolled compound scores into herb-level scoring</t>
        </is>
      </c>
    </row>
    <row r="72">
      <c r="A72" s="68" t="inlineStr">
        <is>
          <t>Carob</t>
        </is>
      </c>
      <c r="B72" s="68" t="inlineStr">
        <is>
          <t>carob</t>
        </is>
      </c>
      <c r="C72" s="68" t="inlineStr">
        <is>
          <t>Ceratonia siliqua</t>
        </is>
      </c>
      <c r="D72" s="68" t="inlineStr">
        <is>
          <t>herb</t>
        </is>
      </c>
      <c r="E72" s="68" t="inlineStr">
        <is>
          <t>pod</t>
        </is>
      </c>
      <c r="F72" s="68" t="inlineStr">
        <is>
          <t>pod</t>
        </is>
      </c>
      <c r="G72" s="68" t="inlineStr">
        <is>
          <t>carob</t>
        </is>
      </c>
      <c r="H72" s="68" t="inlineStr">
        <is>
          <t>Mediterranean</t>
        </is>
      </c>
      <c r="I72" s="68" t="inlineStr">
        <is>
          <t>Carob is positioned for digestive and metabolic support.</t>
        </is>
      </c>
      <c r="J72" s="68" t="inlineStr">
        <is>
          <t>It is best framed as a food-form legume pod with fiber and polyphenol relevance rather than strong pharmacologic action.</t>
        </is>
      </c>
      <c r="K72" s="68" t="inlineStr">
        <is>
          <t>D-pinitol; polyphenols</t>
        </is>
      </c>
      <c r="L72" s="68" t="inlineStr">
        <is>
          <t>D-pinitol</t>
        </is>
      </c>
      <c r="M72" s="68" t="inlineStr">
        <is>
          <t>Inositol derivatives and polyphenols support metabolic and digestive positioning.</t>
        </is>
      </c>
      <c r="N72" s="68" t="inlineStr">
        <is>
          <t>digestive support; metabolic support</t>
        </is>
      </c>
      <c r="O72" s="68" t="inlineStr">
        <is>
          <t>food/supplement literature</t>
        </is>
      </c>
      <c r="P72" s="68" t="inlineStr">
        <is>
          <t>Generally well tolerated.</t>
        </is>
      </c>
      <c r="Q72" s="68" t="inlineStr">
        <is>
          <t>Use caution with overextended glycemic claims.</t>
        </is>
      </c>
      <c r="R72" s="68" t="n"/>
      <c r="S72" s="68" t="n"/>
      <c r="T72" s="68" t="n"/>
      <c r="U72" s="68" t="n"/>
      <c r="V72" s="68" t="n"/>
      <c r="W72" s="68" t="inlineStr">
        <is>
          <t>Medium</t>
        </is>
      </c>
      <c r="X72" s="68" t="inlineStr">
        <is>
          <t>partial</t>
        </is>
      </c>
      <c r="Y72" s="68" t="inlineStr">
        <is>
          <t>Pass 125 curated expansion</t>
        </is>
      </c>
      <c r="Z72" s="68" t="inlineStr">
        <is>
          <t>present</t>
        </is>
      </c>
      <c r="AA72" s="68" t="inlineStr">
        <is>
          <t>Curated expansion</t>
        </is>
      </c>
      <c r="AB72" s="68" t="inlineStr">
        <is>
          <t>Pass 125 curated expansion</t>
        </is>
      </c>
      <c r="AC72" s="68" t="inlineStr">
        <is>
          <t>Pass 125 curated expansion</t>
        </is>
      </c>
      <c r="AD72" s="68" t="inlineStr">
        <is>
          <t>Pass 125 curated expansion</t>
        </is>
      </c>
      <c r="AE72" s="68" t="inlineStr">
        <is>
          <t>Pass 125 curated expansion</t>
        </is>
      </c>
      <c r="AF72" s="68" t="inlineStr">
        <is>
          <t>Added in Pass 125.</t>
        </is>
      </c>
      <c r="AG72" s="68" t="n">
        <v>2</v>
      </c>
      <c r="AH72" s="68" t="n">
        <v>2</v>
      </c>
      <c r="AI72" s="68" t="n">
        <v>1</v>
      </c>
      <c r="AJ72" s="68" t="n">
        <v>5</v>
      </c>
      <c r="AK72" s="68" t="inlineStr">
        <is>
          <t>Medium</t>
        </is>
      </c>
      <c r="AL72" s="68" t="inlineStr">
        <is>
          <t>Missing</t>
        </is>
      </c>
      <c r="AM72" s="68" t="inlineStr">
        <is>
          <t>Curated expansion</t>
        </is>
      </c>
      <c r="AN72" s="68" t="n">
        <v>0.55</v>
      </c>
      <c r="AO72" s="68" t="inlineStr">
        <is>
          <t>Needs work</t>
        </is>
      </c>
      <c r="AP72" s="68" t="inlineStr">
        <is>
          <t>Research</t>
        </is>
      </c>
      <c r="AQ72" s="68" t="n"/>
      <c r="AR72" s="68" t="inlineStr">
        <is>
          <t>Source review</t>
        </is>
      </c>
      <c r="AS72" s="68" t="inlineStr">
        <is>
          <t>Not started</t>
        </is>
      </c>
      <c r="AT72" s="68" t="inlineStr">
        <is>
          <t>No</t>
        </is>
      </c>
      <c r="AU72" s="68" t="inlineStr">
        <is>
          <t>No</t>
        </is>
      </c>
      <c r="AV72" s="68" t="inlineStr">
        <is>
          <t>No</t>
        </is>
      </c>
      <c r="AW72" s="68" t="inlineStr">
        <is>
          <t>Yes</t>
        </is>
      </c>
      <c r="AX72" s="68" t="inlineStr">
        <is>
          <t>Add source-linked dosage and standardization fields</t>
        </is>
      </c>
      <c r="AY72" s="68" t="n">
        <v>1</v>
      </c>
      <c r="AZ72" s="68" t="n"/>
      <c r="BA72" s="68" t="n"/>
      <c r="BB72" s="68" t="inlineStr">
        <is>
          <t>Source review</t>
        </is>
      </c>
      <c r="BC72" s="68" t="inlineStr">
        <is>
          <t>Pending</t>
        </is>
      </c>
      <c r="BD72" s="68" t="n"/>
      <c r="BE72" s="68" t="inlineStr">
        <is>
          <t>2026-04-10</t>
        </is>
      </c>
      <c r="BF72" s="68" t="inlineStr">
        <is>
          <t>Metadata normalized from internal workbook links</t>
        </is>
      </c>
      <c r="BG72" s="68" t="inlineStr">
        <is>
          <t>carob-R1</t>
        </is>
      </c>
      <c r="BH72" s="68" t="n">
        <v>0</v>
      </c>
      <c r="BI72" t="inlineStr">
        <is>
          <t>carob</t>
        </is>
      </c>
      <c r="BJ72" t="inlineStr">
        <is>
          <t>Carob</t>
        </is>
      </c>
      <c r="BK72" t="n">
        <v>1</v>
      </c>
      <c r="BL72" t="n">
        <v>0</v>
      </c>
      <c r="BM72" t="n">
        <v>1</v>
      </c>
      <c r="BN72" t="n">
        <v>3</v>
      </c>
      <c r="BO72" t="n">
        <v>100</v>
      </c>
      <c r="BP72" t="n">
        <v>8</v>
      </c>
      <c r="BQ72" t="n">
        <v>0</v>
      </c>
      <c r="BR72" t="n">
        <v>5</v>
      </c>
      <c r="BS72" t="inlineStr">
        <is>
          <t>Tier 4</t>
        </is>
      </c>
      <c r="BT72" t="n">
        <v>3</v>
      </c>
      <c r="BU72" t="inlineStr">
        <is>
          <t>FALSE</t>
        </is>
      </c>
      <c r="BV72" t="inlineStr">
        <is>
          <t>carob</t>
        </is>
      </c>
      <c r="BW72" t="inlineStr">
        <is>
          <t>TRUE</t>
        </is>
      </c>
      <c r="BX72" t="inlineStr">
        <is>
          <t>Pass 10 refreshed scoring from 1 mapped compounds | Pass 13 rescored from 1 mapped compounds</t>
        </is>
      </c>
      <c r="CA72" t="n">
        <v>2</v>
      </c>
      <c r="CB72" t="n">
        <v>0</v>
      </c>
      <c r="CC72" t="n">
        <v>0</v>
      </c>
      <c r="CE72" t="inlineStr">
        <is>
          <t>Pass 13 rescored after herb-name normalization and real top-herb compound sweep</t>
        </is>
      </c>
      <c r="CF72" t="inlineStr">
        <is>
          <t>General</t>
        </is>
      </c>
      <c r="CH72" s="68" t="inlineStr">
        <is>
          <t>Start with low single-herb exposure and increase only if tolerated</t>
        </is>
      </c>
      <c r="CI72" s="68" t="inlineStr">
        <is>
          <t>Product-ideation framing only; not clinical dosing advice.</t>
        </is>
      </c>
      <c r="CJ72" s="68" t="str"/>
      <c r="CK72" s="68" t="str"/>
      <c r="CL72" s="68" t="inlineStr">
        <is>
          <t>Baseline</t>
        </is>
      </c>
      <c r="CM72" s="68" t="inlineStr">
        <is>
          <t>No</t>
        </is>
      </c>
      <c r="CN72" s="68" t="str"/>
      <c r="CO72" s="68" t="inlineStr">
        <is>
          <t>Pass 21 herb-level safety and dose framing</t>
        </is>
      </c>
      <c r="CP72" t="inlineStr">
        <is>
          <t>Baseline</t>
        </is>
      </c>
      <c r="CQ72" t="inlineStr">
        <is>
          <t>No</t>
        </is>
      </c>
      <c r="CS72" t="inlineStr">
        <is>
          <t>Pass 22 refined safety rule severity and reduced broad keyword over-flagging</t>
        </is>
      </c>
      <c r="CT72" t="inlineStr">
        <is>
          <t>Metabolic Support</t>
        </is>
      </c>
      <c r="CU72" t="inlineStr">
        <is>
          <t>digestive support; metabolic support</t>
        </is>
      </c>
      <c r="CV72" t="inlineStr">
        <is>
          <t>Unknown</t>
        </is>
      </c>
      <c r="CW72" t="inlineStr">
        <is>
          <t>Pass 26 normalization: categories, mechanisms, evidence tiers</t>
        </is>
      </c>
      <c r="CX72" t="inlineStr">
        <is>
          <t>Food/supplement literature</t>
        </is>
      </c>
      <c r="CY72" t="inlineStr">
        <is>
          <t>Generally well tolerated.</t>
        </is>
      </c>
      <c r="CZ72" t="inlineStr">
        <is>
          <t>Use caution with overextended glycemic claims</t>
        </is>
      </c>
      <c r="DB72" t="inlineStr">
        <is>
          <t>Pass 28 normalized evidence and safety-related free text</t>
        </is>
      </c>
      <c r="DD72" t="inlineStr">
        <is>
          <t>No standardized dose established; use conservative, product-dependent ranges.</t>
        </is>
      </c>
      <c r="DE72" t="inlineStr">
        <is>
          <t>Common forms include extracts, powders, or teas depending on herb part.</t>
        </is>
      </c>
      <c r="DF72" t="inlineStr">
        <is>
          <t>Quality varies by extraction method, standardization, and contamination risk.</t>
        </is>
      </c>
      <c r="DG72" t="inlineStr">
        <is>
          <t>Low</t>
        </is>
      </c>
      <c r="DH72" t="inlineStr">
        <is>
          <t>Pass 29 completeness repair</t>
        </is>
      </c>
      <c r="DI72" t="n">
        <v>6</v>
      </c>
      <c r="DJ72" t="inlineStr">
        <is>
          <t>Metabolic</t>
        </is>
      </c>
      <c r="DL72" t="inlineStr">
        <is>
          <t>Ashitaba; Banaba; Berberis; Bitter Melon; Black Pepper</t>
        </is>
      </c>
      <c r="DM72" t="inlineStr">
        <is>
          <t>Pass 31 relationship intelligence: density, cluster, anchor class, nearest herbs</t>
        </is>
      </c>
      <c r="DP72" t="inlineStr">
        <is>
          <t>Metabolic</t>
        </is>
      </c>
      <c r="DQ72" t="inlineStr">
        <is>
          <t>Pass 32 substitute engine + cluster cleanup</t>
        </is>
      </c>
      <c r="DT72" t="inlineStr">
        <is>
          <t>no strong safe fallback found</t>
        </is>
      </c>
      <c r="DU72" t="inlineStr">
        <is>
          <t>Not needed</t>
        </is>
      </c>
      <c r="DV72" t="inlineStr">
        <is>
          <t>Pass 33 fallback replacement engine</t>
        </is>
      </c>
      <c r="DY72" t="inlineStr">
        <is>
          <t>Pass 35 expanded fallback pool with second-pass candidate exploration</t>
        </is>
      </c>
      <c r="EG72" t="n">
        <v>3</v>
      </c>
      <c r="EH72" t="n">
        <v>3</v>
      </c>
      <c r="EI72" t="n">
        <v>0</v>
      </c>
      <c r="EJ72" t="n">
        <v>0</v>
      </c>
      <c r="EK72" t="n">
        <v>11</v>
      </c>
      <c r="EL72" t="n">
        <v>7</v>
      </c>
      <c r="EM72" t="inlineStr">
        <is>
          <t>d-pinitol</t>
        </is>
      </c>
      <c r="EN72" t="inlineStr">
        <is>
          <t>Pass 48 rolled compound scores into herb-level scoring</t>
        </is>
      </c>
    </row>
    <row r="73">
      <c r="A73" s="68" t="inlineStr">
        <is>
          <t>Danshen</t>
        </is>
      </c>
      <c r="B73" s="68" t="inlineStr">
        <is>
          <t>danshen</t>
        </is>
      </c>
      <c r="C73" s="68" t="inlineStr">
        <is>
          <t>Salvia miltiorrhiza</t>
        </is>
      </c>
      <c r="D73" s="68" t="inlineStr">
        <is>
          <t>herb</t>
        </is>
      </c>
      <c r="E73" s="68" t="inlineStr">
        <is>
          <t>root</t>
        </is>
      </c>
      <c r="F73" s="68" t="inlineStr">
        <is>
          <t>root</t>
        </is>
      </c>
      <c r="G73" s="68" t="inlineStr">
        <is>
          <t>danshen; red sage</t>
        </is>
      </c>
      <c r="H73" s="68" t="inlineStr">
        <is>
          <t>China and East Asia</t>
        </is>
      </c>
      <c r="I73" s="68" t="inlineStr">
        <is>
          <t>Danshen is positioned for cardiovascular and circulatory support.</t>
        </is>
      </c>
      <c r="J73" s="68" t="inlineStr">
        <is>
          <t>It is best framed around tanshinones and salvianolic acids with specific vascular-support positioning.</t>
        </is>
      </c>
      <c r="K73" s="68" t="inlineStr">
        <is>
          <t>tanshinone IIA; salvianolic acid B</t>
        </is>
      </c>
      <c r="L73" s="68" t="inlineStr">
        <is>
          <t>tanshinone IIA</t>
        </is>
      </c>
      <c r="M73" s="68" t="inlineStr">
        <is>
          <t>Diterpenes and phenolic acids support circulatory and antioxidant positioning.</t>
        </is>
      </c>
      <c r="N73" s="68" t="inlineStr">
        <is>
          <t>cardiovascular support; vascular support</t>
        </is>
      </c>
      <c r="O73" s="68" t="inlineStr">
        <is>
          <t>mixed human + preclinical</t>
        </is>
      </c>
      <c r="P73" s="68" t="inlineStr">
        <is>
          <t>Generally well tolerated.</t>
        </is>
      </c>
      <c r="Q73" s="68" t="inlineStr">
        <is>
          <t>Use caution with anticoagulant-sensitive contexts.</t>
        </is>
      </c>
      <c r="R73" s="68" t="n"/>
      <c r="S73" s="68" t="n"/>
      <c r="T73" s="68" t="n"/>
      <c r="U73" s="68" t="n"/>
      <c r="V73" s="68" t="n"/>
      <c r="W73" s="68" t="inlineStr">
        <is>
          <t>High</t>
        </is>
      </c>
      <c r="X73" s="68" t="inlineStr">
        <is>
          <t>validated</t>
        </is>
      </c>
      <c r="Y73" s="68" t="n"/>
      <c r="Z73" s="68" t="inlineStr">
        <is>
          <t>present</t>
        </is>
      </c>
      <c r="AA73" s="68" t="inlineStr">
        <is>
          <t>Internal workbook + enrichment queue</t>
        </is>
      </c>
      <c r="AB73" s="68" t="n"/>
      <c r="AC73" s="68" t="n"/>
      <c r="AD73" s="68" t="n"/>
      <c r="AE73" s="68" t="n"/>
      <c r="AF73" s="68" t="n"/>
      <c r="AG73" s="68" t="n">
        <v>3</v>
      </c>
      <c r="AH73" s="68" t="n">
        <v>1</v>
      </c>
      <c r="AI73" s="68" t="n">
        <v>3</v>
      </c>
      <c r="AJ73" s="68" t="n">
        <v>7</v>
      </c>
      <c r="AK73" s="68" t="inlineStr">
        <is>
          <t>Medium</t>
        </is>
      </c>
      <c r="AL73" s="68" t="n"/>
      <c r="AM73" s="68" t="inlineStr">
        <is>
          <t>Linked primary/secondary</t>
        </is>
      </c>
      <c r="AN73" s="68" t="n">
        <v>0.9</v>
      </c>
      <c r="AO73" s="68" t="inlineStr">
        <is>
          <t>Near ready</t>
        </is>
      </c>
      <c r="AP73" s="68" t="n"/>
      <c r="AQ73" s="68" t="n"/>
      <c r="AR73" s="68" t="inlineStr">
        <is>
          <t>Editorial polish</t>
        </is>
      </c>
      <c r="AS73" s="68" t="inlineStr">
        <is>
          <t>Not started</t>
        </is>
      </c>
      <c r="AT73" s="68" t="n"/>
      <c r="AU73" s="68" t="n"/>
      <c r="AV73" s="68" t="n"/>
      <c r="AW73" s="68" t="n"/>
      <c r="AX73" s="68" t="n"/>
      <c r="AY73" s="68" t="n"/>
      <c r="AZ73" s="68" t="n"/>
      <c r="BA73" s="68" t="n"/>
      <c r="BB73" s="68" t="n"/>
      <c r="BC73" s="68" t="n"/>
      <c r="BD73" s="68" t="n"/>
      <c r="BE73" s="68" t="inlineStr">
        <is>
          <t>2026-04-10</t>
        </is>
      </c>
      <c r="BF73" s="68" t="inlineStr">
        <is>
          <t>Metadata normalized from internal workbook links</t>
        </is>
      </c>
      <c r="BG73" s="68" t="inlineStr">
        <is>
          <t>danshen|2026-04-10</t>
        </is>
      </c>
      <c r="BH73" s="68" t="inlineStr">
        <is>
          <t>2026-04-10:auto-normalized</t>
        </is>
      </c>
      <c r="BI73" t="inlineStr">
        <is>
          <t>danshen</t>
        </is>
      </c>
      <c r="BJ73" t="inlineStr">
        <is>
          <t>Danshen</t>
        </is>
      </c>
      <c r="BK73" t="n">
        <v>1</v>
      </c>
      <c r="BL73" t="n">
        <v>0</v>
      </c>
      <c r="BM73" t="n">
        <v>3</v>
      </c>
      <c r="BN73" t="n">
        <v>3</v>
      </c>
      <c r="BO73" t="n">
        <v>100</v>
      </c>
      <c r="BP73" t="n">
        <v>8</v>
      </c>
      <c r="BQ73" t="n">
        <v>0</v>
      </c>
      <c r="BR73" t="n">
        <v>5</v>
      </c>
      <c r="BS73" t="inlineStr">
        <is>
          <t>Tier 4</t>
        </is>
      </c>
      <c r="BT73" t="n">
        <v>3</v>
      </c>
      <c r="BU73" t="inlineStr">
        <is>
          <t>FALSE</t>
        </is>
      </c>
      <c r="BV73" t="inlineStr">
        <is>
          <t>danshen</t>
        </is>
      </c>
      <c r="BW73" t="inlineStr">
        <is>
          <t>TRUE</t>
        </is>
      </c>
      <c r="BX73" t="inlineStr">
        <is>
          <t>Pass 10 refreshed scoring from 1 mapped compounds | Pass 13 rescored from 1 mapped compounds</t>
        </is>
      </c>
      <c r="CA73" t="n">
        <v>2</v>
      </c>
      <c r="CB73" t="n">
        <v>0</v>
      </c>
      <c r="CC73" t="n">
        <v>0</v>
      </c>
      <c r="CE73" t="inlineStr">
        <is>
          <t>Pass 13 rescored after herb-name normalization and real top-herb compound sweep</t>
        </is>
      </c>
      <c r="CF73" t="inlineStr">
        <is>
          <t>General</t>
        </is>
      </c>
      <c r="CH73" s="68" t="inlineStr">
        <is>
          <t>Start low; usually daytime use</t>
        </is>
      </c>
      <c r="CI73" s="68" t="inlineStr">
        <is>
          <t>Keep conservative around surgery, anticoagulants, or antiplatelet use.</t>
        </is>
      </c>
      <c r="CJ73" s="68" t="inlineStr">
        <is>
          <t>bleeding-risk; blood-pressure</t>
        </is>
      </c>
      <c r="CK73" s="68" t="str"/>
      <c r="CL73" s="68" t="inlineStr">
        <is>
          <t>Baseline</t>
        </is>
      </c>
      <c r="CM73" s="68" t="inlineStr">
        <is>
          <t>No</t>
        </is>
      </c>
      <c r="CN73" s="68" t="str"/>
      <c r="CO73" s="68" t="inlineStr">
        <is>
          <t>Pass 21 herb-level safety and dose framing</t>
        </is>
      </c>
      <c r="CP73" t="inlineStr">
        <is>
          <t>Moderate</t>
        </is>
      </c>
      <c r="CQ73" t="inlineStr">
        <is>
          <t>No</t>
        </is>
      </c>
      <c r="CS73" t="inlineStr">
        <is>
          <t>Pass 22 refined safety rule severity and reduced broad keyword over-flagging</t>
        </is>
      </c>
      <c r="CT73" t="inlineStr">
        <is>
          <t>General</t>
        </is>
      </c>
      <c r="CU73" t="inlineStr">
        <is>
          <t>cardiovascular support; vascular support</t>
        </is>
      </c>
      <c r="CV73" t="inlineStr">
        <is>
          <t>Human</t>
        </is>
      </c>
      <c r="CW73" t="inlineStr">
        <is>
          <t>Pass 26 normalization: categories, mechanisms, evidence tiers</t>
        </is>
      </c>
      <c r="CX73" t="inlineStr">
        <is>
          <t>Human + preclinical</t>
        </is>
      </c>
      <c r="CY73" t="inlineStr">
        <is>
          <t>Generally well tolerated.</t>
        </is>
      </c>
      <c r="CZ73" t="inlineStr">
        <is>
          <t>Use caution with anticoagulant-sensitive contexts</t>
        </is>
      </c>
      <c r="DB73" t="inlineStr">
        <is>
          <t>Pass 28 normalized evidence and safety-related free text</t>
        </is>
      </c>
      <c r="DD73" t="inlineStr">
        <is>
          <t>No standardized dose established; use conservative, product-dependent ranges.</t>
        </is>
      </c>
      <c r="DE73" t="inlineStr">
        <is>
          <t>Common forms include extracts, powders, or teas depending on herb part.</t>
        </is>
      </c>
      <c r="DF73" t="inlineStr">
        <is>
          <t>Quality varies by extraction method, standardization, and contamination risk.</t>
        </is>
      </c>
      <c r="DG73" t="inlineStr">
        <is>
          <t>Moderate to high</t>
        </is>
      </c>
      <c r="DH73" t="inlineStr">
        <is>
          <t>Pass 29 completeness repair</t>
        </is>
      </c>
      <c r="DI73" t="n">
        <v>6</v>
      </c>
      <c r="DJ73" t="inlineStr">
        <is>
          <t>General</t>
        </is>
      </c>
      <c r="DL73" t="inlineStr">
        <is>
          <t>Acerola; Agarikon; Ajwain; Aloe Vera; American Ginseng</t>
        </is>
      </c>
      <c r="DM73" t="inlineStr">
        <is>
          <t>Pass 31 relationship intelligence: density, cluster, anchor class, nearest herbs</t>
        </is>
      </c>
      <c r="DP73" t="inlineStr">
        <is>
          <t>Generalist</t>
        </is>
      </c>
      <c r="DQ73" t="inlineStr">
        <is>
          <t>Pass 32 substitute engine + cluster cleanup</t>
        </is>
      </c>
      <c r="DT73" t="inlineStr">
        <is>
          <t>no strong safe fallback found</t>
        </is>
      </c>
      <c r="DU73" t="inlineStr">
        <is>
          <t>Optional</t>
        </is>
      </c>
      <c r="DV73" t="inlineStr">
        <is>
          <t>Pass 33 fallback replacement engine</t>
        </is>
      </c>
      <c r="DY73" t="inlineStr">
        <is>
          <t>Pass 35 expanded fallback pool with second-pass candidate exploration</t>
        </is>
      </c>
      <c r="EA73" t="inlineStr">
        <is>
          <t>General</t>
        </is>
      </c>
      <c r="EC73" t="inlineStr">
        <is>
          <t>High</t>
        </is>
      </c>
      <c r="ED73" t="inlineStr">
        <is>
          <t>Pass 40 reinforced weak-category herb data</t>
        </is>
      </c>
      <c r="EG73" t="n">
        <v>8</v>
      </c>
      <c r="EH73" t="n">
        <v>8</v>
      </c>
      <c r="EI73" t="n">
        <v>0</v>
      </c>
      <c r="EJ73" t="n">
        <v>1</v>
      </c>
      <c r="EK73" t="n">
        <v>26</v>
      </c>
      <c r="EL73" t="n">
        <v>21</v>
      </c>
      <c r="EM73" t="inlineStr">
        <is>
          <t>Tanshinone IIA</t>
        </is>
      </c>
      <c r="EN73" t="inlineStr">
        <is>
          <t>Pass 48 rolled compound scores into herb-level scoring</t>
        </is>
      </c>
    </row>
    <row r="74">
      <c r="A74" s="68" t="inlineStr">
        <is>
          <t>Eucommia</t>
        </is>
      </c>
      <c r="B74" s="68" t="inlineStr">
        <is>
          <t>eucommia</t>
        </is>
      </c>
      <c r="C74" s="68" t="inlineStr">
        <is>
          <t>Eucommia ulmoides</t>
        </is>
      </c>
      <c r="D74" s="68" t="inlineStr">
        <is>
          <t>herb</t>
        </is>
      </c>
      <c r="E74" s="68" t="inlineStr">
        <is>
          <t>bark/leaf</t>
        </is>
      </c>
      <c r="F74" s="68" t="inlineStr">
        <is>
          <t>bark; leaf</t>
        </is>
      </c>
      <c r="G74" s="68" t="inlineStr">
        <is>
          <t>eucommia</t>
        </is>
      </c>
      <c r="H74" s="68" t="inlineStr">
        <is>
          <t>China and East Asia</t>
        </is>
      </c>
      <c r="I74" s="68" t="inlineStr">
        <is>
          <t>Eucommia is positioned for connective-tissue and cardiometabolic support.</t>
        </is>
      </c>
      <c r="J74" s="68" t="inlineStr">
        <is>
          <t>It is best framed conservatively because traditional tonic use is broader than modern evidence quality.</t>
        </is>
      </c>
      <c r="K74" s="68" t="inlineStr">
        <is>
          <t>geniposidic acid; lignans</t>
        </is>
      </c>
      <c r="L74" s="68" t="inlineStr">
        <is>
          <t>geniposidic acid</t>
        </is>
      </c>
      <c r="M74" s="68" t="inlineStr">
        <is>
          <t>Iridoids and lignans support connective-tissue and metabolic positioning.</t>
        </is>
      </c>
      <c r="N74" s="68" t="inlineStr">
        <is>
          <t>connective tissue support; cardiometabolic support</t>
        </is>
      </c>
      <c r="O74" s="68" t="inlineStr">
        <is>
          <t>traditional use + limited human</t>
        </is>
      </c>
      <c r="P74" s="68" t="inlineStr">
        <is>
          <t>Generally well tolerated.</t>
        </is>
      </c>
      <c r="Q74" s="68" t="inlineStr">
        <is>
          <t>Avoid overextended tonic claims.</t>
        </is>
      </c>
      <c r="R74" s="68" t="n"/>
      <c r="S74" s="68" t="n"/>
      <c r="T74" s="68" t="n"/>
      <c r="U74" s="68" t="n"/>
      <c r="V74" s="68" t="n"/>
      <c r="W74" s="68" t="inlineStr">
        <is>
          <t>High</t>
        </is>
      </c>
      <c r="X74" s="68" t="inlineStr">
        <is>
          <t>validated</t>
        </is>
      </c>
      <c r="Y74" s="68" t="n"/>
      <c r="Z74" s="68" t="inlineStr">
        <is>
          <t>present</t>
        </is>
      </c>
      <c r="AA74" s="68" t="inlineStr">
        <is>
          <t>Internal workbook + enrichment queue</t>
        </is>
      </c>
      <c r="AB74" s="68" t="n"/>
      <c r="AC74" s="68" t="n"/>
      <c r="AD74" s="68" t="n"/>
      <c r="AE74" s="68" t="n"/>
      <c r="AF74" s="68" t="n"/>
      <c r="AG74" s="68" t="n">
        <v>3</v>
      </c>
      <c r="AH74" s="68" t="n">
        <v>1</v>
      </c>
      <c r="AI74" s="68" t="n">
        <v>3</v>
      </c>
      <c r="AJ74" s="68" t="n">
        <v>7</v>
      </c>
      <c r="AK74" s="68" t="inlineStr">
        <is>
          <t>Medium</t>
        </is>
      </c>
      <c r="AL74" s="68" t="n"/>
      <c r="AM74" s="68" t="inlineStr">
        <is>
          <t>Linked primary/secondary</t>
        </is>
      </c>
      <c r="AN74" s="68" t="n">
        <v>0.9</v>
      </c>
      <c r="AO74" s="68" t="inlineStr">
        <is>
          <t>Near ready</t>
        </is>
      </c>
      <c r="AP74" s="68" t="n"/>
      <c r="AQ74" s="68" t="n"/>
      <c r="AR74" s="68" t="inlineStr">
        <is>
          <t>Editorial polish</t>
        </is>
      </c>
      <c r="AS74" s="68" t="inlineStr">
        <is>
          <t>Not started</t>
        </is>
      </c>
      <c r="AT74" s="68" t="n"/>
      <c r="AU74" s="68" t="n"/>
      <c r="AV74" s="68" t="n"/>
      <c r="AW74" s="68" t="n"/>
      <c r="AX74" s="68" t="n"/>
      <c r="AY74" s="68" t="n"/>
      <c r="AZ74" s="68" t="n"/>
      <c r="BA74" s="68" t="n"/>
      <c r="BB74" s="68" t="n"/>
      <c r="BC74" s="68" t="n"/>
      <c r="BD74" s="68" t="n"/>
      <c r="BE74" s="68" t="inlineStr">
        <is>
          <t>2026-04-10</t>
        </is>
      </c>
      <c r="BF74" s="68" t="inlineStr">
        <is>
          <t>Metadata normalized from internal workbook links</t>
        </is>
      </c>
      <c r="BG74" s="68" t="inlineStr">
        <is>
          <t>eucommia|2026-04-10</t>
        </is>
      </c>
      <c r="BH74" s="68" t="inlineStr">
        <is>
          <t>2026-04-10:auto-normalized</t>
        </is>
      </c>
      <c r="BI74" t="inlineStr">
        <is>
          <t>eucommia</t>
        </is>
      </c>
      <c r="BJ74" t="inlineStr">
        <is>
          <t>Eucommia</t>
        </is>
      </c>
      <c r="BK74" t="n">
        <v>1</v>
      </c>
      <c r="BL74" t="n">
        <v>1</v>
      </c>
      <c r="BM74" t="n">
        <v>3</v>
      </c>
      <c r="BN74" t="n">
        <v>7</v>
      </c>
      <c r="BO74" t="n">
        <v>100</v>
      </c>
      <c r="BP74" t="n">
        <v>8</v>
      </c>
      <c r="BQ74" t="n">
        <v>10</v>
      </c>
      <c r="BR74" t="n">
        <v>5</v>
      </c>
      <c r="BS74" t="inlineStr">
        <is>
          <t>Tier 1</t>
        </is>
      </c>
      <c r="BT74" t="n">
        <v>5</v>
      </c>
      <c r="BU74" t="inlineStr">
        <is>
          <t>FALSE</t>
        </is>
      </c>
      <c r="BV74" t="inlineStr">
        <is>
          <t>eucommia</t>
        </is>
      </c>
      <c r="BW74" t="inlineStr">
        <is>
          <t>TRUE</t>
        </is>
      </c>
      <c r="BX74" t="inlineStr">
        <is>
          <t>Pass 10 refreshed scoring from 1 mapped compounds | Pass 13 rescored from 1 mapped compounds</t>
        </is>
      </c>
      <c r="BY74" t="inlineStr">
        <is>
          <t>unclassified</t>
        </is>
      </c>
      <c r="CA74" t="n">
        <v>2</v>
      </c>
      <c r="CB74" t="n">
        <v>0</v>
      </c>
      <c r="CC74" t="n">
        <v>0</v>
      </c>
      <c r="CD74" t="inlineStr">
        <is>
          <t>geniposidic acid; unclassified</t>
        </is>
      </c>
      <c r="CE74" t="inlineStr">
        <is>
          <t>Pass 13 rescored after herb-name normalization and real top-herb compound sweep</t>
        </is>
      </c>
      <c r="CF74" t="inlineStr">
        <is>
          <t>General</t>
        </is>
      </c>
      <c r="CH74" s="68" t="inlineStr">
        <is>
          <t>Start with low single-herb exposure and increase only if tolerated</t>
        </is>
      </c>
      <c r="CI74" s="68" t="inlineStr">
        <is>
          <t>Product-ideation framing only; not clinical dosing advice.</t>
        </is>
      </c>
      <c r="CJ74" s="68" t="str"/>
      <c r="CK74" s="68" t="str"/>
      <c r="CL74" s="68" t="inlineStr">
        <is>
          <t>Moderate</t>
        </is>
      </c>
      <c r="CM74" s="68" t="inlineStr">
        <is>
          <t>No</t>
        </is>
      </c>
      <c r="CN74" s="68" t="str"/>
      <c r="CO74" s="68" t="inlineStr">
        <is>
          <t>Pass 21 herb-level safety and dose framing</t>
        </is>
      </c>
      <c r="CP74" t="inlineStr">
        <is>
          <t>Baseline</t>
        </is>
      </c>
      <c r="CQ74" t="inlineStr">
        <is>
          <t>No</t>
        </is>
      </c>
      <c r="CS74" t="inlineStr">
        <is>
          <t>Pass 22 refined safety rule severity and reduced broad keyword over-flagging</t>
        </is>
      </c>
      <c r="CT74" t="inlineStr">
        <is>
          <t>Metabolic Support</t>
        </is>
      </c>
      <c r="CU74" t="inlineStr">
        <is>
          <t>cardiometabolic support; connective tissue support</t>
        </is>
      </c>
      <c r="CV74" t="inlineStr">
        <is>
          <t>Human</t>
        </is>
      </c>
      <c r="CW74" t="inlineStr">
        <is>
          <t>Pass 26 normalization: categories, mechanisms, evidence tiers</t>
        </is>
      </c>
      <c r="CX74" t="inlineStr">
        <is>
          <t>Limited human</t>
        </is>
      </c>
      <c r="CY74" t="inlineStr">
        <is>
          <t>Generally well tolerated.</t>
        </is>
      </c>
      <c r="CZ74" t="inlineStr">
        <is>
          <t>Avoid overextended tonic claims</t>
        </is>
      </c>
      <c r="DB74" t="inlineStr">
        <is>
          <t>Pass 28 normalized evidence and safety-related free text</t>
        </is>
      </c>
      <c r="DD74" t="inlineStr">
        <is>
          <t>No standardized dose established; use conservative, product-dependent ranges.</t>
        </is>
      </c>
      <c r="DE74" t="inlineStr">
        <is>
          <t>Common forms include extracts, powders, or teas depending on herb part.</t>
        </is>
      </c>
      <c r="DF74" t="inlineStr">
        <is>
          <t>Quality varies by extraction method, standardization, and contamination risk.</t>
        </is>
      </c>
      <c r="DG74" t="inlineStr">
        <is>
          <t>Moderate to high</t>
        </is>
      </c>
      <c r="DH74" t="inlineStr">
        <is>
          <t>Pass 29 completeness repair</t>
        </is>
      </c>
      <c r="DI74" t="n">
        <v>9</v>
      </c>
      <c r="DJ74" t="inlineStr">
        <is>
          <t>Metabolic</t>
        </is>
      </c>
      <c r="DK74" t="inlineStr">
        <is>
          <t>geniposidic acid</t>
        </is>
      </c>
      <c r="DL74" t="inlineStr">
        <is>
          <t>Ashitaba; Banaba; Curry Leaf; Guarana; Kuding Tea</t>
        </is>
      </c>
      <c r="DM74" t="inlineStr">
        <is>
          <t>Pass 31 relationship intelligence: density, cluster, anchor class, nearest herbs</t>
        </is>
      </c>
      <c r="DN74" t="inlineStr">
        <is>
          <t>Ashitaba; Banaba; Curry Leaf; Guarana; Kuding Tea</t>
        </is>
      </c>
      <c r="DO74" t="inlineStr">
        <is>
          <t>Ashitaba (1 shared pathways) | Banaba (1 shared pathways) | Curry Leaf (1 shared pathways)</t>
        </is>
      </c>
      <c r="DP74" t="inlineStr">
        <is>
          <t>Metabolic</t>
        </is>
      </c>
      <c r="DQ74" t="inlineStr">
        <is>
          <t>Pass 32 substitute engine + cluster cleanup</t>
        </is>
      </c>
      <c r="DR74" t="inlineStr">
        <is>
          <t>Ashitaba</t>
        </is>
      </c>
      <c r="DS74" t="inlineStr">
        <is>
          <t>Banaba</t>
        </is>
      </c>
      <c r="DT74" t="inlineStr">
        <is>
          <t>same cluster; lower safety burden; similarity-backed</t>
        </is>
      </c>
      <c r="DU74" t="inlineStr">
        <is>
          <t>Not needed</t>
        </is>
      </c>
      <c r="DV74" t="inlineStr">
        <is>
          <t>Pass 33 fallback replacement engine</t>
        </is>
      </c>
      <c r="DW74" t="inlineStr">
        <is>
          <t>Curry Leaf</t>
        </is>
      </c>
      <c r="DX74" t="inlineStr">
        <is>
          <t>Ashitaba; Banaba; Curry Leaf; Guarana; Kuding Tea</t>
        </is>
      </c>
      <c r="DY74" t="inlineStr">
        <is>
          <t>Pass 35 expanded fallback pool with second-pass candidate exploration</t>
        </is>
      </c>
      <c r="EG74" t="n">
        <v>3</v>
      </c>
      <c r="EH74" t="n">
        <v>3</v>
      </c>
      <c r="EI74" t="n">
        <v>0</v>
      </c>
      <c r="EJ74" t="n">
        <v>0</v>
      </c>
      <c r="EK74" t="n">
        <v>11</v>
      </c>
      <c r="EL74" t="n">
        <v>7</v>
      </c>
      <c r="EM74" t="inlineStr">
        <is>
          <t>geniposidic acid</t>
        </is>
      </c>
      <c r="EN74" t="inlineStr">
        <is>
          <t>Pass 48 rolled compound scores into herb-level scoring</t>
        </is>
      </c>
    </row>
    <row r="75">
      <c r="A75" s="68" t="inlineStr">
        <is>
          <t>Cistanche</t>
        </is>
      </c>
      <c r="B75" s="68" t="inlineStr">
        <is>
          <t>cistanche</t>
        </is>
      </c>
      <c r="C75" s="68" t="inlineStr">
        <is>
          <t>Cistanche deserticola</t>
        </is>
      </c>
      <c r="D75" s="68" t="inlineStr">
        <is>
          <t>herb</t>
        </is>
      </c>
      <c r="E75" s="68" t="inlineStr">
        <is>
          <t>stem</t>
        </is>
      </c>
      <c r="F75" s="68" t="inlineStr">
        <is>
          <t>stem</t>
        </is>
      </c>
      <c r="G75" s="68" t="inlineStr">
        <is>
          <t>cistanche</t>
        </is>
      </c>
      <c r="H75" s="68" t="inlineStr">
        <is>
          <t>China and Central Asia</t>
        </is>
      </c>
      <c r="I75" s="68" t="inlineStr">
        <is>
          <t>Cistanche is positioned for traditional restorative and fatigue-support use.</t>
        </is>
      </c>
      <c r="J75" s="68" t="inlineStr">
        <is>
          <t>It should be framed conservatively because traditional-system use is broader than modern clinical depth.</t>
        </is>
      </c>
      <c r="K75" s="68" t="inlineStr">
        <is>
          <t>echinacoside; acteoside</t>
        </is>
      </c>
      <c r="L75" s="68" t="inlineStr">
        <is>
          <t>echinacoside</t>
        </is>
      </c>
      <c r="M75" s="68" t="inlineStr">
        <is>
          <t>Phenylethanoid glycosides support restorative and antioxidant positioning.</t>
        </is>
      </c>
      <c r="N75" s="68" t="inlineStr">
        <is>
          <t>traditional restorative support; fatigue support</t>
        </is>
      </c>
      <c r="O75" s="68" t="inlineStr">
        <is>
          <t>traditional use + limited human</t>
        </is>
      </c>
      <c r="P75" s="68" t="inlineStr">
        <is>
          <t>Generally well tolerated.</t>
        </is>
      </c>
      <c r="Q75" s="68" t="inlineStr">
        <is>
          <t>Use caution with exaggerated vitality claims.</t>
        </is>
      </c>
      <c r="R75" s="68" t="n"/>
      <c r="S75" s="68" t="n"/>
      <c r="T75" s="68" t="n"/>
      <c r="U75" s="68" t="n"/>
      <c r="V75" s="68" t="n"/>
      <c r="W75" s="68" t="inlineStr">
        <is>
          <t>High</t>
        </is>
      </c>
      <c r="X75" s="68" t="inlineStr">
        <is>
          <t>validated</t>
        </is>
      </c>
      <c r="Y75" s="68" t="n"/>
      <c r="Z75" s="68" t="inlineStr">
        <is>
          <t>present</t>
        </is>
      </c>
      <c r="AA75" s="68" t="inlineStr">
        <is>
          <t>Internal workbook + enrichment queue</t>
        </is>
      </c>
      <c r="AB75" s="68" t="n"/>
      <c r="AC75" s="68" t="n"/>
      <c r="AD75" s="68" t="n"/>
      <c r="AE75" s="68" t="n"/>
      <c r="AF75" s="68" t="n"/>
      <c r="AG75" s="68" t="n">
        <v>3</v>
      </c>
      <c r="AH75" s="68" t="n">
        <v>1</v>
      </c>
      <c r="AI75" s="68" t="n">
        <v>3</v>
      </c>
      <c r="AJ75" s="68" t="n">
        <v>7</v>
      </c>
      <c r="AK75" s="68" t="inlineStr">
        <is>
          <t>Medium</t>
        </is>
      </c>
      <c r="AL75" s="68" t="n"/>
      <c r="AM75" s="68" t="inlineStr">
        <is>
          <t>Linked primary/secondary</t>
        </is>
      </c>
      <c r="AN75" s="68" t="n">
        <v>0.9</v>
      </c>
      <c r="AO75" s="68" t="inlineStr">
        <is>
          <t>Near ready</t>
        </is>
      </c>
      <c r="AP75" s="68" t="n"/>
      <c r="AQ75" s="68" t="n"/>
      <c r="AR75" s="68" t="inlineStr">
        <is>
          <t>Editorial polish</t>
        </is>
      </c>
      <c r="AS75" s="68" t="inlineStr">
        <is>
          <t>Not started</t>
        </is>
      </c>
      <c r="AT75" s="68" t="n"/>
      <c r="AU75" s="68" t="n"/>
      <c r="AV75" s="68" t="n"/>
      <c r="AW75" s="68" t="n"/>
      <c r="AX75" s="68" t="n"/>
      <c r="AY75" s="68" t="n"/>
      <c r="AZ75" s="68" t="n"/>
      <c r="BA75" s="68" t="n"/>
      <c r="BB75" s="68" t="n"/>
      <c r="BC75" s="68" t="n"/>
      <c r="BD75" s="68" t="n"/>
      <c r="BE75" s="68" t="inlineStr">
        <is>
          <t>2026-04-10</t>
        </is>
      </c>
      <c r="BF75" s="68" t="inlineStr">
        <is>
          <t>Metadata normalized from internal workbook links</t>
        </is>
      </c>
      <c r="BG75" s="68" t="inlineStr">
        <is>
          <t>cistanche|2026-04-10</t>
        </is>
      </c>
      <c r="BH75" s="68" t="inlineStr">
        <is>
          <t>2026-04-10:auto-normalized</t>
        </is>
      </c>
      <c r="BI75" t="inlineStr">
        <is>
          <t>cistanche</t>
        </is>
      </c>
      <c r="BJ75" t="inlineStr">
        <is>
          <t>Cistanche</t>
        </is>
      </c>
      <c r="BK75" t="n">
        <v>1</v>
      </c>
      <c r="BL75" t="n">
        <v>1</v>
      </c>
      <c r="BM75" t="n">
        <v>3</v>
      </c>
      <c r="BN75" t="n">
        <v>7</v>
      </c>
      <c r="BO75" t="n">
        <v>100</v>
      </c>
      <c r="BP75" t="n">
        <v>8</v>
      </c>
      <c r="BQ75" t="n">
        <v>10</v>
      </c>
      <c r="BR75" t="n">
        <v>5</v>
      </c>
      <c r="BS75" t="inlineStr">
        <is>
          <t>Tier 1</t>
        </is>
      </c>
      <c r="BT75" t="n">
        <v>5</v>
      </c>
      <c r="BU75" t="inlineStr">
        <is>
          <t>FALSE</t>
        </is>
      </c>
      <c r="BV75" t="inlineStr">
        <is>
          <t>cistanche</t>
        </is>
      </c>
      <c r="BW75" t="inlineStr">
        <is>
          <t>TRUE</t>
        </is>
      </c>
      <c r="BX75" t="inlineStr">
        <is>
          <t>Pass 10 refreshed scoring from 1 mapped compounds | Pass 13 rescored from 1 mapped compounds</t>
        </is>
      </c>
      <c r="BY75" t="inlineStr">
        <is>
          <t>unclassified</t>
        </is>
      </c>
      <c r="CA75" t="n">
        <v>2</v>
      </c>
      <c r="CB75" t="n">
        <v>0</v>
      </c>
      <c r="CC75" t="n">
        <v>0</v>
      </c>
      <c r="CD75" t="inlineStr">
        <is>
          <t>echinacoside; unclassified</t>
        </is>
      </c>
      <c r="CE75" t="inlineStr">
        <is>
          <t>Pass 13 rescored after herb-name normalization and real top-herb compound sweep</t>
        </is>
      </c>
      <c r="CF75" t="inlineStr">
        <is>
          <t>General</t>
        </is>
      </c>
      <c r="CH75" s="68" t="inlineStr">
        <is>
          <t>Start with low single-herb exposure and increase only if tolerated</t>
        </is>
      </c>
      <c r="CI75" s="68" t="inlineStr">
        <is>
          <t>Product-ideation framing only; not clinical dosing advice.</t>
        </is>
      </c>
      <c r="CJ75" s="68" t="str"/>
      <c r="CK75" s="68" t="str"/>
      <c r="CL75" s="68" t="inlineStr">
        <is>
          <t>Moderate</t>
        </is>
      </c>
      <c r="CM75" s="68" t="inlineStr">
        <is>
          <t>No</t>
        </is>
      </c>
      <c r="CN75" s="68" t="str"/>
      <c r="CO75" s="68" t="inlineStr">
        <is>
          <t>Pass 21 herb-level safety and dose framing</t>
        </is>
      </c>
      <c r="CP75" t="inlineStr">
        <is>
          <t>Baseline</t>
        </is>
      </c>
      <c r="CQ75" t="inlineStr">
        <is>
          <t>No</t>
        </is>
      </c>
      <c r="CS75" t="inlineStr">
        <is>
          <t>Pass 22 refined safety rule severity and reduced broad keyword over-flagging</t>
        </is>
      </c>
      <c r="CT75" t="inlineStr">
        <is>
          <t>General</t>
        </is>
      </c>
      <c r="CU75" t="inlineStr">
        <is>
          <t>fatigue support; traditional restorative support</t>
        </is>
      </c>
      <c r="CV75" t="inlineStr">
        <is>
          <t>Human</t>
        </is>
      </c>
      <c r="CW75" t="inlineStr">
        <is>
          <t>Pass 26 normalization: categories, mechanisms, evidence tiers</t>
        </is>
      </c>
      <c r="CX75" t="inlineStr">
        <is>
          <t>Limited human</t>
        </is>
      </c>
      <c r="CY75" t="inlineStr">
        <is>
          <t>Generally well tolerated.</t>
        </is>
      </c>
      <c r="CZ75" t="inlineStr">
        <is>
          <t>Use caution with exaggerated vitality claims</t>
        </is>
      </c>
      <c r="DB75" t="inlineStr">
        <is>
          <t>Pass 28 normalized evidence and safety-related free text</t>
        </is>
      </c>
      <c r="DD75" t="inlineStr">
        <is>
          <t>No standardized dose established; use conservative, product-dependent ranges.</t>
        </is>
      </c>
      <c r="DE75" t="inlineStr">
        <is>
          <t>Common forms include extracts, powders, or teas depending on herb part.</t>
        </is>
      </c>
      <c r="DF75" t="inlineStr">
        <is>
          <t>Quality varies by extraction method, standardization, and contamination risk.</t>
        </is>
      </c>
      <c r="DG75" t="inlineStr">
        <is>
          <t>Moderate to high</t>
        </is>
      </c>
      <c r="DH75" t="inlineStr">
        <is>
          <t>Pass 29 completeness repair</t>
        </is>
      </c>
      <c r="DI75" t="n">
        <v>9</v>
      </c>
      <c r="DJ75" t="inlineStr">
        <is>
          <t>General</t>
        </is>
      </c>
      <c r="DK75" t="inlineStr">
        <is>
          <t>echinacoside</t>
        </is>
      </c>
      <c r="DL75" t="inlineStr">
        <is>
          <t>Agarikon; Ajwain; Angelica Root; Artichoke; Ashoka</t>
        </is>
      </c>
      <c r="DM75" t="inlineStr">
        <is>
          <t>Pass 31 relationship intelligence: density, cluster, anchor class, nearest herbs</t>
        </is>
      </c>
      <c r="DN75" t="inlineStr">
        <is>
          <t>Agarikon; Ajwain; Angelica Root; Artichoke; Ashoka</t>
        </is>
      </c>
      <c r="DO75" t="inlineStr">
        <is>
          <t>Agarikon (1 shared pathways) | Ajwain (1 shared pathways) | Angelica Root (1 shared pathways)</t>
        </is>
      </c>
      <c r="DP75" t="inlineStr">
        <is>
          <t>Generalist</t>
        </is>
      </c>
      <c r="DQ75" t="inlineStr">
        <is>
          <t>Pass 32 substitute engine + cluster cleanup</t>
        </is>
      </c>
      <c r="DR75" t="inlineStr">
        <is>
          <t>Agarikon</t>
        </is>
      </c>
      <c r="DS75" t="inlineStr">
        <is>
          <t>Ajwain</t>
        </is>
      </c>
      <c r="DT75" t="inlineStr">
        <is>
          <t>same cluster; lower safety burden; similarity-backed</t>
        </is>
      </c>
      <c r="DU75" t="inlineStr">
        <is>
          <t>Not needed</t>
        </is>
      </c>
      <c r="DV75" t="inlineStr">
        <is>
          <t>Pass 33 fallback replacement engine</t>
        </is>
      </c>
      <c r="DW75" t="inlineStr">
        <is>
          <t>Angelica Root</t>
        </is>
      </c>
      <c r="DX75" t="inlineStr">
        <is>
          <t>Agarikon; Ajwain; Angelica Root; Ashoka; Blue Lotus; Artichoke; Rosemary; Sage</t>
        </is>
      </c>
      <c r="DY75" t="inlineStr">
        <is>
          <t>Pass 35 expanded fallback pool with second-pass candidate exploration</t>
        </is>
      </c>
      <c r="EA75" t="inlineStr">
        <is>
          <t>General</t>
        </is>
      </c>
      <c r="EB75" t="inlineStr">
        <is>
          <t>unclassified</t>
        </is>
      </c>
      <c r="EC75" t="inlineStr">
        <is>
          <t>High</t>
        </is>
      </c>
      <c r="ED75" t="inlineStr">
        <is>
          <t>Pass 40 reinforced weak-category herb data</t>
        </is>
      </c>
      <c r="EG75" t="n">
        <v>3</v>
      </c>
      <c r="EH75" t="n">
        <v>3</v>
      </c>
      <c r="EI75" t="n">
        <v>0</v>
      </c>
      <c r="EJ75" t="n">
        <v>0</v>
      </c>
      <c r="EK75" t="n">
        <v>11</v>
      </c>
      <c r="EL75" t="n">
        <v>7</v>
      </c>
      <c r="EM75" t="inlineStr">
        <is>
          <t>echinacoside</t>
        </is>
      </c>
      <c r="EN75" t="inlineStr">
        <is>
          <t>Pass 48 rolled compound scores into herb-level scoring</t>
        </is>
      </c>
    </row>
    <row r="76">
      <c r="A76" s="68" t="inlineStr">
        <is>
          <t>Jujube</t>
        </is>
      </c>
      <c r="B76" s="68" t="inlineStr">
        <is>
          <t>jujube</t>
        </is>
      </c>
      <c r="C76" s="68" t="inlineStr">
        <is>
          <t>Ziziphus jujuba</t>
        </is>
      </c>
      <c r="D76" s="68" t="inlineStr">
        <is>
          <t>herb</t>
        </is>
      </c>
      <c r="E76" s="68" t="inlineStr">
        <is>
          <t>fruit/seed</t>
        </is>
      </c>
      <c r="F76" s="68" t="inlineStr">
        <is>
          <t>fruit; seed</t>
        </is>
      </c>
      <c r="G76" s="68" t="inlineStr">
        <is>
          <t>jujube; red date</t>
        </is>
      </c>
      <c r="H76" s="68" t="inlineStr">
        <is>
          <t>China and cultivated broadly</t>
        </is>
      </c>
      <c r="I76" s="68" t="inlineStr">
        <is>
          <t>Jujube is positioned for calming, nutritive, and traditional sleep-support use.</t>
        </is>
      </c>
      <c r="J76" s="68" t="inlineStr">
        <is>
          <t>It is best framed as a food-like fruit/seed botanical with gentle traditional positioning.</t>
        </is>
      </c>
      <c r="K76" s="68" t="inlineStr">
        <is>
          <t>jujubosides; flavonoids</t>
        </is>
      </c>
      <c r="L76" s="68" t="inlineStr">
        <is>
          <t>jujuboside A</t>
        </is>
      </c>
      <c r="M76" s="68" t="inlineStr">
        <is>
          <t>Saponins and flavonoids support calming and traditional sleep positioning.</t>
        </is>
      </c>
      <c r="N76" s="68" t="inlineStr">
        <is>
          <t>calming support; nutritive support</t>
        </is>
      </c>
      <c r="O76" s="68" t="inlineStr">
        <is>
          <t>traditional use + limited human</t>
        </is>
      </c>
      <c r="P76" s="68" t="inlineStr">
        <is>
          <t>Generally well tolerated.</t>
        </is>
      </c>
      <c r="Q76" s="68" t="inlineStr">
        <is>
          <t>Use caution with sedative stacking.</t>
        </is>
      </c>
      <c r="R76" s="68" t="n"/>
      <c r="S76" s="68" t="n"/>
      <c r="T76" s="68" t="n"/>
      <c r="U76" s="68" t="n"/>
      <c r="V76" s="68" t="n"/>
      <c r="W76" s="68" t="inlineStr">
        <is>
          <t>High</t>
        </is>
      </c>
      <c r="X76" s="68" t="inlineStr">
        <is>
          <t>validated</t>
        </is>
      </c>
      <c r="Y76" s="68" t="n"/>
      <c r="Z76" s="68" t="inlineStr">
        <is>
          <t>present</t>
        </is>
      </c>
      <c r="AA76" s="68" t="inlineStr">
        <is>
          <t>Internal workbook + enrichment queue</t>
        </is>
      </c>
      <c r="AB76" s="68" t="n"/>
      <c r="AC76" s="68" t="n"/>
      <c r="AD76" s="68" t="n"/>
      <c r="AE76" s="68" t="n"/>
      <c r="AF76" s="68" t="n"/>
      <c r="AG76" s="68" t="n">
        <v>3</v>
      </c>
      <c r="AH76" s="68" t="n">
        <v>1</v>
      </c>
      <c r="AI76" s="68" t="n">
        <v>3</v>
      </c>
      <c r="AJ76" s="68" t="n">
        <v>7</v>
      </c>
      <c r="AK76" s="68" t="inlineStr">
        <is>
          <t>Medium</t>
        </is>
      </c>
      <c r="AL76" s="68" t="n"/>
      <c r="AM76" s="68" t="inlineStr">
        <is>
          <t>Linked primary/secondary</t>
        </is>
      </c>
      <c r="AN76" s="68" t="n">
        <v>0.9</v>
      </c>
      <c r="AO76" s="68" t="inlineStr">
        <is>
          <t>Near ready</t>
        </is>
      </c>
      <c r="AP76" s="68" t="n"/>
      <c r="AQ76" s="68" t="n"/>
      <c r="AR76" s="68" t="inlineStr">
        <is>
          <t>Editorial polish</t>
        </is>
      </c>
      <c r="AS76" s="68" t="inlineStr">
        <is>
          <t>Not started</t>
        </is>
      </c>
      <c r="AT76" s="68" t="n"/>
      <c r="AU76" s="68" t="n"/>
      <c r="AV76" s="68" t="n"/>
      <c r="AW76" s="68" t="n"/>
      <c r="AX76" s="68" t="n"/>
      <c r="AY76" s="68" t="n"/>
      <c r="AZ76" s="68" t="n"/>
      <c r="BA76" s="68" t="n"/>
      <c r="BB76" s="68" t="n"/>
      <c r="BC76" s="68" t="n"/>
      <c r="BD76" s="68" t="n"/>
      <c r="BE76" s="68" t="inlineStr">
        <is>
          <t>2026-04-10</t>
        </is>
      </c>
      <c r="BF76" s="68" t="inlineStr">
        <is>
          <t>Metadata normalized from internal workbook links</t>
        </is>
      </c>
      <c r="BG76" s="68" t="inlineStr">
        <is>
          <t>jujube|2026-04-10</t>
        </is>
      </c>
      <c r="BH76" s="68" t="inlineStr">
        <is>
          <t>2026-04-10:auto-normalized</t>
        </is>
      </c>
      <c r="BI76" t="inlineStr">
        <is>
          <t>jujube</t>
        </is>
      </c>
      <c r="BJ76" t="inlineStr">
        <is>
          <t>Jujube</t>
        </is>
      </c>
      <c r="BK76" t="n">
        <v>1</v>
      </c>
      <c r="BL76" t="n">
        <v>0</v>
      </c>
      <c r="BM76" t="n">
        <v>3</v>
      </c>
      <c r="BN76" t="n">
        <v>3</v>
      </c>
      <c r="BO76" t="n">
        <v>100</v>
      </c>
      <c r="BP76" t="n">
        <v>8</v>
      </c>
      <c r="BQ76" t="n">
        <v>0</v>
      </c>
      <c r="BR76" t="n">
        <v>5</v>
      </c>
      <c r="BS76" t="inlineStr">
        <is>
          <t>Tier 4</t>
        </is>
      </c>
      <c r="BT76" t="n">
        <v>3</v>
      </c>
      <c r="BU76" t="inlineStr">
        <is>
          <t>FALSE</t>
        </is>
      </c>
      <c r="BV76" t="inlineStr">
        <is>
          <t>jujube</t>
        </is>
      </c>
      <c r="BW76" t="inlineStr">
        <is>
          <t>TRUE</t>
        </is>
      </c>
      <c r="BX76" t="inlineStr">
        <is>
          <t>Pass 10 refreshed scoring from 1 mapped compounds | Pass 13 rescored from 1 mapped compounds</t>
        </is>
      </c>
      <c r="CA76" t="n">
        <v>2</v>
      </c>
      <c r="CB76" t="n">
        <v>0</v>
      </c>
      <c r="CC76" t="n">
        <v>0</v>
      </c>
      <c r="CE76" t="inlineStr">
        <is>
          <t>Pass 13 rescored after herb-name normalization and real top-herb compound sweep</t>
        </is>
      </c>
      <c r="CF76" t="inlineStr">
        <is>
          <t>General</t>
        </is>
      </c>
      <c r="CH76" s="68" t="inlineStr">
        <is>
          <t>Start low; usually evening or split use</t>
        </is>
      </c>
      <c r="CI76" s="68" t="inlineStr">
        <is>
          <t>Prefer evening or split dosing; avoid stacking with other sedative-heavy products by default.</t>
        </is>
      </c>
      <c r="CJ76" s="68" t="inlineStr">
        <is>
          <t>sedation-cns</t>
        </is>
      </c>
      <c r="CK76" s="68" t="str"/>
      <c r="CL76" s="68" t="inlineStr">
        <is>
          <t>Moderate</t>
        </is>
      </c>
      <c r="CM76" s="68" t="inlineStr">
        <is>
          <t>No</t>
        </is>
      </c>
      <c r="CN76" s="68" t="str"/>
      <c r="CO76" s="68" t="inlineStr">
        <is>
          <t>Pass 21 herb-level safety and dose framing</t>
        </is>
      </c>
      <c r="CP76" t="inlineStr">
        <is>
          <t>Baseline</t>
        </is>
      </c>
      <c r="CQ76" t="inlineStr">
        <is>
          <t>No</t>
        </is>
      </c>
      <c r="CS76" t="inlineStr">
        <is>
          <t>Pass 22 refined safety rule severity and reduced broad keyword over-flagging</t>
        </is>
      </c>
      <c r="CT76" t="inlineStr">
        <is>
          <t>General</t>
        </is>
      </c>
      <c r="CU76" t="inlineStr">
        <is>
          <t>calming support; nutritive support</t>
        </is>
      </c>
      <c r="CV76" t="inlineStr">
        <is>
          <t>Human</t>
        </is>
      </c>
      <c r="CW76" t="inlineStr">
        <is>
          <t>Pass 26 normalization: categories, mechanisms, evidence tiers</t>
        </is>
      </c>
      <c r="CX76" t="inlineStr">
        <is>
          <t>Limited human</t>
        </is>
      </c>
      <c r="CY76" t="inlineStr">
        <is>
          <t>Generally well tolerated.</t>
        </is>
      </c>
      <c r="CZ76" t="inlineStr">
        <is>
          <t>Use caution with sedative stacking</t>
        </is>
      </c>
      <c r="DB76" t="inlineStr">
        <is>
          <t>Pass 28 normalized evidence and safety-related free text</t>
        </is>
      </c>
      <c r="DD76" t="inlineStr">
        <is>
          <t>No standardized dose established; use conservative, product-dependent ranges.</t>
        </is>
      </c>
      <c r="DE76" t="inlineStr">
        <is>
          <t>Common forms include extracts, powders, or teas depending on herb part.</t>
        </is>
      </c>
      <c r="DF76" t="inlineStr">
        <is>
          <t>Quality varies by extraction method, standardization, and contamination risk.</t>
        </is>
      </c>
      <c r="DG76" t="inlineStr">
        <is>
          <t>Moderate to high</t>
        </is>
      </c>
      <c r="DH76" t="inlineStr">
        <is>
          <t>Pass 29 completeness repair</t>
        </is>
      </c>
      <c r="DI76" t="n">
        <v>6</v>
      </c>
      <c r="DJ76" t="inlineStr">
        <is>
          <t>General</t>
        </is>
      </c>
      <c r="DL76" t="inlineStr">
        <is>
          <t>Acerola; Agarikon; Ajwain; Aloe Vera; American Ginseng</t>
        </is>
      </c>
      <c r="DM76" t="inlineStr">
        <is>
          <t>Pass 31 relationship intelligence: density, cluster, anchor class, nearest herbs</t>
        </is>
      </c>
      <c r="DP76" t="inlineStr">
        <is>
          <t>Generalist</t>
        </is>
      </c>
      <c r="DQ76" t="inlineStr">
        <is>
          <t>Pass 32 substitute engine + cluster cleanup</t>
        </is>
      </c>
      <c r="DT76" t="inlineStr">
        <is>
          <t>no strong safe fallback found</t>
        </is>
      </c>
      <c r="DU76" t="inlineStr">
        <is>
          <t>Not needed</t>
        </is>
      </c>
      <c r="DV76" t="inlineStr">
        <is>
          <t>Pass 33 fallback replacement engine</t>
        </is>
      </c>
      <c r="DY76" t="inlineStr">
        <is>
          <t>Pass 35 expanded fallback pool with second-pass candidate exploration</t>
        </is>
      </c>
      <c r="EA76" t="inlineStr">
        <is>
          <t>General</t>
        </is>
      </c>
      <c r="EC76" t="inlineStr">
        <is>
          <t>High</t>
        </is>
      </c>
      <c r="ED76" t="inlineStr">
        <is>
          <t>Pass 40 reinforced weak-category herb data</t>
        </is>
      </c>
      <c r="EG76" t="n">
        <v>3</v>
      </c>
      <c r="EH76" t="n">
        <v>3</v>
      </c>
      <c r="EI76" t="n">
        <v>0</v>
      </c>
      <c r="EJ76" t="n">
        <v>0</v>
      </c>
      <c r="EK76" t="n">
        <v>11</v>
      </c>
      <c r="EL76" t="n">
        <v>7</v>
      </c>
      <c r="EM76" t="inlineStr">
        <is>
          <t>jujuboside a</t>
        </is>
      </c>
      <c r="EN76" t="inlineStr">
        <is>
          <t>Pass 48 rolled compound scores into herb-level scoring</t>
        </is>
      </c>
    </row>
    <row r="77">
      <c r="A77" s="68" t="inlineStr">
        <is>
          <t>Longan</t>
        </is>
      </c>
      <c r="B77" s="68" t="inlineStr">
        <is>
          <t>longan</t>
        </is>
      </c>
      <c r="C77" s="68" t="inlineStr">
        <is>
          <t>Dimocarpus longan</t>
        </is>
      </c>
      <c r="D77" s="68" t="inlineStr">
        <is>
          <t>herb</t>
        </is>
      </c>
      <c r="E77" s="68" t="inlineStr">
        <is>
          <t>fruit/seed</t>
        </is>
      </c>
      <c r="F77" s="68" t="inlineStr">
        <is>
          <t>fruit; seed</t>
        </is>
      </c>
      <c r="G77" s="68" t="inlineStr">
        <is>
          <t>longan</t>
        </is>
      </c>
      <c r="H77" s="68" t="inlineStr">
        <is>
          <t>Southeast Asia</t>
        </is>
      </c>
      <c r="I77" s="68" t="inlineStr">
        <is>
          <t>Longan is positioned for nutritive and traditional calming support.</t>
        </is>
      </c>
      <c r="J77" s="68" t="inlineStr">
        <is>
          <t>It should be framed as a food-like fruit botanical with modest modern evidence.</t>
        </is>
      </c>
      <c r="K77" s="68" t="inlineStr">
        <is>
          <t>polyphenols; gallic acid</t>
        </is>
      </c>
      <c r="L77" s="68" t="inlineStr">
        <is>
          <t>gallic acid</t>
        </is>
      </c>
      <c r="M77" s="68" t="inlineStr">
        <is>
          <t>Polyphenols support antioxidant and nutritive positioning.</t>
        </is>
      </c>
      <c r="N77" s="68" t="inlineStr">
        <is>
          <t>nutritive support; calming support</t>
        </is>
      </c>
      <c r="O77" s="68" t="inlineStr">
        <is>
          <t>traditional use + limited human</t>
        </is>
      </c>
      <c r="P77" s="68" t="inlineStr">
        <is>
          <t>Generally well tolerated.</t>
        </is>
      </c>
      <c r="Q77" s="68" t="inlineStr">
        <is>
          <t>Avoid overextended nootropic claims.</t>
        </is>
      </c>
      <c r="R77" s="68" t="n"/>
      <c r="S77" s="68" t="n"/>
      <c r="T77" s="68" t="n"/>
      <c r="U77" s="68" t="n"/>
      <c r="V77" s="68" t="n"/>
      <c r="W77" s="68" t="inlineStr">
        <is>
          <t>High</t>
        </is>
      </c>
      <c r="X77" s="68" t="inlineStr">
        <is>
          <t>validated</t>
        </is>
      </c>
      <c r="Y77" s="68" t="n"/>
      <c r="Z77" s="68" t="inlineStr">
        <is>
          <t>present</t>
        </is>
      </c>
      <c r="AA77" s="68" t="inlineStr">
        <is>
          <t>Internal workbook + enrichment queue</t>
        </is>
      </c>
      <c r="AB77" s="68" t="n"/>
      <c r="AC77" s="68" t="n"/>
      <c r="AD77" s="68" t="n"/>
      <c r="AE77" s="68" t="n"/>
      <c r="AF77" s="68" t="n"/>
      <c r="AG77" s="68" t="n">
        <v>3</v>
      </c>
      <c r="AH77" s="68" t="n">
        <v>1</v>
      </c>
      <c r="AI77" s="68" t="n">
        <v>3</v>
      </c>
      <c r="AJ77" s="68" t="n">
        <v>7</v>
      </c>
      <c r="AK77" s="68" t="inlineStr">
        <is>
          <t>Medium</t>
        </is>
      </c>
      <c r="AL77" s="68" t="n"/>
      <c r="AM77" s="68" t="inlineStr">
        <is>
          <t>Linked primary/secondary</t>
        </is>
      </c>
      <c r="AN77" s="68" t="n">
        <v>0.9</v>
      </c>
      <c r="AO77" s="68" t="inlineStr">
        <is>
          <t>Near ready</t>
        </is>
      </c>
      <c r="AP77" s="68" t="n"/>
      <c r="AQ77" s="68" t="n"/>
      <c r="AR77" s="68" t="inlineStr">
        <is>
          <t>Editorial polish</t>
        </is>
      </c>
      <c r="AS77" s="68" t="inlineStr">
        <is>
          <t>Not started</t>
        </is>
      </c>
      <c r="AT77" s="68" t="n"/>
      <c r="AU77" s="68" t="n"/>
      <c r="AV77" s="68" t="n"/>
      <c r="AW77" s="68" t="n"/>
      <c r="AX77" s="68" t="n"/>
      <c r="AY77" s="68" t="n"/>
      <c r="AZ77" s="68" t="n"/>
      <c r="BA77" s="68" t="n"/>
      <c r="BB77" s="68" t="n"/>
      <c r="BC77" s="68" t="n"/>
      <c r="BD77" s="68" t="n"/>
      <c r="BE77" s="68" t="inlineStr">
        <is>
          <t>2026-04-10</t>
        </is>
      </c>
      <c r="BF77" s="68" t="inlineStr">
        <is>
          <t>Metadata normalized from internal workbook links</t>
        </is>
      </c>
      <c r="BG77" s="68" t="inlineStr">
        <is>
          <t>longan|2026-04-10</t>
        </is>
      </c>
      <c r="BH77" s="68" t="inlineStr">
        <is>
          <t>2026-04-10:auto-normalized</t>
        </is>
      </c>
      <c r="BI77" t="inlineStr">
        <is>
          <t>longan</t>
        </is>
      </c>
      <c r="BJ77" t="inlineStr">
        <is>
          <t>Longan</t>
        </is>
      </c>
      <c r="BK77" t="n">
        <v>1</v>
      </c>
      <c r="BL77" t="n">
        <v>1</v>
      </c>
      <c r="BM77" t="n">
        <v>3</v>
      </c>
      <c r="BN77" t="n">
        <v>7</v>
      </c>
      <c r="BO77" t="n">
        <v>100</v>
      </c>
      <c r="BP77" t="n">
        <v>8</v>
      </c>
      <c r="BQ77" t="n">
        <v>10</v>
      </c>
      <c r="BR77" t="n">
        <v>5</v>
      </c>
      <c r="BS77" t="inlineStr">
        <is>
          <t>Tier 1</t>
        </is>
      </c>
      <c r="BT77" t="n">
        <v>5</v>
      </c>
      <c r="BU77" t="inlineStr">
        <is>
          <t>FALSE</t>
        </is>
      </c>
      <c r="BV77" t="inlineStr">
        <is>
          <t>longan</t>
        </is>
      </c>
      <c r="BW77" t="inlineStr">
        <is>
          <t>TRUE</t>
        </is>
      </c>
      <c r="BX77" t="inlineStr">
        <is>
          <t>Pass 10 refreshed scoring from 1 mapped compounds | Pass 13 rescored from 1 mapped compounds</t>
        </is>
      </c>
      <c r="BY77" t="inlineStr">
        <is>
          <t>unclassified</t>
        </is>
      </c>
      <c r="CA77" t="n">
        <v>2</v>
      </c>
      <c r="CB77" t="n">
        <v>0</v>
      </c>
      <c r="CC77" t="n">
        <v>0</v>
      </c>
      <c r="CD77" t="inlineStr">
        <is>
          <t>gallic acid; unclassified</t>
        </is>
      </c>
      <c r="CE77" t="inlineStr">
        <is>
          <t>Pass 13 rescored after herb-name normalization and real top-herb compound sweep</t>
        </is>
      </c>
      <c r="CF77" t="inlineStr">
        <is>
          <t>General</t>
        </is>
      </c>
      <c r="CH77" s="68" t="inlineStr">
        <is>
          <t>Start with low single-herb exposure and increase only if tolerated</t>
        </is>
      </c>
      <c r="CI77" s="68" t="inlineStr">
        <is>
          <t>Product-ideation framing only; not clinical dosing advice.</t>
        </is>
      </c>
      <c r="CJ77" s="68" t="str"/>
      <c r="CK77" s="68" t="str"/>
      <c r="CL77" s="68" t="inlineStr">
        <is>
          <t>Moderate</t>
        </is>
      </c>
      <c r="CM77" s="68" t="inlineStr">
        <is>
          <t>No</t>
        </is>
      </c>
      <c r="CN77" s="68" t="str"/>
      <c r="CO77" s="68" t="inlineStr">
        <is>
          <t>Pass 21 herb-level safety and dose framing</t>
        </is>
      </c>
      <c r="CP77" t="inlineStr">
        <is>
          <t>Baseline</t>
        </is>
      </c>
      <c r="CQ77" t="inlineStr">
        <is>
          <t>No</t>
        </is>
      </c>
      <c r="CS77" t="inlineStr">
        <is>
          <t>Pass 22 refined safety rule severity and reduced broad keyword over-flagging</t>
        </is>
      </c>
      <c r="CT77" t="inlineStr">
        <is>
          <t>General</t>
        </is>
      </c>
      <c r="CU77" t="inlineStr">
        <is>
          <t>calming support; nutritive support</t>
        </is>
      </c>
      <c r="CV77" t="inlineStr">
        <is>
          <t>Human</t>
        </is>
      </c>
      <c r="CW77" t="inlineStr">
        <is>
          <t>Pass 26 normalization: categories, mechanisms, evidence tiers</t>
        </is>
      </c>
      <c r="CX77" t="inlineStr">
        <is>
          <t>Limited human</t>
        </is>
      </c>
      <c r="CY77" t="inlineStr">
        <is>
          <t>Generally well tolerated.</t>
        </is>
      </c>
      <c r="CZ77" t="inlineStr">
        <is>
          <t>Avoid overextended nootropic claims</t>
        </is>
      </c>
      <c r="DB77" t="inlineStr">
        <is>
          <t>Pass 28 normalized evidence and safety-related free text</t>
        </is>
      </c>
      <c r="DD77" t="inlineStr">
        <is>
          <t>No standardized dose established; use conservative, product-dependent ranges.</t>
        </is>
      </c>
      <c r="DE77" t="inlineStr">
        <is>
          <t>Common forms include extracts, powders, or teas depending on herb part.</t>
        </is>
      </c>
      <c r="DF77" t="inlineStr">
        <is>
          <t>Quality varies by extraction method, standardization, and contamination risk.</t>
        </is>
      </c>
      <c r="DG77" t="inlineStr">
        <is>
          <t>Moderate to high</t>
        </is>
      </c>
      <c r="DH77" t="inlineStr">
        <is>
          <t>Pass 29 completeness repair</t>
        </is>
      </c>
      <c r="DI77" t="n">
        <v>9</v>
      </c>
      <c r="DJ77" t="inlineStr">
        <is>
          <t>General</t>
        </is>
      </c>
      <c r="DK77" t="inlineStr">
        <is>
          <t>gallic acid</t>
        </is>
      </c>
      <c r="DL77" t="inlineStr">
        <is>
          <t>Agarikon; Ajwain; Angelica Root; Artichoke; Ashoka</t>
        </is>
      </c>
      <c r="DM77" t="inlineStr">
        <is>
          <t>Pass 31 relationship intelligence: density, cluster, anchor class, nearest herbs</t>
        </is>
      </c>
      <c r="DN77" t="inlineStr">
        <is>
          <t>Artichoke; Ashoka; Blue Lotus; Boldo; Burdock</t>
        </is>
      </c>
      <c r="DO77" t="inlineStr">
        <is>
          <t>Artichoke (1 shared pathways) | Ashoka (1 shared pathways) | Blue Lotus (1 shared pathways)</t>
        </is>
      </c>
      <c r="DP77" t="inlineStr">
        <is>
          <t>Generalist</t>
        </is>
      </c>
      <c r="DQ77" t="inlineStr">
        <is>
          <t>Pass 32 substitute engine + cluster cleanup</t>
        </is>
      </c>
      <c r="DR77" t="inlineStr">
        <is>
          <t>Ashoka</t>
        </is>
      </c>
      <c r="DS77" t="inlineStr">
        <is>
          <t>Blue Lotus</t>
        </is>
      </c>
      <c r="DT77" t="inlineStr">
        <is>
          <t>same cluster; lower safety burden; similarity-backed</t>
        </is>
      </c>
      <c r="DU77" t="inlineStr">
        <is>
          <t>Not needed</t>
        </is>
      </c>
      <c r="DV77" t="inlineStr">
        <is>
          <t>Pass 33 fallback replacement engine</t>
        </is>
      </c>
      <c r="DW77" t="inlineStr">
        <is>
          <t>Burdock</t>
        </is>
      </c>
      <c r="DX77" t="inlineStr">
        <is>
          <t>Ashoka; Blue Lotus; Burdock; Agarikon; Ajwain; Angelica Root; Damiana; Artichoke</t>
        </is>
      </c>
      <c r="DY77" t="inlineStr">
        <is>
          <t>Pass 35 expanded fallback pool with second-pass candidate exploration</t>
        </is>
      </c>
      <c r="EA77" t="inlineStr">
        <is>
          <t>General</t>
        </is>
      </c>
      <c r="EB77" t="inlineStr">
        <is>
          <t>unclassified</t>
        </is>
      </c>
      <c r="EC77" t="inlineStr">
        <is>
          <t>High</t>
        </is>
      </c>
      <c r="ED77" t="inlineStr">
        <is>
          <t>Pass 40 reinforced weak-category herb data</t>
        </is>
      </c>
      <c r="EG77" t="n">
        <v>3</v>
      </c>
      <c r="EH77" t="n">
        <v>3</v>
      </c>
      <c r="EI77" t="n">
        <v>0</v>
      </c>
      <c r="EJ77" t="n">
        <v>0</v>
      </c>
      <c r="EK77" t="n">
        <v>11</v>
      </c>
      <c r="EL77" t="n">
        <v>7</v>
      </c>
      <c r="EM77" t="inlineStr">
        <is>
          <t>gallic acid</t>
        </is>
      </c>
      <c r="EN77" t="inlineStr">
        <is>
          <t>Pass 48 rolled compound scores into herb-level scoring</t>
        </is>
      </c>
    </row>
    <row r="78">
      <c r="A78" s="68" t="inlineStr">
        <is>
          <t>Polygala</t>
        </is>
      </c>
      <c r="B78" s="68" t="inlineStr">
        <is>
          <t>polygala</t>
        </is>
      </c>
      <c r="C78" s="68" t="inlineStr">
        <is>
          <t>Polygala tenuifolia</t>
        </is>
      </c>
      <c r="D78" s="68" t="inlineStr">
        <is>
          <t>herb</t>
        </is>
      </c>
      <c r="E78" s="68" t="inlineStr">
        <is>
          <t>root</t>
        </is>
      </c>
      <c r="F78" s="68" t="inlineStr">
        <is>
          <t>root</t>
        </is>
      </c>
      <c r="G78" s="68" t="inlineStr">
        <is>
          <t>yuan zhi; polygala</t>
        </is>
      </c>
      <c r="H78" s="68" t="inlineStr">
        <is>
          <t>China and East Asia</t>
        </is>
      </c>
      <c r="I78" s="68" t="inlineStr">
        <is>
          <t>Polygala is positioned for traditional cognitive and calming support.</t>
        </is>
      </c>
      <c r="J78" s="68" t="inlineStr">
        <is>
          <t>It is best framed as a traditional nootropic-style root with limited modern clinical depth.</t>
        </is>
      </c>
      <c r="K78" s="68" t="inlineStr">
        <is>
          <t>tenuifolin; polygalasaponins</t>
        </is>
      </c>
      <c r="L78" s="68" t="inlineStr">
        <is>
          <t>tenuifolin</t>
        </is>
      </c>
      <c r="M78" s="68" t="inlineStr">
        <is>
          <t>Saponins support traditional cognitive and calming positioning.</t>
        </is>
      </c>
      <c r="N78" s="68" t="inlineStr">
        <is>
          <t>traditional cognitive support; calming support</t>
        </is>
      </c>
      <c r="O78" s="68" t="inlineStr">
        <is>
          <t>traditional use + limited human</t>
        </is>
      </c>
      <c r="P78" s="68" t="inlineStr">
        <is>
          <t>Use cautiously.</t>
        </is>
      </c>
      <c r="Q78" s="68" t="inlineStr">
        <is>
          <t>Use caution with sedative stacking.</t>
        </is>
      </c>
      <c r="R78" s="68" t="n"/>
      <c r="S78" s="68" t="n"/>
      <c r="T78" s="68" t="n"/>
      <c r="U78" s="68" t="n"/>
      <c r="V78" s="68" t="n"/>
      <c r="W78" s="68" t="inlineStr">
        <is>
          <t>High</t>
        </is>
      </c>
      <c r="X78" s="68" t="inlineStr">
        <is>
          <t>validated</t>
        </is>
      </c>
      <c r="Y78" s="68" t="n"/>
      <c r="Z78" s="68" t="inlineStr">
        <is>
          <t>present</t>
        </is>
      </c>
      <c r="AA78" s="68" t="inlineStr">
        <is>
          <t>Internal workbook + enrichment queue</t>
        </is>
      </c>
      <c r="AB78" s="68" t="n"/>
      <c r="AC78" s="68" t="n"/>
      <c r="AD78" s="68" t="n"/>
      <c r="AE78" s="68" t="n"/>
      <c r="AF78" s="68" t="n"/>
      <c r="AG78" s="68" t="n">
        <v>3</v>
      </c>
      <c r="AH78" s="68" t="n">
        <v>1</v>
      </c>
      <c r="AI78" s="68" t="n">
        <v>3</v>
      </c>
      <c r="AJ78" s="68" t="n">
        <v>7</v>
      </c>
      <c r="AK78" s="68" t="inlineStr">
        <is>
          <t>Medium</t>
        </is>
      </c>
      <c r="AL78" s="68" t="n"/>
      <c r="AM78" s="68" t="inlineStr">
        <is>
          <t>Linked primary/secondary</t>
        </is>
      </c>
      <c r="AN78" s="68" t="n">
        <v>0.9</v>
      </c>
      <c r="AO78" s="68" t="inlineStr">
        <is>
          <t>Near ready</t>
        </is>
      </c>
      <c r="AP78" s="68" t="n"/>
      <c r="AQ78" s="68" t="n"/>
      <c r="AR78" s="68" t="inlineStr">
        <is>
          <t>Editorial polish</t>
        </is>
      </c>
      <c r="AS78" s="68" t="inlineStr">
        <is>
          <t>Not started</t>
        </is>
      </c>
      <c r="AT78" s="68" t="n"/>
      <c r="AU78" s="68" t="n"/>
      <c r="AV78" s="68" t="n"/>
      <c r="AW78" s="68" t="n"/>
      <c r="AX78" s="68" t="n"/>
      <c r="AY78" s="68" t="n"/>
      <c r="AZ78" s="68" t="n"/>
      <c r="BA78" s="68" t="n"/>
      <c r="BB78" s="68" t="n"/>
      <c r="BC78" s="68" t="n"/>
      <c r="BD78" s="68" t="n"/>
      <c r="BE78" s="68" t="inlineStr">
        <is>
          <t>2026-04-10</t>
        </is>
      </c>
      <c r="BF78" s="68" t="inlineStr">
        <is>
          <t>Metadata normalized from internal workbook links</t>
        </is>
      </c>
      <c r="BG78" s="68" t="inlineStr">
        <is>
          <t>polygala|2026-04-10</t>
        </is>
      </c>
      <c r="BH78" s="68" t="inlineStr">
        <is>
          <t>2026-04-10:auto-normalized</t>
        </is>
      </c>
      <c r="BI78" t="inlineStr">
        <is>
          <t>polygala</t>
        </is>
      </c>
      <c r="BJ78" t="inlineStr">
        <is>
          <t>Polygala</t>
        </is>
      </c>
      <c r="BK78" t="n">
        <v>1</v>
      </c>
      <c r="BL78" t="n">
        <v>1</v>
      </c>
      <c r="BM78" t="n">
        <v>3</v>
      </c>
      <c r="BN78" t="n">
        <v>7</v>
      </c>
      <c r="BO78" t="n">
        <v>100</v>
      </c>
      <c r="BP78" t="n">
        <v>8</v>
      </c>
      <c r="BQ78" t="n">
        <v>10</v>
      </c>
      <c r="BR78" t="n">
        <v>5</v>
      </c>
      <c r="BS78" t="inlineStr">
        <is>
          <t>Tier 1</t>
        </is>
      </c>
      <c r="BT78" t="n">
        <v>5</v>
      </c>
      <c r="BU78" t="inlineStr">
        <is>
          <t>FALSE</t>
        </is>
      </c>
      <c r="BV78" t="inlineStr">
        <is>
          <t>polygala</t>
        </is>
      </c>
      <c r="BW78" t="inlineStr">
        <is>
          <t>TRUE</t>
        </is>
      </c>
      <c r="BX78" t="inlineStr">
        <is>
          <t>Pass 10 refreshed scoring from 1 mapped compounds | Pass 13 rescored from 1 mapped compounds</t>
        </is>
      </c>
      <c r="BY78" t="inlineStr">
        <is>
          <t>unclassified</t>
        </is>
      </c>
      <c r="CA78" t="n">
        <v>2</v>
      </c>
      <c r="CB78" t="n">
        <v>0</v>
      </c>
      <c r="CC78" t="n">
        <v>0</v>
      </c>
      <c r="CD78" t="inlineStr">
        <is>
          <t>tenuifolin; unclassified</t>
        </is>
      </c>
      <c r="CE78" t="inlineStr">
        <is>
          <t>Pass 13 rescored after herb-name normalization and real top-herb compound sweep</t>
        </is>
      </c>
      <c r="CF78" t="inlineStr">
        <is>
          <t>General</t>
        </is>
      </c>
      <c r="CH78" s="68" t="inlineStr">
        <is>
          <t>Start low; usually evening or split use</t>
        </is>
      </c>
      <c r="CI78" s="68" t="inlineStr">
        <is>
          <t>Prefer evening or split dosing; avoid stacking with other sedative-heavy products by default.</t>
        </is>
      </c>
      <c r="CJ78" s="68" t="inlineStr">
        <is>
          <t>sedation-cns</t>
        </is>
      </c>
      <c r="CK78" s="68" t="str"/>
      <c r="CL78" s="68" t="inlineStr">
        <is>
          <t>Moderate</t>
        </is>
      </c>
      <c r="CM78" s="68" t="inlineStr">
        <is>
          <t>No</t>
        </is>
      </c>
      <c r="CN78" s="68" t="str"/>
      <c r="CO78" s="68" t="inlineStr">
        <is>
          <t>Pass 21 herb-level safety and dose framing</t>
        </is>
      </c>
      <c r="CP78" t="inlineStr">
        <is>
          <t>Baseline</t>
        </is>
      </c>
      <c r="CQ78" t="inlineStr">
        <is>
          <t>No</t>
        </is>
      </c>
      <c r="CS78" t="inlineStr">
        <is>
          <t>Pass 22 refined safety rule severity and reduced broad keyword over-flagging</t>
        </is>
      </c>
      <c r="CT78" t="inlineStr">
        <is>
          <t>Focus</t>
        </is>
      </c>
      <c r="CU78" t="inlineStr">
        <is>
          <t>calming support; traditional cognitive support</t>
        </is>
      </c>
      <c r="CV78" t="inlineStr">
        <is>
          <t>Human</t>
        </is>
      </c>
      <c r="CW78" t="inlineStr">
        <is>
          <t>Pass 26 normalization: categories, mechanisms, evidence tiers</t>
        </is>
      </c>
      <c r="CX78" t="inlineStr">
        <is>
          <t>Limited human</t>
        </is>
      </c>
      <c r="CY78" t="inlineStr">
        <is>
          <t>Use cautiously.</t>
        </is>
      </c>
      <c r="CZ78" t="inlineStr">
        <is>
          <t>Use caution with sedative stacking</t>
        </is>
      </c>
      <c r="DB78" t="inlineStr">
        <is>
          <t>Pass 28 normalized evidence and safety-related free text</t>
        </is>
      </c>
      <c r="DD78" t="inlineStr">
        <is>
          <t>No standardized dose established; use conservative, product-dependent ranges.</t>
        </is>
      </c>
      <c r="DE78" t="inlineStr">
        <is>
          <t>Common forms include extracts, powders, or teas depending on herb part.</t>
        </is>
      </c>
      <c r="DF78" t="inlineStr">
        <is>
          <t>Quality varies by extraction method, standardization, and contamination risk.</t>
        </is>
      </c>
      <c r="DG78" t="inlineStr">
        <is>
          <t>Moderate to high</t>
        </is>
      </c>
      <c r="DH78" t="inlineStr">
        <is>
          <t>Pass 29 completeness repair</t>
        </is>
      </c>
      <c r="DI78" t="n">
        <v>9</v>
      </c>
      <c r="DJ78" t="inlineStr">
        <is>
          <t>Neurocognitive</t>
        </is>
      </c>
      <c r="DK78" t="inlineStr">
        <is>
          <t>tenuifolin</t>
        </is>
      </c>
      <c r="DL78" t="inlineStr">
        <is>
          <t>Shankhpushpi; Agarikon; Ajwain; Angelica Root; Artichoke</t>
        </is>
      </c>
      <c r="DM78" t="inlineStr">
        <is>
          <t>Pass 31 relationship intelligence: density, cluster, anchor class, nearest herbs</t>
        </is>
      </c>
      <c r="DP78" t="inlineStr">
        <is>
          <t>Neuro / Cognitive</t>
        </is>
      </c>
      <c r="DQ78" t="inlineStr">
        <is>
          <t>Pass 32 substitute engine + cluster cleanup</t>
        </is>
      </c>
      <c r="DT78" t="inlineStr">
        <is>
          <t>no strong safe fallback found</t>
        </is>
      </c>
      <c r="DU78" t="inlineStr">
        <is>
          <t>Not needed</t>
        </is>
      </c>
      <c r="DV78" t="inlineStr">
        <is>
          <t>Pass 33 fallback replacement engine</t>
        </is>
      </c>
      <c r="DY78" t="inlineStr">
        <is>
          <t>Pass 35 expanded fallback pool with second-pass candidate exploration</t>
        </is>
      </c>
      <c r="EG78" t="n">
        <v>3</v>
      </c>
      <c r="EH78" t="n">
        <v>3</v>
      </c>
      <c r="EI78" t="n">
        <v>0</v>
      </c>
      <c r="EJ78" t="n">
        <v>0</v>
      </c>
      <c r="EK78" t="n">
        <v>11</v>
      </c>
      <c r="EL78" t="n">
        <v>7</v>
      </c>
      <c r="EM78" t="inlineStr">
        <is>
          <t>tenuifolin</t>
        </is>
      </c>
      <c r="EN78" t="inlineStr">
        <is>
          <t>Pass 48 rolled compound scores into herb-level scoring</t>
        </is>
      </c>
    </row>
    <row r="79">
      <c r="A79" s="68" t="inlineStr">
        <is>
          <t>Gastrodia</t>
        </is>
      </c>
      <c r="B79" s="68" t="inlineStr">
        <is>
          <t>gastrodia</t>
        </is>
      </c>
      <c r="C79" s="68" t="inlineStr">
        <is>
          <t>Gastrodia elata</t>
        </is>
      </c>
      <c r="D79" s="68" t="inlineStr">
        <is>
          <t>herb</t>
        </is>
      </c>
      <c r="E79" s="68" t="inlineStr">
        <is>
          <t>rhizome</t>
        </is>
      </c>
      <c r="F79" s="68" t="inlineStr">
        <is>
          <t>rhizome</t>
        </is>
      </c>
      <c r="G79" s="68" t="inlineStr">
        <is>
          <t>gastrodia; tian ma</t>
        </is>
      </c>
      <c r="H79" s="68" t="inlineStr">
        <is>
          <t>China and East Asia</t>
        </is>
      </c>
      <c r="I79" s="68" t="inlineStr">
        <is>
          <t>Gastrodia is positioned for traditional neurological and calming support.</t>
        </is>
      </c>
      <c r="J79" s="68" t="inlineStr">
        <is>
          <t>It should be framed conservatively because traditional neurologic use is broader than modern evidence.</t>
        </is>
      </c>
      <c r="K79" s="68" t="inlineStr">
        <is>
          <t>gastrodin</t>
        </is>
      </c>
      <c r="L79" s="68" t="inlineStr">
        <is>
          <t>gastrodin</t>
        </is>
      </c>
      <c r="M79" s="68" t="inlineStr">
        <is>
          <t>Phenolic glycosides support traditional neurological and calming positioning.</t>
        </is>
      </c>
      <c r="N79" s="68" t="inlineStr">
        <is>
          <t>traditional nervous-system support; calming support</t>
        </is>
      </c>
      <c r="O79" s="68" t="inlineStr">
        <is>
          <t>traditional use + limited human</t>
        </is>
      </c>
      <c r="P79" s="68" t="inlineStr">
        <is>
          <t>Generally well tolerated.</t>
        </is>
      </c>
      <c r="Q79" s="68" t="inlineStr">
        <is>
          <t>Avoid overstated neuroprotective claims.</t>
        </is>
      </c>
      <c r="R79" s="68" t="n"/>
      <c r="S79" s="68" t="n"/>
      <c r="T79" s="68" t="n"/>
      <c r="U79" s="68" t="n"/>
      <c r="V79" s="68" t="n"/>
      <c r="W79" s="68" t="inlineStr">
        <is>
          <t>High</t>
        </is>
      </c>
      <c r="X79" s="68" t="inlineStr">
        <is>
          <t>partial</t>
        </is>
      </c>
      <c r="Y79" s="68" t="n"/>
      <c r="Z79" s="68" t="inlineStr">
        <is>
          <t>present</t>
        </is>
      </c>
      <c r="AA79" s="68" t="inlineStr">
        <is>
          <t>Internal workbook + enrichment queue</t>
        </is>
      </c>
      <c r="AB79" s="68" t="n"/>
      <c r="AC79" s="68" t="n"/>
      <c r="AD79" s="68" t="n"/>
      <c r="AE79" s="68" t="n"/>
      <c r="AF79" s="68" t="n"/>
      <c r="AG79" s="68" t="n">
        <v>3</v>
      </c>
      <c r="AH79" s="68" t="n">
        <v>1</v>
      </c>
      <c r="AI79" s="68" t="n">
        <v>3</v>
      </c>
      <c r="AJ79" s="68" t="n">
        <v>7</v>
      </c>
      <c r="AK79" s="68" t="inlineStr">
        <is>
          <t>Medium</t>
        </is>
      </c>
      <c r="AL79" s="68" t="n"/>
      <c r="AM79" s="68" t="inlineStr">
        <is>
          <t>Linked primary/secondary</t>
        </is>
      </c>
      <c r="AN79" s="68" t="n">
        <v>0.9</v>
      </c>
      <c r="AO79" s="68" t="inlineStr">
        <is>
          <t>Near ready</t>
        </is>
      </c>
      <c r="AP79" s="68" t="n"/>
      <c r="AQ79" s="68" t="n"/>
      <c r="AR79" s="68" t="inlineStr">
        <is>
          <t>Editorial polish</t>
        </is>
      </c>
      <c r="AS79" s="68" t="inlineStr">
        <is>
          <t>Not started</t>
        </is>
      </c>
      <c r="AT79" s="68" t="n"/>
      <c r="AU79" s="68" t="n"/>
      <c r="AV79" s="68" t="n"/>
      <c r="AW79" s="68" t="n"/>
      <c r="AX79" s="68" t="n"/>
      <c r="AY79" s="68" t="n"/>
      <c r="AZ79" s="68" t="n"/>
      <c r="BA79" s="68" t="n"/>
      <c r="BB79" s="68" t="n"/>
      <c r="BC79" s="68" t="n"/>
      <c r="BD79" s="68" t="n"/>
      <c r="BE79" s="68" t="inlineStr">
        <is>
          <t>2026-04-10</t>
        </is>
      </c>
      <c r="BF79" s="68" t="inlineStr">
        <is>
          <t>Metadata normalized from internal workbook links</t>
        </is>
      </c>
      <c r="BG79" s="68" t="inlineStr">
        <is>
          <t>gastrodia|2026-04-10</t>
        </is>
      </c>
      <c r="BH79" s="68" t="inlineStr">
        <is>
          <t>2026-04-10:auto-normalized</t>
        </is>
      </c>
      <c r="BI79" t="inlineStr">
        <is>
          <t>gastrodia</t>
        </is>
      </c>
      <c r="BJ79" t="inlineStr">
        <is>
          <t>Gastrodia</t>
        </is>
      </c>
      <c r="BK79" t="n">
        <v>1</v>
      </c>
      <c r="BL79" t="n">
        <v>1</v>
      </c>
      <c r="BM79" t="n">
        <v>3</v>
      </c>
      <c r="BN79" t="n">
        <v>7</v>
      </c>
      <c r="BO79" t="n">
        <v>100</v>
      </c>
      <c r="BP79" t="n">
        <v>8</v>
      </c>
      <c r="BQ79" t="n">
        <v>10</v>
      </c>
      <c r="BR79" t="n">
        <v>5</v>
      </c>
      <c r="BS79" t="inlineStr">
        <is>
          <t>Tier 1</t>
        </is>
      </c>
      <c r="BT79" t="n">
        <v>5</v>
      </c>
      <c r="BU79" t="inlineStr">
        <is>
          <t>FALSE</t>
        </is>
      </c>
      <c r="BV79" t="inlineStr">
        <is>
          <t>gastrodia</t>
        </is>
      </c>
      <c r="BW79" t="inlineStr">
        <is>
          <t>TRUE</t>
        </is>
      </c>
      <c r="BX79" t="inlineStr">
        <is>
          <t>Pass 10 refreshed scoring from 1 mapped compounds | Pass 13 rescored from 1 mapped compounds</t>
        </is>
      </c>
      <c r="BY79" t="inlineStr">
        <is>
          <t>unclassified</t>
        </is>
      </c>
      <c r="CA79" t="n">
        <v>2</v>
      </c>
      <c r="CB79" t="n">
        <v>0</v>
      </c>
      <c r="CC79" t="n">
        <v>0</v>
      </c>
      <c r="CD79" t="inlineStr">
        <is>
          <t>gastrodin; unclassified</t>
        </is>
      </c>
      <c r="CE79" t="inlineStr">
        <is>
          <t>Pass 13 rescored after herb-name normalization and real top-herb compound sweep</t>
        </is>
      </c>
      <c r="CF79" t="inlineStr">
        <is>
          <t>General</t>
        </is>
      </c>
      <c r="CH79" s="68" t="inlineStr">
        <is>
          <t>Start with low single-herb exposure and increase only if tolerated</t>
        </is>
      </c>
      <c r="CI79" s="68" t="inlineStr">
        <is>
          <t>Product-ideation framing only; not clinical dosing advice.</t>
        </is>
      </c>
      <c r="CJ79" s="68" t="str"/>
      <c r="CK79" s="68" t="str"/>
      <c r="CL79" s="68" t="inlineStr">
        <is>
          <t>Moderate</t>
        </is>
      </c>
      <c r="CM79" s="68" t="inlineStr">
        <is>
          <t>No</t>
        </is>
      </c>
      <c r="CN79" s="68" t="str"/>
      <c r="CO79" s="68" t="inlineStr">
        <is>
          <t>Pass 21 herb-level safety and dose framing</t>
        </is>
      </c>
      <c r="CP79" t="inlineStr">
        <is>
          <t>Baseline</t>
        </is>
      </c>
      <c r="CQ79" t="inlineStr">
        <is>
          <t>No</t>
        </is>
      </c>
      <c r="CS79" t="inlineStr">
        <is>
          <t>Pass 22 refined safety rule severity and reduced broad keyword over-flagging</t>
        </is>
      </c>
      <c r="CT79" t="inlineStr">
        <is>
          <t>General</t>
        </is>
      </c>
      <c r="CU79" t="inlineStr">
        <is>
          <t>calming support; traditional nervous-system support</t>
        </is>
      </c>
      <c r="CV79" t="inlineStr">
        <is>
          <t>Human</t>
        </is>
      </c>
      <c r="CW79" t="inlineStr">
        <is>
          <t>Pass 26 normalization: categories, mechanisms, evidence tiers</t>
        </is>
      </c>
      <c r="CX79" t="inlineStr">
        <is>
          <t>Limited human</t>
        </is>
      </c>
      <c r="CY79" t="inlineStr">
        <is>
          <t>Generally well tolerated.</t>
        </is>
      </c>
      <c r="CZ79" t="inlineStr">
        <is>
          <t>Avoid overstated neuroprotective claims</t>
        </is>
      </c>
      <c r="DB79" t="inlineStr">
        <is>
          <t>Pass 28 normalized evidence and safety-related free text</t>
        </is>
      </c>
      <c r="DD79" t="inlineStr">
        <is>
          <t>No standardized dose established; use conservative, product-dependent ranges.</t>
        </is>
      </c>
      <c r="DE79" t="inlineStr">
        <is>
          <t>Common forms include extracts, powders, or teas depending on herb part.</t>
        </is>
      </c>
      <c r="DF79" t="inlineStr">
        <is>
          <t>Quality varies by extraction method, standardization, and contamination risk.</t>
        </is>
      </c>
      <c r="DG79" t="inlineStr">
        <is>
          <t>Moderate to high</t>
        </is>
      </c>
      <c r="DH79" t="inlineStr">
        <is>
          <t>Pass 29 completeness repair</t>
        </is>
      </c>
      <c r="DI79" t="n">
        <v>9</v>
      </c>
      <c r="DJ79" t="inlineStr">
        <is>
          <t>General</t>
        </is>
      </c>
      <c r="DK79" t="inlineStr">
        <is>
          <t>gastrodin</t>
        </is>
      </c>
      <c r="DL79" t="inlineStr">
        <is>
          <t>Agarikon; Ajwain; Angelica Root; Artichoke; Ashoka</t>
        </is>
      </c>
      <c r="DM79" t="inlineStr">
        <is>
          <t>Pass 31 relationship intelligence: density, cluster, anchor class, nearest herbs</t>
        </is>
      </c>
      <c r="DN79" t="inlineStr">
        <is>
          <t>Agarikon; Ajwain; Angelica Root; Artichoke; Ashoka</t>
        </is>
      </c>
      <c r="DO79" t="inlineStr">
        <is>
          <t>Agarikon (1 shared pathways) | Ajwain (1 shared pathways) | Angelica Root (1 shared pathways)</t>
        </is>
      </c>
      <c r="DP79" t="inlineStr">
        <is>
          <t>Generalist</t>
        </is>
      </c>
      <c r="DQ79" t="inlineStr">
        <is>
          <t>Pass 32 substitute engine + cluster cleanup</t>
        </is>
      </c>
      <c r="DR79" t="inlineStr">
        <is>
          <t>Agarikon</t>
        </is>
      </c>
      <c r="DS79" t="inlineStr">
        <is>
          <t>Ajwain</t>
        </is>
      </c>
      <c r="DT79" t="inlineStr">
        <is>
          <t>same cluster; lower safety burden; similarity-backed</t>
        </is>
      </c>
      <c r="DU79" t="inlineStr">
        <is>
          <t>Not needed</t>
        </is>
      </c>
      <c r="DV79" t="inlineStr">
        <is>
          <t>Pass 33 fallback replacement engine</t>
        </is>
      </c>
      <c r="DW79" t="inlineStr">
        <is>
          <t>Angelica Root</t>
        </is>
      </c>
      <c r="DX79" t="inlineStr">
        <is>
          <t>Agarikon; Ajwain; Angelica Root; Ashoka; Blue Lotus; Artichoke; Rosemary; Sage</t>
        </is>
      </c>
      <c r="DY79" t="inlineStr">
        <is>
          <t>Pass 35 expanded fallback pool with second-pass candidate exploration</t>
        </is>
      </c>
      <c r="EA79" t="inlineStr">
        <is>
          <t>General</t>
        </is>
      </c>
      <c r="EB79" t="inlineStr">
        <is>
          <t>unclassified</t>
        </is>
      </c>
      <c r="EC79" t="inlineStr">
        <is>
          <t>High</t>
        </is>
      </c>
      <c r="ED79" t="inlineStr">
        <is>
          <t>Pass 40 reinforced weak-category herb data</t>
        </is>
      </c>
      <c r="EG79" t="n">
        <v>3</v>
      </c>
      <c r="EH79" t="n">
        <v>3</v>
      </c>
      <c r="EI79" t="n">
        <v>0</v>
      </c>
      <c r="EJ79" t="n">
        <v>0</v>
      </c>
      <c r="EK79" t="n">
        <v>11</v>
      </c>
      <c r="EL79" t="n">
        <v>7</v>
      </c>
      <c r="EM79" t="inlineStr">
        <is>
          <t>gastrodin</t>
        </is>
      </c>
      <c r="EN79" t="inlineStr">
        <is>
          <t>Pass 48 rolled compound scores into herb-level scoring</t>
        </is>
      </c>
    </row>
    <row r="80">
      <c r="A80" s="68" t="inlineStr">
        <is>
          <t>White Peony</t>
        </is>
      </c>
      <c r="B80" s="68" t="inlineStr">
        <is>
          <t>white-peony</t>
        </is>
      </c>
      <c r="C80" s="68" t="inlineStr">
        <is>
          <t>Paeonia lactiflora</t>
        </is>
      </c>
      <c r="D80" s="68" t="inlineStr">
        <is>
          <t>herb</t>
        </is>
      </c>
      <c r="E80" s="68" t="inlineStr">
        <is>
          <t>root</t>
        </is>
      </c>
      <c r="F80" s="68" t="inlineStr">
        <is>
          <t>root</t>
        </is>
      </c>
      <c r="G80" s="68" t="inlineStr">
        <is>
          <t>white peony</t>
        </is>
      </c>
      <c r="H80" s="68" t="inlineStr">
        <is>
          <t>China and East Asia</t>
        </is>
      </c>
      <c r="I80" s="68" t="inlineStr">
        <is>
          <t>White peony is positioned for traditional cycle-related and calming support.</t>
        </is>
      </c>
      <c r="J80" s="68" t="inlineStr">
        <is>
          <t>It is best framed as a paeoniflorin-rich root with traditional-system relevance.</t>
        </is>
      </c>
      <c r="K80" s="68" t="inlineStr">
        <is>
          <t>paeoniflorin</t>
        </is>
      </c>
      <c r="L80" s="68" t="inlineStr">
        <is>
          <t>paeoniflorin</t>
        </is>
      </c>
      <c r="M80" s="68" t="inlineStr">
        <is>
          <t>Monoterpene glycosides support traditional cycle and calming positioning.</t>
        </is>
      </c>
      <c r="N80" s="68" t="inlineStr">
        <is>
          <t>traditional cycle support; calming support</t>
        </is>
      </c>
      <c r="O80" s="68" t="inlineStr">
        <is>
          <t>traditional use + limited human</t>
        </is>
      </c>
      <c r="P80" s="68" t="inlineStr">
        <is>
          <t>Generally well tolerated.</t>
        </is>
      </c>
      <c r="Q80" s="68" t="inlineStr">
        <is>
          <t>Use caution with anticoagulant-sensitive contexts.</t>
        </is>
      </c>
      <c r="R80" s="68" t="n"/>
      <c r="S80" s="68" t="n"/>
      <c r="T80" s="68" t="n"/>
      <c r="U80" s="68" t="n"/>
      <c r="V80" s="68" t="n"/>
      <c r="W80" s="68" t="inlineStr">
        <is>
          <t>High</t>
        </is>
      </c>
      <c r="X80" s="68" t="inlineStr">
        <is>
          <t>partial</t>
        </is>
      </c>
      <c r="Y80" s="68" t="n"/>
      <c r="Z80" s="68" t="inlineStr">
        <is>
          <t>present</t>
        </is>
      </c>
      <c r="AA80" s="68" t="inlineStr">
        <is>
          <t>Internal workbook + enrichment queue</t>
        </is>
      </c>
      <c r="AB80" s="68" t="n"/>
      <c r="AC80" s="68" t="n"/>
      <c r="AD80" s="68" t="n"/>
      <c r="AE80" s="68" t="n"/>
      <c r="AF80" s="68" t="n"/>
      <c r="AG80" s="68" t="n">
        <v>3</v>
      </c>
      <c r="AH80" s="68" t="n">
        <v>1</v>
      </c>
      <c r="AI80" s="68" t="n">
        <v>3</v>
      </c>
      <c r="AJ80" s="68" t="n">
        <v>7</v>
      </c>
      <c r="AK80" s="68" t="inlineStr">
        <is>
          <t>Medium</t>
        </is>
      </c>
      <c r="AL80" s="68" t="n"/>
      <c r="AM80" s="68" t="inlineStr">
        <is>
          <t>Linked primary/secondary</t>
        </is>
      </c>
      <c r="AN80" s="68" t="n">
        <v>0.9</v>
      </c>
      <c r="AO80" s="68" t="inlineStr">
        <is>
          <t>Near ready</t>
        </is>
      </c>
      <c r="AP80" s="68" t="n"/>
      <c r="AQ80" s="68" t="n"/>
      <c r="AR80" s="68" t="inlineStr">
        <is>
          <t>Editorial polish</t>
        </is>
      </c>
      <c r="AS80" s="68" t="inlineStr">
        <is>
          <t>Not started</t>
        </is>
      </c>
      <c r="AT80" s="68" t="n"/>
      <c r="AU80" s="68" t="n"/>
      <c r="AV80" s="68" t="n"/>
      <c r="AW80" s="68" t="n"/>
      <c r="AX80" s="68" t="n"/>
      <c r="AY80" s="68" t="n"/>
      <c r="AZ80" s="68" t="n"/>
      <c r="BA80" s="68" t="n"/>
      <c r="BB80" s="68" t="n"/>
      <c r="BC80" s="68" t="n"/>
      <c r="BD80" s="68" t="n"/>
      <c r="BE80" s="68" t="inlineStr">
        <is>
          <t>2026-04-10</t>
        </is>
      </c>
      <c r="BF80" s="68" t="inlineStr">
        <is>
          <t>Metadata normalized from internal workbook links</t>
        </is>
      </c>
      <c r="BG80" s="68" t="inlineStr">
        <is>
          <t>white-peony|2026-04-10</t>
        </is>
      </c>
      <c r="BH80" s="68" t="inlineStr">
        <is>
          <t>2026-04-10:auto-normalized</t>
        </is>
      </c>
      <c r="BI80" t="inlineStr">
        <is>
          <t>white-peony</t>
        </is>
      </c>
      <c r="BJ80" t="inlineStr">
        <is>
          <t>White Peony</t>
        </is>
      </c>
      <c r="BK80" t="n">
        <v>1</v>
      </c>
      <c r="BL80" t="n">
        <v>1</v>
      </c>
      <c r="BM80" t="n">
        <v>3</v>
      </c>
      <c r="BN80" t="n">
        <v>7</v>
      </c>
      <c r="BO80" t="n">
        <v>100</v>
      </c>
      <c r="BP80" t="n">
        <v>8</v>
      </c>
      <c r="BQ80" t="n">
        <v>10</v>
      </c>
      <c r="BR80" t="n">
        <v>5</v>
      </c>
      <c r="BS80" t="inlineStr">
        <is>
          <t>Tier 1</t>
        </is>
      </c>
      <c r="BT80" t="n">
        <v>5</v>
      </c>
      <c r="BU80" t="inlineStr">
        <is>
          <t>FALSE</t>
        </is>
      </c>
      <c r="BV80" t="inlineStr">
        <is>
          <t>white-peony</t>
        </is>
      </c>
      <c r="BW80" t="inlineStr">
        <is>
          <t>TRUE</t>
        </is>
      </c>
      <c r="BX80" t="inlineStr">
        <is>
          <t>Pass 10 refreshed scoring from 1 mapped compounds | Pass 13 rescored from 1 mapped compounds</t>
        </is>
      </c>
      <c r="BY80" t="inlineStr">
        <is>
          <t>unclassified</t>
        </is>
      </c>
      <c r="CA80" t="n">
        <v>2</v>
      </c>
      <c r="CB80" t="n">
        <v>0</v>
      </c>
      <c r="CC80" t="n">
        <v>0</v>
      </c>
      <c r="CD80" t="inlineStr">
        <is>
          <t>paeoniflorin; unclassified</t>
        </is>
      </c>
      <c r="CE80" t="inlineStr">
        <is>
          <t>Pass 13 rescored after herb-name normalization and real top-herb compound sweep</t>
        </is>
      </c>
      <c r="CF80" t="inlineStr">
        <is>
          <t>General</t>
        </is>
      </c>
      <c r="CH80" s="68" t="inlineStr">
        <is>
          <t>Start with low single-herb exposure and increase only if tolerated</t>
        </is>
      </c>
      <c r="CI80" s="68" t="inlineStr">
        <is>
          <t>Keep conservative around surgery, anticoagulants, or antiplatelet use.</t>
        </is>
      </c>
      <c r="CJ80" s="68" t="inlineStr">
        <is>
          <t>bleeding-risk</t>
        </is>
      </c>
      <c r="CK80" s="68" t="str"/>
      <c r="CL80" s="68" t="inlineStr">
        <is>
          <t>Moderate</t>
        </is>
      </c>
      <c r="CM80" s="68" t="inlineStr">
        <is>
          <t>No</t>
        </is>
      </c>
      <c r="CN80" s="68" t="str"/>
      <c r="CO80" s="68" t="inlineStr">
        <is>
          <t>Pass 21 herb-level safety and dose framing</t>
        </is>
      </c>
      <c r="CP80" t="inlineStr">
        <is>
          <t>Baseline</t>
        </is>
      </c>
      <c r="CQ80" t="inlineStr">
        <is>
          <t>No</t>
        </is>
      </c>
      <c r="CS80" t="inlineStr">
        <is>
          <t>Pass 22 refined safety rule severity and reduced broad keyword over-flagging</t>
        </is>
      </c>
      <c r="CT80" t="inlineStr">
        <is>
          <t>General</t>
        </is>
      </c>
      <c r="CU80" t="inlineStr">
        <is>
          <t>calming support; traditional cycle support</t>
        </is>
      </c>
      <c r="CV80" t="inlineStr">
        <is>
          <t>Human</t>
        </is>
      </c>
      <c r="CW80" t="inlineStr">
        <is>
          <t>Pass 26 normalization: categories, mechanisms, evidence tiers</t>
        </is>
      </c>
      <c r="CX80" t="inlineStr">
        <is>
          <t>Limited human</t>
        </is>
      </c>
      <c r="CY80" t="inlineStr">
        <is>
          <t>Generally well tolerated.</t>
        </is>
      </c>
      <c r="CZ80" t="inlineStr">
        <is>
          <t>Use caution with anticoagulant-sensitive contexts</t>
        </is>
      </c>
      <c r="DB80" t="inlineStr">
        <is>
          <t>Pass 28 normalized evidence and safety-related free text</t>
        </is>
      </c>
      <c r="DD80" t="inlineStr">
        <is>
          <t>No standardized dose established; use conservative, product-dependent ranges.</t>
        </is>
      </c>
      <c r="DE80" t="inlineStr">
        <is>
          <t>Common forms include extracts, powders, or teas depending on herb part.</t>
        </is>
      </c>
      <c r="DF80" t="inlineStr">
        <is>
          <t>Quality varies by extraction method, standardization, and contamination risk.</t>
        </is>
      </c>
      <c r="DG80" t="inlineStr">
        <is>
          <t>Moderate to high</t>
        </is>
      </c>
      <c r="DH80" t="inlineStr">
        <is>
          <t>Pass 29 completeness repair</t>
        </is>
      </c>
      <c r="DI80" t="n">
        <v>9</v>
      </c>
      <c r="DJ80" t="inlineStr">
        <is>
          <t>General</t>
        </is>
      </c>
      <c r="DK80" t="inlineStr">
        <is>
          <t>paeoniflorin</t>
        </is>
      </c>
      <c r="DL80" t="inlineStr">
        <is>
          <t>Agarikon; Ajwain; Angelica Root; Artichoke; Ashoka</t>
        </is>
      </c>
      <c r="DM80" t="inlineStr">
        <is>
          <t>Pass 31 relationship intelligence: density, cluster, anchor class, nearest herbs</t>
        </is>
      </c>
      <c r="DN80" t="inlineStr">
        <is>
          <t>Artichoke; Ashoka; Blue Lotus; Boldo; Burdock</t>
        </is>
      </c>
      <c r="DO80" t="inlineStr">
        <is>
          <t>Artichoke (1 shared pathways) | Ashoka (1 shared pathways) | Blue Lotus (1 shared pathways)</t>
        </is>
      </c>
      <c r="DP80" t="inlineStr">
        <is>
          <t>Generalist</t>
        </is>
      </c>
      <c r="DQ80" t="inlineStr">
        <is>
          <t>Pass 32 substitute engine + cluster cleanup</t>
        </is>
      </c>
      <c r="DR80" t="inlineStr">
        <is>
          <t>Ashoka</t>
        </is>
      </c>
      <c r="DS80" t="inlineStr">
        <is>
          <t>Blue Lotus</t>
        </is>
      </c>
      <c r="DT80" t="inlineStr">
        <is>
          <t>same cluster; lower safety burden; similarity-backed</t>
        </is>
      </c>
      <c r="DU80" t="inlineStr">
        <is>
          <t>Not needed</t>
        </is>
      </c>
      <c r="DV80" t="inlineStr">
        <is>
          <t>Pass 33 fallback replacement engine</t>
        </is>
      </c>
      <c r="DW80" t="inlineStr">
        <is>
          <t>Burdock</t>
        </is>
      </c>
      <c r="DX80" t="inlineStr">
        <is>
          <t>Ashoka; Blue Lotus; Burdock; Agarikon; Ajwain; Angelica Root; Damiana; Artichoke</t>
        </is>
      </c>
      <c r="DY80" t="inlineStr">
        <is>
          <t>Pass 35 expanded fallback pool with second-pass candidate exploration</t>
        </is>
      </c>
      <c r="EA80" t="inlineStr">
        <is>
          <t>General</t>
        </is>
      </c>
      <c r="EB80" t="inlineStr">
        <is>
          <t>unclassified</t>
        </is>
      </c>
      <c r="EC80" t="inlineStr">
        <is>
          <t>High</t>
        </is>
      </c>
      <c r="ED80" t="inlineStr">
        <is>
          <t>Pass 40 reinforced weak-category herb data</t>
        </is>
      </c>
      <c r="EG80" t="n">
        <v>3</v>
      </c>
      <c r="EH80" t="n">
        <v>3</v>
      </c>
      <c r="EI80" t="n">
        <v>0</v>
      </c>
      <c r="EJ80" t="n">
        <v>0</v>
      </c>
      <c r="EK80" t="n">
        <v>11</v>
      </c>
      <c r="EL80" t="n">
        <v>7</v>
      </c>
      <c r="EM80" t="inlineStr">
        <is>
          <t>paeoniflorin</t>
        </is>
      </c>
      <c r="EN80" t="inlineStr">
        <is>
          <t>Pass 48 rolled compound scores into herb-level scoring</t>
        </is>
      </c>
    </row>
    <row r="81">
      <c r="A81" s="68" t="inlineStr">
        <is>
          <t>Bupleurum</t>
        </is>
      </c>
      <c r="B81" s="68" t="inlineStr">
        <is>
          <t>bupleurum</t>
        </is>
      </c>
      <c r="C81" s="68" t="inlineStr">
        <is>
          <t>Bupleurum chinense</t>
        </is>
      </c>
      <c r="D81" s="68" t="inlineStr">
        <is>
          <t>herb</t>
        </is>
      </c>
      <c r="E81" s="68" t="inlineStr">
        <is>
          <t>root</t>
        </is>
      </c>
      <c r="F81" s="68" t="inlineStr">
        <is>
          <t>root</t>
        </is>
      </c>
      <c r="G81" s="68" t="inlineStr">
        <is>
          <t>bupleurum</t>
        </is>
      </c>
      <c r="H81" s="68" t="inlineStr">
        <is>
          <t>China and East Asia</t>
        </is>
      </c>
      <c r="I81" s="68" t="inlineStr">
        <is>
          <t>Bupleurum is positioned for traditional liver and stress-support use.</t>
        </is>
      </c>
      <c r="J81" s="68" t="inlineStr">
        <is>
          <t>It should be framed conservatively because traditional-system context matters more than casual wellness claims.</t>
        </is>
      </c>
      <c r="K81" s="68" t="inlineStr">
        <is>
          <t>saikosaponins</t>
        </is>
      </c>
      <c r="L81" s="68" t="inlineStr">
        <is>
          <t>saikosaponin A</t>
        </is>
      </c>
      <c r="M81" s="68" t="inlineStr">
        <is>
          <t>Saponins support traditional hepatobiliary and stress-related positioning.</t>
        </is>
      </c>
      <c r="N81" s="68" t="inlineStr">
        <is>
          <t>traditional liver support; traditional stress support</t>
        </is>
      </c>
      <c r="O81" s="68" t="inlineStr">
        <is>
          <t>traditional use + limited human</t>
        </is>
      </c>
      <c r="P81" s="68" t="inlineStr">
        <is>
          <t>Use cautiously.</t>
        </is>
      </c>
      <c r="Q81" s="68" t="inlineStr">
        <is>
          <t>Avoid overgeneralized mood claims.</t>
        </is>
      </c>
      <c r="R81" s="68" t="n"/>
      <c r="S81" s="68" t="n"/>
      <c r="T81" s="68" t="n"/>
      <c r="U81" s="68" t="n"/>
      <c r="V81" s="68" t="n"/>
      <c r="W81" s="68" t="inlineStr">
        <is>
          <t>High</t>
        </is>
      </c>
      <c r="X81" s="68" t="inlineStr">
        <is>
          <t>validated</t>
        </is>
      </c>
      <c r="Y81" s="68" t="n"/>
      <c r="Z81" s="68" t="inlineStr">
        <is>
          <t>present</t>
        </is>
      </c>
      <c r="AA81" s="68" t="inlineStr">
        <is>
          <t>Internal workbook + enrichment queue</t>
        </is>
      </c>
      <c r="AB81" s="68" t="n"/>
      <c r="AC81" s="68" t="n"/>
      <c r="AD81" s="68" t="n"/>
      <c r="AE81" s="68" t="n"/>
      <c r="AF81" s="68" t="n"/>
      <c r="AG81" s="68" t="n">
        <v>3</v>
      </c>
      <c r="AH81" s="68" t="n">
        <v>1</v>
      </c>
      <c r="AI81" s="68" t="n">
        <v>3</v>
      </c>
      <c r="AJ81" s="68" t="n">
        <v>7</v>
      </c>
      <c r="AK81" s="68" t="inlineStr">
        <is>
          <t>Medium</t>
        </is>
      </c>
      <c r="AL81" s="68" t="n"/>
      <c r="AM81" s="68" t="inlineStr">
        <is>
          <t>Linked primary/secondary</t>
        </is>
      </c>
      <c r="AN81" s="68" t="n">
        <v>0.9</v>
      </c>
      <c r="AO81" s="68" t="inlineStr">
        <is>
          <t>Near ready</t>
        </is>
      </c>
      <c r="AP81" s="68" t="n"/>
      <c r="AQ81" s="68" t="n"/>
      <c r="AR81" s="68" t="inlineStr">
        <is>
          <t>Editorial polish</t>
        </is>
      </c>
      <c r="AS81" s="68" t="inlineStr">
        <is>
          <t>Not started</t>
        </is>
      </c>
      <c r="AT81" s="68" t="n"/>
      <c r="AU81" s="68" t="n"/>
      <c r="AV81" s="68" t="n"/>
      <c r="AW81" s="68" t="n"/>
      <c r="AX81" s="68" t="n"/>
      <c r="AY81" s="68" t="n"/>
      <c r="AZ81" s="68" t="n"/>
      <c r="BA81" s="68" t="n"/>
      <c r="BB81" s="68" t="n"/>
      <c r="BC81" s="68" t="n"/>
      <c r="BD81" s="68" t="n"/>
      <c r="BE81" s="68" t="inlineStr">
        <is>
          <t>2026-04-10</t>
        </is>
      </c>
      <c r="BF81" s="68" t="inlineStr">
        <is>
          <t>Metadata normalized from internal workbook links</t>
        </is>
      </c>
      <c r="BG81" s="68" t="inlineStr">
        <is>
          <t>bupleurum|2026-04-10</t>
        </is>
      </c>
      <c r="BH81" s="68" t="inlineStr">
        <is>
          <t>2026-04-10:auto-normalized</t>
        </is>
      </c>
      <c r="BI81" t="inlineStr">
        <is>
          <t>bupleurum</t>
        </is>
      </c>
      <c r="BJ81" t="inlineStr">
        <is>
          <t>Bupleurum</t>
        </is>
      </c>
      <c r="BK81" t="n">
        <v>1</v>
      </c>
      <c r="BL81" t="n">
        <v>0</v>
      </c>
      <c r="BM81" t="n">
        <v>3</v>
      </c>
      <c r="BN81" t="n">
        <v>3</v>
      </c>
      <c r="BO81" t="n">
        <v>100</v>
      </c>
      <c r="BP81" t="n">
        <v>8</v>
      </c>
      <c r="BQ81" t="n">
        <v>0</v>
      </c>
      <c r="BR81" t="n">
        <v>5</v>
      </c>
      <c r="BS81" t="inlineStr">
        <is>
          <t>Tier 4</t>
        </is>
      </c>
      <c r="BT81" t="n">
        <v>3</v>
      </c>
      <c r="BU81" t="inlineStr">
        <is>
          <t>FALSE</t>
        </is>
      </c>
      <c r="BV81" t="inlineStr">
        <is>
          <t>bupleurum</t>
        </is>
      </c>
      <c r="BW81" t="inlineStr">
        <is>
          <t>TRUE</t>
        </is>
      </c>
      <c r="BX81" t="inlineStr">
        <is>
          <t>Pass 10 refreshed scoring from 1 mapped compounds | Pass 13 rescored from 1 mapped compounds</t>
        </is>
      </c>
      <c r="CA81" t="n">
        <v>2</v>
      </c>
      <c r="CB81" t="n">
        <v>0</v>
      </c>
      <c r="CC81" t="n">
        <v>0</v>
      </c>
      <c r="CE81" t="inlineStr">
        <is>
          <t>Pass 13 rescored after herb-name normalization and real top-herb compound sweep</t>
        </is>
      </c>
      <c r="CF81" t="inlineStr">
        <is>
          <t>General</t>
        </is>
      </c>
      <c r="CH81" s="68" t="inlineStr">
        <is>
          <t>Start with low single-herb exposure and increase only if tolerated</t>
        </is>
      </c>
      <c r="CI81" s="68" t="inlineStr">
        <is>
          <t>Prefer conservative use and avoid default inclusion in liver-sensitive audiences.</t>
        </is>
      </c>
      <c r="CJ81" s="68" t="inlineStr">
        <is>
          <t>hepatic-caution</t>
        </is>
      </c>
      <c r="CK81" s="68" t="str"/>
      <c r="CL81" s="68" t="inlineStr">
        <is>
          <t>Moderate</t>
        </is>
      </c>
      <c r="CM81" s="68" t="inlineStr">
        <is>
          <t>No</t>
        </is>
      </c>
      <c r="CN81" s="68" t="str"/>
      <c r="CO81" s="68" t="inlineStr">
        <is>
          <t>Pass 21 herb-level safety and dose framing</t>
        </is>
      </c>
      <c r="CP81" t="inlineStr">
        <is>
          <t>Moderate</t>
        </is>
      </c>
      <c r="CQ81" t="inlineStr">
        <is>
          <t>No</t>
        </is>
      </c>
      <c r="CS81" t="inlineStr">
        <is>
          <t>Pass 22 refined safety rule severity and reduced broad keyword over-flagging</t>
        </is>
      </c>
      <c r="CT81" t="inlineStr">
        <is>
          <t>General</t>
        </is>
      </c>
      <c r="CU81" t="inlineStr">
        <is>
          <t>traditional liver support; traditional stress support</t>
        </is>
      </c>
      <c r="CV81" t="inlineStr">
        <is>
          <t>Human</t>
        </is>
      </c>
      <c r="CW81" t="inlineStr">
        <is>
          <t>Pass 26 normalization: categories, mechanisms, evidence tiers</t>
        </is>
      </c>
      <c r="CX81" t="inlineStr">
        <is>
          <t>Limited human</t>
        </is>
      </c>
      <c r="CY81" t="inlineStr">
        <is>
          <t>Use cautiously.</t>
        </is>
      </c>
      <c r="CZ81" t="inlineStr">
        <is>
          <t>Avoid overgeneralized mood claims</t>
        </is>
      </c>
      <c r="DB81" t="inlineStr">
        <is>
          <t>Pass 28 normalized evidence and safety-related free text</t>
        </is>
      </c>
      <c r="DD81" t="inlineStr">
        <is>
          <t>No standardized dose established; use conservative, product-dependent ranges.</t>
        </is>
      </c>
      <c r="DE81" t="inlineStr">
        <is>
          <t>Common forms include extracts, powders, or teas depending on herb part.</t>
        </is>
      </c>
      <c r="DF81" t="inlineStr">
        <is>
          <t>Quality varies by extraction method, standardization, and contamination risk.</t>
        </is>
      </c>
      <c r="DG81" t="inlineStr">
        <is>
          <t>Moderate to high</t>
        </is>
      </c>
      <c r="DH81" t="inlineStr">
        <is>
          <t>Pass 29 completeness repair</t>
        </is>
      </c>
      <c r="DI81" t="n">
        <v>6</v>
      </c>
      <c r="DJ81" t="inlineStr">
        <is>
          <t>General</t>
        </is>
      </c>
      <c r="DL81" t="inlineStr">
        <is>
          <t>Acerola; Agarikon; Ajwain; Aloe Vera; American Ginseng</t>
        </is>
      </c>
      <c r="DM81" t="inlineStr">
        <is>
          <t>Pass 31 relationship intelligence: density, cluster, anchor class, nearest herbs</t>
        </is>
      </c>
      <c r="DP81" t="inlineStr">
        <is>
          <t>Generalist</t>
        </is>
      </c>
      <c r="DQ81" t="inlineStr">
        <is>
          <t>Pass 32 substitute engine + cluster cleanup</t>
        </is>
      </c>
      <c r="DT81" t="inlineStr">
        <is>
          <t>no strong safe fallback found</t>
        </is>
      </c>
      <c r="DU81" t="inlineStr">
        <is>
          <t>Optional</t>
        </is>
      </c>
      <c r="DV81" t="inlineStr">
        <is>
          <t>Pass 33 fallback replacement engine</t>
        </is>
      </c>
      <c r="DY81" t="inlineStr">
        <is>
          <t>Pass 35 expanded fallback pool with second-pass candidate exploration</t>
        </is>
      </c>
      <c r="EA81" t="inlineStr">
        <is>
          <t>General</t>
        </is>
      </c>
      <c r="EC81" t="inlineStr">
        <is>
          <t>High</t>
        </is>
      </c>
      <c r="ED81" t="inlineStr">
        <is>
          <t>Pass 40 reinforced weak-category herb data</t>
        </is>
      </c>
      <c r="EG81" t="n">
        <v>3</v>
      </c>
      <c r="EH81" t="n">
        <v>3</v>
      </c>
      <c r="EI81" t="n">
        <v>0</v>
      </c>
      <c r="EJ81" t="n">
        <v>0</v>
      </c>
      <c r="EK81" t="n">
        <v>11</v>
      </c>
      <c r="EL81" t="n">
        <v>7</v>
      </c>
      <c r="EM81" t="inlineStr">
        <is>
          <t>saikosaponin a</t>
        </is>
      </c>
      <c r="EN81" t="inlineStr">
        <is>
          <t>Pass 48 rolled compound scores into herb-level scoring</t>
        </is>
      </c>
    </row>
    <row r="82">
      <c r="A82" s="68" t="inlineStr">
        <is>
          <t>Codonopsis</t>
        </is>
      </c>
      <c r="B82" s="68" t="inlineStr">
        <is>
          <t>codonopsis</t>
        </is>
      </c>
      <c r="C82" s="68" t="inlineStr">
        <is>
          <t>Codonopsis pilosula</t>
        </is>
      </c>
      <c r="D82" s="68" t="inlineStr">
        <is>
          <t>herb</t>
        </is>
      </c>
      <c r="E82" s="68" t="inlineStr">
        <is>
          <t>root</t>
        </is>
      </c>
      <c r="F82" s="68" t="inlineStr">
        <is>
          <t>root</t>
        </is>
      </c>
      <c r="G82" s="68" t="inlineStr">
        <is>
          <t>codonopsis; dang shen</t>
        </is>
      </c>
      <c r="H82" s="68" t="inlineStr">
        <is>
          <t>China and East Asia</t>
        </is>
      </c>
      <c r="I82" s="68" t="inlineStr">
        <is>
          <t>Codonopsis is positioned for traditional restorative and fatigue-support use.</t>
        </is>
      </c>
      <c r="J82" s="68" t="inlineStr">
        <is>
          <t>It is best framed as a gentler tonic-style root with modest modern evidence.</t>
        </is>
      </c>
      <c r="K82" s="68" t="inlineStr">
        <is>
          <t>tangshenosides; polysaccharides</t>
        </is>
      </c>
      <c r="L82" s="68" t="inlineStr">
        <is>
          <t>tangshenoside I</t>
        </is>
      </c>
      <c r="M82" s="68" t="inlineStr">
        <is>
          <t>Polysaccharides and glycosides support restorative and fatigue-support positioning.</t>
        </is>
      </c>
      <c r="N82" s="68" t="inlineStr">
        <is>
          <t>traditional restorative support; fatigue support</t>
        </is>
      </c>
      <c r="O82" s="68" t="inlineStr">
        <is>
          <t>traditional use + limited human</t>
        </is>
      </c>
      <c r="P82" s="68" t="inlineStr">
        <is>
          <t>Generally well tolerated.</t>
        </is>
      </c>
      <c r="Q82" s="68" t="inlineStr">
        <is>
          <t>Avoid exaggerated adaptogen claims.</t>
        </is>
      </c>
      <c r="R82" s="68" t="n"/>
      <c r="S82" s="68" t="n"/>
      <c r="T82" s="68" t="n"/>
      <c r="U82" s="68" t="n"/>
      <c r="V82" s="68" t="n"/>
      <c r="W82" s="68" t="inlineStr">
        <is>
          <t>High</t>
        </is>
      </c>
      <c r="X82" s="68" t="inlineStr">
        <is>
          <t>validated</t>
        </is>
      </c>
      <c r="Y82" s="68" t="n"/>
      <c r="Z82" s="68" t="inlineStr">
        <is>
          <t>present</t>
        </is>
      </c>
      <c r="AA82" s="68" t="inlineStr">
        <is>
          <t>Internal workbook + enrichment queue</t>
        </is>
      </c>
      <c r="AB82" s="68" t="n"/>
      <c r="AC82" s="68" t="n"/>
      <c r="AD82" s="68" t="n"/>
      <c r="AE82" s="68" t="n"/>
      <c r="AF82" s="68" t="n"/>
      <c r="AG82" s="68" t="n">
        <v>3</v>
      </c>
      <c r="AH82" s="68" t="n">
        <v>1</v>
      </c>
      <c r="AI82" s="68" t="n">
        <v>3</v>
      </c>
      <c r="AJ82" s="68" t="n">
        <v>7</v>
      </c>
      <c r="AK82" s="68" t="inlineStr">
        <is>
          <t>Medium</t>
        </is>
      </c>
      <c r="AL82" s="68" t="n"/>
      <c r="AM82" s="68" t="inlineStr">
        <is>
          <t>Linked primary/secondary</t>
        </is>
      </c>
      <c r="AN82" s="68" t="n">
        <v>0.9</v>
      </c>
      <c r="AO82" s="68" t="inlineStr">
        <is>
          <t>Near ready</t>
        </is>
      </c>
      <c r="AP82" s="68" t="n"/>
      <c r="AQ82" s="68" t="n"/>
      <c r="AR82" s="68" t="inlineStr">
        <is>
          <t>Editorial polish</t>
        </is>
      </c>
      <c r="AS82" s="68" t="inlineStr">
        <is>
          <t>Not started</t>
        </is>
      </c>
      <c r="AT82" s="68" t="n"/>
      <c r="AU82" s="68" t="n"/>
      <c r="AV82" s="68" t="n"/>
      <c r="AW82" s="68" t="n"/>
      <c r="AX82" s="68" t="n"/>
      <c r="AY82" s="68" t="n"/>
      <c r="AZ82" s="68" t="n"/>
      <c r="BA82" s="68" t="n"/>
      <c r="BB82" s="68" t="n"/>
      <c r="BC82" s="68" t="n"/>
      <c r="BD82" s="68" t="n"/>
      <c r="BE82" s="68" t="inlineStr">
        <is>
          <t>2026-04-10</t>
        </is>
      </c>
      <c r="BF82" s="68" t="inlineStr">
        <is>
          <t>Metadata normalized from internal workbook links</t>
        </is>
      </c>
      <c r="BG82" s="68" t="inlineStr">
        <is>
          <t>codonopsis|2026-04-10</t>
        </is>
      </c>
      <c r="BH82" s="68" t="inlineStr">
        <is>
          <t>2026-04-10:auto-normalized</t>
        </is>
      </c>
      <c r="BI82" t="inlineStr">
        <is>
          <t>codonopsis</t>
        </is>
      </c>
      <c r="BJ82" t="inlineStr">
        <is>
          <t>Codonopsis</t>
        </is>
      </c>
      <c r="BK82" t="n">
        <v>1</v>
      </c>
      <c r="BL82" t="n">
        <v>0</v>
      </c>
      <c r="BM82" t="n">
        <v>3</v>
      </c>
      <c r="BN82" t="n">
        <v>3</v>
      </c>
      <c r="BO82" t="n">
        <v>100</v>
      </c>
      <c r="BP82" t="n">
        <v>8</v>
      </c>
      <c r="BQ82" t="n">
        <v>0</v>
      </c>
      <c r="BR82" t="n">
        <v>5</v>
      </c>
      <c r="BS82" t="inlineStr">
        <is>
          <t>Tier 4</t>
        </is>
      </c>
      <c r="BT82" t="n">
        <v>3</v>
      </c>
      <c r="BU82" t="inlineStr">
        <is>
          <t>FALSE</t>
        </is>
      </c>
      <c r="BV82" t="inlineStr">
        <is>
          <t>codonopsis</t>
        </is>
      </c>
      <c r="BW82" t="inlineStr">
        <is>
          <t>TRUE</t>
        </is>
      </c>
      <c r="BX82" t="inlineStr">
        <is>
          <t>Pass 10 refreshed scoring from 1 mapped compounds | Pass 13 rescored from 1 mapped compounds</t>
        </is>
      </c>
      <c r="CA82" t="n">
        <v>2</v>
      </c>
      <c r="CB82" t="n">
        <v>0</v>
      </c>
      <c r="CC82" t="n">
        <v>0</v>
      </c>
      <c r="CE82" t="inlineStr">
        <is>
          <t>Pass 13 rescored after herb-name normalization and real top-herb compound sweep</t>
        </is>
      </c>
      <c r="CF82" t="inlineStr">
        <is>
          <t>General</t>
        </is>
      </c>
      <c r="CH82" s="68" t="inlineStr">
        <is>
          <t>Start with low single-herb exposure and increase only if tolerated</t>
        </is>
      </c>
      <c r="CI82" s="68" t="inlineStr">
        <is>
          <t>Product-ideation framing only; not clinical dosing advice.</t>
        </is>
      </c>
      <c r="CJ82" s="68" t="str"/>
      <c r="CK82" s="68" t="str"/>
      <c r="CL82" s="68" t="inlineStr">
        <is>
          <t>Moderate</t>
        </is>
      </c>
      <c r="CM82" s="68" t="inlineStr">
        <is>
          <t>No</t>
        </is>
      </c>
      <c r="CN82" s="68" t="str"/>
      <c r="CO82" s="68" t="inlineStr">
        <is>
          <t>Pass 21 herb-level safety and dose framing</t>
        </is>
      </c>
      <c r="CP82" t="inlineStr">
        <is>
          <t>Baseline</t>
        </is>
      </c>
      <c r="CQ82" t="inlineStr">
        <is>
          <t>No</t>
        </is>
      </c>
      <c r="CS82" t="inlineStr">
        <is>
          <t>Pass 22 refined safety rule severity and reduced broad keyword over-flagging</t>
        </is>
      </c>
      <c r="CT82" t="inlineStr">
        <is>
          <t>General</t>
        </is>
      </c>
      <c r="CU82" t="inlineStr">
        <is>
          <t>fatigue support; traditional restorative support</t>
        </is>
      </c>
      <c r="CV82" t="inlineStr">
        <is>
          <t>Human</t>
        </is>
      </c>
      <c r="CW82" t="inlineStr">
        <is>
          <t>Pass 26 normalization: categories, mechanisms, evidence tiers</t>
        </is>
      </c>
      <c r="CX82" t="inlineStr">
        <is>
          <t>Limited human</t>
        </is>
      </c>
      <c r="CY82" t="inlineStr">
        <is>
          <t>Generally well tolerated.</t>
        </is>
      </c>
      <c r="CZ82" t="inlineStr">
        <is>
          <t>Avoid exaggerated adaptogen claims</t>
        </is>
      </c>
      <c r="DB82" t="inlineStr">
        <is>
          <t>Pass 28 normalized evidence and safety-related free text</t>
        </is>
      </c>
      <c r="DD82" t="inlineStr">
        <is>
          <t>No standardized dose established; use conservative, product-dependent ranges.</t>
        </is>
      </c>
      <c r="DE82" t="inlineStr">
        <is>
          <t>Common forms include extracts, powders, or teas depending on herb part.</t>
        </is>
      </c>
      <c r="DF82" t="inlineStr">
        <is>
          <t>Quality varies by extraction method, standardization, and contamination risk.</t>
        </is>
      </c>
      <c r="DG82" t="inlineStr">
        <is>
          <t>Moderate to high</t>
        </is>
      </c>
      <c r="DH82" t="inlineStr">
        <is>
          <t>Pass 29 completeness repair</t>
        </is>
      </c>
      <c r="DI82" t="n">
        <v>6</v>
      </c>
      <c r="DJ82" t="inlineStr">
        <is>
          <t>General</t>
        </is>
      </c>
      <c r="DL82" t="inlineStr">
        <is>
          <t>Acerola; Agarikon; Ajwain; Aloe Vera; American Ginseng</t>
        </is>
      </c>
      <c r="DM82" t="inlineStr">
        <is>
          <t>Pass 31 relationship intelligence: density, cluster, anchor class, nearest herbs</t>
        </is>
      </c>
      <c r="DP82" t="inlineStr">
        <is>
          <t>Generalist</t>
        </is>
      </c>
      <c r="DQ82" t="inlineStr">
        <is>
          <t>Pass 32 substitute engine + cluster cleanup</t>
        </is>
      </c>
      <c r="DT82" t="inlineStr">
        <is>
          <t>no strong safe fallback found</t>
        </is>
      </c>
      <c r="DU82" t="inlineStr">
        <is>
          <t>Not needed</t>
        </is>
      </c>
      <c r="DV82" t="inlineStr">
        <is>
          <t>Pass 33 fallback replacement engine</t>
        </is>
      </c>
      <c r="DY82" t="inlineStr">
        <is>
          <t>Pass 35 expanded fallback pool with second-pass candidate exploration</t>
        </is>
      </c>
      <c r="EA82" t="inlineStr">
        <is>
          <t>General</t>
        </is>
      </c>
      <c r="EC82" t="inlineStr">
        <is>
          <t>High</t>
        </is>
      </c>
      <c r="ED82" t="inlineStr">
        <is>
          <t>Pass 40 reinforced weak-category herb data</t>
        </is>
      </c>
      <c r="EG82" t="n">
        <v>3</v>
      </c>
      <c r="EH82" t="n">
        <v>3</v>
      </c>
      <c r="EI82" t="n">
        <v>0</v>
      </c>
      <c r="EJ82" t="n">
        <v>0</v>
      </c>
      <c r="EK82" t="n">
        <v>11</v>
      </c>
      <c r="EL82" t="n">
        <v>7</v>
      </c>
      <c r="EM82" t="inlineStr">
        <is>
          <t>tangshenoside i</t>
        </is>
      </c>
      <c r="EN82" t="inlineStr">
        <is>
          <t>Pass 48 rolled compound scores into herb-level scoring</t>
        </is>
      </c>
    </row>
    <row r="83">
      <c r="A83" s="68" t="inlineStr">
        <is>
          <t>Dendrobium</t>
        </is>
      </c>
      <c r="B83" s="68" t="inlineStr">
        <is>
          <t>dendrobium</t>
        </is>
      </c>
      <c r="C83" s="68" t="inlineStr">
        <is>
          <t>Dendrobium officinale</t>
        </is>
      </c>
      <c r="D83" s="68" t="inlineStr">
        <is>
          <t>herb</t>
        </is>
      </c>
      <c r="E83" s="68" t="inlineStr">
        <is>
          <t>stem</t>
        </is>
      </c>
      <c r="F83" s="68" t="inlineStr">
        <is>
          <t>stem</t>
        </is>
      </c>
      <c r="G83" s="68" t="inlineStr">
        <is>
          <t>dendrobium</t>
        </is>
      </c>
      <c r="H83" s="68" t="inlineStr">
        <is>
          <t>China and East Asia</t>
        </is>
      </c>
      <c r="I83" s="68" t="inlineStr">
        <is>
          <t>Dendrobium is positioned for traditional restorative and mucosal support.</t>
        </is>
      </c>
      <c r="J83" s="68" t="inlineStr">
        <is>
          <t>It should be framed conservatively because luxury-tonic narratives often exceed evidence depth.</t>
        </is>
      </c>
      <c r="K83" s="68" t="inlineStr">
        <is>
          <t>polysaccharides; alkaloids</t>
        </is>
      </c>
      <c r="L83" s="68" t="inlineStr">
        <is>
          <t>dendrobine</t>
        </is>
      </c>
      <c r="M83" s="68" t="inlineStr">
        <is>
          <t>Polysaccharides support restorative and mucosal positioning.</t>
        </is>
      </c>
      <c r="N83" s="68" t="inlineStr">
        <is>
          <t>traditional restorative support; mucosal support</t>
        </is>
      </c>
      <c r="O83" s="68" t="inlineStr">
        <is>
          <t>traditional use + limited human</t>
        </is>
      </c>
      <c r="P83" s="68" t="inlineStr">
        <is>
          <t>Generally well tolerated.</t>
        </is>
      </c>
      <c r="Q83" s="68" t="inlineStr">
        <is>
          <t>Avoid exaggerated anti-aging claims.</t>
        </is>
      </c>
      <c r="R83" s="68" t="n"/>
      <c r="S83" s="68" t="n"/>
      <c r="T83" s="68" t="n"/>
      <c r="U83" s="68" t="n"/>
      <c r="V83" s="68" t="n"/>
      <c r="W83" s="68" t="inlineStr">
        <is>
          <t>High</t>
        </is>
      </c>
      <c r="X83" s="68" t="inlineStr">
        <is>
          <t>validated</t>
        </is>
      </c>
      <c r="Y83" s="68" t="n"/>
      <c r="Z83" s="68" t="inlineStr">
        <is>
          <t>present</t>
        </is>
      </c>
      <c r="AA83" s="68" t="inlineStr">
        <is>
          <t>Internal workbook + enrichment queue</t>
        </is>
      </c>
      <c r="AB83" s="68" t="n"/>
      <c r="AC83" s="68" t="n"/>
      <c r="AD83" s="68" t="n"/>
      <c r="AE83" s="68" t="n"/>
      <c r="AF83" s="68" t="n"/>
      <c r="AG83" s="68" t="n">
        <v>3</v>
      </c>
      <c r="AH83" s="68" t="n">
        <v>1</v>
      </c>
      <c r="AI83" s="68" t="n">
        <v>3</v>
      </c>
      <c r="AJ83" s="68" t="n">
        <v>7</v>
      </c>
      <c r="AK83" s="68" t="inlineStr">
        <is>
          <t>Medium</t>
        </is>
      </c>
      <c r="AL83" s="68" t="n"/>
      <c r="AM83" s="68" t="inlineStr">
        <is>
          <t>Linked primary/secondary</t>
        </is>
      </c>
      <c r="AN83" s="68" t="n">
        <v>0.9</v>
      </c>
      <c r="AO83" s="68" t="inlineStr">
        <is>
          <t>Near ready</t>
        </is>
      </c>
      <c r="AP83" s="68" t="n"/>
      <c r="AQ83" s="68" t="n"/>
      <c r="AR83" s="68" t="inlineStr">
        <is>
          <t>Editorial polish</t>
        </is>
      </c>
      <c r="AS83" s="68" t="inlineStr">
        <is>
          <t>Not started</t>
        </is>
      </c>
      <c r="AT83" s="68" t="n"/>
      <c r="AU83" s="68" t="n"/>
      <c r="AV83" s="68" t="n"/>
      <c r="AW83" s="68" t="n"/>
      <c r="AX83" s="68" t="n"/>
      <c r="AY83" s="68" t="n"/>
      <c r="AZ83" s="68" t="n"/>
      <c r="BA83" s="68" t="n"/>
      <c r="BB83" s="68" t="n"/>
      <c r="BC83" s="68" t="n"/>
      <c r="BD83" s="68" t="n"/>
      <c r="BE83" s="68" t="inlineStr">
        <is>
          <t>2026-04-10</t>
        </is>
      </c>
      <c r="BF83" s="68" t="inlineStr">
        <is>
          <t>Metadata normalized from internal workbook links</t>
        </is>
      </c>
      <c r="BG83" s="68" t="inlineStr">
        <is>
          <t>dendrobium|2026-04-10</t>
        </is>
      </c>
      <c r="BH83" s="68" t="inlineStr">
        <is>
          <t>2026-04-10:auto-normalized</t>
        </is>
      </c>
      <c r="BI83" t="inlineStr">
        <is>
          <t>dendrobium</t>
        </is>
      </c>
      <c r="BJ83" t="inlineStr">
        <is>
          <t>Dendrobium</t>
        </is>
      </c>
      <c r="BK83" t="n">
        <v>1</v>
      </c>
      <c r="BL83" t="n">
        <v>1</v>
      </c>
      <c r="BM83" t="n">
        <v>3</v>
      </c>
      <c r="BN83" t="n">
        <v>7</v>
      </c>
      <c r="BO83" t="n">
        <v>100</v>
      </c>
      <c r="BP83" t="n">
        <v>8</v>
      </c>
      <c r="BQ83" t="n">
        <v>10</v>
      </c>
      <c r="BR83" t="n">
        <v>5</v>
      </c>
      <c r="BS83" t="inlineStr">
        <is>
          <t>Tier 1</t>
        </is>
      </c>
      <c r="BT83" t="n">
        <v>5</v>
      </c>
      <c r="BU83" t="inlineStr">
        <is>
          <t>FALSE</t>
        </is>
      </c>
      <c r="BV83" t="inlineStr">
        <is>
          <t>dendrobium</t>
        </is>
      </c>
      <c r="BW83" t="inlineStr">
        <is>
          <t>TRUE</t>
        </is>
      </c>
      <c r="BX83" t="inlineStr">
        <is>
          <t>Pass 10 refreshed scoring from 1 mapped compounds | Pass 13 rescored from 1 mapped compounds</t>
        </is>
      </c>
      <c r="BY83" t="inlineStr">
        <is>
          <t>unclassified</t>
        </is>
      </c>
      <c r="CA83" t="n">
        <v>2</v>
      </c>
      <c r="CB83" t="n">
        <v>0</v>
      </c>
      <c r="CC83" t="n">
        <v>0</v>
      </c>
      <c r="CD83" t="inlineStr">
        <is>
          <t>dendrobine; unclassified</t>
        </is>
      </c>
      <c r="CE83" t="inlineStr">
        <is>
          <t>Pass 13 rescored after herb-name normalization and real top-herb compound sweep</t>
        </is>
      </c>
      <c r="CF83" t="inlineStr">
        <is>
          <t>General</t>
        </is>
      </c>
      <c r="CH83" s="68" t="inlineStr">
        <is>
          <t>Start with low single-herb exposure and increase only if tolerated</t>
        </is>
      </c>
      <c r="CI83" s="68" t="inlineStr">
        <is>
          <t>Product-ideation framing only; not clinical dosing advice.</t>
        </is>
      </c>
      <c r="CJ83" s="68" t="str"/>
      <c r="CK83" s="68" t="str"/>
      <c r="CL83" s="68" t="inlineStr">
        <is>
          <t>Moderate</t>
        </is>
      </c>
      <c r="CM83" s="68" t="inlineStr">
        <is>
          <t>No</t>
        </is>
      </c>
      <c r="CN83" s="68" t="str"/>
      <c r="CO83" s="68" t="inlineStr">
        <is>
          <t>Pass 21 herb-level safety and dose framing</t>
        </is>
      </c>
      <c r="CP83" t="inlineStr">
        <is>
          <t>Baseline</t>
        </is>
      </c>
      <c r="CQ83" t="inlineStr">
        <is>
          <t>No</t>
        </is>
      </c>
      <c r="CS83" t="inlineStr">
        <is>
          <t>Pass 22 refined safety rule severity and reduced broad keyword over-flagging</t>
        </is>
      </c>
      <c r="CT83" t="inlineStr">
        <is>
          <t>General</t>
        </is>
      </c>
      <c r="CU83" t="inlineStr">
        <is>
          <t>mucosal support; traditional restorative support</t>
        </is>
      </c>
      <c r="CV83" t="inlineStr">
        <is>
          <t>Human</t>
        </is>
      </c>
      <c r="CW83" t="inlineStr">
        <is>
          <t>Pass 26 normalization: categories, mechanisms, evidence tiers</t>
        </is>
      </c>
      <c r="CX83" t="inlineStr">
        <is>
          <t>Limited human</t>
        </is>
      </c>
      <c r="CY83" t="inlineStr">
        <is>
          <t>Generally well tolerated.</t>
        </is>
      </c>
      <c r="CZ83" t="inlineStr">
        <is>
          <t>Avoid exaggerated anti-aging claims</t>
        </is>
      </c>
      <c r="DB83" t="inlineStr">
        <is>
          <t>Pass 28 normalized evidence and safety-related free text</t>
        </is>
      </c>
      <c r="DD83" t="inlineStr">
        <is>
          <t>No standardized dose established; use conservative, product-dependent ranges.</t>
        </is>
      </c>
      <c r="DE83" t="inlineStr">
        <is>
          <t>Common forms include extracts, powders, or teas depending on herb part.</t>
        </is>
      </c>
      <c r="DF83" t="inlineStr">
        <is>
          <t>Quality varies by extraction method, standardization, and contamination risk.</t>
        </is>
      </c>
      <c r="DG83" t="inlineStr">
        <is>
          <t>Moderate to high</t>
        </is>
      </c>
      <c r="DH83" t="inlineStr">
        <is>
          <t>Pass 29 completeness repair</t>
        </is>
      </c>
      <c r="DI83" t="n">
        <v>9</v>
      </c>
      <c r="DJ83" t="inlineStr">
        <is>
          <t>General</t>
        </is>
      </c>
      <c r="DK83" t="inlineStr">
        <is>
          <t>dendrobine</t>
        </is>
      </c>
      <c r="DL83" t="inlineStr">
        <is>
          <t>Agarikon; Ajwain; Angelica Root; Artichoke; Ashoka</t>
        </is>
      </c>
      <c r="DM83" t="inlineStr">
        <is>
          <t>Pass 31 relationship intelligence: density, cluster, anchor class, nearest herbs</t>
        </is>
      </c>
      <c r="DN83" t="inlineStr">
        <is>
          <t>Agarikon; Ajwain; Angelica Root; Artichoke; Ashoka</t>
        </is>
      </c>
      <c r="DO83" t="inlineStr">
        <is>
          <t>Agarikon (1 shared pathways) | Ajwain (1 shared pathways) | Angelica Root (1 shared pathways)</t>
        </is>
      </c>
      <c r="DP83" t="inlineStr">
        <is>
          <t>Generalist</t>
        </is>
      </c>
      <c r="DQ83" t="inlineStr">
        <is>
          <t>Pass 32 substitute engine + cluster cleanup</t>
        </is>
      </c>
      <c r="DR83" t="inlineStr">
        <is>
          <t>Agarikon</t>
        </is>
      </c>
      <c r="DS83" t="inlineStr">
        <is>
          <t>Ajwain</t>
        </is>
      </c>
      <c r="DT83" t="inlineStr">
        <is>
          <t>same cluster; lower safety burden; similarity-backed</t>
        </is>
      </c>
      <c r="DU83" t="inlineStr">
        <is>
          <t>Not needed</t>
        </is>
      </c>
      <c r="DV83" t="inlineStr">
        <is>
          <t>Pass 33 fallback replacement engine</t>
        </is>
      </c>
      <c r="DW83" t="inlineStr">
        <is>
          <t>Angelica Root</t>
        </is>
      </c>
      <c r="DX83" t="inlineStr">
        <is>
          <t>Agarikon; Ajwain; Angelica Root; Ashoka; Blue Lotus; Artichoke; Rosemary; Sage</t>
        </is>
      </c>
      <c r="DY83" t="inlineStr">
        <is>
          <t>Pass 35 expanded fallback pool with second-pass candidate exploration</t>
        </is>
      </c>
      <c r="EA83" t="inlineStr">
        <is>
          <t>General</t>
        </is>
      </c>
      <c r="EB83" t="inlineStr">
        <is>
          <t>unclassified</t>
        </is>
      </c>
      <c r="EC83" t="inlineStr">
        <is>
          <t>High</t>
        </is>
      </c>
      <c r="ED83" t="inlineStr">
        <is>
          <t>Pass 40 reinforced weak-category herb data</t>
        </is>
      </c>
      <c r="EG83" t="n">
        <v>3</v>
      </c>
      <c r="EH83" t="n">
        <v>3</v>
      </c>
      <c r="EI83" t="n">
        <v>0</v>
      </c>
      <c r="EJ83" t="n">
        <v>0</v>
      </c>
      <c r="EK83" t="n">
        <v>11</v>
      </c>
      <c r="EL83" t="n">
        <v>7</v>
      </c>
      <c r="EM83" t="inlineStr">
        <is>
          <t>dendrobine</t>
        </is>
      </c>
      <c r="EN83" t="inlineStr">
        <is>
          <t>Pass 48 rolled compound scores into herb-level scoring</t>
        </is>
      </c>
    </row>
    <row r="84">
      <c r="A84" s="68" t="inlineStr">
        <is>
          <t>Ophiopogon</t>
        </is>
      </c>
      <c r="B84" s="68" t="inlineStr">
        <is>
          <t>ophiopogon</t>
        </is>
      </c>
      <c r="C84" s="68" t="inlineStr">
        <is>
          <t>Ophiopogon japonicus</t>
        </is>
      </c>
      <c r="D84" s="68" t="inlineStr">
        <is>
          <t>herb</t>
        </is>
      </c>
      <c r="E84" s="68" t="inlineStr">
        <is>
          <t>root tuber</t>
        </is>
      </c>
      <c r="F84" s="68" t="inlineStr">
        <is>
          <t>tuber</t>
        </is>
      </c>
      <c r="G84" s="68" t="inlineStr">
        <is>
          <t>ophiopogon; mai men dong</t>
        </is>
      </c>
      <c r="H84" s="68" t="inlineStr">
        <is>
          <t>China and East Asia</t>
        </is>
      </c>
      <c r="I84" s="68" t="inlineStr">
        <is>
          <t>Ophiopogon is positioned for traditional demulcent and respiratory support.</t>
        </is>
      </c>
      <c r="J84" s="68" t="inlineStr">
        <is>
          <t>It is best framed as a moistening tonic-style root with traditional-system relevance.</t>
        </is>
      </c>
      <c r="K84" s="68" t="inlineStr">
        <is>
          <t>ophiopogonins</t>
        </is>
      </c>
      <c r="L84" s="68" t="inlineStr">
        <is>
          <t>ophiopogonin D</t>
        </is>
      </c>
      <c r="M84" s="68" t="inlineStr">
        <is>
          <t>Saponins support demulcent and traditional respiratory positioning.</t>
        </is>
      </c>
      <c r="N84" s="68" t="inlineStr">
        <is>
          <t>demulcent support; traditional respiratory support</t>
        </is>
      </c>
      <c r="O84" s="68" t="inlineStr">
        <is>
          <t>traditional use + limited human</t>
        </is>
      </c>
      <c r="P84" s="68" t="inlineStr">
        <is>
          <t>Generally well tolerated.</t>
        </is>
      </c>
      <c r="Q84" s="68" t="inlineStr">
        <is>
          <t>Avoid overextended pulmonary claims.</t>
        </is>
      </c>
      <c r="R84" s="68" t="n"/>
      <c r="S84" s="68" t="n"/>
      <c r="T84" s="68" t="n"/>
      <c r="U84" s="68" t="n"/>
      <c r="V84" s="68" t="n"/>
      <c r="W84" s="68" t="inlineStr">
        <is>
          <t>High</t>
        </is>
      </c>
      <c r="X84" s="68" t="inlineStr">
        <is>
          <t>validated</t>
        </is>
      </c>
      <c r="Y84" s="68" t="n"/>
      <c r="Z84" s="68" t="inlineStr">
        <is>
          <t>present</t>
        </is>
      </c>
      <c r="AA84" s="68" t="inlineStr">
        <is>
          <t>Internal workbook + enrichment queue</t>
        </is>
      </c>
      <c r="AB84" s="68" t="n"/>
      <c r="AC84" s="68" t="n"/>
      <c r="AD84" s="68" t="n"/>
      <c r="AE84" s="68" t="n"/>
      <c r="AF84" s="68" t="n"/>
      <c r="AG84" s="68" t="n">
        <v>3</v>
      </c>
      <c r="AH84" s="68" t="n">
        <v>1</v>
      </c>
      <c r="AI84" s="68" t="n">
        <v>3</v>
      </c>
      <c r="AJ84" s="68" t="n">
        <v>7</v>
      </c>
      <c r="AK84" s="68" t="inlineStr">
        <is>
          <t>Medium</t>
        </is>
      </c>
      <c r="AL84" s="68" t="n"/>
      <c r="AM84" s="68" t="inlineStr">
        <is>
          <t>Linked primary/secondary</t>
        </is>
      </c>
      <c r="AN84" s="68" t="n">
        <v>0.9</v>
      </c>
      <c r="AO84" s="68" t="inlineStr">
        <is>
          <t>Near ready</t>
        </is>
      </c>
      <c r="AP84" s="68" t="n"/>
      <c r="AQ84" s="68" t="n"/>
      <c r="AR84" s="68" t="inlineStr">
        <is>
          <t>Editorial polish</t>
        </is>
      </c>
      <c r="AS84" s="68" t="inlineStr">
        <is>
          <t>Not started</t>
        </is>
      </c>
      <c r="AT84" s="68" t="n"/>
      <c r="AU84" s="68" t="n"/>
      <c r="AV84" s="68" t="n"/>
      <c r="AW84" s="68" t="n"/>
      <c r="AX84" s="68" t="n"/>
      <c r="AY84" s="68" t="n"/>
      <c r="AZ84" s="68" t="n"/>
      <c r="BA84" s="68" t="n"/>
      <c r="BB84" s="68" t="n"/>
      <c r="BC84" s="68" t="n"/>
      <c r="BD84" s="68" t="n"/>
      <c r="BE84" s="68" t="inlineStr">
        <is>
          <t>2026-04-10</t>
        </is>
      </c>
      <c r="BF84" s="68" t="inlineStr">
        <is>
          <t>Metadata normalized from internal workbook links</t>
        </is>
      </c>
      <c r="BG84" s="68" t="inlineStr">
        <is>
          <t>ophiopogon|2026-04-10</t>
        </is>
      </c>
      <c r="BH84" s="68" t="inlineStr">
        <is>
          <t>2026-04-10:auto-normalized</t>
        </is>
      </c>
      <c r="BI84" t="inlineStr">
        <is>
          <t>ophiopogon</t>
        </is>
      </c>
      <c r="BJ84" t="inlineStr">
        <is>
          <t>Ophiopogon</t>
        </is>
      </c>
      <c r="BK84" t="n">
        <v>1</v>
      </c>
      <c r="BL84" t="n">
        <v>0</v>
      </c>
      <c r="BM84" t="n">
        <v>3</v>
      </c>
      <c r="BN84" t="n">
        <v>3</v>
      </c>
      <c r="BO84" t="n">
        <v>100</v>
      </c>
      <c r="BP84" t="n">
        <v>8</v>
      </c>
      <c r="BQ84" t="n">
        <v>0</v>
      </c>
      <c r="BR84" t="n">
        <v>5</v>
      </c>
      <c r="BS84" t="inlineStr">
        <is>
          <t>Tier 4</t>
        </is>
      </c>
      <c r="BT84" t="n">
        <v>3</v>
      </c>
      <c r="BU84" t="inlineStr">
        <is>
          <t>FALSE</t>
        </is>
      </c>
      <c r="BV84" t="inlineStr">
        <is>
          <t>ophiopogon</t>
        </is>
      </c>
      <c r="BW84" t="inlineStr">
        <is>
          <t>TRUE</t>
        </is>
      </c>
      <c r="BX84" t="inlineStr">
        <is>
          <t>Pass 10 refreshed scoring from 1 mapped compounds | Pass 13 rescored from 1 mapped compounds</t>
        </is>
      </c>
      <c r="CA84" t="n">
        <v>2</v>
      </c>
      <c r="CB84" t="n">
        <v>0</v>
      </c>
      <c r="CC84" t="n">
        <v>0</v>
      </c>
      <c r="CE84" t="inlineStr">
        <is>
          <t>Pass 13 rescored after herb-name normalization and real top-herb compound sweep</t>
        </is>
      </c>
      <c r="CF84" t="inlineStr">
        <is>
          <t>General</t>
        </is>
      </c>
      <c r="CH84" s="68" t="inlineStr">
        <is>
          <t>Start with low single-herb exposure and increase only if tolerated</t>
        </is>
      </c>
      <c r="CI84" s="68" t="inlineStr">
        <is>
          <t>Product-ideation framing only; not clinical dosing advice.</t>
        </is>
      </c>
      <c r="CJ84" s="68" t="str"/>
      <c r="CK84" s="68" t="str"/>
      <c r="CL84" s="68" t="inlineStr">
        <is>
          <t>Moderate</t>
        </is>
      </c>
      <c r="CM84" s="68" t="inlineStr">
        <is>
          <t>No</t>
        </is>
      </c>
      <c r="CN84" s="68" t="str"/>
      <c r="CO84" s="68" t="inlineStr">
        <is>
          <t>Pass 21 herb-level safety and dose framing</t>
        </is>
      </c>
      <c r="CP84" t="inlineStr">
        <is>
          <t>Baseline</t>
        </is>
      </c>
      <c r="CQ84" t="inlineStr">
        <is>
          <t>No</t>
        </is>
      </c>
      <c r="CS84" t="inlineStr">
        <is>
          <t>Pass 22 refined safety rule severity and reduced broad keyword over-flagging</t>
        </is>
      </c>
      <c r="CT84" t="inlineStr">
        <is>
          <t>General</t>
        </is>
      </c>
      <c r="CU84" t="inlineStr">
        <is>
          <t>demulcent support; traditional respiratory support</t>
        </is>
      </c>
      <c r="CV84" t="inlineStr">
        <is>
          <t>Human</t>
        </is>
      </c>
      <c r="CW84" t="inlineStr">
        <is>
          <t>Pass 26 normalization: categories, mechanisms, evidence tiers</t>
        </is>
      </c>
      <c r="CX84" t="inlineStr">
        <is>
          <t>Limited human</t>
        </is>
      </c>
      <c r="CY84" t="inlineStr">
        <is>
          <t>Generally well tolerated.</t>
        </is>
      </c>
      <c r="CZ84" t="inlineStr">
        <is>
          <t>Avoid overextended pulmonary claims</t>
        </is>
      </c>
      <c r="DB84" t="inlineStr">
        <is>
          <t>Pass 28 normalized evidence and safety-related free text</t>
        </is>
      </c>
      <c r="DD84" t="inlineStr">
        <is>
          <t>No standardized dose established; use conservative, product-dependent ranges.</t>
        </is>
      </c>
      <c r="DE84" t="inlineStr">
        <is>
          <t>Common forms include extracts, powders, or teas depending on herb part.</t>
        </is>
      </c>
      <c r="DF84" t="inlineStr">
        <is>
          <t>Quality varies by extraction method, standardization, and contamination risk.</t>
        </is>
      </c>
      <c r="DG84" t="inlineStr">
        <is>
          <t>Moderate to high</t>
        </is>
      </c>
      <c r="DH84" t="inlineStr">
        <is>
          <t>Pass 29 completeness repair</t>
        </is>
      </c>
      <c r="DI84" t="n">
        <v>6</v>
      </c>
      <c r="DJ84" t="inlineStr">
        <is>
          <t>General</t>
        </is>
      </c>
      <c r="DL84" t="inlineStr">
        <is>
          <t>Acerola; Agarikon; Ajwain; Aloe Vera; American Ginseng</t>
        </is>
      </c>
      <c r="DM84" t="inlineStr">
        <is>
          <t>Pass 31 relationship intelligence: density, cluster, anchor class, nearest herbs</t>
        </is>
      </c>
      <c r="DP84" t="inlineStr">
        <is>
          <t>Generalist</t>
        </is>
      </c>
      <c r="DQ84" t="inlineStr">
        <is>
          <t>Pass 32 substitute engine + cluster cleanup</t>
        </is>
      </c>
      <c r="DT84" t="inlineStr">
        <is>
          <t>no strong safe fallback found</t>
        </is>
      </c>
      <c r="DU84" t="inlineStr">
        <is>
          <t>Not needed</t>
        </is>
      </c>
      <c r="DV84" t="inlineStr">
        <is>
          <t>Pass 33 fallback replacement engine</t>
        </is>
      </c>
      <c r="DY84" t="inlineStr">
        <is>
          <t>Pass 35 expanded fallback pool with second-pass candidate exploration</t>
        </is>
      </c>
      <c r="EA84" t="inlineStr">
        <is>
          <t>General</t>
        </is>
      </c>
      <c r="EC84" t="inlineStr">
        <is>
          <t>High</t>
        </is>
      </c>
      <c r="ED84" t="inlineStr">
        <is>
          <t>Pass 40 reinforced weak-category herb data</t>
        </is>
      </c>
      <c r="EG84" t="n">
        <v>3</v>
      </c>
      <c r="EH84" t="n">
        <v>3</v>
      </c>
      <c r="EI84" t="n">
        <v>0</v>
      </c>
      <c r="EJ84" t="n">
        <v>0</v>
      </c>
      <c r="EK84" t="n">
        <v>11</v>
      </c>
      <c r="EL84" t="n">
        <v>7</v>
      </c>
      <c r="EM84" t="inlineStr">
        <is>
          <t>ophiopogonin d</t>
        </is>
      </c>
      <c r="EN84" t="inlineStr">
        <is>
          <t>Pass 48 rolled compound scores into herb-level scoring</t>
        </is>
      </c>
    </row>
    <row r="85">
      <c r="A85" s="68" t="inlineStr">
        <is>
          <t>Houttuynia</t>
        </is>
      </c>
      <c r="B85" s="68" t="inlineStr">
        <is>
          <t>houttuynia</t>
        </is>
      </c>
      <c r="C85" s="68" t="inlineStr">
        <is>
          <t>Houttuynia cordata</t>
        </is>
      </c>
      <c r="D85" s="68" t="inlineStr">
        <is>
          <t>herb</t>
        </is>
      </c>
      <c r="E85" s="68" t="inlineStr">
        <is>
          <t>aerial parts</t>
        </is>
      </c>
      <c r="F85" s="68" t="inlineStr">
        <is>
          <t>leaf; aerial parts</t>
        </is>
      </c>
      <c r="G85" s="68" t="inlineStr">
        <is>
          <t>houttuynia</t>
        </is>
      </c>
      <c r="H85" s="68" t="inlineStr">
        <is>
          <t>East and Southeast Asia</t>
        </is>
      </c>
      <c r="I85" s="68" t="inlineStr">
        <is>
          <t>Houttuynia is positioned for traditional immune and respiratory support.</t>
        </is>
      </c>
      <c r="J85" s="68" t="inlineStr">
        <is>
          <t>It should be framed cautiously because strong folklore claims exceed the evidence.</t>
        </is>
      </c>
      <c r="K85" s="68" t="inlineStr">
        <is>
          <t>quercitrin; volatile oils</t>
        </is>
      </c>
      <c r="L85" s="68" t="inlineStr">
        <is>
          <t>quercitrin</t>
        </is>
      </c>
      <c r="M85" s="68" t="inlineStr">
        <is>
          <t>Flavonoids and volatiles support traditional immune and respiratory positioning.</t>
        </is>
      </c>
      <c r="N85" s="68" t="inlineStr">
        <is>
          <t>traditional immune support; traditional respiratory support</t>
        </is>
      </c>
      <c r="O85" s="68" t="inlineStr">
        <is>
          <t>traditional use + limited human</t>
        </is>
      </c>
      <c r="P85" s="68" t="inlineStr">
        <is>
          <t>Generally well tolerated.</t>
        </is>
      </c>
      <c r="Q85" s="68" t="inlineStr">
        <is>
          <t>Avoid exaggerated antiviral claims.</t>
        </is>
      </c>
      <c r="R85" s="68" t="n"/>
      <c r="S85" s="68" t="n"/>
      <c r="T85" s="68" t="n"/>
      <c r="U85" s="68" t="n"/>
      <c r="V85" s="68" t="n"/>
      <c r="W85" s="68" t="inlineStr">
        <is>
          <t>High</t>
        </is>
      </c>
      <c r="X85" s="68" t="inlineStr">
        <is>
          <t>validated</t>
        </is>
      </c>
      <c r="Y85" s="68" t="n"/>
      <c r="Z85" s="68" t="inlineStr">
        <is>
          <t>present</t>
        </is>
      </c>
      <c r="AA85" s="68" t="inlineStr">
        <is>
          <t>Internal workbook + enrichment queue</t>
        </is>
      </c>
      <c r="AB85" s="68" t="n"/>
      <c r="AC85" s="68" t="n"/>
      <c r="AD85" s="68" t="n"/>
      <c r="AE85" s="68" t="n"/>
      <c r="AF85" s="68" t="n"/>
      <c r="AG85" s="68" t="n">
        <v>3</v>
      </c>
      <c r="AH85" s="68" t="n">
        <v>1</v>
      </c>
      <c r="AI85" s="68" t="n">
        <v>3</v>
      </c>
      <c r="AJ85" s="68" t="n">
        <v>7</v>
      </c>
      <c r="AK85" s="68" t="inlineStr">
        <is>
          <t>Medium</t>
        </is>
      </c>
      <c r="AL85" s="68" t="n"/>
      <c r="AM85" s="68" t="inlineStr">
        <is>
          <t>Linked primary/secondary</t>
        </is>
      </c>
      <c r="AN85" s="68" t="n">
        <v>0.9</v>
      </c>
      <c r="AO85" s="68" t="inlineStr">
        <is>
          <t>Near ready</t>
        </is>
      </c>
      <c r="AP85" s="68" t="n"/>
      <c r="AQ85" s="68" t="n"/>
      <c r="AR85" s="68" t="inlineStr">
        <is>
          <t>Editorial polish</t>
        </is>
      </c>
      <c r="AS85" s="68" t="inlineStr">
        <is>
          <t>Not started</t>
        </is>
      </c>
      <c r="AT85" s="68" t="n"/>
      <c r="AU85" s="68" t="n"/>
      <c r="AV85" s="68" t="n"/>
      <c r="AW85" s="68" t="n"/>
      <c r="AX85" s="68" t="n"/>
      <c r="AY85" s="68" t="n"/>
      <c r="AZ85" s="68" t="n"/>
      <c r="BA85" s="68" t="n"/>
      <c r="BB85" s="68" t="n"/>
      <c r="BC85" s="68" t="n"/>
      <c r="BD85" s="68" t="n"/>
      <c r="BE85" s="68" t="inlineStr">
        <is>
          <t>2026-04-10</t>
        </is>
      </c>
      <c r="BF85" s="68" t="inlineStr">
        <is>
          <t>Metadata normalized from internal workbook links</t>
        </is>
      </c>
      <c r="BG85" s="68" t="inlineStr">
        <is>
          <t>houttuynia|2026-04-10</t>
        </is>
      </c>
      <c r="BH85" s="68" t="inlineStr">
        <is>
          <t>2026-04-10:auto-normalized</t>
        </is>
      </c>
      <c r="BI85" t="inlineStr">
        <is>
          <t>houttuynia</t>
        </is>
      </c>
      <c r="BJ85" t="inlineStr">
        <is>
          <t>Houttuynia</t>
        </is>
      </c>
      <c r="BK85" t="n">
        <v>1</v>
      </c>
      <c r="BL85" t="n">
        <v>1</v>
      </c>
      <c r="BM85" t="n">
        <v>3</v>
      </c>
      <c r="BN85" t="n">
        <v>7</v>
      </c>
      <c r="BO85" t="n">
        <v>100</v>
      </c>
      <c r="BP85" t="n">
        <v>8</v>
      </c>
      <c r="BQ85" t="n">
        <v>10</v>
      </c>
      <c r="BR85" t="n">
        <v>5</v>
      </c>
      <c r="BS85" t="inlineStr">
        <is>
          <t>Tier 1</t>
        </is>
      </c>
      <c r="BT85" t="n">
        <v>5</v>
      </c>
      <c r="BU85" t="inlineStr">
        <is>
          <t>FALSE</t>
        </is>
      </c>
      <c r="BV85" t="inlineStr">
        <is>
          <t>houttuynia</t>
        </is>
      </c>
      <c r="BW85" t="inlineStr">
        <is>
          <t>TRUE</t>
        </is>
      </c>
      <c r="BX85" t="inlineStr">
        <is>
          <t>Pass 10 refreshed scoring from 1 mapped compounds | Pass 13 rescored from 1 mapped compounds</t>
        </is>
      </c>
      <c r="BY85" t="inlineStr">
        <is>
          <t>unclassified</t>
        </is>
      </c>
      <c r="CA85" t="n">
        <v>2</v>
      </c>
      <c r="CB85" t="n">
        <v>0</v>
      </c>
      <c r="CC85" t="n">
        <v>0</v>
      </c>
      <c r="CD85" t="inlineStr">
        <is>
          <t>quercitrin; unclassified</t>
        </is>
      </c>
      <c r="CE85" t="inlineStr">
        <is>
          <t>Pass 13 rescored after herb-name normalization and real top-herb compound sweep</t>
        </is>
      </c>
      <c r="CF85" t="inlineStr">
        <is>
          <t>General</t>
        </is>
      </c>
      <c r="CH85" s="68" t="inlineStr">
        <is>
          <t>Start with low single-herb exposure and increase only if tolerated</t>
        </is>
      </c>
      <c r="CI85" s="68" t="inlineStr">
        <is>
          <t>Product-ideation framing only; not clinical dosing advice.</t>
        </is>
      </c>
      <c r="CJ85" s="68" t="inlineStr">
        <is>
          <t>immune-caution</t>
        </is>
      </c>
      <c r="CK85" s="68" t="str"/>
      <c r="CL85" s="68" t="inlineStr">
        <is>
          <t>Moderate</t>
        </is>
      </c>
      <c r="CM85" s="68" t="inlineStr">
        <is>
          <t>No</t>
        </is>
      </c>
      <c r="CN85" s="68" t="str"/>
      <c r="CO85" s="68" t="inlineStr">
        <is>
          <t>Pass 21 herb-level safety and dose framing</t>
        </is>
      </c>
      <c r="CP85" t="inlineStr">
        <is>
          <t>Baseline</t>
        </is>
      </c>
      <c r="CQ85" t="inlineStr">
        <is>
          <t>No</t>
        </is>
      </c>
      <c r="CS85" t="inlineStr">
        <is>
          <t>Pass 22 refined safety rule severity and reduced broad keyword over-flagging</t>
        </is>
      </c>
      <c r="CT85" t="inlineStr">
        <is>
          <t>General</t>
        </is>
      </c>
      <c r="CU85" t="inlineStr">
        <is>
          <t>traditional immune support; traditional respiratory support</t>
        </is>
      </c>
      <c r="CV85" t="inlineStr">
        <is>
          <t>Human</t>
        </is>
      </c>
      <c r="CW85" t="inlineStr">
        <is>
          <t>Pass 26 normalization: categories, mechanisms, evidence tiers</t>
        </is>
      </c>
      <c r="CX85" t="inlineStr">
        <is>
          <t>Limited human</t>
        </is>
      </c>
      <c r="CY85" t="inlineStr">
        <is>
          <t>Generally well tolerated.</t>
        </is>
      </c>
      <c r="CZ85" t="inlineStr">
        <is>
          <t>Avoid exaggerated antiviral claims</t>
        </is>
      </c>
      <c r="DB85" t="inlineStr">
        <is>
          <t>Pass 28 normalized evidence and safety-related free text</t>
        </is>
      </c>
      <c r="DD85" t="inlineStr">
        <is>
          <t>No standardized dose established; use conservative, product-dependent ranges.</t>
        </is>
      </c>
      <c r="DE85" t="inlineStr">
        <is>
          <t>Common forms include extracts, powders, or teas depending on herb part.</t>
        </is>
      </c>
      <c r="DF85" t="inlineStr">
        <is>
          <t>Quality varies by extraction method, standardization, and contamination risk.</t>
        </is>
      </c>
      <c r="DG85" t="inlineStr">
        <is>
          <t>Moderate to high</t>
        </is>
      </c>
      <c r="DH85" t="inlineStr">
        <is>
          <t>Pass 29 completeness repair</t>
        </is>
      </c>
      <c r="DI85" t="n">
        <v>9</v>
      </c>
      <c r="DJ85" t="inlineStr">
        <is>
          <t>General</t>
        </is>
      </c>
      <c r="DK85" t="inlineStr">
        <is>
          <t>quercitrin</t>
        </is>
      </c>
      <c r="DL85" t="inlineStr">
        <is>
          <t>Agarikon; Ajwain; Angelica Root; Artichoke; Ashoka</t>
        </is>
      </c>
      <c r="DM85" t="inlineStr">
        <is>
          <t>Pass 31 relationship intelligence: density, cluster, anchor class, nearest herbs</t>
        </is>
      </c>
      <c r="DN85" t="inlineStr">
        <is>
          <t>Agarikon; Ajwain; Angelica Root; Artichoke; Ashoka</t>
        </is>
      </c>
      <c r="DO85" t="inlineStr">
        <is>
          <t>Agarikon (1 shared pathways) | Ajwain (1 shared pathways) | Angelica Root (1 shared pathways)</t>
        </is>
      </c>
      <c r="DP85" t="inlineStr">
        <is>
          <t>Generalist</t>
        </is>
      </c>
      <c r="DQ85" t="inlineStr">
        <is>
          <t>Pass 32 substitute engine + cluster cleanup</t>
        </is>
      </c>
      <c r="DR85" t="inlineStr">
        <is>
          <t>Agarikon</t>
        </is>
      </c>
      <c r="DS85" t="inlineStr">
        <is>
          <t>Ajwain</t>
        </is>
      </c>
      <c r="DT85" t="inlineStr">
        <is>
          <t>same cluster; lower safety burden; similarity-backed</t>
        </is>
      </c>
      <c r="DU85" t="inlineStr">
        <is>
          <t>Not needed</t>
        </is>
      </c>
      <c r="DV85" t="inlineStr">
        <is>
          <t>Pass 33 fallback replacement engine</t>
        </is>
      </c>
      <c r="DW85" t="inlineStr">
        <is>
          <t>Angelica Root</t>
        </is>
      </c>
      <c r="DX85" t="inlineStr">
        <is>
          <t>Agarikon; Ajwain; Angelica Root; Ashoka; Blue Lotus; Artichoke; Rosemary; Sage</t>
        </is>
      </c>
      <c r="DY85" t="inlineStr">
        <is>
          <t>Pass 35 expanded fallback pool with second-pass candidate exploration</t>
        </is>
      </c>
      <c r="EA85" t="inlineStr">
        <is>
          <t>General</t>
        </is>
      </c>
      <c r="EB85" t="inlineStr">
        <is>
          <t>unclassified</t>
        </is>
      </c>
      <c r="EC85" t="inlineStr">
        <is>
          <t>High</t>
        </is>
      </c>
      <c r="ED85" t="inlineStr">
        <is>
          <t>Pass 40 reinforced weak-category herb data</t>
        </is>
      </c>
      <c r="EG85" t="n">
        <v>3</v>
      </c>
      <c r="EH85" t="n">
        <v>3</v>
      </c>
      <c r="EI85" t="n">
        <v>0</v>
      </c>
      <c r="EJ85" t="n">
        <v>0</v>
      </c>
      <c r="EK85" t="n">
        <v>11</v>
      </c>
      <c r="EL85" t="n">
        <v>7</v>
      </c>
      <c r="EM85" t="inlineStr">
        <is>
          <t>quercitrin</t>
        </is>
      </c>
      <c r="EN85" t="inlineStr">
        <is>
          <t>Pass 48 rolled compound scores into herb-level scoring</t>
        </is>
      </c>
    </row>
    <row r="86">
      <c r="A86" s="68" t="inlineStr">
        <is>
          <t>Isatis</t>
        </is>
      </c>
      <c r="B86" s="68" t="inlineStr">
        <is>
          <t>isatis</t>
        </is>
      </c>
      <c r="C86" s="68" t="inlineStr">
        <is>
          <t>Isatis tinctoria</t>
        </is>
      </c>
      <c r="D86" s="68" t="inlineStr">
        <is>
          <t>herb</t>
        </is>
      </c>
      <c r="E86" s="68" t="inlineStr">
        <is>
          <t>root/leaf</t>
        </is>
      </c>
      <c r="F86" s="68" t="inlineStr">
        <is>
          <t>root; leaf</t>
        </is>
      </c>
      <c r="G86" s="68" t="inlineStr">
        <is>
          <t>isatis; ban lan gen</t>
        </is>
      </c>
      <c r="H86" s="68" t="inlineStr">
        <is>
          <t>China and Eurasia</t>
        </is>
      </c>
      <c r="I86" s="68" t="inlineStr">
        <is>
          <t>Isatis is positioned for traditional immune and throat-support use.</t>
        </is>
      </c>
      <c r="J86" s="68" t="inlineStr">
        <is>
          <t>It is best framed as a traditional-use herb with limited modern clinical depth.</t>
        </is>
      </c>
      <c r="K86" s="68" t="inlineStr">
        <is>
          <t>indirubin; tryptanthrin</t>
        </is>
      </c>
      <c r="L86" s="68" t="inlineStr">
        <is>
          <t>tryptanthrin</t>
        </is>
      </c>
      <c r="M86" s="68" t="inlineStr">
        <is>
          <t>Indole derivatives support traditional immune-related positioning.</t>
        </is>
      </c>
      <c r="N86" s="68" t="inlineStr">
        <is>
          <t>traditional immune support; throat support</t>
        </is>
      </c>
      <c r="O86" s="68" t="inlineStr">
        <is>
          <t>traditional use + limited human</t>
        </is>
      </c>
      <c r="P86" s="68" t="inlineStr">
        <is>
          <t>Use cautiously.</t>
        </is>
      </c>
      <c r="Q86" s="68" t="inlineStr">
        <is>
          <t>Avoid exaggerated infection-treatment claims.</t>
        </is>
      </c>
      <c r="R86" s="68" t="n"/>
      <c r="S86" s="68" t="n"/>
      <c r="T86" s="68" t="n"/>
      <c r="U86" s="68" t="n"/>
      <c r="V86" s="68" t="n"/>
      <c r="W86" s="68" t="inlineStr">
        <is>
          <t>High</t>
        </is>
      </c>
      <c r="X86" s="68" t="inlineStr">
        <is>
          <t>validated</t>
        </is>
      </c>
      <c r="Y86" s="68" t="n"/>
      <c r="Z86" s="68" t="inlineStr">
        <is>
          <t>present</t>
        </is>
      </c>
      <c r="AA86" s="68" t="inlineStr">
        <is>
          <t>Internal workbook + enrichment queue</t>
        </is>
      </c>
      <c r="AB86" s="68" t="n"/>
      <c r="AC86" s="68" t="n"/>
      <c r="AD86" s="68" t="n"/>
      <c r="AE86" s="68" t="n"/>
      <c r="AF86" s="68" t="n"/>
      <c r="AG86" s="68" t="n">
        <v>3</v>
      </c>
      <c r="AH86" s="68" t="n">
        <v>1</v>
      </c>
      <c r="AI86" s="68" t="n">
        <v>3</v>
      </c>
      <c r="AJ86" s="68" t="n">
        <v>7</v>
      </c>
      <c r="AK86" s="68" t="inlineStr">
        <is>
          <t>Medium</t>
        </is>
      </c>
      <c r="AL86" s="68" t="n"/>
      <c r="AM86" s="68" t="inlineStr">
        <is>
          <t>Linked primary/secondary</t>
        </is>
      </c>
      <c r="AN86" s="68" t="n">
        <v>0.9</v>
      </c>
      <c r="AO86" s="68" t="inlineStr">
        <is>
          <t>Near ready</t>
        </is>
      </c>
      <c r="AP86" s="68" t="n"/>
      <c r="AQ86" s="68" t="n"/>
      <c r="AR86" s="68" t="inlineStr">
        <is>
          <t>Editorial polish</t>
        </is>
      </c>
      <c r="AS86" s="68" t="inlineStr">
        <is>
          <t>Not started</t>
        </is>
      </c>
      <c r="AT86" s="68" t="n"/>
      <c r="AU86" s="68" t="n"/>
      <c r="AV86" s="68" t="n"/>
      <c r="AW86" s="68" t="n"/>
      <c r="AX86" s="68" t="n"/>
      <c r="AY86" s="68" t="n"/>
      <c r="AZ86" s="68" t="n"/>
      <c r="BA86" s="68" t="n"/>
      <c r="BB86" s="68" t="n"/>
      <c r="BC86" s="68" t="n"/>
      <c r="BD86" s="68" t="n"/>
      <c r="BE86" s="68" t="inlineStr">
        <is>
          <t>2026-04-10</t>
        </is>
      </c>
      <c r="BF86" s="68" t="inlineStr">
        <is>
          <t>Metadata normalized from internal workbook links</t>
        </is>
      </c>
      <c r="BG86" s="68" t="inlineStr">
        <is>
          <t>isatis|2026-04-10</t>
        </is>
      </c>
      <c r="BH86" s="68" t="inlineStr">
        <is>
          <t>2026-04-10:auto-normalized</t>
        </is>
      </c>
      <c r="BI86" t="inlineStr">
        <is>
          <t>isatis</t>
        </is>
      </c>
      <c r="BJ86" t="inlineStr">
        <is>
          <t>Isatis</t>
        </is>
      </c>
      <c r="BK86" t="n">
        <v>1</v>
      </c>
      <c r="BL86" t="n">
        <v>1</v>
      </c>
      <c r="BM86" t="n">
        <v>3</v>
      </c>
      <c r="BN86" t="n">
        <v>7</v>
      </c>
      <c r="BO86" t="n">
        <v>100</v>
      </c>
      <c r="BP86" t="n">
        <v>8</v>
      </c>
      <c r="BQ86" t="n">
        <v>10</v>
      </c>
      <c r="BR86" t="n">
        <v>5</v>
      </c>
      <c r="BS86" t="inlineStr">
        <is>
          <t>Tier 1</t>
        </is>
      </c>
      <c r="BT86" t="n">
        <v>5</v>
      </c>
      <c r="BU86" t="inlineStr">
        <is>
          <t>FALSE</t>
        </is>
      </c>
      <c r="BV86" t="inlineStr">
        <is>
          <t>isatis</t>
        </is>
      </c>
      <c r="BW86" t="inlineStr">
        <is>
          <t>TRUE</t>
        </is>
      </c>
      <c r="BX86" t="inlineStr">
        <is>
          <t>Pass 10 refreshed scoring from 1 mapped compounds | Pass 13 rescored from 1 mapped compounds</t>
        </is>
      </c>
      <c r="BY86" t="inlineStr">
        <is>
          <t>unclassified</t>
        </is>
      </c>
      <c r="CA86" t="n">
        <v>2</v>
      </c>
      <c r="CB86" t="n">
        <v>0</v>
      </c>
      <c r="CC86" t="n">
        <v>0</v>
      </c>
      <c r="CD86" t="inlineStr">
        <is>
          <t>tryptanthrin; unclassified</t>
        </is>
      </c>
      <c r="CE86" t="inlineStr">
        <is>
          <t>Pass 13 rescored after herb-name normalization and real top-herb compound sweep</t>
        </is>
      </c>
      <c r="CF86" t="inlineStr">
        <is>
          <t>General</t>
        </is>
      </c>
      <c r="CH86" s="68" t="inlineStr">
        <is>
          <t>Start with low single-herb exposure and increase only if tolerated</t>
        </is>
      </c>
      <c r="CI86" s="68" t="inlineStr">
        <is>
          <t>Product-ideation framing only; not clinical dosing advice.</t>
        </is>
      </c>
      <c r="CJ86" s="68" t="inlineStr">
        <is>
          <t>immune-caution</t>
        </is>
      </c>
      <c r="CK86" s="68" t="str"/>
      <c r="CL86" s="68" t="inlineStr">
        <is>
          <t>Moderate</t>
        </is>
      </c>
      <c r="CM86" s="68" t="inlineStr">
        <is>
          <t>No</t>
        </is>
      </c>
      <c r="CN86" s="68" t="str"/>
      <c r="CO86" s="68" t="inlineStr">
        <is>
          <t>Pass 21 herb-level safety and dose framing</t>
        </is>
      </c>
      <c r="CP86" t="inlineStr">
        <is>
          <t>Baseline</t>
        </is>
      </c>
      <c r="CQ86" t="inlineStr">
        <is>
          <t>No</t>
        </is>
      </c>
      <c r="CS86" t="inlineStr">
        <is>
          <t>Pass 22 refined safety rule severity and reduced broad keyword over-flagging</t>
        </is>
      </c>
      <c r="CT86" t="inlineStr">
        <is>
          <t>General</t>
        </is>
      </c>
      <c r="CU86" t="inlineStr">
        <is>
          <t>throat support; traditional immune support</t>
        </is>
      </c>
      <c r="CV86" t="inlineStr">
        <is>
          <t>Human</t>
        </is>
      </c>
      <c r="CW86" t="inlineStr">
        <is>
          <t>Pass 26 normalization: categories, mechanisms, evidence tiers</t>
        </is>
      </c>
      <c r="CX86" t="inlineStr">
        <is>
          <t>Limited human</t>
        </is>
      </c>
      <c r="CY86" t="inlineStr">
        <is>
          <t>Use cautiously.</t>
        </is>
      </c>
      <c r="CZ86" t="inlineStr">
        <is>
          <t>Avoid exaggerated infection-treatment claims</t>
        </is>
      </c>
      <c r="DB86" t="inlineStr">
        <is>
          <t>Pass 28 normalized evidence and safety-related free text</t>
        </is>
      </c>
      <c r="DD86" t="inlineStr">
        <is>
          <t>No standardized dose established; use conservative, product-dependent ranges.</t>
        </is>
      </c>
      <c r="DE86" t="inlineStr">
        <is>
          <t>Common forms include extracts, powders, or teas depending on herb part.</t>
        </is>
      </c>
      <c r="DF86" t="inlineStr">
        <is>
          <t>Quality varies by extraction method, standardization, and contamination risk.</t>
        </is>
      </c>
      <c r="DG86" t="inlineStr">
        <is>
          <t>Moderate to high</t>
        </is>
      </c>
      <c r="DH86" t="inlineStr">
        <is>
          <t>Pass 29 completeness repair</t>
        </is>
      </c>
      <c r="DI86" t="n">
        <v>9</v>
      </c>
      <c r="DJ86" t="inlineStr">
        <is>
          <t>General</t>
        </is>
      </c>
      <c r="DK86" t="inlineStr">
        <is>
          <t>tryptanthrin</t>
        </is>
      </c>
      <c r="DL86" t="inlineStr">
        <is>
          <t>Agarikon; Ajwain; Angelica Root; Artichoke; Ashoka</t>
        </is>
      </c>
      <c r="DM86" t="inlineStr">
        <is>
          <t>Pass 31 relationship intelligence: density, cluster, anchor class, nearest herbs</t>
        </is>
      </c>
      <c r="DN86" t="inlineStr">
        <is>
          <t>Agarikon; Ajwain; Angelica Root; Artichoke; Ashoka</t>
        </is>
      </c>
      <c r="DO86" t="inlineStr">
        <is>
          <t>Agarikon (1 shared pathways) | Ajwain (1 shared pathways) | Angelica Root (1 shared pathways)</t>
        </is>
      </c>
      <c r="DP86" t="inlineStr">
        <is>
          <t>Generalist</t>
        </is>
      </c>
      <c r="DQ86" t="inlineStr">
        <is>
          <t>Pass 32 substitute engine + cluster cleanup</t>
        </is>
      </c>
      <c r="DR86" t="inlineStr">
        <is>
          <t>Agarikon</t>
        </is>
      </c>
      <c r="DS86" t="inlineStr">
        <is>
          <t>Ajwain</t>
        </is>
      </c>
      <c r="DT86" t="inlineStr">
        <is>
          <t>same cluster; lower safety burden; similarity-backed</t>
        </is>
      </c>
      <c r="DU86" t="inlineStr">
        <is>
          <t>Not needed</t>
        </is>
      </c>
      <c r="DV86" t="inlineStr">
        <is>
          <t>Pass 33 fallback replacement engine</t>
        </is>
      </c>
      <c r="DW86" t="inlineStr">
        <is>
          <t>Angelica Root</t>
        </is>
      </c>
      <c r="DX86" t="inlineStr">
        <is>
          <t>Agarikon; Ajwain; Angelica Root; Ashoka; Blue Lotus; Artichoke; Rosemary; Sage</t>
        </is>
      </c>
      <c r="DY86" t="inlineStr">
        <is>
          <t>Pass 35 expanded fallback pool with second-pass candidate exploration</t>
        </is>
      </c>
      <c r="EA86" t="inlineStr">
        <is>
          <t>General</t>
        </is>
      </c>
      <c r="EB86" t="inlineStr">
        <is>
          <t>unclassified</t>
        </is>
      </c>
      <c r="EC86" t="inlineStr">
        <is>
          <t>High</t>
        </is>
      </c>
      <c r="ED86" t="inlineStr">
        <is>
          <t>Pass 40 reinforced weak-category herb data</t>
        </is>
      </c>
      <c r="EG86" t="n">
        <v>3</v>
      </c>
      <c r="EH86" t="n">
        <v>3</v>
      </c>
      <c r="EI86" t="n">
        <v>0</v>
      </c>
      <c r="EJ86" t="n">
        <v>0</v>
      </c>
      <c r="EK86" t="n">
        <v>11</v>
      </c>
      <c r="EL86" t="n">
        <v>7</v>
      </c>
      <c r="EM86" t="inlineStr">
        <is>
          <t>tryptanthrin</t>
        </is>
      </c>
      <c r="EN86" t="inlineStr">
        <is>
          <t>Pass 48 rolled compound scores into herb-level scoring</t>
        </is>
      </c>
    </row>
    <row r="87">
      <c r="A87" s="68" t="inlineStr">
        <is>
          <t>Sophora Flavescens</t>
        </is>
      </c>
      <c r="B87" s="68" t="inlineStr">
        <is>
          <t>sophora-flavescens</t>
        </is>
      </c>
      <c r="C87" s="68" t="inlineStr">
        <is>
          <t>Sophora flavescens</t>
        </is>
      </c>
      <c r="D87" s="68" t="inlineStr">
        <is>
          <t>herb</t>
        </is>
      </c>
      <c r="E87" s="68" t="inlineStr">
        <is>
          <t>root</t>
        </is>
      </c>
      <c r="F87" s="68" t="inlineStr">
        <is>
          <t>root</t>
        </is>
      </c>
      <c r="G87" s="68" t="inlineStr">
        <is>
          <t>ku shen</t>
        </is>
      </c>
      <c r="H87" s="68" t="inlineStr">
        <is>
          <t>China and East Asia</t>
        </is>
      </c>
      <c r="I87" s="68" t="inlineStr">
        <is>
          <t>Sophora flavescens is positioned for traditional skin and GI support.</t>
        </is>
      </c>
      <c r="J87" s="68" t="inlineStr">
        <is>
          <t>It should be framed conservatively because alkaloid-rich roots can have stronger tolerability issues.</t>
        </is>
      </c>
      <c r="K87" s="68" t="inlineStr">
        <is>
          <t>matrine; oxymatrine</t>
        </is>
      </c>
      <c r="L87" s="68" t="inlineStr">
        <is>
          <t>matrine</t>
        </is>
      </c>
      <c r="M87" s="68" t="inlineStr">
        <is>
          <t>Alkaloids support traditional skin and GI-related positioning.</t>
        </is>
      </c>
      <c r="N87" s="68" t="inlineStr">
        <is>
          <t>traditional skin support; GI support</t>
        </is>
      </c>
      <c r="O87" s="68" t="inlineStr">
        <is>
          <t>traditional use + limited human</t>
        </is>
      </c>
      <c r="P87" s="68" t="inlineStr">
        <is>
          <t>Use cautiously.</t>
        </is>
      </c>
      <c r="Q87" s="68" t="inlineStr">
        <is>
          <t>Avoid overextended antimicrobial claims.</t>
        </is>
      </c>
      <c r="R87" s="68" t="n"/>
      <c r="S87" s="68" t="n"/>
      <c r="T87" s="68" t="n"/>
      <c r="U87" s="68" t="n"/>
      <c r="V87" s="68" t="n"/>
      <c r="W87" s="68" t="inlineStr">
        <is>
          <t>High</t>
        </is>
      </c>
      <c r="X87" s="68" t="inlineStr">
        <is>
          <t>validated</t>
        </is>
      </c>
      <c r="Y87" s="68" t="n"/>
      <c r="Z87" s="68" t="inlineStr">
        <is>
          <t>present</t>
        </is>
      </c>
      <c r="AA87" s="68" t="inlineStr">
        <is>
          <t>Internal workbook + enrichment queue</t>
        </is>
      </c>
      <c r="AB87" s="68" t="n"/>
      <c r="AC87" s="68" t="n"/>
      <c r="AD87" s="68" t="n"/>
      <c r="AE87" s="68" t="n"/>
      <c r="AF87" s="68" t="n"/>
      <c r="AG87" s="68" t="n">
        <v>3</v>
      </c>
      <c r="AH87" s="68" t="n">
        <v>2</v>
      </c>
      <c r="AI87" s="68" t="n">
        <v>3</v>
      </c>
      <c r="AJ87" s="68" t="n">
        <v>8</v>
      </c>
      <c r="AK87" s="68" t="inlineStr">
        <is>
          <t>Medium</t>
        </is>
      </c>
      <c r="AL87" s="68" t="n"/>
      <c r="AM87" s="68" t="inlineStr">
        <is>
          <t>Linked primary/secondary</t>
        </is>
      </c>
      <c r="AN87" s="68" t="n">
        <v>0.9</v>
      </c>
      <c r="AO87" s="68" t="inlineStr">
        <is>
          <t>Ready</t>
        </is>
      </c>
      <c r="AP87" s="68" t="n"/>
      <c r="AQ87" s="68" t="n"/>
      <c r="AR87" s="68" t="inlineStr">
        <is>
          <t>Ready for QA</t>
        </is>
      </c>
      <c r="AS87" s="68" t="inlineStr">
        <is>
          <t>Not started</t>
        </is>
      </c>
      <c r="AT87" s="68" t="n"/>
      <c r="AU87" s="68" t="n"/>
      <c r="AV87" s="68" t="n"/>
      <c r="AW87" s="68" t="n"/>
      <c r="AX87" s="68" t="n"/>
      <c r="AY87" s="68" t="n"/>
      <c r="AZ87" s="68" t="n"/>
      <c r="BA87" s="68" t="n"/>
      <c r="BB87" s="68" t="n"/>
      <c r="BC87" s="68" t="n"/>
      <c r="BD87" s="68" t="n"/>
      <c r="BE87" s="68" t="inlineStr">
        <is>
          <t>2026-04-10</t>
        </is>
      </c>
      <c r="BF87" s="68" t="inlineStr">
        <is>
          <t>Metadata normalized from internal workbook links</t>
        </is>
      </c>
      <c r="BG87" s="68" t="inlineStr">
        <is>
          <t>sophora-flavescens|2026-04-10</t>
        </is>
      </c>
      <c r="BH87" s="68" t="inlineStr">
        <is>
          <t>2026-04-10:auto-normalized</t>
        </is>
      </c>
      <c r="BI87" t="inlineStr">
        <is>
          <t>sophora-flavescens</t>
        </is>
      </c>
      <c r="BJ87" t="inlineStr">
        <is>
          <t>Sophora Flavescens</t>
        </is>
      </c>
      <c r="BK87" t="n">
        <v>1</v>
      </c>
      <c r="BL87" t="n">
        <v>1</v>
      </c>
      <c r="BM87" t="n">
        <v>3</v>
      </c>
      <c r="BN87" t="n">
        <v>7</v>
      </c>
      <c r="BO87" t="n">
        <v>100</v>
      </c>
      <c r="BP87" t="n">
        <v>8</v>
      </c>
      <c r="BQ87" t="n">
        <v>10</v>
      </c>
      <c r="BR87" t="n">
        <v>5</v>
      </c>
      <c r="BS87" t="inlineStr">
        <is>
          <t>Tier 1</t>
        </is>
      </c>
      <c r="BT87" t="n">
        <v>5</v>
      </c>
      <c r="BU87" t="inlineStr">
        <is>
          <t>FALSE</t>
        </is>
      </c>
      <c r="BV87" t="inlineStr">
        <is>
          <t>sophora-flavescens</t>
        </is>
      </c>
      <c r="BW87" t="inlineStr">
        <is>
          <t>TRUE</t>
        </is>
      </c>
      <c r="BX87" t="inlineStr">
        <is>
          <t>Pass 10 refreshed scoring from 1 mapped compounds | Pass 13 rescored from 1 mapped compounds</t>
        </is>
      </c>
      <c r="BY87" t="inlineStr">
        <is>
          <t>unclassified</t>
        </is>
      </c>
      <c r="CA87" t="n">
        <v>2</v>
      </c>
      <c r="CB87" t="n">
        <v>0</v>
      </c>
      <c r="CC87" t="n">
        <v>0</v>
      </c>
      <c r="CD87" t="inlineStr">
        <is>
          <t>matrine; unclassified</t>
        </is>
      </c>
      <c r="CE87" t="inlineStr">
        <is>
          <t>Pass 13 rescored after herb-name normalization and real top-herb compound sweep</t>
        </is>
      </c>
      <c r="CF87" t="inlineStr">
        <is>
          <t>General</t>
        </is>
      </c>
      <c r="CH87" s="68" t="inlineStr">
        <is>
          <t>Start with low single-herb exposure and increase only if tolerated</t>
        </is>
      </c>
      <c r="CI87" s="68" t="inlineStr">
        <is>
          <t>Product-ideation framing only; not clinical dosing advice.</t>
        </is>
      </c>
      <c r="CJ87" s="68" t="str"/>
      <c r="CK87" s="68" t="str"/>
      <c r="CL87" s="68" t="inlineStr">
        <is>
          <t>Moderate</t>
        </is>
      </c>
      <c r="CM87" s="68" t="inlineStr">
        <is>
          <t>No</t>
        </is>
      </c>
      <c r="CN87" s="68" t="str"/>
      <c r="CO87" s="68" t="inlineStr">
        <is>
          <t>Pass 21 herb-level safety and dose framing</t>
        </is>
      </c>
      <c r="CP87" t="inlineStr">
        <is>
          <t>Baseline</t>
        </is>
      </c>
      <c r="CQ87" t="inlineStr">
        <is>
          <t>No</t>
        </is>
      </c>
      <c r="CS87" t="inlineStr">
        <is>
          <t>Pass 22 refined safety rule severity and reduced broad keyword over-flagging</t>
        </is>
      </c>
      <c r="CT87" t="inlineStr">
        <is>
          <t>General</t>
        </is>
      </c>
      <c r="CU87" t="inlineStr">
        <is>
          <t>gi support; traditional skin support</t>
        </is>
      </c>
      <c r="CV87" t="inlineStr">
        <is>
          <t>Human</t>
        </is>
      </c>
      <c r="CW87" t="inlineStr">
        <is>
          <t>Pass 26 normalization: categories, mechanisms, evidence tiers</t>
        </is>
      </c>
      <c r="CX87" t="inlineStr">
        <is>
          <t>Limited human</t>
        </is>
      </c>
      <c r="CY87" t="inlineStr">
        <is>
          <t>Use cautiously.</t>
        </is>
      </c>
      <c r="CZ87" t="inlineStr">
        <is>
          <t>Avoid overextended antimicrobial claims</t>
        </is>
      </c>
      <c r="DB87" t="inlineStr">
        <is>
          <t>Pass 28 normalized evidence and safety-related free text</t>
        </is>
      </c>
      <c r="DD87" t="inlineStr">
        <is>
          <t>No standardized dose established; use conservative, product-dependent ranges.</t>
        </is>
      </c>
      <c r="DE87" t="inlineStr">
        <is>
          <t>Common forms include extracts, powders, or teas depending on herb part.</t>
        </is>
      </c>
      <c r="DF87" t="inlineStr">
        <is>
          <t>Quality varies by extraction method, standardization, and contamination risk.</t>
        </is>
      </c>
      <c r="DG87" t="inlineStr">
        <is>
          <t>Moderate to high</t>
        </is>
      </c>
      <c r="DH87" t="inlineStr">
        <is>
          <t>Pass 29 completeness repair</t>
        </is>
      </c>
      <c r="DI87" t="n">
        <v>9</v>
      </c>
      <c r="DJ87" t="inlineStr">
        <is>
          <t>General</t>
        </is>
      </c>
      <c r="DK87" t="inlineStr">
        <is>
          <t>matrine</t>
        </is>
      </c>
      <c r="DL87" t="inlineStr">
        <is>
          <t>Agarikon; Ajwain; Angelica Root; Artichoke; Ashoka</t>
        </is>
      </c>
      <c r="DM87" t="inlineStr">
        <is>
          <t>Pass 31 relationship intelligence: density, cluster, anchor class, nearest herbs</t>
        </is>
      </c>
      <c r="DN87" t="inlineStr">
        <is>
          <t>Artichoke; Ashoka; Blue Lotus; Boldo; Burdock</t>
        </is>
      </c>
      <c r="DO87" t="inlineStr">
        <is>
          <t>Artichoke (1 shared pathways) | Ashoka (1 shared pathways) | Blue Lotus (1 shared pathways)</t>
        </is>
      </c>
      <c r="DP87" t="inlineStr">
        <is>
          <t>Generalist</t>
        </is>
      </c>
      <c r="DQ87" t="inlineStr">
        <is>
          <t>Pass 32 substitute engine + cluster cleanup</t>
        </is>
      </c>
      <c r="DR87" t="inlineStr">
        <is>
          <t>Ashoka</t>
        </is>
      </c>
      <c r="DS87" t="inlineStr">
        <is>
          <t>Blue Lotus</t>
        </is>
      </c>
      <c r="DT87" t="inlineStr">
        <is>
          <t>same cluster; lower safety burden; similarity-backed</t>
        </is>
      </c>
      <c r="DU87" t="inlineStr">
        <is>
          <t>Not needed</t>
        </is>
      </c>
      <c r="DV87" t="inlineStr">
        <is>
          <t>Pass 33 fallback replacement engine</t>
        </is>
      </c>
      <c r="DW87" t="inlineStr">
        <is>
          <t>Burdock</t>
        </is>
      </c>
      <c r="DX87" t="inlineStr">
        <is>
          <t>Ashoka; Blue Lotus; Burdock; Agarikon; Ajwain; Angelica Root; Damiana; Artichoke</t>
        </is>
      </c>
      <c r="DY87" t="inlineStr">
        <is>
          <t>Pass 35 expanded fallback pool with second-pass candidate exploration</t>
        </is>
      </c>
      <c r="EA87" t="inlineStr">
        <is>
          <t>General</t>
        </is>
      </c>
      <c r="EB87" t="inlineStr">
        <is>
          <t>unclassified</t>
        </is>
      </c>
      <c r="EC87" t="inlineStr">
        <is>
          <t>High</t>
        </is>
      </c>
      <c r="ED87" t="inlineStr">
        <is>
          <t>Pass 40 reinforced weak-category herb data</t>
        </is>
      </c>
      <c r="EG87" t="n">
        <v>3</v>
      </c>
      <c r="EH87" t="n">
        <v>3</v>
      </c>
      <c r="EI87" t="n">
        <v>0</v>
      </c>
      <c r="EJ87" t="n">
        <v>0</v>
      </c>
      <c r="EK87" t="n">
        <v>11</v>
      </c>
      <c r="EL87" t="n">
        <v>7</v>
      </c>
      <c r="EM87" t="inlineStr">
        <is>
          <t>matrine</t>
        </is>
      </c>
      <c r="EN87" t="inlineStr">
        <is>
          <t>Pass 48 rolled compound scores into herb-level scoring</t>
        </is>
      </c>
    </row>
    <row r="88">
      <c r="A88" s="68" t="inlineStr">
        <is>
          <t>Notoginseng</t>
        </is>
      </c>
      <c r="B88" s="68" t="inlineStr">
        <is>
          <t>notoginseng</t>
        </is>
      </c>
      <c r="C88" s="68" t="inlineStr">
        <is>
          <t>Panax notoginseng</t>
        </is>
      </c>
      <c r="D88" s="68" t="inlineStr">
        <is>
          <t>herb</t>
        </is>
      </c>
      <c r="E88" s="68" t="inlineStr">
        <is>
          <t>root</t>
        </is>
      </c>
      <c r="F88" s="68" t="inlineStr">
        <is>
          <t>root</t>
        </is>
      </c>
      <c r="G88" s="68" t="inlineStr">
        <is>
          <t>notoginseng; san qi</t>
        </is>
      </c>
      <c r="H88" s="68" t="inlineStr">
        <is>
          <t>China</t>
        </is>
      </c>
      <c r="I88" s="68" t="inlineStr">
        <is>
          <t>Notoginseng is positioned for circulatory and recovery support.</t>
        </is>
      </c>
      <c r="J88" s="68" t="inlineStr">
        <is>
          <t>It is best framed as a saponin-rich Panax relative with specific vascular-support positioning.</t>
        </is>
      </c>
      <c r="K88" s="68" t="inlineStr">
        <is>
          <t>notoginsenoside R1; ginsenosides</t>
        </is>
      </c>
      <c r="L88" s="68" t="inlineStr">
        <is>
          <t>notoginsenoside R1</t>
        </is>
      </c>
      <c r="M88" s="68" t="inlineStr">
        <is>
          <t>Saponins support vascular and recovery-related positioning.</t>
        </is>
      </c>
      <c r="N88" s="68" t="inlineStr">
        <is>
          <t>vascular support; recovery support</t>
        </is>
      </c>
      <c r="O88" s="68" t="inlineStr">
        <is>
          <t>mixed human + preclinical</t>
        </is>
      </c>
      <c r="P88" s="68" t="inlineStr">
        <is>
          <t>Generally well tolerated.</t>
        </is>
      </c>
      <c r="Q88" s="68" t="inlineStr">
        <is>
          <t>Use caution with anticoagulant-sensitive contexts.</t>
        </is>
      </c>
      <c r="R88" s="68" t="n"/>
      <c r="S88" s="68" t="n"/>
      <c r="T88" s="68" t="n"/>
      <c r="U88" s="68" t="n"/>
      <c r="V88" s="68" t="n"/>
      <c r="W88" s="68" t="inlineStr">
        <is>
          <t>High</t>
        </is>
      </c>
      <c r="X88" s="68" t="inlineStr">
        <is>
          <t>validated</t>
        </is>
      </c>
      <c r="Y88" s="68" t="n"/>
      <c r="Z88" s="68" t="inlineStr">
        <is>
          <t>present</t>
        </is>
      </c>
      <c r="AA88" s="68" t="inlineStr">
        <is>
          <t>Internal workbook + enrichment queue</t>
        </is>
      </c>
      <c r="AB88" s="68" t="n"/>
      <c r="AC88" s="68" t="n"/>
      <c r="AD88" s="68" t="n"/>
      <c r="AE88" s="68" t="n"/>
      <c r="AF88" s="68" t="n"/>
      <c r="AG88" s="68" t="n">
        <v>3</v>
      </c>
      <c r="AH88" s="68" t="n">
        <v>1</v>
      </c>
      <c r="AI88" s="68" t="n">
        <v>3</v>
      </c>
      <c r="AJ88" s="68" t="n">
        <v>7</v>
      </c>
      <c r="AK88" s="68" t="inlineStr">
        <is>
          <t>Medium</t>
        </is>
      </c>
      <c r="AL88" s="68" t="n"/>
      <c r="AM88" s="68" t="inlineStr">
        <is>
          <t>Linked primary/secondary</t>
        </is>
      </c>
      <c r="AN88" s="68" t="n">
        <v>0.9</v>
      </c>
      <c r="AO88" s="68" t="inlineStr">
        <is>
          <t>Near ready</t>
        </is>
      </c>
      <c r="AP88" s="68" t="n"/>
      <c r="AQ88" s="68" t="n"/>
      <c r="AR88" s="68" t="inlineStr">
        <is>
          <t>Editorial polish</t>
        </is>
      </c>
      <c r="AS88" s="68" t="inlineStr">
        <is>
          <t>Not started</t>
        </is>
      </c>
      <c r="AT88" s="68" t="n"/>
      <c r="AU88" s="68" t="n"/>
      <c r="AV88" s="68" t="n"/>
      <c r="AW88" s="68" t="n"/>
      <c r="AX88" s="68" t="n"/>
      <c r="AY88" s="68" t="n"/>
      <c r="AZ88" s="68" t="n"/>
      <c r="BA88" s="68" t="n"/>
      <c r="BB88" s="68" t="n"/>
      <c r="BC88" s="68" t="n"/>
      <c r="BD88" s="68" t="n"/>
      <c r="BE88" s="68" t="inlineStr">
        <is>
          <t>2026-04-10</t>
        </is>
      </c>
      <c r="BF88" s="68" t="inlineStr">
        <is>
          <t>Metadata normalized from internal workbook links</t>
        </is>
      </c>
      <c r="BG88" s="68" t="inlineStr">
        <is>
          <t>notoginseng|2026-04-10</t>
        </is>
      </c>
      <c r="BH88" s="68" t="inlineStr">
        <is>
          <t>2026-04-10:auto-normalized</t>
        </is>
      </c>
      <c r="BI88" t="inlineStr">
        <is>
          <t>notoginseng</t>
        </is>
      </c>
      <c r="BJ88" t="inlineStr">
        <is>
          <t>Notoginseng</t>
        </is>
      </c>
      <c r="BK88" t="n">
        <v>1</v>
      </c>
      <c r="BL88" t="n">
        <v>0</v>
      </c>
      <c r="BM88" t="n">
        <v>3</v>
      </c>
      <c r="BN88" t="n">
        <v>3</v>
      </c>
      <c r="BO88" t="n">
        <v>100</v>
      </c>
      <c r="BP88" t="n">
        <v>8</v>
      </c>
      <c r="BQ88" t="n">
        <v>0</v>
      </c>
      <c r="BR88" t="n">
        <v>5</v>
      </c>
      <c r="BS88" t="inlineStr">
        <is>
          <t>Tier 4</t>
        </is>
      </c>
      <c r="BT88" t="n">
        <v>3</v>
      </c>
      <c r="BU88" t="inlineStr">
        <is>
          <t>FALSE</t>
        </is>
      </c>
      <c r="BV88" t="inlineStr">
        <is>
          <t>notoginseng</t>
        </is>
      </c>
      <c r="BW88" t="inlineStr">
        <is>
          <t>TRUE</t>
        </is>
      </c>
      <c r="BX88" t="inlineStr">
        <is>
          <t>Pass 10 refreshed scoring from 1 mapped compounds | Pass 13 rescored from 1 mapped compounds</t>
        </is>
      </c>
      <c r="CA88" t="n">
        <v>2</v>
      </c>
      <c r="CB88" t="n">
        <v>0</v>
      </c>
      <c r="CC88" t="n">
        <v>0</v>
      </c>
      <c r="CE88" t="inlineStr">
        <is>
          <t>Pass 13 rescored after herb-name normalization and real top-herb compound sweep</t>
        </is>
      </c>
      <c r="CF88" t="inlineStr">
        <is>
          <t>General</t>
        </is>
      </c>
      <c r="CH88" s="68" t="inlineStr">
        <is>
          <t>Start low; usually daytime use</t>
        </is>
      </c>
      <c r="CI88" s="68" t="inlineStr">
        <is>
          <t>Keep conservative around surgery, anticoagulants, or antiplatelet use.</t>
        </is>
      </c>
      <c r="CJ88" s="68" t="inlineStr">
        <is>
          <t>bleeding-risk; blood-pressure</t>
        </is>
      </c>
      <c r="CK88" s="68" t="str"/>
      <c r="CL88" s="68" t="inlineStr">
        <is>
          <t>Baseline</t>
        </is>
      </c>
      <c r="CM88" s="68" t="inlineStr">
        <is>
          <t>No</t>
        </is>
      </c>
      <c r="CN88" s="68" t="str"/>
      <c r="CO88" s="68" t="inlineStr">
        <is>
          <t>Pass 21 herb-level safety and dose framing</t>
        </is>
      </c>
      <c r="CP88" t="inlineStr">
        <is>
          <t>Moderate</t>
        </is>
      </c>
      <c r="CQ88" t="inlineStr">
        <is>
          <t>No</t>
        </is>
      </c>
      <c r="CS88" t="inlineStr">
        <is>
          <t>Pass 22 refined safety rule severity and reduced broad keyword over-flagging</t>
        </is>
      </c>
      <c r="CT88" t="inlineStr">
        <is>
          <t>Recovery</t>
        </is>
      </c>
      <c r="CU88" t="inlineStr">
        <is>
          <t>recovery support; vascular support</t>
        </is>
      </c>
      <c r="CV88" t="inlineStr">
        <is>
          <t>Human</t>
        </is>
      </c>
      <c r="CW88" t="inlineStr">
        <is>
          <t>Pass 26 normalization: categories, mechanisms, evidence tiers</t>
        </is>
      </c>
      <c r="CX88" t="inlineStr">
        <is>
          <t>Human + preclinical</t>
        </is>
      </c>
      <c r="CY88" t="inlineStr">
        <is>
          <t>Generally well tolerated.</t>
        </is>
      </c>
      <c r="CZ88" t="inlineStr">
        <is>
          <t>Use caution with anticoagulant-sensitive contexts</t>
        </is>
      </c>
      <c r="DB88" t="inlineStr">
        <is>
          <t>Pass 28 normalized evidence and safety-related free text</t>
        </is>
      </c>
      <c r="DD88" t="inlineStr">
        <is>
          <t>No standardized dose established; use conservative, product-dependent ranges.</t>
        </is>
      </c>
      <c r="DE88" t="inlineStr">
        <is>
          <t>Common forms include extracts, powders, or teas depending on herb part.</t>
        </is>
      </c>
      <c r="DF88" t="inlineStr">
        <is>
          <t>Quality varies by extraction method, standardization, and contamination risk.</t>
        </is>
      </c>
      <c r="DG88" t="inlineStr">
        <is>
          <t>Moderate to high</t>
        </is>
      </c>
      <c r="DH88" t="inlineStr">
        <is>
          <t>Pass 29 completeness repair</t>
        </is>
      </c>
      <c r="DI88" t="n">
        <v>6</v>
      </c>
      <c r="DJ88" t="inlineStr">
        <is>
          <t>Inflammation / Recovery</t>
        </is>
      </c>
      <c r="DL88" t="inlineStr">
        <is>
          <t>Cissus; Chamomile</t>
        </is>
      </c>
      <c r="DM88" t="inlineStr">
        <is>
          <t>Pass 31 relationship intelligence: density, cluster, anchor class, nearest herbs</t>
        </is>
      </c>
      <c r="DP88" t="inlineStr">
        <is>
          <t>Inflammation / Recovery</t>
        </is>
      </c>
      <c r="DQ88" t="inlineStr">
        <is>
          <t>Pass 32 substitute engine + cluster cleanup</t>
        </is>
      </c>
      <c r="DT88" t="inlineStr">
        <is>
          <t>no strong safe fallback found</t>
        </is>
      </c>
      <c r="DU88" t="inlineStr">
        <is>
          <t>Optional</t>
        </is>
      </c>
      <c r="DV88" t="inlineStr">
        <is>
          <t>Pass 33 fallback replacement engine</t>
        </is>
      </c>
      <c r="DY88" t="inlineStr">
        <is>
          <t>Pass 35 expanded fallback pool with second-pass candidate exploration</t>
        </is>
      </c>
      <c r="EA88" t="inlineStr">
        <is>
          <t>Recovery</t>
        </is>
      </c>
      <c r="EB88" t="inlineStr">
        <is>
          <t>NF-kB inhibition; COX modulation</t>
        </is>
      </c>
      <c r="EC88" t="inlineStr">
        <is>
          <t>High</t>
        </is>
      </c>
      <c r="ED88" t="inlineStr">
        <is>
          <t>Pass 40 reinforced weak-category herb data</t>
        </is>
      </c>
      <c r="EG88" t="n">
        <v>3</v>
      </c>
      <c r="EH88" t="n">
        <v>3</v>
      </c>
      <c r="EI88" t="n">
        <v>0</v>
      </c>
      <c r="EJ88" t="n">
        <v>0</v>
      </c>
      <c r="EK88" t="n">
        <v>11</v>
      </c>
      <c r="EL88" t="n">
        <v>7</v>
      </c>
      <c r="EM88" t="inlineStr">
        <is>
          <t>notoginsenoside r1</t>
        </is>
      </c>
      <c r="EN88" t="inlineStr">
        <is>
          <t>Pass 48 rolled compound scores into herb-level scoring</t>
        </is>
      </c>
    </row>
    <row r="89">
      <c r="A89" s="68" t="inlineStr">
        <is>
          <t>Luo Han Guo</t>
        </is>
      </c>
      <c r="B89" s="68" t="inlineStr">
        <is>
          <t>luo-han-guo</t>
        </is>
      </c>
      <c r="C89" s="68" t="inlineStr">
        <is>
          <t>Siraitia grosvenorii</t>
        </is>
      </c>
      <c r="D89" s="68" t="inlineStr">
        <is>
          <t>herb</t>
        </is>
      </c>
      <c r="E89" s="68" t="inlineStr">
        <is>
          <t>fruit</t>
        </is>
      </c>
      <c r="F89" s="68" t="inlineStr">
        <is>
          <t>fruit</t>
        </is>
      </c>
      <c r="G89" s="68" t="inlineStr">
        <is>
          <t>monk fruit; luo han guo</t>
        </is>
      </c>
      <c r="H89" s="68" t="inlineStr">
        <is>
          <t>China</t>
        </is>
      </c>
      <c r="I89" s="68" t="inlineStr">
        <is>
          <t>Luo Han Guo is positioned for throat and sweetener-adjacent support.</t>
        </is>
      </c>
      <c r="J89" s="68" t="inlineStr">
        <is>
          <t>It is best framed as a fruit botanical with sweet mogrosides and soothing traditional use.</t>
        </is>
      </c>
      <c r="K89" s="68" t="inlineStr">
        <is>
          <t>mogrosides</t>
        </is>
      </c>
      <c r="L89" s="68" t="inlineStr">
        <is>
          <t>mogroside V</t>
        </is>
      </c>
      <c r="M89" s="68" t="inlineStr">
        <is>
          <t>Triterpene glycosides support sweetener and throat-soothing positioning.</t>
        </is>
      </c>
      <c r="N89" s="68" t="inlineStr">
        <is>
          <t>throat support; sweetener-adjacent support</t>
        </is>
      </c>
      <c r="O89" s="68" t="inlineStr">
        <is>
          <t>food/supplement literature</t>
        </is>
      </c>
      <c r="P89" s="68" t="inlineStr">
        <is>
          <t>Generally well tolerated.</t>
        </is>
      </c>
      <c r="Q89" s="68" t="inlineStr">
        <is>
          <t>Avoid overextended glycemic claims.</t>
        </is>
      </c>
      <c r="R89" s="68" t="n"/>
      <c r="S89" s="68" t="n"/>
      <c r="T89" s="68" t="n"/>
      <c r="U89" s="68" t="n"/>
      <c r="V89" s="68" t="n"/>
      <c r="W89" s="68" t="inlineStr">
        <is>
          <t>High</t>
        </is>
      </c>
      <c r="X89" s="68" t="inlineStr">
        <is>
          <t>partial</t>
        </is>
      </c>
      <c r="Y89" s="68" t="n"/>
      <c r="Z89" s="68" t="inlineStr">
        <is>
          <t>present</t>
        </is>
      </c>
      <c r="AA89" s="68" t="inlineStr">
        <is>
          <t>Internal workbook + enrichment queue</t>
        </is>
      </c>
      <c r="AB89" s="68" t="n"/>
      <c r="AC89" s="68" t="n"/>
      <c r="AD89" s="68" t="n"/>
      <c r="AE89" s="68" t="n"/>
      <c r="AF89" s="68" t="n"/>
      <c r="AG89" s="68" t="n">
        <v>3</v>
      </c>
      <c r="AH89" s="68" t="n">
        <v>1</v>
      </c>
      <c r="AI89" s="68" t="n">
        <v>3</v>
      </c>
      <c r="AJ89" s="68" t="n">
        <v>7</v>
      </c>
      <c r="AK89" s="68" t="inlineStr">
        <is>
          <t>Medium</t>
        </is>
      </c>
      <c r="AL89" s="68" t="n"/>
      <c r="AM89" s="68" t="inlineStr">
        <is>
          <t>Linked primary/secondary</t>
        </is>
      </c>
      <c r="AN89" s="68" t="n">
        <v>0.9</v>
      </c>
      <c r="AO89" s="68" t="inlineStr">
        <is>
          <t>Near ready</t>
        </is>
      </c>
      <c r="AP89" s="68" t="n"/>
      <c r="AQ89" s="68" t="n"/>
      <c r="AR89" s="68" t="inlineStr">
        <is>
          <t>Editorial polish</t>
        </is>
      </c>
      <c r="AS89" s="68" t="inlineStr">
        <is>
          <t>Not started</t>
        </is>
      </c>
      <c r="AT89" s="68" t="n"/>
      <c r="AU89" s="68" t="n"/>
      <c r="AV89" s="68" t="n"/>
      <c r="AW89" s="68" t="n"/>
      <c r="AX89" s="68" t="n"/>
      <c r="AY89" s="68" t="n"/>
      <c r="AZ89" s="68" t="n"/>
      <c r="BA89" s="68" t="n"/>
      <c r="BB89" s="68" t="n"/>
      <c r="BC89" s="68" t="n"/>
      <c r="BD89" s="68" t="n"/>
      <c r="BE89" s="68" t="inlineStr">
        <is>
          <t>2026-04-10</t>
        </is>
      </c>
      <c r="BF89" s="68" t="inlineStr">
        <is>
          <t>Metadata normalized from internal workbook links</t>
        </is>
      </c>
      <c r="BG89" s="68" t="inlineStr">
        <is>
          <t>luo-han-guo|2026-04-10</t>
        </is>
      </c>
      <c r="BH89" s="68" t="inlineStr">
        <is>
          <t>2026-04-10:auto-normalized</t>
        </is>
      </c>
      <c r="BI89" t="inlineStr">
        <is>
          <t>luo-han-guo</t>
        </is>
      </c>
      <c r="BJ89" t="inlineStr">
        <is>
          <t>Luo Han Guo</t>
        </is>
      </c>
      <c r="BK89" t="n">
        <v>1</v>
      </c>
      <c r="BL89" t="n">
        <v>0</v>
      </c>
      <c r="BM89" t="n">
        <v>1</v>
      </c>
      <c r="BN89" t="n">
        <v>3</v>
      </c>
      <c r="BO89" t="n">
        <v>100</v>
      </c>
      <c r="BP89" t="n">
        <v>8</v>
      </c>
      <c r="BQ89" t="n">
        <v>0</v>
      </c>
      <c r="BR89" t="n">
        <v>5</v>
      </c>
      <c r="BS89" t="inlineStr">
        <is>
          <t>Tier 4</t>
        </is>
      </c>
      <c r="BT89" t="n">
        <v>3</v>
      </c>
      <c r="BU89" t="inlineStr">
        <is>
          <t>FALSE</t>
        </is>
      </c>
      <c r="BV89" t="inlineStr">
        <is>
          <t>luo-han-guo</t>
        </is>
      </c>
      <c r="BW89" t="inlineStr">
        <is>
          <t>TRUE</t>
        </is>
      </c>
      <c r="BX89" t="inlineStr">
        <is>
          <t>Pass 10 refreshed scoring from 1 mapped compounds | Pass 13 rescored from 1 mapped compounds</t>
        </is>
      </c>
      <c r="CA89" t="n">
        <v>2</v>
      </c>
      <c r="CB89" t="n">
        <v>0</v>
      </c>
      <c r="CC89" t="n">
        <v>0</v>
      </c>
      <c r="CE89" t="inlineStr">
        <is>
          <t>Pass 13 rescored after herb-name normalization and real top-herb compound sweep</t>
        </is>
      </c>
      <c r="CF89" t="inlineStr">
        <is>
          <t>General</t>
        </is>
      </c>
      <c r="CH89" s="68" t="inlineStr">
        <is>
          <t>Start with low single-herb exposure and increase only if tolerated</t>
        </is>
      </c>
      <c r="CI89" s="68" t="inlineStr">
        <is>
          <t>Product-ideation framing only; not clinical dosing advice.</t>
        </is>
      </c>
      <c r="CJ89" s="68" t="str"/>
      <c r="CK89" s="68" t="str"/>
      <c r="CL89" s="68" t="inlineStr">
        <is>
          <t>Baseline</t>
        </is>
      </c>
      <c r="CM89" s="68" t="inlineStr">
        <is>
          <t>No</t>
        </is>
      </c>
      <c r="CN89" s="68" t="str"/>
      <c r="CO89" s="68" t="inlineStr">
        <is>
          <t>Pass 21 herb-level safety and dose framing</t>
        </is>
      </c>
      <c r="CP89" t="inlineStr">
        <is>
          <t>Baseline</t>
        </is>
      </c>
      <c r="CQ89" t="inlineStr">
        <is>
          <t>No</t>
        </is>
      </c>
      <c r="CS89" t="inlineStr">
        <is>
          <t>Pass 22 refined safety rule severity and reduced broad keyword over-flagging</t>
        </is>
      </c>
      <c r="CT89" t="inlineStr">
        <is>
          <t>General</t>
        </is>
      </c>
      <c r="CU89" t="inlineStr">
        <is>
          <t>sweetener-adjacent support; throat support</t>
        </is>
      </c>
      <c r="CV89" t="inlineStr">
        <is>
          <t>Unknown</t>
        </is>
      </c>
      <c r="CW89" t="inlineStr">
        <is>
          <t>Pass 26 normalization: categories, mechanisms, evidence tiers</t>
        </is>
      </c>
      <c r="CX89" t="inlineStr">
        <is>
          <t>Food/supplement literature</t>
        </is>
      </c>
      <c r="CY89" t="inlineStr">
        <is>
          <t>Generally well tolerated.</t>
        </is>
      </c>
      <c r="CZ89" t="inlineStr">
        <is>
          <t>Avoid overextended glycemic claims</t>
        </is>
      </c>
      <c r="DB89" t="inlineStr">
        <is>
          <t>Pass 28 normalized evidence and safety-related free text</t>
        </is>
      </c>
      <c r="DD89" t="inlineStr">
        <is>
          <t>No standardized dose established; use conservative, product-dependent ranges.</t>
        </is>
      </c>
      <c r="DE89" t="inlineStr">
        <is>
          <t>Common forms include extracts, powders, or teas depending on herb part.</t>
        </is>
      </c>
      <c r="DF89" t="inlineStr">
        <is>
          <t>Quality varies by extraction method, standardization, and contamination risk.</t>
        </is>
      </c>
      <c r="DG89" t="inlineStr">
        <is>
          <t>Low</t>
        </is>
      </c>
      <c r="DH89" t="inlineStr">
        <is>
          <t>Pass 29 completeness repair</t>
        </is>
      </c>
      <c r="DI89" t="n">
        <v>6</v>
      </c>
      <c r="DJ89" t="inlineStr">
        <is>
          <t>General</t>
        </is>
      </c>
      <c r="DL89" t="inlineStr">
        <is>
          <t>Acerola; Agarikon; Ajwain; Aloe Vera; American Ginseng</t>
        </is>
      </c>
      <c r="DM89" t="inlineStr">
        <is>
          <t>Pass 31 relationship intelligence: density, cluster, anchor class, nearest herbs</t>
        </is>
      </c>
      <c r="DP89" t="inlineStr">
        <is>
          <t>Generalist</t>
        </is>
      </c>
      <c r="DQ89" t="inlineStr">
        <is>
          <t>Pass 32 substitute engine + cluster cleanup</t>
        </is>
      </c>
      <c r="DT89" t="inlineStr">
        <is>
          <t>no strong safe fallback found</t>
        </is>
      </c>
      <c r="DU89" t="inlineStr">
        <is>
          <t>Not needed</t>
        </is>
      </c>
      <c r="DV89" t="inlineStr">
        <is>
          <t>Pass 33 fallback replacement engine</t>
        </is>
      </c>
      <c r="DY89" t="inlineStr">
        <is>
          <t>Pass 35 expanded fallback pool with second-pass candidate exploration</t>
        </is>
      </c>
      <c r="EA89" t="inlineStr">
        <is>
          <t>General</t>
        </is>
      </c>
      <c r="EC89" t="inlineStr">
        <is>
          <t>High</t>
        </is>
      </c>
      <c r="ED89" t="inlineStr">
        <is>
          <t>Pass 40 reinforced weak-category herb data</t>
        </is>
      </c>
      <c r="EG89" t="n">
        <v>3</v>
      </c>
      <c r="EH89" t="n">
        <v>3</v>
      </c>
      <c r="EI89" t="n">
        <v>0</v>
      </c>
      <c r="EJ89" t="n">
        <v>0</v>
      </c>
      <c r="EK89" t="n">
        <v>11</v>
      </c>
      <c r="EL89" t="n">
        <v>7</v>
      </c>
      <c r="EM89" t="inlineStr">
        <is>
          <t>mogroside v</t>
        </is>
      </c>
      <c r="EN89" t="inlineStr">
        <is>
          <t>Pass 48 rolled compound scores into herb-level scoring</t>
        </is>
      </c>
    </row>
    <row r="90">
      <c r="A90" s="68" t="inlineStr">
        <is>
          <t>Kuding Tea</t>
        </is>
      </c>
      <c r="B90" s="68" t="inlineStr">
        <is>
          <t>kuding-tea</t>
        </is>
      </c>
      <c r="C90" s="68" t="inlineStr">
        <is>
          <t>Ilex kudingcha</t>
        </is>
      </c>
      <c r="D90" s="68" t="inlineStr">
        <is>
          <t>herb</t>
        </is>
      </c>
      <c r="E90" s="68" t="inlineStr">
        <is>
          <t>leaf</t>
        </is>
      </c>
      <c r="F90" s="68" t="inlineStr">
        <is>
          <t>leaf</t>
        </is>
      </c>
      <c r="G90" s="68" t="inlineStr">
        <is>
          <t>kuding tea</t>
        </is>
      </c>
      <c r="H90" s="68" t="inlineStr">
        <is>
          <t>China</t>
        </is>
      </c>
      <c r="I90" s="68" t="inlineStr">
        <is>
          <t>Kuding tea is positioned for bitter antioxidant and cardiometabolic support.</t>
        </is>
      </c>
      <c r="J90" s="68" t="inlineStr">
        <is>
          <t>It should be framed as a bitter tea botanical with food-form relevance and modest modern evidence.</t>
        </is>
      </c>
      <c r="K90" s="68" t="inlineStr">
        <is>
          <t>triterpenoid saponins; polyphenols</t>
        </is>
      </c>
      <c r="L90" s="68" t="inlineStr">
        <is>
          <t>kudinlactone</t>
        </is>
      </c>
      <c r="M90" s="68" t="inlineStr">
        <is>
          <t>Bitters and polyphenols support antioxidant and metabolic positioning.</t>
        </is>
      </c>
      <c r="N90" s="68" t="inlineStr">
        <is>
          <t>antioxidant; cardiometabolic support</t>
        </is>
      </c>
      <c r="O90" s="68" t="inlineStr">
        <is>
          <t>food/supplement literature + limited human</t>
        </is>
      </c>
      <c r="P90" s="68" t="inlineStr">
        <is>
          <t>Generally well tolerated.</t>
        </is>
      </c>
      <c r="Q90" s="68" t="inlineStr">
        <is>
          <t>Use caution with strong bitterness and GI sensitivity.</t>
        </is>
      </c>
      <c r="R90" s="68" t="n"/>
      <c r="S90" s="68" t="n"/>
      <c r="T90" s="68" t="n"/>
      <c r="U90" s="68" t="n"/>
      <c r="V90" s="68" t="n"/>
      <c r="W90" s="68" t="inlineStr">
        <is>
          <t>High</t>
        </is>
      </c>
      <c r="X90" s="68" t="inlineStr">
        <is>
          <t>validated</t>
        </is>
      </c>
      <c r="Y90" s="68" t="n"/>
      <c r="Z90" s="68" t="inlineStr">
        <is>
          <t>present</t>
        </is>
      </c>
      <c r="AA90" s="68" t="inlineStr">
        <is>
          <t>Internal workbook + enrichment queue</t>
        </is>
      </c>
      <c r="AB90" s="68" t="n"/>
      <c r="AC90" s="68" t="n"/>
      <c r="AD90" s="68" t="n"/>
      <c r="AE90" s="68" t="n"/>
      <c r="AF90" s="68" t="n"/>
      <c r="AG90" s="68" t="n">
        <v>3</v>
      </c>
      <c r="AH90" s="68" t="n">
        <v>1</v>
      </c>
      <c r="AI90" s="68" t="n">
        <v>3</v>
      </c>
      <c r="AJ90" s="68" t="n">
        <v>7</v>
      </c>
      <c r="AK90" s="68" t="inlineStr">
        <is>
          <t>Medium</t>
        </is>
      </c>
      <c r="AL90" s="68" t="n"/>
      <c r="AM90" s="68" t="inlineStr">
        <is>
          <t>Linked primary/secondary</t>
        </is>
      </c>
      <c r="AN90" s="68" t="n">
        <v>0.9</v>
      </c>
      <c r="AO90" s="68" t="inlineStr">
        <is>
          <t>Near ready</t>
        </is>
      </c>
      <c r="AP90" s="68" t="n"/>
      <c r="AQ90" s="68" t="n"/>
      <c r="AR90" s="68" t="inlineStr">
        <is>
          <t>Editorial polish</t>
        </is>
      </c>
      <c r="AS90" s="68" t="inlineStr">
        <is>
          <t>Not started</t>
        </is>
      </c>
      <c r="AT90" s="68" t="n"/>
      <c r="AU90" s="68" t="n"/>
      <c r="AV90" s="68" t="n"/>
      <c r="AW90" s="68" t="n"/>
      <c r="AX90" s="68" t="n"/>
      <c r="AY90" s="68" t="n"/>
      <c r="AZ90" s="68" t="n"/>
      <c r="BA90" s="68" t="n"/>
      <c r="BB90" s="68" t="n"/>
      <c r="BC90" s="68" t="n"/>
      <c r="BD90" s="68" t="n"/>
      <c r="BE90" s="68" t="inlineStr">
        <is>
          <t>2026-04-10</t>
        </is>
      </c>
      <c r="BF90" s="68" t="inlineStr">
        <is>
          <t>Metadata normalized from internal workbook links</t>
        </is>
      </c>
      <c r="BG90" s="68" t="inlineStr">
        <is>
          <t>kuding-tea|2026-04-10</t>
        </is>
      </c>
      <c r="BH90" s="68" t="inlineStr">
        <is>
          <t>2026-04-10:auto-normalized</t>
        </is>
      </c>
      <c r="BI90" t="inlineStr">
        <is>
          <t>kuding-tea</t>
        </is>
      </c>
      <c r="BJ90" t="inlineStr">
        <is>
          <t>Kuding Tea</t>
        </is>
      </c>
      <c r="BK90" t="n">
        <v>1</v>
      </c>
      <c r="BL90" t="n">
        <v>1</v>
      </c>
      <c r="BM90" t="n">
        <v>3</v>
      </c>
      <c r="BN90" t="n">
        <v>7</v>
      </c>
      <c r="BO90" t="n">
        <v>100</v>
      </c>
      <c r="BP90" t="n">
        <v>8</v>
      </c>
      <c r="BQ90" t="n">
        <v>10</v>
      </c>
      <c r="BR90" t="n">
        <v>5</v>
      </c>
      <c r="BS90" t="inlineStr">
        <is>
          <t>Tier 1</t>
        </is>
      </c>
      <c r="BT90" t="n">
        <v>5</v>
      </c>
      <c r="BU90" t="inlineStr">
        <is>
          <t>FALSE</t>
        </is>
      </c>
      <c r="BV90" t="inlineStr">
        <is>
          <t>kuding-tea</t>
        </is>
      </c>
      <c r="BW90" t="inlineStr">
        <is>
          <t>TRUE</t>
        </is>
      </c>
      <c r="BX90" t="inlineStr">
        <is>
          <t>Pass 10 refreshed scoring from 1 mapped compounds | Pass 13 rescored from 1 mapped compounds</t>
        </is>
      </c>
      <c r="BY90" t="inlineStr">
        <is>
          <t>unclassified</t>
        </is>
      </c>
      <c r="CA90" t="n">
        <v>2</v>
      </c>
      <c r="CB90" t="n">
        <v>0</v>
      </c>
      <c r="CC90" t="n">
        <v>0</v>
      </c>
      <c r="CD90" t="inlineStr">
        <is>
          <t>kudinlactone; unclassified</t>
        </is>
      </c>
      <c r="CE90" t="inlineStr">
        <is>
          <t>Pass 13 rescored after herb-name normalization and real top-herb compound sweep</t>
        </is>
      </c>
      <c r="CF90" t="inlineStr">
        <is>
          <t>General</t>
        </is>
      </c>
      <c r="CH90" s="68" t="inlineStr">
        <is>
          <t>Start with low single-herb exposure and increase only if tolerated</t>
        </is>
      </c>
      <c r="CI90" s="68" t="inlineStr">
        <is>
          <t>Product-ideation framing only; not clinical dosing advice.</t>
        </is>
      </c>
      <c r="CJ90" s="68" t="str"/>
      <c r="CK90" s="68" t="str"/>
      <c r="CL90" s="68" t="inlineStr">
        <is>
          <t>Moderate</t>
        </is>
      </c>
      <c r="CM90" s="68" t="inlineStr">
        <is>
          <t>No</t>
        </is>
      </c>
      <c r="CN90" s="68" t="str"/>
      <c r="CO90" s="68" t="inlineStr">
        <is>
          <t>Pass 21 herb-level safety and dose framing</t>
        </is>
      </c>
      <c r="CP90" t="inlineStr">
        <is>
          <t>Baseline</t>
        </is>
      </c>
      <c r="CQ90" t="inlineStr">
        <is>
          <t>No</t>
        </is>
      </c>
      <c r="CS90" t="inlineStr">
        <is>
          <t>Pass 22 refined safety rule severity and reduced broad keyword over-flagging</t>
        </is>
      </c>
      <c r="CT90" t="inlineStr">
        <is>
          <t>Metabolic Support</t>
        </is>
      </c>
      <c r="CU90" t="inlineStr">
        <is>
          <t>antioxidant; cardiometabolic support</t>
        </is>
      </c>
      <c r="CV90" t="inlineStr">
        <is>
          <t>Human</t>
        </is>
      </c>
      <c r="CW90" t="inlineStr">
        <is>
          <t>Pass 26 normalization: categories, mechanisms, evidence tiers</t>
        </is>
      </c>
      <c r="CX90" t="inlineStr">
        <is>
          <t>Limited human</t>
        </is>
      </c>
      <c r="CY90" t="inlineStr">
        <is>
          <t>Generally well tolerated.</t>
        </is>
      </c>
      <c r="CZ90" t="inlineStr">
        <is>
          <t>Use caution with strong bitterness and GI sensitivity</t>
        </is>
      </c>
      <c r="DB90" t="inlineStr">
        <is>
          <t>Pass 28 normalized evidence and safety-related free text</t>
        </is>
      </c>
      <c r="DD90" t="inlineStr">
        <is>
          <t>No standardized dose established; use conservative, product-dependent ranges.</t>
        </is>
      </c>
      <c r="DE90" t="inlineStr">
        <is>
          <t>Common forms include extracts, powders, or teas depending on herb part.</t>
        </is>
      </c>
      <c r="DF90" t="inlineStr">
        <is>
          <t>Quality varies by extraction method, standardization, and contamination risk.</t>
        </is>
      </c>
      <c r="DG90" t="inlineStr">
        <is>
          <t>Moderate to high</t>
        </is>
      </c>
      <c r="DH90" t="inlineStr">
        <is>
          <t>Pass 29 completeness repair</t>
        </is>
      </c>
      <c r="DI90" t="n">
        <v>9</v>
      </c>
      <c r="DJ90" t="inlineStr">
        <is>
          <t>Metabolic</t>
        </is>
      </c>
      <c r="DK90" t="inlineStr">
        <is>
          <t>kudinlactone</t>
        </is>
      </c>
      <c r="DL90" t="inlineStr">
        <is>
          <t>Ashitaba; Banaba; Curry Leaf; Eucommia; Guarana</t>
        </is>
      </c>
      <c r="DM90" t="inlineStr">
        <is>
          <t>Pass 31 relationship intelligence: density, cluster, anchor class, nearest herbs</t>
        </is>
      </c>
      <c r="DN90" t="inlineStr">
        <is>
          <t>Ashitaba; Banaba; Eucommia; Guarana</t>
        </is>
      </c>
      <c r="DO90" t="inlineStr">
        <is>
          <t>Ashitaba (1 shared pathways) | Banaba (1 shared pathways) | Eucommia (1 shared pathways)</t>
        </is>
      </c>
      <c r="DP90" t="inlineStr">
        <is>
          <t>Metabolic</t>
        </is>
      </c>
      <c r="DQ90" t="inlineStr">
        <is>
          <t>Pass 32 substitute engine + cluster cleanup</t>
        </is>
      </c>
      <c r="DR90" t="inlineStr">
        <is>
          <t>Ashitaba</t>
        </is>
      </c>
      <c r="DS90" t="inlineStr">
        <is>
          <t>Banaba</t>
        </is>
      </c>
      <c r="DT90" t="inlineStr">
        <is>
          <t>same cluster; lower safety burden; similarity-backed</t>
        </is>
      </c>
      <c r="DU90" t="inlineStr">
        <is>
          <t>Not needed</t>
        </is>
      </c>
      <c r="DV90" t="inlineStr">
        <is>
          <t>Pass 33 fallback replacement engine</t>
        </is>
      </c>
      <c r="DW90" t="inlineStr">
        <is>
          <t>Eucommia</t>
        </is>
      </c>
      <c r="DX90" t="inlineStr">
        <is>
          <t>Ashitaba; Banaba; Eucommia; Guarana; Curry Leaf</t>
        </is>
      </c>
      <c r="DY90" t="inlineStr">
        <is>
          <t>Pass 35 expanded fallback pool with second-pass candidate exploration</t>
        </is>
      </c>
      <c r="EG90" t="n">
        <v>3</v>
      </c>
      <c r="EH90" t="n">
        <v>3</v>
      </c>
      <c r="EI90" t="n">
        <v>0</v>
      </c>
      <c r="EJ90" t="n">
        <v>0</v>
      </c>
      <c r="EK90" t="n">
        <v>11</v>
      </c>
      <c r="EL90" t="n">
        <v>7</v>
      </c>
      <c r="EM90" t="inlineStr">
        <is>
          <t>kudinlactone</t>
        </is>
      </c>
      <c r="EN90" t="inlineStr">
        <is>
          <t>Pass 48 rolled compound scores into herb-level scoring</t>
        </is>
      </c>
    </row>
    <row r="91">
      <c r="A91" s="68" t="inlineStr">
        <is>
          <t>Atractylodes</t>
        </is>
      </c>
      <c r="B91" s="68" t="inlineStr">
        <is>
          <t>atractylodes</t>
        </is>
      </c>
      <c r="C91" s="68" t="inlineStr">
        <is>
          <t>Atractylodes macrocephala</t>
        </is>
      </c>
      <c r="D91" s="68" t="inlineStr">
        <is>
          <t>herb</t>
        </is>
      </c>
      <c r="E91" s="68" t="inlineStr">
        <is>
          <t>rhizome</t>
        </is>
      </c>
      <c r="F91" s="68" t="inlineStr">
        <is>
          <t>rhizome</t>
        </is>
      </c>
      <c r="G91" s="68" t="inlineStr">
        <is>
          <t>bai zhu</t>
        </is>
      </c>
      <c r="H91" s="68" t="inlineStr">
        <is>
          <t>China and East Asia</t>
        </is>
      </c>
      <c r="I91" s="68" t="inlineStr">
        <is>
          <t>Atractylodes is positioned for traditional digestive and restorative support.</t>
        </is>
      </c>
      <c r="J91" s="68" t="inlineStr">
        <is>
          <t>It is best framed as a digestive-tonic rhizome with traditional-system relevance.</t>
        </is>
      </c>
      <c r="K91" s="68" t="inlineStr">
        <is>
          <t>atractylenolide I</t>
        </is>
      </c>
      <c r="L91" s="68" t="inlineStr">
        <is>
          <t>atractylenolide I</t>
        </is>
      </c>
      <c r="M91" s="68" t="inlineStr">
        <is>
          <t>Sesquiterpenes support digestive and restorative positioning.</t>
        </is>
      </c>
      <c r="N91" s="68" t="inlineStr">
        <is>
          <t>digestive support; traditional restorative support</t>
        </is>
      </c>
      <c r="O91" s="68" t="inlineStr">
        <is>
          <t>traditional use + limited human</t>
        </is>
      </c>
      <c r="P91" s="68" t="inlineStr">
        <is>
          <t>Generally well tolerated.</t>
        </is>
      </c>
      <c r="Q91" s="68" t="inlineStr">
        <is>
          <t>Avoid overextended metabolic claims.</t>
        </is>
      </c>
      <c r="R91" s="68" t="n"/>
      <c r="S91" s="68" t="n"/>
      <c r="T91" s="68" t="n"/>
      <c r="U91" s="68" t="n"/>
      <c r="V91" s="68" t="n"/>
      <c r="W91" s="68" t="inlineStr">
        <is>
          <t>High</t>
        </is>
      </c>
      <c r="X91" s="68" t="inlineStr">
        <is>
          <t>partial</t>
        </is>
      </c>
      <c r="Y91" s="68" t="n"/>
      <c r="Z91" s="68" t="inlineStr">
        <is>
          <t>present</t>
        </is>
      </c>
      <c r="AA91" s="68" t="inlineStr">
        <is>
          <t>Internal workbook + enrichment queue</t>
        </is>
      </c>
      <c r="AB91" s="68" t="n"/>
      <c r="AC91" s="68" t="n"/>
      <c r="AD91" s="68" t="n"/>
      <c r="AE91" s="68" t="n"/>
      <c r="AF91" s="68" t="n"/>
      <c r="AG91" s="68" t="n">
        <v>3</v>
      </c>
      <c r="AH91" s="68" t="n">
        <v>1</v>
      </c>
      <c r="AI91" s="68" t="n">
        <v>3</v>
      </c>
      <c r="AJ91" s="68" t="n">
        <v>7</v>
      </c>
      <c r="AK91" s="68" t="inlineStr">
        <is>
          <t>Medium</t>
        </is>
      </c>
      <c r="AL91" s="68" t="n"/>
      <c r="AM91" s="68" t="inlineStr">
        <is>
          <t>Linked primary/secondary</t>
        </is>
      </c>
      <c r="AN91" s="68" t="n">
        <v>0.9</v>
      </c>
      <c r="AO91" s="68" t="inlineStr">
        <is>
          <t>Near ready</t>
        </is>
      </c>
      <c r="AP91" s="68" t="n"/>
      <c r="AQ91" s="68" t="n"/>
      <c r="AR91" s="68" t="inlineStr">
        <is>
          <t>Editorial polish</t>
        </is>
      </c>
      <c r="AS91" s="68" t="inlineStr">
        <is>
          <t>Not started</t>
        </is>
      </c>
      <c r="AT91" s="68" t="n"/>
      <c r="AU91" s="68" t="n"/>
      <c r="AV91" s="68" t="n"/>
      <c r="AW91" s="68" t="n"/>
      <c r="AX91" s="68" t="n"/>
      <c r="AY91" s="68" t="n"/>
      <c r="AZ91" s="68" t="n"/>
      <c r="BA91" s="68" t="n"/>
      <c r="BB91" s="68" t="n"/>
      <c r="BC91" s="68" t="n"/>
      <c r="BD91" s="68" t="n"/>
      <c r="BE91" s="68" t="inlineStr">
        <is>
          <t>2026-04-10</t>
        </is>
      </c>
      <c r="BF91" s="68" t="inlineStr">
        <is>
          <t>Metadata normalized from internal workbook links</t>
        </is>
      </c>
      <c r="BG91" s="68" t="inlineStr">
        <is>
          <t>atractylodes|2026-04-10</t>
        </is>
      </c>
      <c r="BH91" s="68" t="inlineStr">
        <is>
          <t>2026-04-10:auto-normalized</t>
        </is>
      </c>
      <c r="BI91" t="inlineStr">
        <is>
          <t>atractylodes</t>
        </is>
      </c>
      <c r="BJ91" t="inlineStr">
        <is>
          <t>Atractylodes</t>
        </is>
      </c>
      <c r="BK91" t="n">
        <v>1</v>
      </c>
      <c r="BL91" t="n">
        <v>0</v>
      </c>
      <c r="BM91" t="n">
        <v>3</v>
      </c>
      <c r="BN91" t="n">
        <v>3</v>
      </c>
      <c r="BO91" t="n">
        <v>100</v>
      </c>
      <c r="BP91" t="n">
        <v>8</v>
      </c>
      <c r="BQ91" t="n">
        <v>0</v>
      </c>
      <c r="BR91" t="n">
        <v>5</v>
      </c>
      <c r="BS91" t="inlineStr">
        <is>
          <t>Tier 4</t>
        </is>
      </c>
      <c r="BT91" t="n">
        <v>3</v>
      </c>
      <c r="BU91" t="inlineStr">
        <is>
          <t>FALSE</t>
        </is>
      </c>
      <c r="BV91" t="inlineStr">
        <is>
          <t>atractylodes</t>
        </is>
      </c>
      <c r="BW91" t="inlineStr">
        <is>
          <t>TRUE</t>
        </is>
      </c>
      <c r="BX91" t="inlineStr">
        <is>
          <t>Pass 10 refreshed scoring from 1 mapped compounds | Pass 13 rescored from 1 mapped compounds</t>
        </is>
      </c>
      <c r="CA91" t="n">
        <v>2</v>
      </c>
      <c r="CB91" t="n">
        <v>0</v>
      </c>
      <c r="CC91" t="n">
        <v>0</v>
      </c>
      <c r="CE91" t="inlineStr">
        <is>
          <t>Pass 13 rescored after herb-name normalization and real top-herb compound sweep</t>
        </is>
      </c>
      <c r="CF91" t="inlineStr">
        <is>
          <t>General</t>
        </is>
      </c>
      <c r="CH91" s="68" t="inlineStr">
        <is>
          <t>Start with low single-herb exposure and increase only if tolerated</t>
        </is>
      </c>
      <c r="CI91" s="68" t="inlineStr">
        <is>
          <t>Product-ideation framing only; not clinical dosing advice.</t>
        </is>
      </c>
      <c r="CJ91" s="68" t="str"/>
      <c r="CK91" s="68" t="str"/>
      <c r="CL91" s="68" t="inlineStr">
        <is>
          <t>Moderate</t>
        </is>
      </c>
      <c r="CM91" s="68" t="inlineStr">
        <is>
          <t>No</t>
        </is>
      </c>
      <c r="CN91" s="68" t="str"/>
      <c r="CO91" s="68" t="inlineStr">
        <is>
          <t>Pass 21 herb-level safety and dose framing</t>
        </is>
      </c>
      <c r="CP91" t="inlineStr">
        <is>
          <t>Baseline</t>
        </is>
      </c>
      <c r="CQ91" t="inlineStr">
        <is>
          <t>No</t>
        </is>
      </c>
      <c r="CS91" t="inlineStr">
        <is>
          <t>Pass 22 refined safety rule severity and reduced broad keyword over-flagging</t>
        </is>
      </c>
      <c r="CT91" t="inlineStr">
        <is>
          <t>General</t>
        </is>
      </c>
      <c r="CU91" t="inlineStr">
        <is>
          <t>digestive support; traditional restorative support</t>
        </is>
      </c>
      <c r="CV91" t="inlineStr">
        <is>
          <t>Human</t>
        </is>
      </c>
      <c r="CW91" t="inlineStr">
        <is>
          <t>Pass 26 normalization: categories, mechanisms, evidence tiers</t>
        </is>
      </c>
      <c r="CX91" t="inlineStr">
        <is>
          <t>Limited human</t>
        </is>
      </c>
      <c r="CY91" t="inlineStr">
        <is>
          <t>Generally well tolerated.</t>
        </is>
      </c>
      <c r="CZ91" t="inlineStr">
        <is>
          <t>Avoid overextended metabolic claims</t>
        </is>
      </c>
      <c r="DB91" t="inlineStr">
        <is>
          <t>Pass 28 normalized evidence and safety-related free text</t>
        </is>
      </c>
      <c r="DD91" t="inlineStr">
        <is>
          <t>No standardized dose established; use conservative, product-dependent ranges.</t>
        </is>
      </c>
      <c r="DE91" t="inlineStr">
        <is>
          <t>Common forms include extracts, powders, or teas depending on herb part.</t>
        </is>
      </c>
      <c r="DF91" t="inlineStr">
        <is>
          <t>Quality varies by extraction method, standardization, and contamination risk.</t>
        </is>
      </c>
      <c r="DG91" t="inlineStr">
        <is>
          <t>Moderate to high</t>
        </is>
      </c>
      <c r="DH91" t="inlineStr">
        <is>
          <t>Pass 29 completeness repair</t>
        </is>
      </c>
      <c r="DI91" t="n">
        <v>6</v>
      </c>
      <c r="DJ91" t="inlineStr">
        <is>
          <t>General</t>
        </is>
      </c>
      <c r="DL91" t="inlineStr">
        <is>
          <t>Acerola; Agarikon; Ajwain; Aloe Vera; American Ginseng</t>
        </is>
      </c>
      <c r="DM91" t="inlineStr">
        <is>
          <t>Pass 31 relationship intelligence: density, cluster, anchor class, nearest herbs</t>
        </is>
      </c>
      <c r="DP91" t="inlineStr">
        <is>
          <t>Generalist</t>
        </is>
      </c>
      <c r="DQ91" t="inlineStr">
        <is>
          <t>Pass 32 substitute engine + cluster cleanup</t>
        </is>
      </c>
      <c r="DT91" t="inlineStr">
        <is>
          <t>no strong safe fallback found</t>
        </is>
      </c>
      <c r="DU91" t="inlineStr">
        <is>
          <t>Not needed</t>
        </is>
      </c>
      <c r="DV91" t="inlineStr">
        <is>
          <t>Pass 33 fallback replacement engine</t>
        </is>
      </c>
      <c r="DY91" t="inlineStr">
        <is>
          <t>Pass 35 expanded fallback pool with second-pass candidate exploration</t>
        </is>
      </c>
      <c r="EA91" t="inlineStr">
        <is>
          <t>General</t>
        </is>
      </c>
      <c r="EC91" t="inlineStr">
        <is>
          <t>High</t>
        </is>
      </c>
      <c r="ED91" t="inlineStr">
        <is>
          <t>Pass 40 reinforced weak-category herb data</t>
        </is>
      </c>
      <c r="EG91" t="n">
        <v>3</v>
      </c>
      <c r="EH91" t="n">
        <v>3</v>
      </c>
      <c r="EI91" t="n">
        <v>0</v>
      </c>
      <c r="EJ91" t="n">
        <v>0</v>
      </c>
      <c r="EK91" t="n">
        <v>11</v>
      </c>
      <c r="EL91" t="n">
        <v>7</v>
      </c>
      <c r="EM91" t="inlineStr">
        <is>
          <t>atractylenolide i</t>
        </is>
      </c>
      <c r="EN91" t="inlineStr">
        <is>
          <t>Pass 48 rolled compound scores into herb-level scoring</t>
        </is>
      </c>
    </row>
    <row r="92">
      <c r="A92" s="68" t="inlineStr">
        <is>
          <t>Schisandra Berry</t>
        </is>
      </c>
      <c r="B92" s="68" t="inlineStr">
        <is>
          <t>schisandra-berry</t>
        </is>
      </c>
      <c r="C92" s="68" t="inlineStr">
        <is>
          <t>Schisandra chinensis</t>
        </is>
      </c>
      <c r="D92" s="68" t="inlineStr">
        <is>
          <t>herb</t>
        </is>
      </c>
      <c r="E92" s="68" t="inlineStr">
        <is>
          <t>fruit</t>
        </is>
      </c>
      <c r="F92" s="68" t="inlineStr">
        <is>
          <t>fruit</t>
        </is>
      </c>
      <c r="G92" s="68" t="inlineStr">
        <is>
          <t>schisandra berry</t>
        </is>
      </c>
      <c r="H92" s="68" t="inlineStr">
        <is>
          <t>China, Korea, Russia</t>
        </is>
      </c>
      <c r="I92" s="68" t="inlineStr">
        <is>
          <t>Schisandra berry is positioned for adaptogenic and hepatoprotective support.</t>
        </is>
      </c>
      <c r="J92" s="68" t="inlineStr">
        <is>
          <t>It is best framed specifically around berry lignans and traditional stress-support positioning.</t>
        </is>
      </c>
      <c r="K92" s="68" t="inlineStr">
        <is>
          <t>schisandrin; gomisin A</t>
        </is>
      </c>
      <c r="L92" s="68" t="inlineStr">
        <is>
          <t>gomisin A</t>
        </is>
      </c>
      <c r="M92" s="68" t="inlineStr">
        <is>
          <t>Lignans support adaptogenic and hepatoprotective positioning.</t>
        </is>
      </c>
      <c r="N92" s="68" t="inlineStr">
        <is>
          <t>adaptogenic support; hepatoprotective support</t>
        </is>
      </c>
      <c r="O92" s="68" t="inlineStr">
        <is>
          <t>mixed human + preclinical</t>
        </is>
      </c>
      <c r="P92" s="68" t="inlineStr">
        <is>
          <t>Generally well tolerated.</t>
        </is>
      </c>
      <c r="Q92" s="68" t="inlineStr">
        <is>
          <t>Use caution with CYP-sensitive medication contexts.</t>
        </is>
      </c>
      <c r="R92" s="68" t="n"/>
      <c r="S92" s="68" t="n"/>
      <c r="T92" s="68" t="n"/>
      <c r="U92" s="68" t="n"/>
      <c r="V92" s="68" t="n"/>
      <c r="W92" s="68" t="inlineStr">
        <is>
          <t>High</t>
        </is>
      </c>
      <c r="X92" s="68" t="inlineStr">
        <is>
          <t>validated</t>
        </is>
      </c>
      <c r="Y92" s="68" t="n"/>
      <c r="Z92" s="68" t="inlineStr">
        <is>
          <t>present</t>
        </is>
      </c>
      <c r="AA92" s="68" t="inlineStr">
        <is>
          <t>Internal workbook + enrichment queue</t>
        </is>
      </c>
      <c r="AB92" s="68" t="n"/>
      <c r="AC92" s="68" t="n"/>
      <c r="AD92" s="68" t="n"/>
      <c r="AE92" s="68" t="n"/>
      <c r="AF92" s="68" t="n"/>
      <c r="AG92" s="68" t="n">
        <v>3</v>
      </c>
      <c r="AH92" s="68" t="n">
        <v>2</v>
      </c>
      <c r="AI92" s="68" t="n">
        <v>3</v>
      </c>
      <c r="AJ92" s="68" t="n">
        <v>8</v>
      </c>
      <c r="AK92" s="68" t="inlineStr">
        <is>
          <t>Medium</t>
        </is>
      </c>
      <c r="AL92" s="68" t="n"/>
      <c r="AM92" s="68" t="inlineStr">
        <is>
          <t>Linked primary/secondary</t>
        </is>
      </c>
      <c r="AN92" s="68" t="n">
        <v>0.9</v>
      </c>
      <c r="AO92" s="68" t="inlineStr">
        <is>
          <t>Ready</t>
        </is>
      </c>
      <c r="AP92" s="68" t="n"/>
      <c r="AQ92" s="68" t="n"/>
      <c r="AR92" s="68" t="inlineStr">
        <is>
          <t>Ready for QA</t>
        </is>
      </c>
      <c r="AS92" s="68" t="inlineStr">
        <is>
          <t>Not started</t>
        </is>
      </c>
      <c r="AT92" s="68" t="n"/>
      <c r="AU92" s="68" t="n"/>
      <c r="AV92" s="68" t="n"/>
      <c r="AW92" s="68" t="n"/>
      <c r="AX92" s="68" t="n"/>
      <c r="AY92" s="68" t="n"/>
      <c r="AZ92" s="68" t="n"/>
      <c r="BA92" s="68" t="n"/>
      <c r="BB92" s="68" t="n"/>
      <c r="BC92" s="68" t="n"/>
      <c r="BD92" s="68" t="n"/>
      <c r="BE92" s="68" t="inlineStr">
        <is>
          <t>2026-04-10</t>
        </is>
      </c>
      <c r="BF92" s="68" t="inlineStr">
        <is>
          <t>Metadata normalized from internal workbook links</t>
        </is>
      </c>
      <c r="BG92" s="68" t="inlineStr">
        <is>
          <t>schisandra-berry|2026-04-10</t>
        </is>
      </c>
      <c r="BH92" s="68" t="inlineStr">
        <is>
          <t>2026-04-10:auto-normalized</t>
        </is>
      </c>
      <c r="BI92" t="inlineStr">
        <is>
          <t>schisandra-berry</t>
        </is>
      </c>
      <c r="BJ92" t="inlineStr">
        <is>
          <t>Schisandra Berry</t>
        </is>
      </c>
      <c r="BK92" t="n">
        <v>1</v>
      </c>
      <c r="BL92" t="n">
        <v>0</v>
      </c>
      <c r="BM92" t="n">
        <v>3</v>
      </c>
      <c r="BN92" t="n">
        <v>3</v>
      </c>
      <c r="BO92" t="n">
        <v>100</v>
      </c>
      <c r="BP92" t="n">
        <v>8</v>
      </c>
      <c r="BQ92" t="n">
        <v>0</v>
      </c>
      <c r="BR92" t="n">
        <v>5</v>
      </c>
      <c r="BS92" t="inlineStr">
        <is>
          <t>Tier 4</t>
        </is>
      </c>
      <c r="BT92" t="n">
        <v>3</v>
      </c>
      <c r="BU92" t="inlineStr">
        <is>
          <t>FALSE</t>
        </is>
      </c>
      <c r="BV92" t="inlineStr">
        <is>
          <t>schisandra-berry</t>
        </is>
      </c>
      <c r="BW92" t="inlineStr">
        <is>
          <t>TRUE</t>
        </is>
      </c>
      <c r="BX92" t="inlineStr">
        <is>
          <t>Pass 10 refreshed scoring from 1 mapped compounds | Pass 13 rescored from 1 mapped compounds</t>
        </is>
      </c>
      <c r="CA92" t="n">
        <v>2</v>
      </c>
      <c r="CB92" t="n">
        <v>0</v>
      </c>
      <c r="CC92" t="n">
        <v>0</v>
      </c>
      <c r="CE92" t="inlineStr">
        <is>
          <t>Pass 13 rescored after herb-name normalization and real top-herb compound sweep</t>
        </is>
      </c>
      <c r="CF92" t="inlineStr">
        <is>
          <t>General</t>
        </is>
      </c>
      <c r="CH92" s="68" t="inlineStr">
        <is>
          <t>Start with low single-herb exposure and increase only if tolerated</t>
        </is>
      </c>
      <c r="CI92" s="68" t="inlineStr">
        <is>
          <t>Prefer conservative use and avoid default inclusion in liver-sensitive audiences.</t>
        </is>
      </c>
      <c r="CJ92" s="68" t="inlineStr">
        <is>
          <t>hepatic-caution</t>
        </is>
      </c>
      <c r="CK92" s="68" t="str"/>
      <c r="CL92" s="68" t="inlineStr">
        <is>
          <t>Baseline</t>
        </is>
      </c>
      <c r="CM92" s="68" t="inlineStr">
        <is>
          <t>No</t>
        </is>
      </c>
      <c r="CN92" s="68" t="str"/>
      <c r="CO92" s="68" t="inlineStr">
        <is>
          <t>Pass 21 herb-level safety and dose framing</t>
        </is>
      </c>
      <c r="CP92" t="inlineStr">
        <is>
          <t>Moderate</t>
        </is>
      </c>
      <c r="CQ92" t="inlineStr">
        <is>
          <t>No</t>
        </is>
      </c>
      <c r="CS92" t="inlineStr">
        <is>
          <t>Pass 22 refined safety rule severity and reduced broad keyword over-flagging</t>
        </is>
      </c>
      <c r="CT92" t="inlineStr">
        <is>
          <t>Stress</t>
        </is>
      </c>
      <c r="CU92" t="inlineStr">
        <is>
          <t>adaptogenic support; hepatoprotective support</t>
        </is>
      </c>
      <c r="CV92" t="inlineStr">
        <is>
          <t>Human</t>
        </is>
      </c>
      <c r="CW92" t="inlineStr">
        <is>
          <t>Pass 26 normalization: categories, mechanisms, evidence tiers</t>
        </is>
      </c>
      <c r="CX92" t="inlineStr">
        <is>
          <t>Human + preclinical</t>
        </is>
      </c>
      <c r="CY92" t="inlineStr">
        <is>
          <t>Generally well tolerated.</t>
        </is>
      </c>
      <c r="CZ92" t="inlineStr">
        <is>
          <t>Use caution with CYP-sensitive medication contexts</t>
        </is>
      </c>
      <c r="DB92" t="inlineStr">
        <is>
          <t>Pass 28 normalized evidence and safety-related free text</t>
        </is>
      </c>
      <c r="DD92" t="inlineStr">
        <is>
          <t>No standardized dose established; use conservative, product-dependent ranges.</t>
        </is>
      </c>
      <c r="DE92" t="inlineStr">
        <is>
          <t>Common forms include extracts, powders, or teas depending on herb part.</t>
        </is>
      </c>
      <c r="DF92" t="inlineStr">
        <is>
          <t>Quality varies by extraction method, standardization, and contamination risk.</t>
        </is>
      </c>
      <c r="DG92" t="inlineStr">
        <is>
          <t>Moderate to high</t>
        </is>
      </c>
      <c r="DH92" t="inlineStr">
        <is>
          <t>Pass 29 completeness repair</t>
        </is>
      </c>
      <c r="DI92" t="n">
        <v>6</v>
      </c>
      <c r="DJ92" t="inlineStr">
        <is>
          <t>Adaptogenic</t>
        </is>
      </c>
      <c r="DL92" t="inlineStr">
        <is>
          <t>Artemisia Annua; Holy Basil; Holy Basil Purple; Maca; Maral Root</t>
        </is>
      </c>
      <c r="DM92" t="inlineStr">
        <is>
          <t>Pass 31 relationship intelligence: density, cluster, anchor class, nearest herbs</t>
        </is>
      </c>
      <c r="DP92" t="inlineStr">
        <is>
          <t>Stress / Adaptogenic</t>
        </is>
      </c>
      <c r="DQ92" t="inlineStr">
        <is>
          <t>Pass 32 substitute engine + cluster cleanup</t>
        </is>
      </c>
      <c r="DT92" t="inlineStr">
        <is>
          <t>no strong safe fallback found</t>
        </is>
      </c>
      <c r="DU92" t="inlineStr">
        <is>
          <t>Optional</t>
        </is>
      </c>
      <c r="DV92" t="inlineStr">
        <is>
          <t>Pass 33 fallback replacement engine</t>
        </is>
      </c>
      <c r="DY92" t="inlineStr">
        <is>
          <t>Pass 35 expanded fallback pool with second-pass candidate exploration</t>
        </is>
      </c>
      <c r="EA92" t="inlineStr">
        <is>
          <t>Stress</t>
        </is>
      </c>
      <c r="EB92" t="inlineStr">
        <is>
          <t>cortisol modulation; HPA axis</t>
        </is>
      </c>
      <c r="EC92" t="inlineStr">
        <is>
          <t>High</t>
        </is>
      </c>
      <c r="ED92" t="inlineStr">
        <is>
          <t>Pass 40 reinforced weak-category herb data</t>
        </is>
      </c>
      <c r="EG92" t="n">
        <v>3</v>
      </c>
      <c r="EH92" t="n">
        <v>3</v>
      </c>
      <c r="EI92" t="n">
        <v>0</v>
      </c>
      <c r="EJ92" t="n">
        <v>0</v>
      </c>
      <c r="EK92" t="n">
        <v>11</v>
      </c>
      <c r="EL92" t="n">
        <v>7</v>
      </c>
      <c r="EM92" t="inlineStr">
        <is>
          <t>gomisin a</t>
        </is>
      </c>
      <c r="EN92" t="inlineStr">
        <is>
          <t>Pass 48 rolled compound scores into herb-level scoring</t>
        </is>
      </c>
    </row>
    <row r="93">
      <c r="A93" s="68" t="inlineStr">
        <is>
          <t>Catuba</t>
        </is>
      </c>
      <c r="B93" s="68" t="inlineStr">
        <is>
          <t>catuaba</t>
        </is>
      </c>
      <c r="C93" s="68" t="inlineStr">
        <is>
          <t>Erythroxylum catuaba</t>
        </is>
      </c>
      <c r="D93" s="68" t="inlineStr">
        <is>
          <t>herb</t>
        </is>
      </c>
      <c r="E93" s="68" t="inlineStr">
        <is>
          <t>bark</t>
        </is>
      </c>
      <c r="F93" s="68" t="inlineStr">
        <is>
          <t>bark</t>
        </is>
      </c>
      <c r="G93" s="68" t="inlineStr">
        <is>
          <t>catuaba</t>
        </is>
      </c>
      <c r="H93" s="68" t="inlineStr">
        <is>
          <t>Brazil</t>
        </is>
      </c>
      <c r="I93" s="68" t="inlineStr">
        <is>
          <t>Catuaba is positioned for traditional mood, libido, and vitality support.</t>
        </is>
      </c>
      <c r="J93" s="68" t="inlineStr">
        <is>
          <t>It should be framed conservatively because traditional aphrodisiac narratives exceed modern evidence depth.</t>
        </is>
      </c>
      <c r="K93" s="68" t="inlineStr">
        <is>
          <t>alkaloids; flavonoids</t>
        </is>
      </c>
      <c r="L93" s="68" t="inlineStr">
        <is>
          <t>catuabine</t>
        </is>
      </c>
      <c r="M93" s="68" t="inlineStr">
        <is>
          <t>Traditional use and alkaloid-rich chemistry support vitality and mood-adjacent positioning.</t>
        </is>
      </c>
      <c r="N93" s="68" t="inlineStr">
        <is>
          <t>traditional vitality support; mood support</t>
        </is>
      </c>
      <c r="O93" s="68" t="inlineStr">
        <is>
          <t>traditional use + limited human</t>
        </is>
      </c>
      <c r="P93" s="68" t="inlineStr">
        <is>
          <t>Generally well tolerated.</t>
        </is>
      </c>
      <c r="Q93" s="68" t="inlineStr">
        <is>
          <t>Avoid exaggerated sexual-performance claims.</t>
        </is>
      </c>
      <c r="R93" s="68" t="n"/>
      <c r="S93" s="68" t="n"/>
      <c r="T93" s="68" t="n"/>
      <c r="U93" s="68" t="n"/>
      <c r="V93" s="68" t="n"/>
      <c r="W93" s="68" t="inlineStr">
        <is>
          <t>High</t>
        </is>
      </c>
      <c r="X93" s="68" t="inlineStr">
        <is>
          <t>validated</t>
        </is>
      </c>
      <c r="Y93" s="68" t="n"/>
      <c r="Z93" s="68" t="inlineStr">
        <is>
          <t>present</t>
        </is>
      </c>
      <c r="AA93" s="68" t="inlineStr">
        <is>
          <t>Internal workbook + enrichment queue</t>
        </is>
      </c>
      <c r="AB93" s="68" t="n"/>
      <c r="AC93" s="68" t="n"/>
      <c r="AD93" s="68" t="n"/>
      <c r="AE93" s="68" t="n"/>
      <c r="AF93" s="68" t="n"/>
      <c r="AG93" s="68" t="n">
        <v>3</v>
      </c>
      <c r="AH93" s="68" t="n">
        <v>1</v>
      </c>
      <c r="AI93" s="68" t="n">
        <v>3</v>
      </c>
      <c r="AJ93" s="68" t="n">
        <v>7</v>
      </c>
      <c r="AK93" s="68" t="inlineStr">
        <is>
          <t>Medium</t>
        </is>
      </c>
      <c r="AL93" s="68" t="n"/>
      <c r="AM93" s="68" t="inlineStr">
        <is>
          <t>Linked primary/secondary</t>
        </is>
      </c>
      <c r="AN93" s="68" t="n">
        <v>0.9</v>
      </c>
      <c r="AO93" s="68" t="inlineStr">
        <is>
          <t>Near ready</t>
        </is>
      </c>
      <c r="AP93" s="68" t="n"/>
      <c r="AQ93" s="68" t="n"/>
      <c r="AR93" s="68" t="inlineStr">
        <is>
          <t>Editorial polish</t>
        </is>
      </c>
      <c r="AS93" s="68" t="inlineStr">
        <is>
          <t>Not started</t>
        </is>
      </c>
      <c r="AT93" s="68" t="n"/>
      <c r="AU93" s="68" t="n"/>
      <c r="AV93" s="68" t="n"/>
      <c r="AW93" s="68" t="n"/>
      <c r="AX93" s="68" t="n"/>
      <c r="AY93" s="68" t="n"/>
      <c r="AZ93" s="68" t="n"/>
      <c r="BA93" s="68" t="n"/>
      <c r="BB93" s="68" t="n"/>
      <c r="BC93" s="68" t="n"/>
      <c r="BD93" s="68" t="n"/>
      <c r="BE93" s="68" t="inlineStr">
        <is>
          <t>2026-04-10</t>
        </is>
      </c>
      <c r="BF93" s="68" t="inlineStr">
        <is>
          <t>Metadata normalized from internal workbook links</t>
        </is>
      </c>
      <c r="BG93" s="68" t="inlineStr">
        <is>
          <t>catuaba|2026-04-10</t>
        </is>
      </c>
      <c r="BH93" s="68" t="inlineStr">
        <is>
          <t>2026-04-10:auto-normalized</t>
        </is>
      </c>
      <c r="BI93" t="inlineStr">
        <is>
          <t>catuaba</t>
        </is>
      </c>
      <c r="BJ93" t="inlineStr">
        <is>
          <t>Catuba</t>
        </is>
      </c>
      <c r="BK93" t="n">
        <v>1</v>
      </c>
      <c r="BL93" t="n">
        <v>0</v>
      </c>
      <c r="BM93" t="n">
        <v>3</v>
      </c>
      <c r="BN93" t="n">
        <v>3</v>
      </c>
      <c r="BO93" t="n">
        <v>100</v>
      </c>
      <c r="BP93" t="n">
        <v>8</v>
      </c>
      <c r="BQ93" t="n">
        <v>0</v>
      </c>
      <c r="BR93" t="n">
        <v>5</v>
      </c>
      <c r="BS93" t="inlineStr">
        <is>
          <t>Tier 4</t>
        </is>
      </c>
      <c r="BT93" t="n">
        <v>3</v>
      </c>
      <c r="BU93" t="inlineStr">
        <is>
          <t>FALSE</t>
        </is>
      </c>
      <c r="BV93" t="inlineStr">
        <is>
          <t>catuaba</t>
        </is>
      </c>
      <c r="BW93" t="inlineStr">
        <is>
          <t>TRUE</t>
        </is>
      </c>
      <c r="BX93" t="inlineStr">
        <is>
          <t>Pass 10 refreshed scoring from 1 mapped compounds | Pass 13 rescored from 1 mapped compounds</t>
        </is>
      </c>
      <c r="CA93" t="n">
        <v>2</v>
      </c>
      <c r="CB93" t="n">
        <v>0</v>
      </c>
      <c r="CC93" t="n">
        <v>0</v>
      </c>
      <c r="CE93" t="inlineStr">
        <is>
          <t>Pass 13 rescored after herb-name normalization and real top-herb compound sweep</t>
        </is>
      </c>
      <c r="CF93" t="inlineStr">
        <is>
          <t>General</t>
        </is>
      </c>
      <c r="CH93" s="68" t="inlineStr">
        <is>
          <t>Start with low single-herb exposure and increase only if tolerated</t>
        </is>
      </c>
      <c r="CI93" s="68" t="inlineStr">
        <is>
          <t>Product-ideation framing only; not clinical dosing advice.</t>
        </is>
      </c>
      <c r="CJ93" s="68" t="str"/>
      <c r="CK93" s="68" t="str"/>
      <c r="CL93" s="68" t="inlineStr">
        <is>
          <t>Moderate</t>
        </is>
      </c>
      <c r="CM93" s="68" t="inlineStr">
        <is>
          <t>No</t>
        </is>
      </c>
      <c r="CN93" s="68" t="str"/>
      <c r="CO93" s="68" t="inlineStr">
        <is>
          <t>Pass 21 herb-level safety and dose framing</t>
        </is>
      </c>
      <c r="CP93" t="inlineStr">
        <is>
          <t>Baseline</t>
        </is>
      </c>
      <c r="CQ93" t="inlineStr">
        <is>
          <t>No</t>
        </is>
      </c>
      <c r="CS93" t="inlineStr">
        <is>
          <t>Pass 22 refined safety rule severity and reduced broad keyword over-flagging</t>
        </is>
      </c>
      <c r="CT93" t="inlineStr">
        <is>
          <t>General</t>
        </is>
      </c>
      <c r="CU93" t="inlineStr">
        <is>
          <t>mood support; traditional vitality support</t>
        </is>
      </c>
      <c r="CV93" t="inlineStr">
        <is>
          <t>Human</t>
        </is>
      </c>
      <c r="CW93" t="inlineStr">
        <is>
          <t>Pass 26 normalization: categories, mechanisms, evidence tiers</t>
        </is>
      </c>
      <c r="CX93" t="inlineStr">
        <is>
          <t>Limited human</t>
        </is>
      </c>
      <c r="CY93" t="inlineStr">
        <is>
          <t>Generally well tolerated.</t>
        </is>
      </c>
      <c r="CZ93" t="inlineStr">
        <is>
          <t>Avoid exaggerated sexual-performance claims</t>
        </is>
      </c>
      <c r="DB93" t="inlineStr">
        <is>
          <t>Pass 28 normalized evidence and safety-related free text</t>
        </is>
      </c>
      <c r="DD93" t="inlineStr">
        <is>
          <t>No standardized dose established; use conservative, product-dependent ranges.</t>
        </is>
      </c>
      <c r="DE93" t="inlineStr">
        <is>
          <t>Common forms include extracts, powders, or teas depending on herb part.</t>
        </is>
      </c>
      <c r="DF93" t="inlineStr">
        <is>
          <t>Quality varies by extraction method, standardization, and contamination risk.</t>
        </is>
      </c>
      <c r="DG93" t="inlineStr">
        <is>
          <t>Moderate to high</t>
        </is>
      </c>
      <c r="DH93" t="inlineStr">
        <is>
          <t>Pass 29 completeness repair</t>
        </is>
      </c>
      <c r="DI93" t="n">
        <v>0</v>
      </c>
      <c r="DJ93" t="inlineStr">
        <is>
          <t>General</t>
        </is>
      </c>
      <c r="DL93" t="inlineStr">
        <is>
          <t>Acerola; Agarikon; Ajwain; Aloe Vera; American Ginseng</t>
        </is>
      </c>
      <c r="DM93" t="inlineStr">
        <is>
          <t>Pass 31 relationship intelligence: density, cluster, anchor class, nearest herbs</t>
        </is>
      </c>
      <c r="DP93" t="inlineStr">
        <is>
          <t>Generalist</t>
        </is>
      </c>
      <c r="DQ93" t="inlineStr">
        <is>
          <t>Pass 32 substitute engine + cluster cleanup</t>
        </is>
      </c>
      <c r="DT93" t="inlineStr">
        <is>
          <t>no strong safe fallback found</t>
        </is>
      </c>
      <c r="DU93" t="inlineStr">
        <is>
          <t>Not needed</t>
        </is>
      </c>
      <c r="DV93" t="inlineStr">
        <is>
          <t>Pass 33 fallback replacement engine</t>
        </is>
      </c>
      <c r="DY93" t="inlineStr">
        <is>
          <t>Pass 35 expanded fallback pool with second-pass candidate exploration</t>
        </is>
      </c>
      <c r="EA93" t="inlineStr">
        <is>
          <t>General</t>
        </is>
      </c>
      <c r="EC93" t="inlineStr">
        <is>
          <t>High</t>
        </is>
      </c>
      <c r="ED93" t="inlineStr">
        <is>
          <t>Pass 40 reinforced weak-category herb data</t>
        </is>
      </c>
      <c r="EG93" t="n">
        <v>0</v>
      </c>
      <c r="EH93" t="n">
        <v>0</v>
      </c>
      <c r="EI93" t="n">
        <v>0</v>
      </c>
      <c r="EJ93" t="n">
        <v>0</v>
      </c>
      <c r="EK93" t="n">
        <v>0</v>
      </c>
      <c r="EL93" t="n">
        <v>0</v>
      </c>
      <c r="EN93" t="inlineStr">
        <is>
          <t>Pass 48 rolled compound scores into herb-level scoring</t>
        </is>
      </c>
    </row>
    <row r="94">
      <c r="A94" s="68" t="inlineStr">
        <is>
          <t>Muira Puama</t>
        </is>
      </c>
      <c r="B94" s="68" t="inlineStr">
        <is>
          <t>muira-puama</t>
        </is>
      </c>
      <c r="C94" s="68" t="inlineStr">
        <is>
          <t>Ptychopetalum olacoides</t>
        </is>
      </c>
      <c r="D94" s="68" t="inlineStr">
        <is>
          <t>herb</t>
        </is>
      </c>
      <c r="E94" s="68" t="inlineStr">
        <is>
          <t>bark/root</t>
        </is>
      </c>
      <c r="F94" s="68" t="inlineStr">
        <is>
          <t>bark; root</t>
        </is>
      </c>
      <c r="G94" s="68" t="inlineStr">
        <is>
          <t>muira puama</t>
        </is>
      </c>
      <c r="H94" s="68" t="inlineStr">
        <is>
          <t>Amazon basin</t>
        </is>
      </c>
      <c r="I94" s="68" t="inlineStr">
        <is>
          <t>Muira puama is positioned for traditional vitality and stress-resilience support.</t>
        </is>
      </c>
      <c r="J94" s="68" t="inlineStr">
        <is>
          <t>It is best framed as a traditional Amazonian botanical with modest modern evidence.</t>
        </is>
      </c>
      <c r="K94" s="68" t="inlineStr">
        <is>
          <t>sterols; terpenes</t>
        </is>
      </c>
      <c r="L94" s="68" t="inlineStr">
        <is>
          <t>beta-sitosterol</t>
        </is>
      </c>
      <c r="M94" s="68" t="inlineStr">
        <is>
          <t>Traditional use supports vitality and adaptogenic-adjacent positioning.</t>
        </is>
      </c>
      <c r="N94" s="68" t="inlineStr">
        <is>
          <t>traditional vitality support; stress support</t>
        </is>
      </c>
      <c r="O94" s="68" t="inlineStr">
        <is>
          <t>traditional use + limited human</t>
        </is>
      </c>
      <c r="P94" s="68" t="inlineStr">
        <is>
          <t>Generally well tolerated.</t>
        </is>
      </c>
      <c r="Q94" s="68" t="inlineStr">
        <is>
          <t>Avoid overextended neurocognitive claims.</t>
        </is>
      </c>
      <c r="R94" s="68" t="n"/>
      <c r="S94" s="68" t="n"/>
      <c r="T94" s="68" t="n"/>
      <c r="U94" s="68" t="n"/>
      <c r="V94" s="68" t="n"/>
      <c r="W94" s="68" t="inlineStr">
        <is>
          <t>High</t>
        </is>
      </c>
      <c r="X94" s="68" t="inlineStr">
        <is>
          <t>validated</t>
        </is>
      </c>
      <c r="Y94" s="68" t="n"/>
      <c r="Z94" s="68" t="inlineStr">
        <is>
          <t>present</t>
        </is>
      </c>
      <c r="AA94" s="68" t="inlineStr">
        <is>
          <t>Internal workbook + enrichment queue</t>
        </is>
      </c>
      <c r="AB94" s="68" t="n"/>
      <c r="AC94" s="68" t="n"/>
      <c r="AD94" s="68" t="n"/>
      <c r="AE94" s="68" t="n"/>
      <c r="AF94" s="68" t="n"/>
      <c r="AG94" s="68" t="n">
        <v>3</v>
      </c>
      <c r="AH94" s="68" t="n">
        <v>1</v>
      </c>
      <c r="AI94" s="68" t="n">
        <v>3</v>
      </c>
      <c r="AJ94" s="68" t="n">
        <v>7</v>
      </c>
      <c r="AK94" s="68" t="inlineStr">
        <is>
          <t>Medium</t>
        </is>
      </c>
      <c r="AL94" s="68" t="n"/>
      <c r="AM94" s="68" t="inlineStr">
        <is>
          <t>Linked primary/secondary</t>
        </is>
      </c>
      <c r="AN94" s="68" t="n">
        <v>0.9</v>
      </c>
      <c r="AO94" s="68" t="inlineStr">
        <is>
          <t>Near ready</t>
        </is>
      </c>
      <c r="AP94" s="68" t="n"/>
      <c r="AQ94" s="68" t="n"/>
      <c r="AR94" s="68" t="inlineStr">
        <is>
          <t>Editorial polish</t>
        </is>
      </c>
      <c r="AS94" s="68" t="inlineStr">
        <is>
          <t>Not started</t>
        </is>
      </c>
      <c r="AT94" s="68" t="n"/>
      <c r="AU94" s="68" t="n"/>
      <c r="AV94" s="68" t="n"/>
      <c r="AW94" s="68" t="n"/>
      <c r="AX94" s="68" t="n"/>
      <c r="AY94" s="68" t="n"/>
      <c r="AZ94" s="68" t="n"/>
      <c r="BA94" s="68" t="n"/>
      <c r="BB94" s="68" t="n"/>
      <c r="BC94" s="68" t="n"/>
      <c r="BD94" s="68" t="n"/>
      <c r="BE94" s="68" t="inlineStr">
        <is>
          <t>2026-04-10</t>
        </is>
      </c>
      <c r="BF94" s="68" t="inlineStr">
        <is>
          <t>Metadata normalized from internal workbook links</t>
        </is>
      </c>
      <c r="BG94" s="68" t="inlineStr">
        <is>
          <t>muira-puama|2026-04-10</t>
        </is>
      </c>
      <c r="BH94" s="68" t="inlineStr">
        <is>
          <t>2026-04-10:auto-normalized</t>
        </is>
      </c>
      <c r="BI94" t="inlineStr">
        <is>
          <t>muira-puama</t>
        </is>
      </c>
      <c r="BJ94" t="inlineStr">
        <is>
          <t>Muira Puama</t>
        </is>
      </c>
      <c r="BK94" t="n">
        <v>1</v>
      </c>
      <c r="BL94" t="n">
        <v>1</v>
      </c>
      <c r="BM94" t="n">
        <v>3</v>
      </c>
      <c r="BN94" t="n">
        <v>7</v>
      </c>
      <c r="BO94" t="n">
        <v>100</v>
      </c>
      <c r="BP94" t="n">
        <v>8</v>
      </c>
      <c r="BQ94" t="n">
        <v>10</v>
      </c>
      <c r="BR94" t="n">
        <v>5</v>
      </c>
      <c r="BS94" t="inlineStr">
        <is>
          <t>Tier 1</t>
        </is>
      </c>
      <c r="BT94" t="n">
        <v>5</v>
      </c>
      <c r="BU94" t="inlineStr">
        <is>
          <t>FALSE</t>
        </is>
      </c>
      <c r="BV94" t="inlineStr">
        <is>
          <t>muira-puama</t>
        </is>
      </c>
      <c r="BW94" t="inlineStr">
        <is>
          <t>TRUE</t>
        </is>
      </c>
      <c r="BX94" t="inlineStr">
        <is>
          <t>Pass 10 refreshed scoring from 1 mapped compounds | Pass 13 rescored from 1 mapped compounds</t>
        </is>
      </c>
      <c r="BY94" t="inlineStr">
        <is>
          <t>unclassified</t>
        </is>
      </c>
      <c r="CA94" t="n">
        <v>2</v>
      </c>
      <c r="CB94" t="n">
        <v>0</v>
      </c>
      <c r="CC94" t="n">
        <v>0</v>
      </c>
      <c r="CD94" t="inlineStr">
        <is>
          <t>beta-sitosterol; unclassified</t>
        </is>
      </c>
      <c r="CE94" t="inlineStr">
        <is>
          <t>Pass 13 rescored after herb-name normalization and real top-herb compound sweep</t>
        </is>
      </c>
      <c r="CF94" t="inlineStr">
        <is>
          <t>General</t>
        </is>
      </c>
      <c r="CH94" s="68" t="inlineStr">
        <is>
          <t>Start with low single-herb exposure and increase only if tolerated</t>
        </is>
      </c>
      <c r="CI94" s="68" t="inlineStr">
        <is>
          <t>Product-ideation framing only; not clinical dosing advice.</t>
        </is>
      </c>
      <c r="CJ94" s="68" t="str"/>
      <c r="CK94" s="68" t="str"/>
      <c r="CL94" s="68" t="inlineStr">
        <is>
          <t>Moderate</t>
        </is>
      </c>
      <c r="CM94" s="68" t="inlineStr">
        <is>
          <t>No</t>
        </is>
      </c>
      <c r="CN94" s="68" t="str"/>
      <c r="CO94" s="68" t="inlineStr">
        <is>
          <t>Pass 21 herb-level safety and dose framing</t>
        </is>
      </c>
      <c r="CP94" t="inlineStr">
        <is>
          <t>Baseline</t>
        </is>
      </c>
      <c r="CQ94" t="inlineStr">
        <is>
          <t>No</t>
        </is>
      </c>
      <c r="CS94" t="inlineStr">
        <is>
          <t>Pass 22 refined safety rule severity and reduced broad keyword over-flagging</t>
        </is>
      </c>
      <c r="CT94" t="inlineStr">
        <is>
          <t>General</t>
        </is>
      </c>
      <c r="CU94" t="inlineStr">
        <is>
          <t>stress support; traditional vitality support</t>
        </is>
      </c>
      <c r="CV94" t="inlineStr">
        <is>
          <t>Human</t>
        </is>
      </c>
      <c r="CW94" t="inlineStr">
        <is>
          <t>Pass 26 normalization: categories, mechanisms, evidence tiers</t>
        </is>
      </c>
      <c r="CX94" t="inlineStr">
        <is>
          <t>Limited human</t>
        </is>
      </c>
      <c r="CY94" t="inlineStr">
        <is>
          <t>Generally well tolerated.</t>
        </is>
      </c>
      <c r="CZ94" t="inlineStr">
        <is>
          <t>Avoid overextended neurocognitive claims</t>
        </is>
      </c>
      <c r="DB94" t="inlineStr">
        <is>
          <t>Pass 28 normalized evidence and safety-related free text</t>
        </is>
      </c>
      <c r="DD94" t="inlineStr">
        <is>
          <t>No standardized dose established; use conservative, product-dependent ranges.</t>
        </is>
      </c>
      <c r="DE94" t="inlineStr">
        <is>
          <t>Common forms include extracts, powders, or teas depending on herb part.</t>
        </is>
      </c>
      <c r="DF94" t="inlineStr">
        <is>
          <t>Quality varies by extraction method, standardization, and contamination risk.</t>
        </is>
      </c>
      <c r="DG94" t="inlineStr">
        <is>
          <t>Moderate to high</t>
        </is>
      </c>
      <c r="DH94" t="inlineStr">
        <is>
          <t>Pass 29 completeness repair</t>
        </is>
      </c>
      <c r="DI94" t="n">
        <v>9</v>
      </c>
      <c r="DJ94" t="inlineStr">
        <is>
          <t>General</t>
        </is>
      </c>
      <c r="DK94" t="inlineStr">
        <is>
          <t>beta-sitosterol</t>
        </is>
      </c>
      <c r="DL94" t="inlineStr">
        <is>
          <t>Nettle Root; Agarikon; Ajwain; Angelica Root; Artichoke</t>
        </is>
      </c>
      <c r="DM94" t="inlineStr">
        <is>
          <t>Pass 31 relationship intelligence: density, cluster, anchor class, nearest herbs</t>
        </is>
      </c>
      <c r="DN94" t="inlineStr">
        <is>
          <t>Nettle Root; Artichoke; Ashoka; Blue Lotus; Boldo</t>
        </is>
      </c>
      <c r="DO94" t="inlineStr">
        <is>
          <t>Nettle Root (1 shared compounds; 1 shared pathways) | Artichoke (1 shared pathways) | Ashoka (1 shared pathways)</t>
        </is>
      </c>
      <c r="DP94" t="inlineStr">
        <is>
          <t>Generalist</t>
        </is>
      </c>
      <c r="DQ94" t="inlineStr">
        <is>
          <t>Pass 32 substitute engine + cluster cleanup</t>
        </is>
      </c>
      <c r="DR94" t="inlineStr">
        <is>
          <t>Ashoka</t>
        </is>
      </c>
      <c r="DS94" t="inlineStr">
        <is>
          <t>Nettle Root</t>
        </is>
      </c>
      <c r="DT94" t="inlineStr">
        <is>
          <t>same cluster; lower safety burden; similarity-backed</t>
        </is>
      </c>
      <c r="DU94" t="inlineStr">
        <is>
          <t>Not needed</t>
        </is>
      </c>
      <c r="DV94" t="inlineStr">
        <is>
          <t>Pass 33 fallback replacement engine</t>
        </is>
      </c>
      <c r="DW94" t="inlineStr">
        <is>
          <t>Nettle Root</t>
        </is>
      </c>
      <c r="DX94" t="inlineStr">
        <is>
          <t>Ashoka; Blue Lotus; Nettle Root; Agarikon; Ajwain; Angelica Root; Damiana; Artichoke</t>
        </is>
      </c>
      <c r="DY94" t="inlineStr">
        <is>
          <t>Pass 35 expanded fallback pool with second-pass candidate exploration</t>
        </is>
      </c>
      <c r="EA94" t="inlineStr">
        <is>
          <t>General</t>
        </is>
      </c>
      <c r="EB94" t="inlineStr">
        <is>
          <t>unclassified</t>
        </is>
      </c>
      <c r="EC94" t="inlineStr">
        <is>
          <t>High</t>
        </is>
      </c>
      <c r="ED94" t="inlineStr">
        <is>
          <t>Pass 40 reinforced weak-category herb data</t>
        </is>
      </c>
      <c r="EG94" t="n">
        <v>6</v>
      </c>
      <c r="EH94" t="n">
        <v>6</v>
      </c>
      <c r="EI94" t="n">
        <v>0</v>
      </c>
      <c r="EJ94" t="n">
        <v>0</v>
      </c>
      <c r="EK94" t="n">
        <v>20</v>
      </c>
      <c r="EL94" t="n">
        <v>13</v>
      </c>
      <c r="EM94" t="inlineStr">
        <is>
          <t>beta-sitosterol</t>
        </is>
      </c>
      <c r="EN94" t="inlineStr">
        <is>
          <t>Pass 48 rolled compound scores into herb-level scoring</t>
        </is>
      </c>
    </row>
    <row r="95">
      <c r="A95" s="68" t="inlineStr">
        <is>
          <t>Maitake D-Fraction</t>
        </is>
      </c>
      <c r="B95" s="68" t="inlineStr">
        <is>
          <t>maitake-d-fraction</t>
        </is>
      </c>
      <c r="C95" s="68" t="inlineStr">
        <is>
          <t>Grifola frondosa</t>
        </is>
      </c>
      <c r="D95" s="68" t="inlineStr">
        <is>
          <t>fungus</t>
        </is>
      </c>
      <c r="E95" s="68" t="inlineStr">
        <is>
          <t>extract</t>
        </is>
      </c>
      <c r="F95" s="68" t="inlineStr">
        <is>
          <t>fruiting body extract</t>
        </is>
      </c>
      <c r="G95" s="68" t="inlineStr">
        <is>
          <t>maitake D-fraction</t>
        </is>
      </c>
      <c r="H95" s="68" t="inlineStr">
        <is>
          <t>Japan; cultivated globally</t>
        </is>
      </c>
      <c r="I95" s="68" t="inlineStr">
        <is>
          <t>Maitake D-fraction is positioned for immune-support use.</t>
        </is>
      </c>
      <c r="J95" s="68" t="inlineStr">
        <is>
          <t>It should be framed distinctly from whole maitake because extract-standardization claims can exceed the underlying evidence.</t>
        </is>
      </c>
      <c r="K95" s="68" t="inlineStr">
        <is>
          <t>beta-glucans</t>
        </is>
      </c>
      <c r="L95" s="68" t="inlineStr">
        <is>
          <t>beta-glucans</t>
        </is>
      </c>
      <c r="M95" s="68" t="inlineStr">
        <is>
          <t>Beta-glucan-rich extracts support immune-modulating positioning.</t>
        </is>
      </c>
      <c r="N95" s="68" t="inlineStr">
        <is>
          <t>immune modulation</t>
        </is>
      </c>
      <c r="O95" s="68" t="inlineStr">
        <is>
          <t>mixed human + preclinical</t>
        </is>
      </c>
      <c r="P95" s="68" t="inlineStr">
        <is>
          <t>Generally well tolerated.</t>
        </is>
      </c>
      <c r="Q95" s="68" t="inlineStr">
        <is>
          <t>Avoid exaggerated oncology-treatment claims.</t>
        </is>
      </c>
      <c r="R95" s="68" t="n"/>
      <c r="S95" s="68" t="n"/>
      <c r="T95" s="68" t="n"/>
      <c r="U95" s="68" t="n"/>
      <c r="V95" s="68" t="n"/>
      <c r="W95" s="68" t="inlineStr">
        <is>
          <t>High</t>
        </is>
      </c>
      <c r="X95" s="68" t="inlineStr">
        <is>
          <t>partial</t>
        </is>
      </c>
      <c r="Y95" s="68" t="n"/>
      <c r="Z95" s="68" t="inlineStr">
        <is>
          <t>present</t>
        </is>
      </c>
      <c r="AA95" s="68" t="inlineStr">
        <is>
          <t>Internal workbook + enrichment queue</t>
        </is>
      </c>
      <c r="AB95" s="68" t="n"/>
      <c r="AC95" s="68" t="n"/>
      <c r="AD95" s="68" t="n"/>
      <c r="AE95" s="68" t="n"/>
      <c r="AF95" s="68" t="n"/>
      <c r="AG95" s="68" t="n">
        <v>3</v>
      </c>
      <c r="AH95" s="68" t="n">
        <v>1</v>
      </c>
      <c r="AI95" s="68" t="n">
        <v>3</v>
      </c>
      <c r="AJ95" s="68" t="n">
        <v>7</v>
      </c>
      <c r="AK95" s="68" t="inlineStr">
        <is>
          <t>Medium</t>
        </is>
      </c>
      <c r="AL95" s="68" t="n"/>
      <c r="AM95" s="68" t="inlineStr">
        <is>
          <t>Linked primary/secondary</t>
        </is>
      </c>
      <c r="AN95" s="68" t="n">
        <v>0.9</v>
      </c>
      <c r="AO95" s="68" t="inlineStr">
        <is>
          <t>Near ready</t>
        </is>
      </c>
      <c r="AP95" s="68" t="n"/>
      <c r="AQ95" s="68" t="n"/>
      <c r="AR95" s="68" t="inlineStr">
        <is>
          <t>Editorial polish</t>
        </is>
      </c>
      <c r="AS95" s="68" t="inlineStr">
        <is>
          <t>Not started</t>
        </is>
      </c>
      <c r="AT95" s="68" t="n"/>
      <c r="AU95" s="68" t="n"/>
      <c r="AV95" s="68" t="n"/>
      <c r="AW95" s="68" t="n"/>
      <c r="AX95" s="68" t="n"/>
      <c r="AY95" s="68" t="n"/>
      <c r="AZ95" s="68" t="n"/>
      <c r="BA95" s="68" t="n"/>
      <c r="BB95" s="68" t="n"/>
      <c r="BC95" s="68" t="n"/>
      <c r="BD95" s="68" t="n"/>
      <c r="BE95" s="68" t="inlineStr">
        <is>
          <t>2026-04-10</t>
        </is>
      </c>
      <c r="BF95" s="68" t="inlineStr">
        <is>
          <t>Metadata normalized from internal workbook links</t>
        </is>
      </c>
      <c r="BG95" s="68" t="inlineStr">
        <is>
          <t>maitake-d-fraction|2026-04-10</t>
        </is>
      </c>
      <c r="BH95" s="68" t="inlineStr">
        <is>
          <t>2026-04-10:auto-normalized</t>
        </is>
      </c>
      <c r="BI95" t="inlineStr">
        <is>
          <t>maitake-d-fraction</t>
        </is>
      </c>
      <c r="BJ95" t="inlineStr">
        <is>
          <t>Maitake D-Fraction</t>
        </is>
      </c>
      <c r="BK95" t="n">
        <v>1</v>
      </c>
      <c r="BL95" t="n">
        <v>1</v>
      </c>
      <c r="BM95" t="n">
        <v>3</v>
      </c>
      <c r="BN95" t="n">
        <v>7</v>
      </c>
      <c r="BO95" t="n">
        <v>100</v>
      </c>
      <c r="BP95" t="n">
        <v>8</v>
      </c>
      <c r="BQ95" t="n">
        <v>10</v>
      </c>
      <c r="BR95" t="n">
        <v>5</v>
      </c>
      <c r="BS95" t="inlineStr">
        <is>
          <t>Tier 1</t>
        </is>
      </c>
      <c r="BT95" t="n">
        <v>5</v>
      </c>
      <c r="BU95" t="inlineStr">
        <is>
          <t>FALSE</t>
        </is>
      </c>
      <c r="BV95" t="inlineStr">
        <is>
          <t>maitake-d-fraction</t>
        </is>
      </c>
      <c r="BW95" t="inlineStr">
        <is>
          <t>TRUE</t>
        </is>
      </c>
      <c r="BX95" t="inlineStr">
        <is>
          <t>Pass 10 refreshed scoring from 1 mapped compounds | Pass 13 rescored from 1 mapped compounds</t>
        </is>
      </c>
      <c r="BY95" t="inlineStr">
        <is>
          <t>unclassified</t>
        </is>
      </c>
      <c r="CA95" t="n">
        <v>2</v>
      </c>
      <c r="CB95" t="n">
        <v>0</v>
      </c>
      <c r="CC95" t="n">
        <v>0</v>
      </c>
      <c r="CD95" t="inlineStr">
        <is>
          <t>beta-glucans; unclassified</t>
        </is>
      </c>
      <c r="CE95" t="inlineStr">
        <is>
          <t>Pass 13 rescored after herb-name normalization and real top-herb compound sweep</t>
        </is>
      </c>
      <c r="CF95" t="inlineStr">
        <is>
          <t>General</t>
        </is>
      </c>
      <c r="CH95" s="68" t="inlineStr">
        <is>
          <t>Start with low single-herb exposure and increase only if tolerated</t>
        </is>
      </c>
      <c r="CI95" s="68" t="inlineStr">
        <is>
          <t>Product-ideation framing only; not clinical dosing advice.</t>
        </is>
      </c>
      <c r="CJ95" s="68" t="inlineStr">
        <is>
          <t>immune-caution</t>
        </is>
      </c>
      <c r="CK95" s="68" t="str"/>
      <c r="CL95" s="68" t="inlineStr">
        <is>
          <t>Baseline</t>
        </is>
      </c>
      <c r="CM95" s="68" t="inlineStr">
        <is>
          <t>No</t>
        </is>
      </c>
      <c r="CN95" s="68" t="str"/>
      <c r="CO95" s="68" t="inlineStr">
        <is>
          <t>Pass 21 herb-level safety and dose framing</t>
        </is>
      </c>
      <c r="CP95" t="inlineStr">
        <is>
          <t>Baseline</t>
        </is>
      </c>
      <c r="CQ95" t="inlineStr">
        <is>
          <t>No</t>
        </is>
      </c>
      <c r="CS95" t="inlineStr">
        <is>
          <t>Pass 22 refined safety rule severity and reduced broad keyword over-flagging</t>
        </is>
      </c>
      <c r="CT95" t="inlineStr">
        <is>
          <t>General</t>
        </is>
      </c>
      <c r="CU95" t="inlineStr">
        <is>
          <t>immune modulation</t>
        </is>
      </c>
      <c r="CV95" t="inlineStr">
        <is>
          <t>Human</t>
        </is>
      </c>
      <c r="CW95" t="inlineStr">
        <is>
          <t>Pass 26 normalization: categories, mechanisms, evidence tiers</t>
        </is>
      </c>
      <c r="CX95" t="inlineStr">
        <is>
          <t>Human + preclinical</t>
        </is>
      </c>
      <c r="CY95" t="inlineStr">
        <is>
          <t>Generally well tolerated.</t>
        </is>
      </c>
      <c r="CZ95" t="inlineStr">
        <is>
          <t>Avoid exaggerated oncology-treatment claims</t>
        </is>
      </c>
      <c r="DB95" t="inlineStr">
        <is>
          <t>Pass 28 normalized evidence and safety-related free text</t>
        </is>
      </c>
      <c r="DD95" t="inlineStr">
        <is>
          <t>No standardized dose established; use conservative, product-dependent ranges.</t>
        </is>
      </c>
      <c r="DE95" t="inlineStr">
        <is>
          <t>Common forms include extracts, powders, or teas depending on herb part.</t>
        </is>
      </c>
      <c r="DF95" t="inlineStr">
        <is>
          <t>Quality varies by extraction method, standardization, and contamination risk.</t>
        </is>
      </c>
      <c r="DG95" t="inlineStr">
        <is>
          <t>Moderate to high</t>
        </is>
      </c>
      <c r="DH95" t="inlineStr">
        <is>
          <t>Pass 29 completeness repair</t>
        </is>
      </c>
      <c r="DI95" t="n">
        <v>9</v>
      </c>
      <c r="DJ95" t="inlineStr">
        <is>
          <t>General</t>
        </is>
      </c>
      <c r="DK95" t="inlineStr">
        <is>
          <t>beta-glucans</t>
        </is>
      </c>
      <c r="DL95" t="inlineStr">
        <is>
          <t>Reishi; Agarikon; Ajwain; Angelica Root; Artichoke</t>
        </is>
      </c>
      <c r="DM95" t="inlineStr">
        <is>
          <t>Pass 31 relationship intelligence: density, cluster, anchor class, nearest herbs</t>
        </is>
      </c>
      <c r="DN95" t="inlineStr">
        <is>
          <t>Reishi; Artichoke; Ashoka; Blue Lotus; Boldo</t>
        </is>
      </c>
      <c r="DO95" t="inlineStr">
        <is>
          <t>Reishi (1 shared compounds; 1 shared pathways) | Artichoke (1 shared pathways) | Ashoka (1 shared pathways)</t>
        </is>
      </c>
      <c r="DP95" t="inlineStr">
        <is>
          <t>Generalist</t>
        </is>
      </c>
      <c r="DQ95" t="inlineStr">
        <is>
          <t>Pass 32 substitute engine + cluster cleanup</t>
        </is>
      </c>
      <c r="DR95" t="inlineStr">
        <is>
          <t>Ashoka</t>
        </is>
      </c>
      <c r="DS95" t="inlineStr">
        <is>
          <t>Reishi</t>
        </is>
      </c>
      <c r="DT95" t="inlineStr">
        <is>
          <t>same cluster; lower safety burden; similarity-backed</t>
        </is>
      </c>
      <c r="DU95" t="inlineStr">
        <is>
          <t>Not needed</t>
        </is>
      </c>
      <c r="DV95" t="inlineStr">
        <is>
          <t>Pass 33 fallback replacement engine</t>
        </is>
      </c>
      <c r="DW95" t="inlineStr">
        <is>
          <t>Reishi</t>
        </is>
      </c>
      <c r="DX95" t="inlineStr">
        <is>
          <t>Ashoka; Blue Lotus; Reishi; Agarikon; Ajwain; Angelica Root; Damiana; Artichoke</t>
        </is>
      </c>
      <c r="DY95" t="inlineStr">
        <is>
          <t>Pass 35 expanded fallback pool with second-pass candidate exploration</t>
        </is>
      </c>
      <c r="EA95" t="inlineStr">
        <is>
          <t>General</t>
        </is>
      </c>
      <c r="EB95" t="inlineStr">
        <is>
          <t>unclassified</t>
        </is>
      </c>
      <c r="EC95" t="inlineStr">
        <is>
          <t>High</t>
        </is>
      </c>
      <c r="ED95" t="inlineStr">
        <is>
          <t>Pass 40 reinforced weak-category herb data</t>
        </is>
      </c>
      <c r="EG95" t="n">
        <v>3</v>
      </c>
      <c r="EH95" t="n">
        <v>3</v>
      </c>
      <c r="EI95" t="n">
        <v>0</v>
      </c>
      <c r="EJ95" t="n">
        <v>0</v>
      </c>
      <c r="EK95" t="n">
        <v>11</v>
      </c>
      <c r="EL95" t="n">
        <v>7</v>
      </c>
      <c r="EM95" t="inlineStr">
        <is>
          <t>beta-glucans</t>
        </is>
      </c>
      <c r="EN95" t="inlineStr">
        <is>
          <t>Pass 48 rolled compound scores into herb-level scoring</t>
        </is>
      </c>
    </row>
    <row r="96">
      <c r="A96" s="68" t="inlineStr">
        <is>
          <t>Poria</t>
        </is>
      </c>
      <c r="B96" s="68" t="inlineStr">
        <is>
          <t>poria</t>
        </is>
      </c>
      <c r="C96" s="68" t="inlineStr">
        <is>
          <t>Wolfiporia extensa</t>
        </is>
      </c>
      <c r="D96" s="68" t="inlineStr">
        <is>
          <t>fungus</t>
        </is>
      </c>
      <c r="E96" s="68" t="inlineStr">
        <is>
          <t>sclerotium</t>
        </is>
      </c>
      <c r="F96" s="68" t="inlineStr">
        <is>
          <t>sclerotium</t>
        </is>
      </c>
      <c r="G96" s="68" t="inlineStr">
        <is>
          <t>poria; fu ling</t>
        </is>
      </c>
      <c r="H96" s="68" t="inlineStr">
        <is>
          <t>China and East Asia</t>
        </is>
      </c>
      <c r="I96" s="68" t="inlineStr">
        <is>
          <t>Poria is positioned for traditional fluid-balance and calming support.</t>
        </is>
      </c>
      <c r="J96" s="68" t="inlineStr">
        <is>
          <t>It is best framed as a traditional medicinal fungus with modest modern clinical depth.</t>
        </is>
      </c>
      <c r="K96" s="68" t="inlineStr">
        <is>
          <t>pachymic acid; polysaccharides</t>
        </is>
      </c>
      <c r="L96" s="68" t="inlineStr">
        <is>
          <t>pachymic acid</t>
        </is>
      </c>
      <c r="M96" s="68" t="inlineStr">
        <is>
          <t>Triterpenes and polysaccharides support fluid-balance and calming positioning.</t>
        </is>
      </c>
      <c r="N96" s="68" t="inlineStr">
        <is>
          <t>traditional fluid-balance support; calming support</t>
        </is>
      </c>
      <c r="O96" s="68" t="inlineStr">
        <is>
          <t>traditional use + limited human</t>
        </is>
      </c>
      <c r="P96" s="68" t="inlineStr">
        <is>
          <t>Generally well tolerated.</t>
        </is>
      </c>
      <c r="Q96" s="68" t="inlineStr">
        <is>
          <t>Avoid overextended diuretic claims.</t>
        </is>
      </c>
      <c r="R96" s="68" t="n"/>
      <c r="S96" s="68" t="n"/>
      <c r="T96" s="68" t="n"/>
      <c r="U96" s="68" t="n"/>
      <c r="V96" s="68" t="n"/>
      <c r="W96" s="68" t="inlineStr">
        <is>
          <t>High</t>
        </is>
      </c>
      <c r="X96" s="68" t="inlineStr">
        <is>
          <t>validated</t>
        </is>
      </c>
      <c r="Y96" s="68" t="n"/>
      <c r="Z96" s="68" t="inlineStr">
        <is>
          <t>present</t>
        </is>
      </c>
      <c r="AA96" s="68" t="inlineStr">
        <is>
          <t>Internal workbook + enrichment queue</t>
        </is>
      </c>
      <c r="AB96" s="68" t="n"/>
      <c r="AC96" s="68" t="n"/>
      <c r="AD96" s="68" t="n"/>
      <c r="AE96" s="68" t="n"/>
      <c r="AF96" s="68" t="n"/>
      <c r="AG96" s="68" t="n">
        <v>3</v>
      </c>
      <c r="AH96" s="68" t="n">
        <v>1</v>
      </c>
      <c r="AI96" s="68" t="n">
        <v>3</v>
      </c>
      <c r="AJ96" s="68" t="n">
        <v>7</v>
      </c>
      <c r="AK96" s="68" t="inlineStr">
        <is>
          <t>Medium</t>
        </is>
      </c>
      <c r="AL96" s="68" t="n"/>
      <c r="AM96" s="68" t="inlineStr">
        <is>
          <t>Linked primary/secondary</t>
        </is>
      </c>
      <c r="AN96" s="68" t="n">
        <v>0.9</v>
      </c>
      <c r="AO96" s="68" t="inlineStr">
        <is>
          <t>Near ready</t>
        </is>
      </c>
      <c r="AP96" s="68" t="n"/>
      <c r="AQ96" s="68" t="n"/>
      <c r="AR96" s="68" t="inlineStr">
        <is>
          <t>Editorial polish</t>
        </is>
      </c>
      <c r="AS96" s="68" t="inlineStr">
        <is>
          <t>Not started</t>
        </is>
      </c>
      <c r="AT96" s="68" t="n"/>
      <c r="AU96" s="68" t="n"/>
      <c r="AV96" s="68" t="n"/>
      <c r="AW96" s="68" t="n"/>
      <c r="AX96" s="68" t="n"/>
      <c r="AY96" s="68" t="n"/>
      <c r="AZ96" s="68" t="n"/>
      <c r="BA96" s="68" t="n"/>
      <c r="BB96" s="68" t="n"/>
      <c r="BC96" s="68" t="n"/>
      <c r="BD96" s="68" t="n"/>
      <c r="BE96" s="68" t="inlineStr">
        <is>
          <t>2026-04-10</t>
        </is>
      </c>
      <c r="BF96" s="68" t="inlineStr">
        <is>
          <t>Metadata normalized from internal workbook links</t>
        </is>
      </c>
      <c r="BG96" s="68" t="inlineStr">
        <is>
          <t>poria|2026-04-10</t>
        </is>
      </c>
      <c r="BH96" s="68" t="inlineStr">
        <is>
          <t>2026-04-10:auto-normalized</t>
        </is>
      </c>
      <c r="BI96" t="inlineStr">
        <is>
          <t>poria</t>
        </is>
      </c>
      <c r="BJ96" t="inlineStr">
        <is>
          <t>Poria</t>
        </is>
      </c>
      <c r="BK96" t="n">
        <v>1</v>
      </c>
      <c r="BL96" t="n">
        <v>1</v>
      </c>
      <c r="BM96" t="n">
        <v>3</v>
      </c>
      <c r="BN96" t="n">
        <v>7</v>
      </c>
      <c r="BO96" t="n">
        <v>100</v>
      </c>
      <c r="BP96" t="n">
        <v>8</v>
      </c>
      <c r="BQ96" t="n">
        <v>10</v>
      </c>
      <c r="BR96" t="n">
        <v>5</v>
      </c>
      <c r="BS96" t="inlineStr">
        <is>
          <t>Tier 1</t>
        </is>
      </c>
      <c r="BT96" t="n">
        <v>5</v>
      </c>
      <c r="BU96" t="inlineStr">
        <is>
          <t>FALSE</t>
        </is>
      </c>
      <c r="BV96" t="inlineStr">
        <is>
          <t>poria</t>
        </is>
      </c>
      <c r="BW96" t="inlineStr">
        <is>
          <t>TRUE</t>
        </is>
      </c>
      <c r="BX96" t="inlineStr">
        <is>
          <t>Pass 10 refreshed scoring from 1 mapped compounds | Pass 13 rescored from 1 mapped compounds</t>
        </is>
      </c>
      <c r="BY96" t="inlineStr">
        <is>
          <t>unclassified</t>
        </is>
      </c>
      <c r="CA96" t="n">
        <v>2</v>
      </c>
      <c r="CB96" t="n">
        <v>0</v>
      </c>
      <c r="CC96" t="n">
        <v>0</v>
      </c>
      <c r="CD96" t="inlineStr">
        <is>
          <t>pachymic acid; unclassified</t>
        </is>
      </c>
      <c r="CE96" t="inlineStr">
        <is>
          <t>Pass 13 rescored after herb-name normalization and real top-herb compound sweep</t>
        </is>
      </c>
      <c r="CF96" t="inlineStr">
        <is>
          <t>General</t>
        </is>
      </c>
      <c r="CH96" s="68" t="inlineStr">
        <is>
          <t>Start with low single-herb exposure and increase only if tolerated</t>
        </is>
      </c>
      <c r="CI96" s="68" t="inlineStr">
        <is>
          <t>Product-ideation framing only; not clinical dosing advice.</t>
        </is>
      </c>
      <c r="CJ96" s="68" t="str"/>
      <c r="CK96" s="68" t="str"/>
      <c r="CL96" s="68" t="inlineStr">
        <is>
          <t>Moderate</t>
        </is>
      </c>
      <c r="CM96" s="68" t="inlineStr">
        <is>
          <t>No</t>
        </is>
      </c>
      <c r="CN96" s="68" t="str"/>
      <c r="CO96" s="68" t="inlineStr">
        <is>
          <t>Pass 21 herb-level safety and dose framing</t>
        </is>
      </c>
      <c r="CP96" t="inlineStr">
        <is>
          <t>Baseline</t>
        </is>
      </c>
      <c r="CQ96" t="inlineStr">
        <is>
          <t>No</t>
        </is>
      </c>
      <c r="CS96" t="inlineStr">
        <is>
          <t>Pass 22 refined safety rule severity and reduced broad keyword over-flagging</t>
        </is>
      </c>
      <c r="CT96" t="inlineStr">
        <is>
          <t>General</t>
        </is>
      </c>
      <c r="CU96" t="inlineStr">
        <is>
          <t>calming support; traditional fluid-balance support</t>
        </is>
      </c>
      <c r="CV96" t="inlineStr">
        <is>
          <t>Human</t>
        </is>
      </c>
      <c r="CW96" t="inlineStr">
        <is>
          <t>Pass 26 normalization: categories, mechanisms, evidence tiers</t>
        </is>
      </c>
      <c r="CX96" t="inlineStr">
        <is>
          <t>Limited human</t>
        </is>
      </c>
      <c r="CY96" t="inlineStr">
        <is>
          <t>Generally well tolerated.</t>
        </is>
      </c>
      <c r="CZ96" t="inlineStr">
        <is>
          <t>Avoid overextended diuretic claims</t>
        </is>
      </c>
      <c r="DB96" t="inlineStr">
        <is>
          <t>Pass 28 normalized evidence and safety-related free text</t>
        </is>
      </c>
      <c r="DD96" t="inlineStr">
        <is>
          <t>No standardized dose established; use conservative, product-dependent ranges.</t>
        </is>
      </c>
      <c r="DE96" t="inlineStr">
        <is>
          <t>Common forms include extracts, powders, or teas depending on herb part.</t>
        </is>
      </c>
      <c r="DF96" t="inlineStr">
        <is>
          <t>Quality varies by extraction method, standardization, and contamination risk.</t>
        </is>
      </c>
      <c r="DG96" t="inlineStr">
        <is>
          <t>Moderate to high</t>
        </is>
      </c>
      <c r="DH96" t="inlineStr">
        <is>
          <t>Pass 29 completeness repair</t>
        </is>
      </c>
      <c r="DI96" t="n">
        <v>9</v>
      </c>
      <c r="DJ96" t="inlineStr">
        <is>
          <t>General</t>
        </is>
      </c>
      <c r="DK96" t="inlineStr">
        <is>
          <t>pachymic acid</t>
        </is>
      </c>
      <c r="DL96" t="inlineStr">
        <is>
          <t>Agarikon; Ajwain; Angelica Root; Artichoke; Ashoka</t>
        </is>
      </c>
      <c r="DM96" t="inlineStr">
        <is>
          <t>Pass 31 relationship intelligence: density, cluster, anchor class, nearest herbs</t>
        </is>
      </c>
      <c r="DN96" t="inlineStr">
        <is>
          <t>Artichoke; Ashoka; Blue Lotus; Boldo; Burdock</t>
        </is>
      </c>
      <c r="DO96" t="inlineStr">
        <is>
          <t>Artichoke (1 shared pathways) | Ashoka (1 shared pathways) | Blue Lotus (1 shared pathways)</t>
        </is>
      </c>
      <c r="DP96" t="inlineStr">
        <is>
          <t>Generalist</t>
        </is>
      </c>
      <c r="DQ96" t="inlineStr">
        <is>
          <t>Pass 32 substitute engine + cluster cleanup</t>
        </is>
      </c>
      <c r="DR96" t="inlineStr">
        <is>
          <t>Ashoka</t>
        </is>
      </c>
      <c r="DS96" t="inlineStr">
        <is>
          <t>Blue Lotus</t>
        </is>
      </c>
      <c r="DT96" t="inlineStr">
        <is>
          <t>same cluster; lower safety burden; similarity-backed</t>
        </is>
      </c>
      <c r="DU96" t="inlineStr">
        <is>
          <t>Not needed</t>
        </is>
      </c>
      <c r="DV96" t="inlineStr">
        <is>
          <t>Pass 33 fallback replacement engine</t>
        </is>
      </c>
      <c r="DW96" t="inlineStr">
        <is>
          <t>Burdock</t>
        </is>
      </c>
      <c r="DX96" t="inlineStr">
        <is>
          <t>Ashoka; Blue Lotus; Burdock; Agarikon; Ajwain; Angelica Root; Damiana; Artichoke</t>
        </is>
      </c>
      <c r="DY96" t="inlineStr">
        <is>
          <t>Pass 35 expanded fallback pool with second-pass candidate exploration</t>
        </is>
      </c>
      <c r="EA96" t="inlineStr">
        <is>
          <t>General</t>
        </is>
      </c>
      <c r="EB96" t="inlineStr">
        <is>
          <t>unclassified</t>
        </is>
      </c>
      <c r="EC96" t="inlineStr">
        <is>
          <t>High</t>
        </is>
      </c>
      <c r="ED96" t="inlineStr">
        <is>
          <t>Pass 40 reinforced weak-category herb data</t>
        </is>
      </c>
      <c r="EG96" t="n">
        <v>3</v>
      </c>
      <c r="EH96" t="n">
        <v>3</v>
      </c>
      <c r="EI96" t="n">
        <v>0</v>
      </c>
      <c r="EJ96" t="n">
        <v>0</v>
      </c>
      <c r="EK96" t="n">
        <v>11</v>
      </c>
      <c r="EL96" t="n">
        <v>7</v>
      </c>
      <c r="EM96" t="inlineStr">
        <is>
          <t>pachymic acid</t>
        </is>
      </c>
      <c r="EN96" t="inlineStr">
        <is>
          <t>Pass 48 rolled compound scores into herb-level scoring</t>
        </is>
      </c>
    </row>
    <row r="97">
      <c r="A97" s="68" t="inlineStr">
        <is>
          <t>Rehmannia Prepared</t>
        </is>
      </c>
      <c r="B97" s="68" t="inlineStr">
        <is>
          <t>rehmannia-prepared</t>
        </is>
      </c>
      <c r="C97" s="68" t="inlineStr">
        <is>
          <t>Rehmannia glutinosa praeparata</t>
        </is>
      </c>
      <c r="D97" s="68" t="inlineStr">
        <is>
          <t>herb</t>
        </is>
      </c>
      <c r="E97" s="68" t="inlineStr">
        <is>
          <t>prepared root</t>
        </is>
      </c>
      <c r="F97" s="68" t="inlineStr">
        <is>
          <t>prepared root</t>
        </is>
      </c>
      <c r="G97" s="68" t="inlineStr">
        <is>
          <t>prepared rehmannia; shu di huang</t>
        </is>
      </c>
      <c r="H97" s="68" t="inlineStr">
        <is>
          <t>China and East Asia</t>
        </is>
      </c>
      <c r="I97" s="68" t="inlineStr">
        <is>
          <t>Prepared rehmannia is positioned for traditional restorative support.</t>
        </is>
      </c>
      <c r="J97" s="68" t="inlineStr">
        <is>
          <t>It should be framed distinctly from raw rehmannia because processed-form use-cases differ materially.</t>
        </is>
      </c>
      <c r="K97" s="68" t="inlineStr">
        <is>
          <t>catalpol; rehmanniosides</t>
        </is>
      </c>
      <c r="L97" s="68" t="inlineStr">
        <is>
          <t>catalpol</t>
        </is>
      </c>
      <c r="M97" s="68" t="inlineStr">
        <is>
          <t>Traditional preparation context supports restorative positioning.</t>
        </is>
      </c>
      <c r="N97" s="68" t="inlineStr">
        <is>
          <t>traditional restorative support</t>
        </is>
      </c>
      <c r="O97" s="68" t="inlineStr">
        <is>
          <t>traditional use + limited human</t>
        </is>
      </c>
      <c r="P97" s="68" t="inlineStr">
        <is>
          <t>Generally well tolerated.</t>
        </is>
      </c>
      <c r="Q97" s="68" t="inlineStr">
        <is>
          <t>Avoid conflating raw and prepared-form actions.</t>
        </is>
      </c>
      <c r="R97" s="68" t="n"/>
      <c r="S97" s="68" t="n"/>
      <c r="T97" s="68" t="n"/>
      <c r="U97" s="68" t="n"/>
      <c r="V97" s="68" t="n"/>
      <c r="W97" s="68" t="inlineStr">
        <is>
          <t>High</t>
        </is>
      </c>
      <c r="X97" s="68" t="inlineStr">
        <is>
          <t>validated</t>
        </is>
      </c>
      <c r="Y97" s="68" t="n"/>
      <c r="Z97" s="68" t="inlineStr">
        <is>
          <t>present</t>
        </is>
      </c>
      <c r="AA97" s="68" t="inlineStr">
        <is>
          <t>Internal workbook + enrichment queue</t>
        </is>
      </c>
      <c r="AB97" s="68" t="n"/>
      <c r="AC97" s="68" t="n"/>
      <c r="AD97" s="68" t="n"/>
      <c r="AE97" s="68" t="n"/>
      <c r="AF97" s="68" t="n"/>
      <c r="AG97" s="68" t="n">
        <v>3</v>
      </c>
      <c r="AH97" s="68" t="n">
        <v>1</v>
      </c>
      <c r="AI97" s="68" t="n">
        <v>3</v>
      </c>
      <c r="AJ97" s="68" t="n">
        <v>7</v>
      </c>
      <c r="AK97" s="68" t="inlineStr">
        <is>
          <t>Medium</t>
        </is>
      </c>
      <c r="AL97" s="68" t="n"/>
      <c r="AM97" s="68" t="inlineStr">
        <is>
          <t>Linked primary/secondary</t>
        </is>
      </c>
      <c r="AN97" s="68" t="n">
        <v>0.9</v>
      </c>
      <c r="AO97" s="68" t="inlineStr">
        <is>
          <t>Near ready</t>
        </is>
      </c>
      <c r="AP97" s="68" t="n"/>
      <c r="AQ97" s="68" t="n"/>
      <c r="AR97" s="68" t="inlineStr">
        <is>
          <t>Editorial polish</t>
        </is>
      </c>
      <c r="AS97" s="68" t="inlineStr">
        <is>
          <t>Not started</t>
        </is>
      </c>
      <c r="AT97" s="68" t="n"/>
      <c r="AU97" s="68" t="n"/>
      <c r="AV97" s="68" t="n"/>
      <c r="AW97" s="68" t="n"/>
      <c r="AX97" s="68" t="n"/>
      <c r="AY97" s="68" t="n"/>
      <c r="AZ97" s="68" t="n"/>
      <c r="BA97" s="68" t="n"/>
      <c r="BB97" s="68" t="n"/>
      <c r="BC97" s="68" t="n"/>
      <c r="BD97" s="68" t="n"/>
      <c r="BE97" s="68" t="inlineStr">
        <is>
          <t>2026-04-10</t>
        </is>
      </c>
      <c r="BF97" s="68" t="inlineStr">
        <is>
          <t>Metadata normalized from internal workbook links</t>
        </is>
      </c>
      <c r="BG97" s="68" t="inlineStr">
        <is>
          <t>rehmannia-prepared|2026-04-10</t>
        </is>
      </c>
      <c r="BH97" s="68" t="inlineStr">
        <is>
          <t>2026-04-10:auto-normalized</t>
        </is>
      </c>
      <c r="BI97" t="inlineStr">
        <is>
          <t>rehmannia-prepared</t>
        </is>
      </c>
      <c r="BJ97" t="inlineStr">
        <is>
          <t>Rehmannia Prepared</t>
        </is>
      </c>
      <c r="BK97" t="n">
        <v>1</v>
      </c>
      <c r="BL97" t="n">
        <v>1</v>
      </c>
      <c r="BM97" t="n">
        <v>3</v>
      </c>
      <c r="BN97" t="n">
        <v>7</v>
      </c>
      <c r="BO97" t="n">
        <v>100</v>
      </c>
      <c r="BP97" t="n">
        <v>8</v>
      </c>
      <c r="BQ97" t="n">
        <v>10</v>
      </c>
      <c r="BR97" t="n">
        <v>5</v>
      </c>
      <c r="BS97" t="inlineStr">
        <is>
          <t>Tier 1</t>
        </is>
      </c>
      <c r="BT97" t="n">
        <v>5</v>
      </c>
      <c r="BU97" t="inlineStr">
        <is>
          <t>FALSE</t>
        </is>
      </c>
      <c r="BV97" t="inlineStr">
        <is>
          <t>rehmannia-prepared</t>
        </is>
      </c>
      <c r="BW97" t="inlineStr">
        <is>
          <t>TRUE</t>
        </is>
      </c>
      <c r="BX97" t="inlineStr">
        <is>
          <t>Pass 10 refreshed scoring from 1 mapped compounds | Pass 13 rescored from 1 mapped compounds</t>
        </is>
      </c>
      <c r="BY97" t="inlineStr">
        <is>
          <t>unclassified</t>
        </is>
      </c>
      <c r="CA97" t="n">
        <v>2</v>
      </c>
      <c r="CB97" t="n">
        <v>0</v>
      </c>
      <c r="CC97" t="n">
        <v>0</v>
      </c>
      <c r="CD97" t="inlineStr">
        <is>
          <t>catalpol; unclassified</t>
        </is>
      </c>
      <c r="CE97" t="inlineStr">
        <is>
          <t>Pass 13 rescored after herb-name normalization and real top-herb compound sweep</t>
        </is>
      </c>
      <c r="CF97" t="inlineStr">
        <is>
          <t>General</t>
        </is>
      </c>
      <c r="CH97" s="68" t="inlineStr">
        <is>
          <t>Start with low single-herb exposure and increase only if tolerated</t>
        </is>
      </c>
      <c r="CI97" s="68" t="inlineStr">
        <is>
          <t>Product-ideation framing only; not clinical dosing advice.</t>
        </is>
      </c>
      <c r="CJ97" s="68" t="str"/>
      <c r="CK97" s="68" t="str"/>
      <c r="CL97" s="68" t="inlineStr">
        <is>
          <t>Moderate</t>
        </is>
      </c>
      <c r="CM97" s="68" t="inlineStr">
        <is>
          <t>No</t>
        </is>
      </c>
      <c r="CN97" s="68" t="str"/>
      <c r="CO97" s="68" t="inlineStr">
        <is>
          <t>Pass 21 herb-level safety and dose framing</t>
        </is>
      </c>
      <c r="CP97" t="inlineStr">
        <is>
          <t>Baseline</t>
        </is>
      </c>
      <c r="CQ97" t="inlineStr">
        <is>
          <t>No</t>
        </is>
      </c>
      <c r="CS97" t="inlineStr">
        <is>
          <t>Pass 22 refined safety rule severity and reduced broad keyword over-flagging</t>
        </is>
      </c>
      <c r="CT97" t="inlineStr">
        <is>
          <t>General</t>
        </is>
      </c>
      <c r="CU97" t="inlineStr">
        <is>
          <t>traditional restorative support</t>
        </is>
      </c>
      <c r="CV97" t="inlineStr">
        <is>
          <t>Human</t>
        </is>
      </c>
      <c r="CW97" t="inlineStr">
        <is>
          <t>Pass 26 normalization: categories, mechanisms, evidence tiers</t>
        </is>
      </c>
      <c r="CX97" t="inlineStr">
        <is>
          <t>Limited human</t>
        </is>
      </c>
      <c r="CY97" t="inlineStr">
        <is>
          <t>Generally well tolerated.</t>
        </is>
      </c>
      <c r="CZ97" t="inlineStr">
        <is>
          <t>Avoid conflating raw and prepared-form actions</t>
        </is>
      </c>
      <c r="DB97" t="inlineStr">
        <is>
          <t>Pass 28 normalized evidence and safety-related free text</t>
        </is>
      </c>
      <c r="DD97" t="inlineStr">
        <is>
          <t>No standardized dose established; use conservative, product-dependent ranges.</t>
        </is>
      </c>
      <c r="DE97" t="inlineStr">
        <is>
          <t>Common forms include extracts, powders, or teas depending on herb part.</t>
        </is>
      </c>
      <c r="DF97" t="inlineStr">
        <is>
          <t>Quality varies by extraction method, standardization, and contamination risk.</t>
        </is>
      </c>
      <c r="DG97" t="inlineStr">
        <is>
          <t>Moderate to high</t>
        </is>
      </c>
      <c r="DH97" t="inlineStr">
        <is>
          <t>Pass 29 completeness repair</t>
        </is>
      </c>
      <c r="DI97" t="n">
        <v>9</v>
      </c>
      <c r="DJ97" t="inlineStr">
        <is>
          <t>General</t>
        </is>
      </c>
      <c r="DK97" t="inlineStr">
        <is>
          <t>catalpol</t>
        </is>
      </c>
      <c r="DL97" t="inlineStr">
        <is>
          <t>Agarikon; Ajwain; Angelica Root; Artichoke; Ashoka</t>
        </is>
      </c>
      <c r="DM97" t="inlineStr">
        <is>
          <t>Pass 31 relationship intelligence: density, cluster, anchor class, nearest herbs</t>
        </is>
      </c>
      <c r="DN97" t="inlineStr">
        <is>
          <t>Artichoke; Ashoka; Blue Lotus; Boldo; Burdock</t>
        </is>
      </c>
      <c r="DO97" t="inlineStr">
        <is>
          <t>Artichoke (1 shared pathways) | Ashoka (1 shared pathways) | Blue Lotus (1 shared pathways)</t>
        </is>
      </c>
      <c r="DP97" t="inlineStr">
        <is>
          <t>Generalist</t>
        </is>
      </c>
      <c r="DQ97" t="inlineStr">
        <is>
          <t>Pass 32 substitute engine + cluster cleanup</t>
        </is>
      </c>
      <c r="DR97" t="inlineStr">
        <is>
          <t>Ashoka</t>
        </is>
      </c>
      <c r="DS97" t="inlineStr">
        <is>
          <t>Blue Lotus</t>
        </is>
      </c>
      <c r="DT97" t="inlineStr">
        <is>
          <t>same cluster; lower safety burden; similarity-backed</t>
        </is>
      </c>
      <c r="DU97" t="inlineStr">
        <is>
          <t>Not needed</t>
        </is>
      </c>
      <c r="DV97" t="inlineStr">
        <is>
          <t>Pass 33 fallback replacement engine</t>
        </is>
      </c>
      <c r="DW97" t="inlineStr">
        <is>
          <t>Burdock</t>
        </is>
      </c>
      <c r="DX97" t="inlineStr">
        <is>
          <t>Ashoka; Blue Lotus; Burdock; Agarikon; Ajwain; Angelica Root; Damiana; Artichoke</t>
        </is>
      </c>
      <c r="DY97" t="inlineStr">
        <is>
          <t>Pass 35 expanded fallback pool with second-pass candidate exploration</t>
        </is>
      </c>
      <c r="EA97" t="inlineStr">
        <is>
          <t>General</t>
        </is>
      </c>
      <c r="EB97" t="inlineStr">
        <is>
          <t>unclassified</t>
        </is>
      </c>
      <c r="EC97" t="inlineStr">
        <is>
          <t>High</t>
        </is>
      </c>
      <c r="ED97" t="inlineStr">
        <is>
          <t>Pass 40 reinforced weak-category herb data</t>
        </is>
      </c>
      <c r="EG97" t="n">
        <v>6</v>
      </c>
      <c r="EH97" t="n">
        <v>6</v>
      </c>
      <c r="EI97" t="n">
        <v>0</v>
      </c>
      <c r="EJ97" t="n">
        <v>0</v>
      </c>
      <c r="EK97" t="n">
        <v>20</v>
      </c>
      <c r="EL97" t="n">
        <v>13</v>
      </c>
      <c r="EM97" t="inlineStr">
        <is>
          <t>catalpol</t>
        </is>
      </c>
      <c r="EN97" t="inlineStr">
        <is>
          <t>Pass 48 rolled compound scores into herb-level scoring</t>
        </is>
      </c>
    </row>
    <row r="98">
      <c r="A98" s="68" t="inlineStr">
        <is>
          <t>Agarikon</t>
        </is>
      </c>
      <c r="B98" s="68" t="inlineStr">
        <is>
          <t>agarikon</t>
        </is>
      </c>
      <c r="C98" s="68" t="inlineStr">
        <is>
          <t>Fomitopsis officinalis</t>
        </is>
      </c>
      <c r="D98" s="68" t="inlineStr">
        <is>
          <t>fungus</t>
        </is>
      </c>
      <c r="E98" s="68" t="inlineStr">
        <is>
          <t>fruiting body</t>
        </is>
      </c>
      <c r="F98" s="68" t="inlineStr">
        <is>
          <t>fruiting body</t>
        </is>
      </c>
      <c r="G98" s="68" t="inlineStr">
        <is>
          <t>agarikon</t>
        </is>
      </c>
      <c r="H98" s="68" t="inlineStr">
        <is>
          <t>Europe, Asia, North America</t>
        </is>
      </c>
      <c r="I98" s="68" t="inlineStr">
        <is>
          <t>Agarikon is positioned for traditional immune and respiratory support.</t>
        </is>
      </c>
      <c r="J98" s="68" t="inlineStr">
        <is>
          <t>It should be framed modestly because traditional use is much stronger than modern evidence.</t>
        </is>
      </c>
      <c r="K98" s="68" t="inlineStr">
        <is>
          <t>agaric acid; polysaccharides</t>
        </is>
      </c>
      <c r="L98" s="68" t="inlineStr">
        <is>
          <t>agaric acid</t>
        </is>
      </c>
      <c r="M98" s="68" t="inlineStr">
        <is>
          <t>Traditional fungal use and polysaccharides support immune-support positioning.</t>
        </is>
      </c>
      <c r="N98" s="68" t="inlineStr">
        <is>
          <t>traditional immune support; respiratory support</t>
        </is>
      </c>
      <c r="O98" s="68" t="inlineStr">
        <is>
          <t>traditional use + preclinical</t>
        </is>
      </c>
      <c r="P98" s="68" t="inlineStr">
        <is>
          <t>Use cautiously.</t>
        </is>
      </c>
      <c r="Q98" s="68" t="inlineStr">
        <is>
          <t>Avoid exaggerated antimicrobial claims.</t>
        </is>
      </c>
      <c r="R98" s="68" t="n"/>
      <c r="S98" s="68" t="n"/>
      <c r="T98" s="68" t="n"/>
      <c r="U98" s="68" t="n"/>
      <c r="V98" s="68" t="n"/>
      <c r="W98" s="68" t="inlineStr">
        <is>
          <t>High</t>
        </is>
      </c>
      <c r="X98" s="68" t="inlineStr">
        <is>
          <t>validated</t>
        </is>
      </c>
      <c r="Y98" s="68" t="n"/>
      <c r="Z98" s="68" t="inlineStr">
        <is>
          <t>present</t>
        </is>
      </c>
      <c r="AA98" s="68" t="inlineStr">
        <is>
          <t>Internal workbook + enrichment queue</t>
        </is>
      </c>
      <c r="AB98" s="68" t="n"/>
      <c r="AC98" s="68" t="n"/>
      <c r="AD98" s="68" t="n"/>
      <c r="AE98" s="68" t="n"/>
      <c r="AF98" s="68" t="n"/>
      <c r="AG98" s="68" t="n">
        <v>3</v>
      </c>
      <c r="AH98" s="68" t="n">
        <v>1</v>
      </c>
      <c r="AI98" s="68" t="n">
        <v>3</v>
      </c>
      <c r="AJ98" s="68" t="n">
        <v>7</v>
      </c>
      <c r="AK98" s="68" t="inlineStr">
        <is>
          <t>Medium</t>
        </is>
      </c>
      <c r="AL98" s="68" t="n"/>
      <c r="AM98" s="68" t="inlineStr">
        <is>
          <t>Linked primary/secondary</t>
        </is>
      </c>
      <c r="AN98" s="68" t="n">
        <v>0.9</v>
      </c>
      <c r="AO98" s="68" t="inlineStr">
        <is>
          <t>Near ready</t>
        </is>
      </c>
      <c r="AP98" s="68" t="n"/>
      <c r="AQ98" s="68" t="n"/>
      <c r="AR98" s="68" t="inlineStr">
        <is>
          <t>Editorial polish</t>
        </is>
      </c>
      <c r="AS98" s="68" t="inlineStr">
        <is>
          <t>Not started</t>
        </is>
      </c>
      <c r="AT98" s="68" t="n"/>
      <c r="AU98" s="68" t="n"/>
      <c r="AV98" s="68" t="n"/>
      <c r="AW98" s="68" t="n"/>
      <c r="AX98" s="68" t="n"/>
      <c r="AY98" s="68" t="n"/>
      <c r="AZ98" s="68" t="n"/>
      <c r="BA98" s="68" t="n"/>
      <c r="BB98" s="68" t="n"/>
      <c r="BC98" s="68" t="n"/>
      <c r="BD98" s="68" t="n"/>
      <c r="BE98" s="68" t="inlineStr">
        <is>
          <t>2026-04-10</t>
        </is>
      </c>
      <c r="BF98" s="68" t="inlineStr">
        <is>
          <t>Metadata normalized from internal workbook links</t>
        </is>
      </c>
      <c r="BG98" s="68" t="inlineStr">
        <is>
          <t>agarikon|2026-04-10</t>
        </is>
      </c>
      <c r="BH98" s="68" t="inlineStr">
        <is>
          <t>2026-04-10:auto-normalized</t>
        </is>
      </c>
      <c r="BI98" t="inlineStr">
        <is>
          <t>agarikon</t>
        </is>
      </c>
      <c r="BJ98" t="inlineStr">
        <is>
          <t>Agarikon</t>
        </is>
      </c>
      <c r="BK98" t="n">
        <v>1</v>
      </c>
      <c r="BL98" t="n">
        <v>1</v>
      </c>
      <c r="BM98" t="n">
        <v>3</v>
      </c>
      <c r="BN98" t="n">
        <v>7</v>
      </c>
      <c r="BO98" t="n">
        <v>100</v>
      </c>
      <c r="BP98" t="n">
        <v>8</v>
      </c>
      <c r="BQ98" t="n">
        <v>10</v>
      </c>
      <c r="BR98" t="n">
        <v>5</v>
      </c>
      <c r="BS98" t="inlineStr">
        <is>
          <t>Tier 1</t>
        </is>
      </c>
      <c r="BT98" t="n">
        <v>5</v>
      </c>
      <c r="BU98" t="inlineStr">
        <is>
          <t>FALSE</t>
        </is>
      </c>
      <c r="BV98" t="inlineStr">
        <is>
          <t>agarikon</t>
        </is>
      </c>
      <c r="BW98" t="inlineStr">
        <is>
          <t>TRUE</t>
        </is>
      </c>
      <c r="BX98" t="inlineStr">
        <is>
          <t>Pass 10 refreshed scoring from 1 mapped compounds | Pass 13 rescored from 1 mapped compounds</t>
        </is>
      </c>
      <c r="BY98" t="inlineStr">
        <is>
          <t>unclassified</t>
        </is>
      </c>
      <c r="CA98" t="n">
        <v>2</v>
      </c>
      <c r="CB98" t="n">
        <v>0</v>
      </c>
      <c r="CC98" t="n">
        <v>0</v>
      </c>
      <c r="CD98" t="inlineStr">
        <is>
          <t>agaric acid; unclassified</t>
        </is>
      </c>
      <c r="CE98" t="inlineStr">
        <is>
          <t>Pass 13 rescored after herb-name normalization and real top-herb compound sweep</t>
        </is>
      </c>
      <c r="CF98" t="inlineStr">
        <is>
          <t>General</t>
        </is>
      </c>
      <c r="CH98" s="68" t="inlineStr">
        <is>
          <t>Start with low single-herb exposure and increase only if tolerated</t>
        </is>
      </c>
      <c r="CI98" s="68" t="inlineStr">
        <is>
          <t>Product-ideation framing only; not clinical dosing advice.</t>
        </is>
      </c>
      <c r="CJ98" s="68" t="inlineStr">
        <is>
          <t>immune-caution</t>
        </is>
      </c>
      <c r="CK98" s="68" t="str"/>
      <c r="CL98" s="68" t="inlineStr">
        <is>
          <t>Baseline</t>
        </is>
      </c>
      <c r="CM98" s="68" t="inlineStr">
        <is>
          <t>No</t>
        </is>
      </c>
      <c r="CN98" s="68" t="str"/>
      <c r="CO98" s="68" t="inlineStr">
        <is>
          <t>Pass 21 herb-level safety and dose framing</t>
        </is>
      </c>
      <c r="CP98" t="inlineStr">
        <is>
          <t>Baseline</t>
        </is>
      </c>
      <c r="CQ98" t="inlineStr">
        <is>
          <t>No</t>
        </is>
      </c>
      <c r="CS98" t="inlineStr">
        <is>
          <t>Pass 22 refined safety rule severity and reduced broad keyword over-flagging</t>
        </is>
      </c>
      <c r="CT98" t="inlineStr">
        <is>
          <t>General</t>
        </is>
      </c>
      <c r="CU98" t="inlineStr">
        <is>
          <t>respiratory support; traditional immune support</t>
        </is>
      </c>
      <c r="CV98" t="inlineStr">
        <is>
          <t>Preclinical</t>
        </is>
      </c>
      <c r="CW98" t="inlineStr">
        <is>
          <t>Pass 26 normalization: categories, mechanisms, evidence tiers</t>
        </is>
      </c>
      <c r="CX98" t="inlineStr">
        <is>
          <t>Preclinical</t>
        </is>
      </c>
      <c r="CY98" t="inlineStr">
        <is>
          <t>Use cautiously.</t>
        </is>
      </c>
      <c r="CZ98" t="inlineStr">
        <is>
          <t>Avoid exaggerated antimicrobial claims</t>
        </is>
      </c>
      <c r="DB98" t="inlineStr">
        <is>
          <t>Pass 28 normalized evidence and safety-related free text</t>
        </is>
      </c>
      <c r="DD98" t="inlineStr">
        <is>
          <t>No standardized dose established; use conservative, product-dependent ranges.</t>
        </is>
      </c>
      <c r="DE98" t="inlineStr">
        <is>
          <t>Common forms include extracts, powders, or teas depending on herb part.</t>
        </is>
      </c>
      <c r="DF98" t="inlineStr">
        <is>
          <t>Quality varies by extraction method, standardization, and contamination risk.</t>
        </is>
      </c>
      <c r="DG98" t="inlineStr">
        <is>
          <t>Low to moderate</t>
        </is>
      </c>
      <c r="DH98" t="inlineStr">
        <is>
          <t>Pass 29 completeness repair</t>
        </is>
      </c>
      <c r="DI98" t="n">
        <v>9</v>
      </c>
      <c r="DJ98" t="inlineStr">
        <is>
          <t>General</t>
        </is>
      </c>
      <c r="DK98" t="inlineStr">
        <is>
          <t>agaric acid</t>
        </is>
      </c>
      <c r="DL98" t="inlineStr">
        <is>
          <t>Ajwain; Angelica Root; Artichoke; Ashoka; Blue Lotus</t>
        </is>
      </c>
      <c r="DM98" t="inlineStr">
        <is>
          <t>Pass 31 relationship intelligence: density, cluster, anchor class, nearest herbs</t>
        </is>
      </c>
      <c r="DN98" t="inlineStr">
        <is>
          <t>Ajwain; Angelica Root; Artichoke; Ashoka; Blue Lotus</t>
        </is>
      </c>
      <c r="DO98" t="inlineStr">
        <is>
          <t>Ajwain (1 shared pathways) | Angelica Root (1 shared pathways) | Artichoke (1 shared pathways)</t>
        </is>
      </c>
      <c r="DP98" t="inlineStr">
        <is>
          <t>Generalist</t>
        </is>
      </c>
      <c r="DQ98" t="inlineStr">
        <is>
          <t>Pass 32 substitute engine + cluster cleanup</t>
        </is>
      </c>
      <c r="DR98" t="inlineStr">
        <is>
          <t>Ajwain</t>
        </is>
      </c>
      <c r="DS98" t="inlineStr">
        <is>
          <t>Angelica Root</t>
        </is>
      </c>
      <c r="DT98" t="inlineStr">
        <is>
          <t>same cluster; lower safety burden; similarity-backed</t>
        </is>
      </c>
      <c r="DU98" t="inlineStr">
        <is>
          <t>Not needed</t>
        </is>
      </c>
      <c r="DV98" t="inlineStr">
        <is>
          <t>Pass 33 fallback replacement engine</t>
        </is>
      </c>
      <c r="DW98" t="inlineStr">
        <is>
          <t>Ashoka</t>
        </is>
      </c>
      <c r="DX98" t="inlineStr">
        <is>
          <t>Ajwain; Angelica Root; Ashoka; Blue Lotus; Damiana; Artichoke; Rosemary; Sage</t>
        </is>
      </c>
      <c r="DY98" t="inlineStr">
        <is>
          <t>Pass 35 expanded fallback pool with second-pass candidate exploration</t>
        </is>
      </c>
      <c r="EA98" t="inlineStr">
        <is>
          <t>General</t>
        </is>
      </c>
      <c r="EB98" t="inlineStr">
        <is>
          <t>unclassified</t>
        </is>
      </c>
      <c r="EC98" t="inlineStr">
        <is>
          <t>High</t>
        </is>
      </c>
      <c r="ED98" t="inlineStr">
        <is>
          <t>Pass 40 reinforced weak-category herb data</t>
        </is>
      </c>
      <c r="EG98" t="n">
        <v>3</v>
      </c>
      <c r="EH98" t="n">
        <v>3</v>
      </c>
      <c r="EI98" t="n">
        <v>0</v>
      </c>
      <c r="EJ98" t="n">
        <v>0</v>
      </c>
      <c r="EK98" t="n">
        <v>11</v>
      </c>
      <c r="EL98" t="n">
        <v>7</v>
      </c>
      <c r="EM98" t="inlineStr">
        <is>
          <t>agaric acid</t>
        </is>
      </c>
      <c r="EN98" t="inlineStr">
        <is>
          <t>Pass 48 rolled compound scores into herb-level scoring</t>
        </is>
      </c>
    </row>
    <row r="99">
      <c r="A99" s="68" t="inlineStr">
        <is>
          <t>Elecampane</t>
        </is>
      </c>
      <c r="B99" s="68" t="inlineStr">
        <is>
          <t>elecampane</t>
        </is>
      </c>
      <c r="C99" s="68" t="inlineStr">
        <is>
          <t>Inula helenium</t>
        </is>
      </c>
      <c r="D99" s="68" t="inlineStr">
        <is>
          <t>herb</t>
        </is>
      </c>
      <c r="E99" s="68" t="inlineStr">
        <is>
          <t>root</t>
        </is>
      </c>
      <c r="F99" s="68" t="inlineStr">
        <is>
          <t>root</t>
        </is>
      </c>
      <c r="G99" s="68" t="inlineStr">
        <is>
          <t>elecampane</t>
        </is>
      </c>
      <c r="H99" s="68" t="inlineStr">
        <is>
          <t>Europe and Western Asia</t>
        </is>
      </c>
      <c r="I99" s="68" t="inlineStr">
        <is>
          <t>Elecampane is positioned for traditional respiratory and digestive support.</t>
        </is>
      </c>
      <c r="J99" s="68" t="inlineStr">
        <is>
          <t>It is best framed as a bitter aromatic root with traditional bronchial relevance.</t>
        </is>
      </c>
      <c r="K99" s="68" t="inlineStr">
        <is>
          <t>alantolactone; inulin</t>
        </is>
      </c>
      <c r="L99" s="68" t="inlineStr">
        <is>
          <t>alantolactone</t>
        </is>
      </c>
      <c r="M99" s="68" t="inlineStr">
        <is>
          <t>Sesquiterpene lactones support respiratory and bitter-digestive positioning.</t>
        </is>
      </c>
      <c r="N99" s="68" t="inlineStr">
        <is>
          <t>traditional respiratory support; digestive support</t>
        </is>
      </c>
      <c r="O99" s="68" t="inlineStr">
        <is>
          <t>traditional use + limited human</t>
        </is>
      </c>
      <c r="P99" s="68" t="inlineStr">
        <is>
          <t>Use cautiously in concentrated forms.</t>
        </is>
      </c>
      <c r="Q99" s="68" t="inlineStr">
        <is>
          <t>Use caution with ragweed-family sensitivity.</t>
        </is>
      </c>
      <c r="R99" s="68" t="n"/>
      <c r="S99" s="68" t="n"/>
      <c r="T99" s="68" t="n"/>
      <c r="U99" s="68" t="n"/>
      <c r="V99" s="68" t="n"/>
      <c r="W99" s="68" t="inlineStr">
        <is>
          <t>High</t>
        </is>
      </c>
      <c r="X99" s="68" t="inlineStr">
        <is>
          <t>validated</t>
        </is>
      </c>
      <c r="Y99" s="68" t="n"/>
      <c r="Z99" s="68" t="inlineStr">
        <is>
          <t>present</t>
        </is>
      </c>
      <c r="AA99" s="68" t="inlineStr">
        <is>
          <t>Internal workbook + enrichment queue</t>
        </is>
      </c>
      <c r="AB99" s="68" t="n"/>
      <c r="AC99" s="68" t="n"/>
      <c r="AD99" s="68" t="n"/>
      <c r="AE99" s="68" t="n"/>
      <c r="AF99" s="68" t="n"/>
      <c r="AG99" s="68" t="n">
        <v>3</v>
      </c>
      <c r="AH99" s="68" t="n">
        <v>1</v>
      </c>
      <c r="AI99" s="68" t="n">
        <v>3</v>
      </c>
      <c r="AJ99" s="68" t="n">
        <v>7</v>
      </c>
      <c r="AK99" s="68" t="inlineStr">
        <is>
          <t>Medium</t>
        </is>
      </c>
      <c r="AL99" s="68" t="n"/>
      <c r="AM99" s="68" t="inlineStr">
        <is>
          <t>Linked primary/secondary</t>
        </is>
      </c>
      <c r="AN99" s="68" t="n">
        <v>0.9</v>
      </c>
      <c r="AO99" s="68" t="inlineStr">
        <is>
          <t>Near ready</t>
        </is>
      </c>
      <c r="AP99" s="68" t="n"/>
      <c r="AQ99" s="68" t="n"/>
      <c r="AR99" s="68" t="inlineStr">
        <is>
          <t>Editorial polish</t>
        </is>
      </c>
      <c r="AS99" s="68" t="inlineStr">
        <is>
          <t>Not started</t>
        </is>
      </c>
      <c r="AT99" s="68" t="n"/>
      <c r="AU99" s="68" t="n"/>
      <c r="AV99" s="68" t="n"/>
      <c r="AW99" s="68" t="n"/>
      <c r="AX99" s="68" t="n"/>
      <c r="AY99" s="68" t="n"/>
      <c r="AZ99" s="68" t="n"/>
      <c r="BA99" s="68" t="n"/>
      <c r="BB99" s="68" t="n"/>
      <c r="BC99" s="68" t="n"/>
      <c r="BD99" s="68" t="n"/>
      <c r="BE99" s="68" t="inlineStr">
        <is>
          <t>2026-04-10</t>
        </is>
      </c>
      <c r="BF99" s="68" t="inlineStr">
        <is>
          <t>Metadata normalized from internal workbook links</t>
        </is>
      </c>
      <c r="BG99" s="68" t="inlineStr">
        <is>
          <t>elecampane|2026-04-10</t>
        </is>
      </c>
      <c r="BH99" s="68" t="inlineStr">
        <is>
          <t>2026-04-10:auto-normalized</t>
        </is>
      </c>
      <c r="BI99" t="inlineStr">
        <is>
          <t>elecampane</t>
        </is>
      </c>
      <c r="BJ99" t="inlineStr">
        <is>
          <t>Elecampane</t>
        </is>
      </c>
      <c r="BK99" t="n">
        <v>1</v>
      </c>
      <c r="BL99" t="n">
        <v>1</v>
      </c>
      <c r="BM99" t="n">
        <v>3</v>
      </c>
      <c r="BN99" t="n">
        <v>7</v>
      </c>
      <c r="BO99" t="n">
        <v>100</v>
      </c>
      <c r="BP99" t="n">
        <v>8</v>
      </c>
      <c r="BQ99" t="n">
        <v>10</v>
      </c>
      <c r="BR99" t="n">
        <v>5</v>
      </c>
      <c r="BS99" t="inlineStr">
        <is>
          <t>Tier 1</t>
        </is>
      </c>
      <c r="BT99" t="n">
        <v>5</v>
      </c>
      <c r="BU99" t="inlineStr">
        <is>
          <t>FALSE</t>
        </is>
      </c>
      <c r="BV99" t="inlineStr">
        <is>
          <t>elecampane</t>
        </is>
      </c>
      <c r="BW99" t="inlineStr">
        <is>
          <t>TRUE</t>
        </is>
      </c>
      <c r="BX99" t="inlineStr">
        <is>
          <t>Pass 10 refreshed scoring from 1 mapped compounds | Pass 13 rescored from 1 mapped compounds</t>
        </is>
      </c>
      <c r="BY99" t="inlineStr">
        <is>
          <t>unclassified</t>
        </is>
      </c>
      <c r="CA99" t="n">
        <v>2</v>
      </c>
      <c r="CB99" t="n">
        <v>0</v>
      </c>
      <c r="CC99" t="n">
        <v>0</v>
      </c>
      <c r="CD99" t="inlineStr">
        <is>
          <t>alantolactone; unclassified</t>
        </is>
      </c>
      <c r="CE99" t="inlineStr">
        <is>
          <t>Pass 13 rescored after herb-name normalization and real top-herb compound sweep</t>
        </is>
      </c>
      <c r="CF99" t="inlineStr">
        <is>
          <t>General</t>
        </is>
      </c>
      <c r="CH99" s="68" t="inlineStr">
        <is>
          <t>Start with low single-herb exposure and increase only if tolerated</t>
        </is>
      </c>
      <c r="CI99" s="68" t="inlineStr">
        <is>
          <t>Product-ideation framing only; not clinical dosing advice.</t>
        </is>
      </c>
      <c r="CJ99" s="68" t="str"/>
      <c r="CK99" s="68" t="str"/>
      <c r="CL99" s="68" t="inlineStr">
        <is>
          <t>Moderate</t>
        </is>
      </c>
      <c r="CM99" s="68" t="inlineStr">
        <is>
          <t>No</t>
        </is>
      </c>
      <c r="CN99" s="68" t="str"/>
      <c r="CO99" s="68" t="inlineStr">
        <is>
          <t>Pass 21 herb-level safety and dose framing</t>
        </is>
      </c>
      <c r="CP99" t="inlineStr">
        <is>
          <t>Baseline</t>
        </is>
      </c>
      <c r="CQ99" t="inlineStr">
        <is>
          <t>No</t>
        </is>
      </c>
      <c r="CS99" t="inlineStr">
        <is>
          <t>Pass 22 refined safety rule severity and reduced broad keyword over-flagging</t>
        </is>
      </c>
      <c r="CT99" t="inlineStr">
        <is>
          <t>General</t>
        </is>
      </c>
      <c r="CU99" t="inlineStr">
        <is>
          <t>digestive support; traditional respiratory support</t>
        </is>
      </c>
      <c r="CV99" t="inlineStr">
        <is>
          <t>Human</t>
        </is>
      </c>
      <c r="CW99" t="inlineStr">
        <is>
          <t>Pass 26 normalization: categories, mechanisms, evidence tiers</t>
        </is>
      </c>
      <c r="CX99" t="inlineStr">
        <is>
          <t>Limited human</t>
        </is>
      </c>
      <c r="CY99" t="inlineStr">
        <is>
          <t>Use cautiously in concentrated forms.</t>
        </is>
      </c>
      <c r="CZ99" t="inlineStr">
        <is>
          <t>Use caution with ragweed-family sensitivity</t>
        </is>
      </c>
      <c r="DB99" t="inlineStr">
        <is>
          <t>Pass 28 normalized evidence and safety-related free text</t>
        </is>
      </c>
      <c r="DD99" t="inlineStr">
        <is>
          <t>No standardized dose established; use conservative, product-dependent ranges.</t>
        </is>
      </c>
      <c r="DE99" t="inlineStr">
        <is>
          <t>Common forms include extracts, powders, or teas depending on herb part.</t>
        </is>
      </c>
      <c r="DF99" t="inlineStr">
        <is>
          <t>Quality varies by extraction method, standardization, and contamination risk.</t>
        </is>
      </c>
      <c r="DG99" t="inlineStr">
        <is>
          <t>Moderate to high</t>
        </is>
      </c>
      <c r="DH99" t="inlineStr">
        <is>
          <t>Pass 29 completeness repair</t>
        </is>
      </c>
      <c r="DI99" t="n">
        <v>9</v>
      </c>
      <c r="DJ99" t="inlineStr">
        <is>
          <t>General</t>
        </is>
      </c>
      <c r="DK99" t="inlineStr">
        <is>
          <t>alantolactone</t>
        </is>
      </c>
      <c r="DL99" t="inlineStr">
        <is>
          <t>Agarikon; Ajwain; Angelica Root; Artichoke; Ashoka</t>
        </is>
      </c>
      <c r="DM99" t="inlineStr">
        <is>
          <t>Pass 31 relationship intelligence: density, cluster, anchor class, nearest herbs</t>
        </is>
      </c>
      <c r="DN99" t="inlineStr">
        <is>
          <t>Agarikon; Ajwain; Angelica Root; Artichoke; Ashoka</t>
        </is>
      </c>
      <c r="DO99" t="inlineStr">
        <is>
          <t>Agarikon (1 shared pathways) | Ajwain (1 shared pathways) | Angelica Root (1 shared pathways)</t>
        </is>
      </c>
      <c r="DP99" t="inlineStr">
        <is>
          <t>Generalist</t>
        </is>
      </c>
      <c r="DQ99" t="inlineStr">
        <is>
          <t>Pass 32 substitute engine + cluster cleanup</t>
        </is>
      </c>
      <c r="DR99" t="inlineStr">
        <is>
          <t>Agarikon</t>
        </is>
      </c>
      <c r="DS99" t="inlineStr">
        <is>
          <t>Ajwain</t>
        </is>
      </c>
      <c r="DT99" t="inlineStr">
        <is>
          <t>same cluster; lower safety burden; similarity-backed</t>
        </is>
      </c>
      <c r="DU99" t="inlineStr">
        <is>
          <t>Not needed</t>
        </is>
      </c>
      <c r="DV99" t="inlineStr">
        <is>
          <t>Pass 33 fallback replacement engine</t>
        </is>
      </c>
      <c r="DW99" t="inlineStr">
        <is>
          <t>Angelica Root</t>
        </is>
      </c>
      <c r="DX99" t="inlineStr">
        <is>
          <t>Agarikon; Ajwain; Angelica Root; Ashoka; Blue Lotus; Artichoke; Rosemary; Sage</t>
        </is>
      </c>
      <c r="DY99" t="inlineStr">
        <is>
          <t>Pass 35 expanded fallback pool with second-pass candidate exploration</t>
        </is>
      </c>
      <c r="EA99" t="inlineStr">
        <is>
          <t>General</t>
        </is>
      </c>
      <c r="EB99" t="inlineStr">
        <is>
          <t>unclassified</t>
        </is>
      </c>
      <c r="EC99" t="inlineStr">
        <is>
          <t>High</t>
        </is>
      </c>
      <c r="ED99" t="inlineStr">
        <is>
          <t>Pass 40 reinforced weak-category herb data</t>
        </is>
      </c>
      <c r="EG99" t="n">
        <v>3</v>
      </c>
      <c r="EH99" t="n">
        <v>3</v>
      </c>
      <c r="EI99" t="n">
        <v>0</v>
      </c>
      <c r="EJ99" t="n">
        <v>0</v>
      </c>
      <c r="EK99" t="n">
        <v>11</v>
      </c>
      <c r="EL99" t="n">
        <v>7</v>
      </c>
      <c r="EM99" t="inlineStr">
        <is>
          <t>alantolactone</t>
        </is>
      </c>
      <c r="EN99" t="inlineStr">
        <is>
          <t>Pass 48 rolled compound scores into herb-level scoring</t>
        </is>
      </c>
    </row>
    <row r="100">
      <c r="A100" s="68" t="inlineStr">
        <is>
          <t>Angelica Root</t>
        </is>
      </c>
      <c r="B100" s="68" t="inlineStr">
        <is>
          <t>angelica-root</t>
        </is>
      </c>
      <c r="C100" s="68" t="inlineStr">
        <is>
          <t>Angelica archangelica</t>
        </is>
      </c>
      <c r="D100" s="68" t="inlineStr">
        <is>
          <t>herb</t>
        </is>
      </c>
      <c r="E100" s="68" t="inlineStr">
        <is>
          <t>root</t>
        </is>
      </c>
      <c r="F100" s="68" t="inlineStr">
        <is>
          <t>root</t>
        </is>
      </c>
      <c r="G100" s="68" t="inlineStr">
        <is>
          <t>angelica root</t>
        </is>
      </c>
      <c r="H100" s="68" t="inlineStr">
        <is>
          <t>Northern Europe</t>
        </is>
      </c>
      <c r="I100" s="68" t="inlineStr">
        <is>
          <t>Angelica root is positioned for aromatic digestive and traditional cycle-related support.</t>
        </is>
      </c>
      <c r="J100" s="68" t="inlineStr">
        <is>
          <t>It should be framed carefully because furanocoumarin context matters for some use cases.</t>
        </is>
      </c>
      <c r="K100" s="68" t="inlineStr">
        <is>
          <t>angelicin; essential oils</t>
        </is>
      </c>
      <c r="L100" s="68" t="inlineStr">
        <is>
          <t>angelicin</t>
        </is>
      </c>
      <c r="M100" s="68" t="inlineStr">
        <is>
          <t>Aromatic compounds support digestive and traditional positioning.</t>
        </is>
      </c>
      <c r="N100" s="68" t="inlineStr">
        <is>
          <t>digestive support; traditional cycle support</t>
        </is>
      </c>
      <c r="O100" s="68" t="inlineStr">
        <is>
          <t>traditional use + limited human</t>
        </is>
      </c>
      <c r="P100" s="68" t="inlineStr">
        <is>
          <t>Use cautiously.</t>
        </is>
      </c>
      <c r="Q100" s="68" t="inlineStr">
        <is>
          <t>Use caution with photosensitivity-related contexts.</t>
        </is>
      </c>
      <c r="R100" s="68" t="n"/>
      <c r="S100" s="68" t="n"/>
      <c r="T100" s="68" t="n"/>
      <c r="U100" s="68" t="n"/>
      <c r="V100" s="68" t="n"/>
      <c r="W100" s="68" t="inlineStr">
        <is>
          <t>High</t>
        </is>
      </c>
      <c r="X100" s="68" t="inlineStr">
        <is>
          <t>validated</t>
        </is>
      </c>
      <c r="Y100" s="68" t="n"/>
      <c r="Z100" s="68" t="inlineStr">
        <is>
          <t>present</t>
        </is>
      </c>
      <c r="AA100" s="68" t="inlineStr">
        <is>
          <t>Internal workbook + enrichment queue</t>
        </is>
      </c>
      <c r="AB100" s="68" t="n"/>
      <c r="AC100" s="68" t="n"/>
      <c r="AD100" s="68" t="n"/>
      <c r="AE100" s="68" t="n"/>
      <c r="AF100" s="68" t="n"/>
      <c r="AG100" s="68" t="n">
        <v>3</v>
      </c>
      <c r="AH100" s="68" t="n">
        <v>1</v>
      </c>
      <c r="AI100" s="68" t="n">
        <v>3</v>
      </c>
      <c r="AJ100" s="68" t="n">
        <v>7</v>
      </c>
      <c r="AK100" s="68" t="inlineStr">
        <is>
          <t>Medium</t>
        </is>
      </c>
      <c r="AL100" s="68" t="n"/>
      <c r="AM100" s="68" t="inlineStr">
        <is>
          <t>Linked primary/secondary</t>
        </is>
      </c>
      <c r="AN100" s="68" t="n">
        <v>0.9</v>
      </c>
      <c r="AO100" s="68" t="inlineStr">
        <is>
          <t>Near ready</t>
        </is>
      </c>
      <c r="AP100" s="68" t="n"/>
      <c r="AQ100" s="68" t="n"/>
      <c r="AR100" s="68" t="inlineStr">
        <is>
          <t>Editorial polish</t>
        </is>
      </c>
      <c r="AS100" s="68" t="inlineStr">
        <is>
          <t>Not started</t>
        </is>
      </c>
      <c r="AT100" s="68" t="n"/>
      <c r="AU100" s="68" t="n"/>
      <c r="AV100" s="68" t="n"/>
      <c r="AW100" s="68" t="n"/>
      <c r="AX100" s="68" t="n"/>
      <c r="AY100" s="68" t="n"/>
      <c r="AZ100" s="68" t="n"/>
      <c r="BA100" s="68" t="n"/>
      <c r="BB100" s="68" t="n"/>
      <c r="BC100" s="68" t="n"/>
      <c r="BD100" s="68" t="n"/>
      <c r="BE100" s="68" t="inlineStr">
        <is>
          <t>2026-04-10</t>
        </is>
      </c>
      <c r="BF100" s="68" t="inlineStr">
        <is>
          <t>Metadata normalized from internal workbook links</t>
        </is>
      </c>
      <c r="BG100" s="68" t="inlineStr">
        <is>
          <t>angelica-root|2026-04-10</t>
        </is>
      </c>
      <c r="BH100" s="68" t="inlineStr">
        <is>
          <t>2026-04-10:auto-normalized</t>
        </is>
      </c>
      <c r="BI100" t="inlineStr">
        <is>
          <t>angelica-root</t>
        </is>
      </c>
      <c r="BJ100" t="inlineStr">
        <is>
          <t>Angelica Root</t>
        </is>
      </c>
      <c r="BK100" t="n">
        <v>1</v>
      </c>
      <c r="BL100" t="n">
        <v>1</v>
      </c>
      <c r="BM100" t="n">
        <v>3</v>
      </c>
      <c r="BN100" t="n">
        <v>7</v>
      </c>
      <c r="BO100" t="n">
        <v>100</v>
      </c>
      <c r="BP100" t="n">
        <v>8</v>
      </c>
      <c r="BQ100" t="n">
        <v>10</v>
      </c>
      <c r="BR100" t="n">
        <v>5</v>
      </c>
      <c r="BS100" t="inlineStr">
        <is>
          <t>Tier 1</t>
        </is>
      </c>
      <c r="BT100" t="n">
        <v>5</v>
      </c>
      <c r="BU100" t="inlineStr">
        <is>
          <t>FALSE</t>
        </is>
      </c>
      <c r="BV100" t="inlineStr">
        <is>
          <t>angelica-root</t>
        </is>
      </c>
      <c r="BW100" t="inlineStr">
        <is>
          <t>TRUE</t>
        </is>
      </c>
      <c r="BX100" t="inlineStr">
        <is>
          <t>Pass 10 refreshed scoring from 1 mapped compounds | Pass 13 rescored from 1 mapped compounds</t>
        </is>
      </c>
      <c r="BY100" t="inlineStr">
        <is>
          <t>unclassified</t>
        </is>
      </c>
      <c r="CA100" t="n">
        <v>2</v>
      </c>
      <c r="CB100" t="n">
        <v>0</v>
      </c>
      <c r="CC100" t="n">
        <v>0</v>
      </c>
      <c r="CD100" t="inlineStr">
        <is>
          <t>angelicin; unclassified</t>
        </is>
      </c>
      <c r="CE100" t="inlineStr">
        <is>
          <t>Pass 13 rescored after herb-name normalization and real top-herb compound sweep</t>
        </is>
      </c>
      <c r="CF100" t="inlineStr">
        <is>
          <t>General</t>
        </is>
      </c>
      <c r="CH100" s="68" t="inlineStr">
        <is>
          <t>Start with low single-herb exposure and increase only if tolerated</t>
        </is>
      </c>
      <c r="CI100" s="68" t="inlineStr">
        <is>
          <t>Product-ideation framing only; not clinical dosing advice.</t>
        </is>
      </c>
      <c r="CJ100" s="68" t="str"/>
      <c r="CK100" s="68" t="str"/>
      <c r="CL100" s="68" t="inlineStr">
        <is>
          <t>Moderate</t>
        </is>
      </c>
      <c r="CM100" s="68" t="inlineStr">
        <is>
          <t>No</t>
        </is>
      </c>
      <c r="CN100" s="68" t="str"/>
      <c r="CO100" s="68" t="inlineStr">
        <is>
          <t>Pass 21 herb-level safety and dose framing</t>
        </is>
      </c>
      <c r="CP100" t="inlineStr">
        <is>
          <t>Baseline</t>
        </is>
      </c>
      <c r="CQ100" t="inlineStr">
        <is>
          <t>No</t>
        </is>
      </c>
      <c r="CS100" t="inlineStr">
        <is>
          <t>Pass 22 refined safety rule severity and reduced broad keyword over-flagging</t>
        </is>
      </c>
      <c r="CT100" t="inlineStr">
        <is>
          <t>General</t>
        </is>
      </c>
      <c r="CU100" t="inlineStr">
        <is>
          <t>digestive support; traditional cycle support</t>
        </is>
      </c>
      <c r="CV100" t="inlineStr">
        <is>
          <t>Human</t>
        </is>
      </c>
      <c r="CW100" t="inlineStr">
        <is>
          <t>Pass 26 normalization: categories, mechanisms, evidence tiers</t>
        </is>
      </c>
      <c r="CX100" t="inlineStr">
        <is>
          <t>Limited human</t>
        </is>
      </c>
      <c r="CY100" t="inlineStr">
        <is>
          <t>Use cautiously.</t>
        </is>
      </c>
      <c r="CZ100" t="inlineStr">
        <is>
          <t>Use caution with photosensitivity-related contexts</t>
        </is>
      </c>
      <c r="DB100" t="inlineStr">
        <is>
          <t>Pass 28 normalized evidence and safety-related free text</t>
        </is>
      </c>
      <c r="DD100" t="inlineStr">
        <is>
          <t>No standardized dose established; use conservative, product-dependent ranges.</t>
        </is>
      </c>
      <c r="DE100" t="inlineStr">
        <is>
          <t>Common forms include extracts, powders, or teas depending on herb part.</t>
        </is>
      </c>
      <c r="DF100" t="inlineStr">
        <is>
          <t>Quality varies by extraction method, standardization, and contamination risk.</t>
        </is>
      </c>
      <c r="DG100" t="inlineStr">
        <is>
          <t>Moderate to high</t>
        </is>
      </c>
      <c r="DH100" t="inlineStr">
        <is>
          <t>Pass 29 completeness repair</t>
        </is>
      </c>
      <c r="DI100" t="n">
        <v>9</v>
      </c>
      <c r="DJ100" t="inlineStr">
        <is>
          <t>General</t>
        </is>
      </c>
      <c r="DK100" t="inlineStr">
        <is>
          <t>angelicin</t>
        </is>
      </c>
      <c r="DL100" t="inlineStr">
        <is>
          <t>Agarikon; Ajwain; Artichoke; Ashoka; Blue Lotus</t>
        </is>
      </c>
      <c r="DM100" t="inlineStr">
        <is>
          <t>Pass 31 relationship intelligence: density, cluster, anchor class, nearest herbs</t>
        </is>
      </c>
      <c r="DN100" t="inlineStr">
        <is>
          <t>Agarikon; Ajwain; Artichoke; Ashoka; Blue Lotus</t>
        </is>
      </c>
      <c r="DO100" t="inlineStr">
        <is>
          <t>Agarikon (1 shared pathways) | Ajwain (1 shared pathways) | Artichoke (1 shared pathways)</t>
        </is>
      </c>
      <c r="DP100" t="inlineStr">
        <is>
          <t>Generalist</t>
        </is>
      </c>
      <c r="DQ100" t="inlineStr">
        <is>
          <t>Pass 32 substitute engine + cluster cleanup</t>
        </is>
      </c>
      <c r="DR100" t="inlineStr">
        <is>
          <t>Agarikon</t>
        </is>
      </c>
      <c r="DS100" t="inlineStr">
        <is>
          <t>Ajwain</t>
        </is>
      </c>
      <c r="DT100" t="inlineStr">
        <is>
          <t>same cluster; lower safety burden; similarity-backed</t>
        </is>
      </c>
      <c r="DU100" t="inlineStr">
        <is>
          <t>Not needed</t>
        </is>
      </c>
      <c r="DV100" t="inlineStr">
        <is>
          <t>Pass 33 fallback replacement engine</t>
        </is>
      </c>
      <c r="DW100" t="inlineStr">
        <is>
          <t>Ashoka</t>
        </is>
      </c>
      <c r="DX100" t="inlineStr">
        <is>
          <t>Agarikon; Ajwain; Ashoka; Blue Lotus; Damiana; Artichoke; Rosemary; Sage</t>
        </is>
      </c>
      <c r="DY100" t="inlineStr">
        <is>
          <t>Pass 35 expanded fallback pool with second-pass candidate exploration</t>
        </is>
      </c>
      <c r="EA100" t="inlineStr">
        <is>
          <t>General</t>
        </is>
      </c>
      <c r="EB100" t="inlineStr">
        <is>
          <t>unclassified</t>
        </is>
      </c>
      <c r="EC100" t="inlineStr">
        <is>
          <t>High</t>
        </is>
      </c>
      <c r="ED100" t="inlineStr">
        <is>
          <t>Pass 40 reinforced weak-category herb data</t>
        </is>
      </c>
      <c r="EG100" t="n">
        <v>3</v>
      </c>
      <c r="EH100" t="n">
        <v>3</v>
      </c>
      <c r="EI100" t="n">
        <v>0</v>
      </c>
      <c r="EJ100" t="n">
        <v>0</v>
      </c>
      <c r="EK100" t="n">
        <v>11</v>
      </c>
      <c r="EL100" t="n">
        <v>7</v>
      </c>
      <c r="EM100" t="inlineStr">
        <is>
          <t>angelicin</t>
        </is>
      </c>
      <c r="EN100" t="inlineStr">
        <is>
          <t>Pass 48 rolled compound scores into herb-level scoring</t>
        </is>
      </c>
    </row>
    <row r="101">
      <c r="A101" s="68" t="inlineStr">
        <is>
          <t>Galangal</t>
        </is>
      </c>
      <c r="B101" s="68" t="inlineStr">
        <is>
          <t>galangal</t>
        </is>
      </c>
      <c r="C101" s="68" t="inlineStr">
        <is>
          <t>Alpinia galanga</t>
        </is>
      </c>
      <c r="D101" s="68" t="inlineStr">
        <is>
          <t>herb</t>
        </is>
      </c>
      <c r="E101" s="68" t="inlineStr">
        <is>
          <t>rhizome</t>
        </is>
      </c>
      <c r="F101" s="68" t="inlineStr">
        <is>
          <t>rhizome</t>
        </is>
      </c>
      <c r="G101" s="68" t="inlineStr">
        <is>
          <t>galangal</t>
        </is>
      </c>
      <c r="H101" s="68" t="inlineStr">
        <is>
          <t>Southeast Asia</t>
        </is>
      </c>
      <c r="I101" s="68" t="inlineStr">
        <is>
          <t>Galangal is positioned for digestive and aromatic support.</t>
        </is>
      </c>
      <c r="J101" s="68" t="inlineStr">
        <is>
          <t>It is best framed as a culinary-medicinal rhizome with traditional GI relevance.</t>
        </is>
      </c>
      <c r="K101" s="68" t="inlineStr">
        <is>
          <t>galangin; volatile oils</t>
        </is>
      </c>
      <c r="L101" s="68" t="inlineStr">
        <is>
          <t>galangin</t>
        </is>
      </c>
      <c r="M101" s="68" t="inlineStr">
        <is>
          <t>Flavonoids and volatiles support digestive and aromatic positioning.</t>
        </is>
      </c>
      <c r="N101" s="68" t="inlineStr">
        <is>
          <t>digestive support; aromatic support</t>
        </is>
      </c>
      <c r="O101" s="68" t="inlineStr">
        <is>
          <t>traditional use + limited human</t>
        </is>
      </c>
      <c r="P101" s="68" t="inlineStr">
        <is>
          <t>Generally well tolerated.</t>
        </is>
      </c>
      <c r="Q101" s="68" t="inlineStr">
        <is>
          <t>Avoid overextended antimicrobial claims.</t>
        </is>
      </c>
      <c r="R101" s="68" t="n"/>
      <c r="S101" s="68" t="n"/>
      <c r="T101" s="68" t="n"/>
      <c r="U101" s="68" t="n"/>
      <c r="V101" s="68" t="n"/>
      <c r="W101" s="68" t="inlineStr">
        <is>
          <t>High</t>
        </is>
      </c>
      <c r="X101" s="68" t="inlineStr">
        <is>
          <t>validated</t>
        </is>
      </c>
      <c r="Y101" s="68" t="n"/>
      <c r="Z101" s="68" t="inlineStr">
        <is>
          <t>present</t>
        </is>
      </c>
      <c r="AA101" s="68" t="inlineStr">
        <is>
          <t>Internal workbook + enrichment queue</t>
        </is>
      </c>
      <c r="AB101" s="68" t="n"/>
      <c r="AC101" s="68" t="n"/>
      <c r="AD101" s="68" t="n"/>
      <c r="AE101" s="68" t="n"/>
      <c r="AF101" s="68" t="n"/>
      <c r="AG101" s="68" t="n">
        <v>3</v>
      </c>
      <c r="AH101" s="68" t="n">
        <v>1</v>
      </c>
      <c r="AI101" s="68" t="n">
        <v>3</v>
      </c>
      <c r="AJ101" s="68" t="n">
        <v>7</v>
      </c>
      <c r="AK101" s="68" t="inlineStr">
        <is>
          <t>Medium</t>
        </is>
      </c>
      <c r="AL101" s="68" t="n"/>
      <c r="AM101" s="68" t="inlineStr">
        <is>
          <t>Linked primary/secondary</t>
        </is>
      </c>
      <c r="AN101" s="68" t="n">
        <v>0.9</v>
      </c>
      <c r="AO101" s="68" t="inlineStr">
        <is>
          <t>Near ready</t>
        </is>
      </c>
      <c r="AP101" s="68" t="n"/>
      <c r="AQ101" s="68" t="n"/>
      <c r="AR101" s="68" t="inlineStr">
        <is>
          <t>Editorial polish</t>
        </is>
      </c>
      <c r="AS101" s="68" t="inlineStr">
        <is>
          <t>Not started</t>
        </is>
      </c>
      <c r="AT101" s="68" t="n"/>
      <c r="AU101" s="68" t="n"/>
      <c r="AV101" s="68" t="n"/>
      <c r="AW101" s="68" t="n"/>
      <c r="AX101" s="68" t="n"/>
      <c r="AY101" s="68" t="n"/>
      <c r="AZ101" s="68" t="n"/>
      <c r="BA101" s="68" t="n"/>
      <c r="BB101" s="68" t="n"/>
      <c r="BC101" s="68" t="n"/>
      <c r="BD101" s="68" t="n"/>
      <c r="BE101" s="68" t="inlineStr">
        <is>
          <t>2026-04-10</t>
        </is>
      </c>
      <c r="BF101" s="68" t="inlineStr">
        <is>
          <t>Metadata normalized from internal workbook links</t>
        </is>
      </c>
      <c r="BG101" s="68" t="inlineStr">
        <is>
          <t>galangal|2026-04-10</t>
        </is>
      </c>
      <c r="BH101" s="68" t="inlineStr">
        <is>
          <t>2026-04-10:auto-normalized</t>
        </is>
      </c>
      <c r="BI101" t="inlineStr">
        <is>
          <t>galangal</t>
        </is>
      </c>
      <c r="BJ101" t="inlineStr">
        <is>
          <t>Galangal</t>
        </is>
      </c>
      <c r="BK101" t="n">
        <v>1</v>
      </c>
      <c r="BL101" t="n">
        <v>1</v>
      </c>
      <c r="BM101" t="n">
        <v>3</v>
      </c>
      <c r="BN101" t="n">
        <v>7</v>
      </c>
      <c r="BO101" t="n">
        <v>100</v>
      </c>
      <c r="BP101" t="n">
        <v>8</v>
      </c>
      <c r="BQ101" t="n">
        <v>10</v>
      </c>
      <c r="BR101" t="n">
        <v>5</v>
      </c>
      <c r="BS101" t="inlineStr">
        <is>
          <t>Tier 1</t>
        </is>
      </c>
      <c r="BT101" t="n">
        <v>5</v>
      </c>
      <c r="BU101" t="inlineStr">
        <is>
          <t>FALSE</t>
        </is>
      </c>
      <c r="BV101" t="inlineStr">
        <is>
          <t>galangal</t>
        </is>
      </c>
      <c r="BW101" t="inlineStr">
        <is>
          <t>TRUE</t>
        </is>
      </c>
      <c r="BX101" t="inlineStr">
        <is>
          <t>Pass 10 refreshed scoring from 1 mapped compounds | Pass 13 rescored from 1 mapped compounds</t>
        </is>
      </c>
      <c r="BY101" t="inlineStr">
        <is>
          <t>unclassified</t>
        </is>
      </c>
      <c r="CA101" t="n">
        <v>2</v>
      </c>
      <c r="CB101" t="n">
        <v>0</v>
      </c>
      <c r="CC101" t="n">
        <v>0</v>
      </c>
      <c r="CD101" t="inlineStr">
        <is>
          <t>galangin; unclassified</t>
        </is>
      </c>
      <c r="CE101" t="inlineStr">
        <is>
          <t>Pass 13 rescored after herb-name normalization and real top-herb compound sweep</t>
        </is>
      </c>
      <c r="CF101" t="inlineStr">
        <is>
          <t>General</t>
        </is>
      </c>
      <c r="CH101" s="68" t="inlineStr">
        <is>
          <t>Start with low single-herb exposure and increase only if tolerated</t>
        </is>
      </c>
      <c r="CI101" s="68" t="inlineStr">
        <is>
          <t>Product-ideation framing only; not clinical dosing advice.</t>
        </is>
      </c>
      <c r="CJ101" s="68" t="str"/>
      <c r="CK101" s="68" t="str"/>
      <c r="CL101" s="68" t="inlineStr">
        <is>
          <t>Moderate</t>
        </is>
      </c>
      <c r="CM101" s="68" t="inlineStr">
        <is>
          <t>No</t>
        </is>
      </c>
      <c r="CN101" s="68" t="str"/>
      <c r="CO101" s="68" t="inlineStr">
        <is>
          <t>Pass 21 herb-level safety and dose framing</t>
        </is>
      </c>
      <c r="CP101" t="inlineStr">
        <is>
          <t>Baseline</t>
        </is>
      </c>
      <c r="CQ101" t="inlineStr">
        <is>
          <t>No</t>
        </is>
      </c>
      <c r="CS101" t="inlineStr">
        <is>
          <t>Pass 22 refined safety rule severity and reduced broad keyword over-flagging</t>
        </is>
      </c>
      <c r="CT101" t="inlineStr">
        <is>
          <t>General</t>
        </is>
      </c>
      <c r="CU101" t="inlineStr">
        <is>
          <t>aromatic support; digestive support</t>
        </is>
      </c>
      <c r="CV101" t="inlineStr">
        <is>
          <t>Human</t>
        </is>
      </c>
      <c r="CW101" t="inlineStr">
        <is>
          <t>Pass 26 normalization: categories, mechanisms, evidence tiers</t>
        </is>
      </c>
      <c r="CX101" t="inlineStr">
        <is>
          <t>Limited human</t>
        </is>
      </c>
      <c r="CY101" t="inlineStr">
        <is>
          <t>Generally well tolerated.</t>
        </is>
      </c>
      <c r="CZ101" t="inlineStr">
        <is>
          <t>Avoid overextended antimicrobial claims</t>
        </is>
      </c>
      <c r="DB101" t="inlineStr">
        <is>
          <t>Pass 28 normalized evidence and safety-related free text</t>
        </is>
      </c>
      <c r="DD101" t="inlineStr">
        <is>
          <t>No standardized dose established; use conservative, product-dependent ranges.</t>
        </is>
      </c>
      <c r="DE101" t="inlineStr">
        <is>
          <t>Common forms include extracts, powders, or teas depending on herb part.</t>
        </is>
      </c>
      <c r="DF101" t="inlineStr">
        <is>
          <t>Quality varies by extraction method, standardization, and contamination risk.</t>
        </is>
      </c>
      <c r="DG101" t="inlineStr">
        <is>
          <t>Moderate to high</t>
        </is>
      </c>
      <c r="DH101" t="inlineStr">
        <is>
          <t>Pass 29 completeness repair</t>
        </is>
      </c>
      <c r="DI101" t="n">
        <v>9</v>
      </c>
      <c r="DJ101" t="inlineStr">
        <is>
          <t>General</t>
        </is>
      </c>
      <c r="DK101" t="inlineStr">
        <is>
          <t>galangin</t>
        </is>
      </c>
      <c r="DL101" t="inlineStr">
        <is>
          <t>Agarikon; Ajwain; Angelica Root; Artichoke; Ashoka</t>
        </is>
      </c>
      <c r="DM101" t="inlineStr">
        <is>
          <t>Pass 31 relationship intelligence: density, cluster, anchor class, nearest herbs</t>
        </is>
      </c>
      <c r="DN101" t="inlineStr">
        <is>
          <t>Agarikon; Ajwain; Angelica Root; Artichoke; Ashoka</t>
        </is>
      </c>
      <c r="DO101" t="inlineStr">
        <is>
          <t>Agarikon (1 shared pathways) | Ajwain (1 shared pathways) | Angelica Root (1 shared pathways)</t>
        </is>
      </c>
      <c r="DP101" t="inlineStr">
        <is>
          <t>Generalist</t>
        </is>
      </c>
      <c r="DQ101" t="inlineStr">
        <is>
          <t>Pass 32 substitute engine + cluster cleanup</t>
        </is>
      </c>
      <c r="DR101" t="inlineStr">
        <is>
          <t>Agarikon</t>
        </is>
      </c>
      <c r="DS101" t="inlineStr">
        <is>
          <t>Ajwain</t>
        </is>
      </c>
      <c r="DT101" t="inlineStr">
        <is>
          <t>same cluster; lower safety burden; similarity-backed</t>
        </is>
      </c>
      <c r="DU101" t="inlineStr">
        <is>
          <t>Not needed</t>
        </is>
      </c>
      <c r="DV101" t="inlineStr">
        <is>
          <t>Pass 33 fallback replacement engine</t>
        </is>
      </c>
      <c r="DW101" t="inlineStr">
        <is>
          <t>Angelica Root</t>
        </is>
      </c>
      <c r="DX101" t="inlineStr">
        <is>
          <t>Agarikon; Ajwain; Angelica Root; Ashoka; Blue Lotus; Artichoke; Rosemary; Sage</t>
        </is>
      </c>
      <c r="DY101" t="inlineStr">
        <is>
          <t>Pass 35 expanded fallback pool with second-pass candidate exploration</t>
        </is>
      </c>
      <c r="EA101" t="inlineStr">
        <is>
          <t>General</t>
        </is>
      </c>
      <c r="EB101" t="inlineStr">
        <is>
          <t>unclassified</t>
        </is>
      </c>
      <c r="EC101" t="inlineStr">
        <is>
          <t>High</t>
        </is>
      </c>
      <c r="ED101" t="inlineStr">
        <is>
          <t>Pass 40 reinforced weak-category herb data</t>
        </is>
      </c>
      <c r="EG101" t="n">
        <v>3</v>
      </c>
      <c r="EH101" t="n">
        <v>3</v>
      </c>
      <c r="EI101" t="n">
        <v>0</v>
      </c>
      <c r="EJ101" t="n">
        <v>0</v>
      </c>
      <c r="EK101" t="n">
        <v>11</v>
      </c>
      <c r="EL101" t="n">
        <v>7</v>
      </c>
      <c r="EM101" t="inlineStr">
        <is>
          <t>galangin</t>
        </is>
      </c>
      <c r="EN101" t="inlineStr">
        <is>
          <t>Pass 48 rolled compound scores into herb-level scoring</t>
        </is>
      </c>
    </row>
    <row r="102">
      <c r="A102" s="68" t="inlineStr">
        <is>
          <t>Black Pepper</t>
        </is>
      </c>
      <c r="B102" s="68" t="inlineStr">
        <is>
          <t>black-pepper</t>
        </is>
      </c>
      <c r="C102" s="68" t="inlineStr">
        <is>
          <t>Piper nigrum</t>
        </is>
      </c>
      <c r="D102" s="68" t="inlineStr">
        <is>
          <t>herb</t>
        </is>
      </c>
      <c r="E102" s="68" t="inlineStr">
        <is>
          <t>fruit</t>
        </is>
      </c>
      <c r="F102" s="68" t="inlineStr">
        <is>
          <t>fruit</t>
        </is>
      </c>
      <c r="G102" s="68" t="inlineStr">
        <is>
          <t>black pepper</t>
        </is>
      </c>
      <c r="H102" s="68" t="inlineStr">
        <is>
          <t>India; cultivated globally</t>
        </is>
      </c>
      <c r="I102" s="68" t="inlineStr">
        <is>
          <t>Black pepper is positioned for digestive and bioavailability-support use.</t>
        </is>
      </c>
      <c r="J102" s="68" t="inlineStr">
        <is>
          <t>It should be framed specifically around piperine and digestive relevance rather than as a stand-alone tonic.</t>
        </is>
      </c>
      <c r="K102" s="68" t="inlineStr">
        <is>
          <t>piperine</t>
        </is>
      </c>
      <c r="L102" s="68" t="inlineStr">
        <is>
          <t>piperine</t>
        </is>
      </c>
      <c r="M102" s="68" t="inlineStr">
        <is>
          <t>Alkaloids support digestive and absorption-related positioning.</t>
        </is>
      </c>
      <c r="N102" s="68" t="inlineStr">
        <is>
          <t>digestive support; bioavailability support; metabolic support</t>
        </is>
      </c>
      <c r="O102" s="68" t="inlineStr">
        <is>
          <t>mixed food-supplement literature</t>
        </is>
      </c>
      <c r="P102" s="68" t="inlineStr">
        <is>
          <t>Generally well tolerated; use caution with concentrated extracts.</t>
        </is>
      </c>
      <c r="Q102" s="68" t="inlineStr">
        <is>
          <t>Use caution with drug-metabolism-sensitive contexts and tightly dosed stacks.</t>
        </is>
      </c>
      <c r="R102" s="68" t="inlineStr">
        <is>
          <t>Use caution in reflux-sensitive contexts.</t>
        </is>
      </c>
      <c r="S102" s="68" t="n"/>
      <c r="T102" s="68" t="n"/>
      <c r="U102" s="68" t="n"/>
      <c r="V102" s="68" t="n"/>
      <c r="W102" s="68" t="inlineStr">
        <is>
          <t>High</t>
        </is>
      </c>
      <c r="X102" s="68" t="inlineStr">
        <is>
          <t>validated</t>
        </is>
      </c>
      <c r="Y102" s="68" t="n"/>
      <c r="Z102" s="68" t="inlineStr">
        <is>
          <t>present</t>
        </is>
      </c>
      <c r="AA102" s="68" t="inlineStr">
        <is>
          <t>Internal workbook + enrichment queue</t>
        </is>
      </c>
      <c r="AB102" s="68" t="n"/>
      <c r="AC102" s="68" t="n"/>
      <c r="AD102" s="68" t="n"/>
      <c r="AE102" s="68" t="n"/>
      <c r="AF102" s="68" t="n"/>
      <c r="AG102" s="68" t="n">
        <v>3</v>
      </c>
      <c r="AH102" s="68" t="n">
        <v>1</v>
      </c>
      <c r="AI102" s="68" t="n">
        <v>3</v>
      </c>
      <c r="AJ102" s="68" t="n">
        <v>7</v>
      </c>
      <c r="AK102" s="68" t="inlineStr">
        <is>
          <t>Medium</t>
        </is>
      </c>
      <c r="AL102" s="68" t="n"/>
      <c r="AM102" s="68" t="inlineStr">
        <is>
          <t>Linked primary/secondary</t>
        </is>
      </c>
      <c r="AN102" s="68" t="n">
        <v>0.9</v>
      </c>
      <c r="AO102" s="68" t="inlineStr">
        <is>
          <t>Near ready</t>
        </is>
      </c>
      <c r="AP102" s="68" t="n"/>
      <c r="AQ102" s="68" t="n"/>
      <c r="AR102" s="68" t="inlineStr">
        <is>
          <t>Editorial polish</t>
        </is>
      </c>
      <c r="AS102" s="68" t="inlineStr">
        <is>
          <t>Not started</t>
        </is>
      </c>
      <c r="AT102" s="68" t="n"/>
      <c r="AU102" s="68" t="n"/>
      <c r="AV102" s="68" t="n"/>
      <c r="AW102" s="68" t="n"/>
      <c r="AX102" s="68" t="n"/>
      <c r="AY102" s="68" t="n"/>
      <c r="AZ102" s="68" t="n"/>
      <c r="BA102" s="68" t="n"/>
      <c r="BB102" s="68" t="n"/>
      <c r="BC102" s="68" t="n"/>
      <c r="BD102" s="68" t="n"/>
      <c r="BE102" s="68" t="inlineStr">
        <is>
          <t>2026-04-10</t>
        </is>
      </c>
      <c r="BF102" s="68" t="inlineStr">
        <is>
          <t>Metadata normalized from internal workbook links</t>
        </is>
      </c>
      <c r="BG102" s="68" t="inlineStr">
        <is>
          <t>black-pepper|2026-04-10</t>
        </is>
      </c>
      <c r="BH102" s="68" t="inlineStr">
        <is>
          <t>2026-04-10:auto-normalized</t>
        </is>
      </c>
      <c r="BI102" t="inlineStr">
        <is>
          <t>black-pepper</t>
        </is>
      </c>
      <c r="BJ102" t="inlineStr">
        <is>
          <t>Black Pepper</t>
        </is>
      </c>
      <c r="BK102" t="n">
        <v>3</v>
      </c>
      <c r="BL102" t="n">
        <v>3</v>
      </c>
      <c r="BM102" t="n">
        <v>2</v>
      </c>
      <c r="BN102" t="n">
        <v>20</v>
      </c>
      <c r="BO102" t="n">
        <v>100</v>
      </c>
      <c r="BP102" t="n">
        <v>25</v>
      </c>
      <c r="BQ102" t="n">
        <v>30</v>
      </c>
      <c r="BR102" t="n">
        <v>22</v>
      </c>
      <c r="BS102" t="inlineStr">
        <is>
          <t>Tier 1</t>
        </is>
      </c>
      <c r="BT102" t="n">
        <v>17</v>
      </c>
      <c r="BU102" t="inlineStr">
        <is>
          <t>FALSE</t>
        </is>
      </c>
      <c r="BV102" t="inlineStr">
        <is>
          <t>black-pepper</t>
        </is>
      </c>
      <c r="BW102" t="inlineStr">
        <is>
          <t>TRUE</t>
        </is>
      </c>
      <c r="BX102" t="inlineStr">
        <is>
          <t>Pass 10 refreshed scoring from 1 mapped compounds | Pass 13 rescored from 3 mapped compounds</t>
        </is>
      </c>
      <c r="BY102" t="inlineStr">
        <is>
          <t>bioavailability modulation; absorption enhancement; unclassified</t>
        </is>
      </c>
      <c r="BZ102" t="inlineStr">
        <is>
          <t>bioavailability-related signaling; drug-metabolism and absorption-related modulation</t>
        </is>
      </c>
      <c r="CA102" t="n">
        <v>9</v>
      </c>
      <c r="CB102" t="n">
        <v>0</v>
      </c>
      <c r="CC102" t="n">
        <v>0</v>
      </c>
      <c r="CD102" t="inlineStr">
        <is>
          <t>Alkaloid; piperine; bioavailability modulation; absorption enhancement; unclassified</t>
        </is>
      </c>
      <c r="CE102" t="inlineStr">
        <is>
          <t>Pass 13 rescored after herb-name normalization and real top-herb compound sweep</t>
        </is>
      </c>
      <c r="CF102" t="inlineStr">
        <is>
          <t>General</t>
        </is>
      </c>
      <c r="CH102" s="68" t="inlineStr">
        <is>
          <t>Start with low single-herb exposure and increase only if tolerated</t>
        </is>
      </c>
      <c r="CI102" s="68" t="inlineStr">
        <is>
          <t>Product-ideation framing only; not clinical dosing advice.</t>
        </is>
      </c>
      <c r="CJ102" s="68" t="str"/>
      <c r="CK102" s="68" t="str"/>
      <c r="CL102" s="68" t="inlineStr">
        <is>
          <t>Baseline</t>
        </is>
      </c>
      <c r="CM102" s="68" t="inlineStr">
        <is>
          <t>No</t>
        </is>
      </c>
      <c r="CN102" s="68" t="str"/>
      <c r="CO102" s="68" t="inlineStr">
        <is>
          <t>Pass 21 herb-level safety and dose framing</t>
        </is>
      </c>
      <c r="CP102" t="inlineStr">
        <is>
          <t>Baseline</t>
        </is>
      </c>
      <c r="CQ102" t="inlineStr">
        <is>
          <t>No</t>
        </is>
      </c>
      <c r="CS102" t="inlineStr">
        <is>
          <t>Pass 22 refined safety rule severity and reduced broad keyword over-flagging</t>
        </is>
      </c>
      <c r="CT102" t="inlineStr">
        <is>
          <t>Metabolic Support</t>
        </is>
      </c>
      <c r="CU102" t="inlineStr">
        <is>
          <t>bioavailability support; digestive support; metabolic support</t>
        </is>
      </c>
      <c r="CV102" t="inlineStr">
        <is>
          <t>Unknown</t>
        </is>
      </c>
      <c r="CW102" t="inlineStr">
        <is>
          <t>Pass 26 normalization: categories, mechanisms, evidence tiers</t>
        </is>
      </c>
      <c r="CX102" t="inlineStr">
        <is>
          <t>Mixed food-supplement literature</t>
        </is>
      </c>
      <c r="CY102" t="inlineStr">
        <is>
          <t>Generally well tolerated; use caution with concentrated extracts.</t>
        </is>
      </c>
      <c r="CZ102" t="inlineStr">
        <is>
          <t>Use caution with drug-metabolism-sensitive contexts and tightly dosed stacks</t>
        </is>
      </c>
      <c r="DA102" t="inlineStr">
        <is>
          <t>Use caution in reflux-sensitive contexts</t>
        </is>
      </c>
      <c r="DB102" t="inlineStr">
        <is>
          <t>Pass 28 normalized evidence and safety-related free text</t>
        </is>
      </c>
      <c r="DD102" t="inlineStr">
        <is>
          <t>No standardized dose established; use conservative, product-dependent ranges.</t>
        </is>
      </c>
      <c r="DE102" t="inlineStr">
        <is>
          <t>Common forms include extracts, powders, or teas depending on herb part.</t>
        </is>
      </c>
      <c r="DF102" t="inlineStr">
        <is>
          <t>Quality varies by extraction method, standardization, and contamination risk.</t>
        </is>
      </c>
      <c r="DG102" t="inlineStr">
        <is>
          <t>Low</t>
        </is>
      </c>
      <c r="DH102" t="inlineStr">
        <is>
          <t>Pass 29 completeness repair</t>
        </is>
      </c>
      <c r="DI102" t="n">
        <v>34</v>
      </c>
      <c r="DJ102" t="inlineStr">
        <is>
          <t>Metabolic</t>
        </is>
      </c>
      <c r="DK102" t="inlineStr">
        <is>
          <t>Alkaloid</t>
        </is>
      </c>
      <c r="DL102" t="inlineStr">
        <is>
          <t>Ashitaba; Banaba; Curry Leaf; Eucommia; Guarana</t>
        </is>
      </c>
      <c r="DM102" t="inlineStr">
        <is>
          <t>Pass 31 relationship intelligence: density, cluster, anchor class, nearest herbs</t>
        </is>
      </c>
      <c r="DP102" t="inlineStr">
        <is>
          <t>Metabolic</t>
        </is>
      </c>
      <c r="DQ102" t="inlineStr">
        <is>
          <t>Pass 32 substitute engine + cluster cleanup</t>
        </is>
      </c>
      <c r="DT102" t="inlineStr">
        <is>
          <t>no strong safe fallback found</t>
        </is>
      </c>
      <c r="DU102" t="inlineStr">
        <is>
          <t>Not needed</t>
        </is>
      </c>
      <c r="DV102" t="inlineStr">
        <is>
          <t>Pass 33 fallback replacement engine</t>
        </is>
      </c>
      <c r="DY102" t="inlineStr">
        <is>
          <t>Pass 35 expanded fallback pool with second-pass candidate exploration</t>
        </is>
      </c>
      <c r="EG102" t="n">
        <v>9</v>
      </c>
      <c r="EH102" t="n">
        <v>4.5</v>
      </c>
      <c r="EI102" t="n">
        <v>0</v>
      </c>
      <c r="EJ102" t="n">
        <v>0</v>
      </c>
      <c r="EK102" t="n">
        <v>22</v>
      </c>
      <c r="EL102" t="n">
        <v>14</v>
      </c>
      <c r="EM102" t="inlineStr">
        <is>
          <t>Piperine; Chavicine</t>
        </is>
      </c>
      <c r="EN102" t="inlineStr">
        <is>
          <t>Pass 48 rolled compound scores into herb-level scoring</t>
        </is>
      </c>
    </row>
    <row r="103">
      <c r="A103" s="68" t="inlineStr">
        <is>
          <t>Cardamom</t>
        </is>
      </c>
      <c r="B103" s="68" t="inlineStr">
        <is>
          <t>cardamom</t>
        </is>
      </c>
      <c r="C103" s="68" t="inlineStr">
        <is>
          <t>Elettaria cardamomum</t>
        </is>
      </c>
      <c r="D103" s="68" t="inlineStr">
        <is>
          <t>herb</t>
        </is>
      </c>
      <c r="E103" s="68" t="inlineStr">
        <is>
          <t>seed</t>
        </is>
      </c>
      <c r="F103" s="68" t="inlineStr">
        <is>
          <t>seed</t>
        </is>
      </c>
      <c r="G103" s="68" t="inlineStr">
        <is>
          <t>cardamom</t>
        </is>
      </c>
      <c r="H103" s="68" t="inlineStr">
        <is>
          <t>India and Guatemala; cultivated broadly</t>
        </is>
      </c>
      <c r="I103" s="68" t="inlineStr">
        <is>
          <t>Cardamom is positioned for digestive and aromatic support.</t>
        </is>
      </c>
      <c r="J103" s="68" t="inlineStr">
        <is>
          <t>It is best framed as an aromatic culinary seed with modest translational evidence.</t>
        </is>
      </c>
      <c r="K103" s="68" t="inlineStr">
        <is>
          <t>1,8-cineole; terpinyl acetate</t>
        </is>
      </c>
      <c r="L103" s="68" t="inlineStr">
        <is>
          <t>terpinyl acetate</t>
        </is>
      </c>
      <c r="M103" s="68" t="inlineStr">
        <is>
          <t>Volatiles support digestive and aromatic positioning.</t>
        </is>
      </c>
      <c r="N103" s="68" t="inlineStr">
        <is>
          <t>digestive support; aromatic support</t>
        </is>
      </c>
      <c r="O103" s="68" t="inlineStr">
        <is>
          <t>food/supplement literature + limited human</t>
        </is>
      </c>
      <c r="P103" s="68" t="inlineStr">
        <is>
          <t>Generally well tolerated.</t>
        </is>
      </c>
      <c r="Q103" s="68" t="inlineStr">
        <is>
          <t>Use caution with concentrated essential-oil assumptions.</t>
        </is>
      </c>
      <c r="R103" s="68" t="n"/>
      <c r="S103" s="68" t="n"/>
      <c r="T103" s="68" t="n"/>
      <c r="U103" s="68" t="n"/>
      <c r="V103" s="68" t="n"/>
      <c r="W103" s="68" t="inlineStr">
        <is>
          <t>High</t>
        </is>
      </c>
      <c r="X103" s="68" t="inlineStr">
        <is>
          <t>validated</t>
        </is>
      </c>
      <c r="Y103" s="68" t="n"/>
      <c r="Z103" s="68" t="inlineStr">
        <is>
          <t>present</t>
        </is>
      </c>
      <c r="AA103" s="68" t="inlineStr">
        <is>
          <t>Internal workbook + enrichment queue</t>
        </is>
      </c>
      <c r="AB103" s="68" t="n"/>
      <c r="AC103" s="68" t="n"/>
      <c r="AD103" s="68" t="n"/>
      <c r="AE103" s="68" t="n"/>
      <c r="AF103" s="68" t="n"/>
      <c r="AG103" s="68" t="n">
        <v>3</v>
      </c>
      <c r="AH103" s="68" t="n">
        <v>1</v>
      </c>
      <c r="AI103" s="68" t="n">
        <v>3</v>
      </c>
      <c r="AJ103" s="68" t="n">
        <v>7</v>
      </c>
      <c r="AK103" s="68" t="inlineStr">
        <is>
          <t>Medium</t>
        </is>
      </c>
      <c r="AL103" s="68" t="n"/>
      <c r="AM103" s="68" t="inlineStr">
        <is>
          <t>Linked primary/secondary</t>
        </is>
      </c>
      <c r="AN103" s="68" t="n">
        <v>0.9</v>
      </c>
      <c r="AO103" s="68" t="inlineStr">
        <is>
          <t>Near ready</t>
        </is>
      </c>
      <c r="AP103" s="68" t="n"/>
      <c r="AQ103" s="68" t="n"/>
      <c r="AR103" s="68" t="inlineStr">
        <is>
          <t>Editorial polish</t>
        </is>
      </c>
      <c r="AS103" s="68" t="inlineStr">
        <is>
          <t>Not started</t>
        </is>
      </c>
      <c r="AT103" s="68" t="n"/>
      <c r="AU103" s="68" t="n"/>
      <c r="AV103" s="68" t="n"/>
      <c r="AW103" s="68" t="n"/>
      <c r="AX103" s="68" t="n"/>
      <c r="AY103" s="68" t="n"/>
      <c r="AZ103" s="68" t="n"/>
      <c r="BA103" s="68" t="n"/>
      <c r="BB103" s="68" t="n"/>
      <c r="BC103" s="68" t="n"/>
      <c r="BD103" s="68" t="n"/>
      <c r="BE103" s="68" t="inlineStr">
        <is>
          <t>2026-04-10</t>
        </is>
      </c>
      <c r="BF103" s="68" t="inlineStr">
        <is>
          <t>Metadata normalized from internal workbook links</t>
        </is>
      </c>
      <c r="BG103" s="68" t="inlineStr">
        <is>
          <t>cardamom|2026-04-10</t>
        </is>
      </c>
      <c r="BH103" s="68" t="inlineStr">
        <is>
          <t>2026-04-10:auto-normalized</t>
        </is>
      </c>
      <c r="BI103" t="inlineStr">
        <is>
          <t>cardamom</t>
        </is>
      </c>
      <c r="BJ103" t="inlineStr">
        <is>
          <t>Cardamom</t>
        </is>
      </c>
      <c r="BK103" t="n">
        <v>1</v>
      </c>
      <c r="BL103" t="n">
        <v>1</v>
      </c>
      <c r="BM103" t="n">
        <v>3</v>
      </c>
      <c r="BN103" t="n">
        <v>7</v>
      </c>
      <c r="BO103" t="n">
        <v>100</v>
      </c>
      <c r="BP103" t="n">
        <v>8</v>
      </c>
      <c r="BQ103" t="n">
        <v>10</v>
      </c>
      <c r="BR103" t="n">
        <v>5</v>
      </c>
      <c r="BS103" t="inlineStr">
        <is>
          <t>Tier 1</t>
        </is>
      </c>
      <c r="BT103" t="n">
        <v>5</v>
      </c>
      <c r="BU103" t="inlineStr">
        <is>
          <t>FALSE</t>
        </is>
      </c>
      <c r="BV103" t="inlineStr">
        <is>
          <t>cardamom</t>
        </is>
      </c>
      <c r="BW103" t="inlineStr">
        <is>
          <t>TRUE</t>
        </is>
      </c>
      <c r="BX103" t="inlineStr">
        <is>
          <t>Pass 10 refreshed scoring from 1 mapped compounds | Pass 13 rescored from 1 mapped compounds</t>
        </is>
      </c>
      <c r="BY103" t="inlineStr">
        <is>
          <t>unclassified</t>
        </is>
      </c>
      <c r="CA103" t="n">
        <v>2</v>
      </c>
      <c r="CB103" t="n">
        <v>0</v>
      </c>
      <c r="CC103" t="n">
        <v>0</v>
      </c>
      <c r="CD103" t="inlineStr">
        <is>
          <t>terpinyl acetate; unclassified</t>
        </is>
      </c>
      <c r="CE103" t="inlineStr">
        <is>
          <t>Pass 13 rescored after herb-name normalization and real top-herb compound sweep</t>
        </is>
      </c>
      <c r="CF103" t="inlineStr">
        <is>
          <t>General</t>
        </is>
      </c>
      <c r="CH103" s="68" t="inlineStr">
        <is>
          <t>Start with low single-herb exposure and increase only if tolerated</t>
        </is>
      </c>
      <c r="CI103" s="68" t="inlineStr">
        <is>
          <t>Product-ideation framing only; not clinical dosing advice.</t>
        </is>
      </c>
      <c r="CJ103" s="68" t="str"/>
      <c r="CK103" s="68" t="str"/>
      <c r="CL103" s="68" t="inlineStr">
        <is>
          <t>Moderate</t>
        </is>
      </c>
      <c r="CM103" s="68" t="inlineStr">
        <is>
          <t>No</t>
        </is>
      </c>
      <c r="CN103" s="68" t="str"/>
      <c r="CO103" s="68" t="inlineStr">
        <is>
          <t>Pass 21 herb-level safety and dose framing</t>
        </is>
      </c>
      <c r="CP103" t="inlineStr">
        <is>
          <t>Baseline</t>
        </is>
      </c>
      <c r="CQ103" t="inlineStr">
        <is>
          <t>No</t>
        </is>
      </c>
      <c r="CS103" t="inlineStr">
        <is>
          <t>Pass 22 refined safety rule severity and reduced broad keyword over-flagging</t>
        </is>
      </c>
      <c r="CT103" t="inlineStr">
        <is>
          <t>General</t>
        </is>
      </c>
      <c r="CU103" t="inlineStr">
        <is>
          <t>aromatic support; digestive support</t>
        </is>
      </c>
      <c r="CV103" t="inlineStr">
        <is>
          <t>Human</t>
        </is>
      </c>
      <c r="CW103" t="inlineStr">
        <is>
          <t>Pass 26 normalization: categories, mechanisms, evidence tiers</t>
        </is>
      </c>
      <c r="CX103" t="inlineStr">
        <is>
          <t>Limited human</t>
        </is>
      </c>
      <c r="CY103" t="inlineStr">
        <is>
          <t>Generally well tolerated.</t>
        </is>
      </c>
      <c r="CZ103" t="inlineStr">
        <is>
          <t>Use caution with concentrated essential-oil assumptions</t>
        </is>
      </c>
      <c r="DB103" t="inlineStr">
        <is>
          <t>Pass 28 normalized evidence and safety-related free text</t>
        </is>
      </c>
      <c r="DD103" t="inlineStr">
        <is>
          <t>No standardized dose established; use conservative, product-dependent ranges.</t>
        </is>
      </c>
      <c r="DE103" t="inlineStr">
        <is>
          <t>Common forms include extracts, powders, or teas depending on herb part.</t>
        </is>
      </c>
      <c r="DF103" t="inlineStr">
        <is>
          <t>Quality varies by extraction method, standardization, and contamination risk.</t>
        </is>
      </c>
      <c r="DG103" t="inlineStr">
        <is>
          <t>Moderate to high</t>
        </is>
      </c>
      <c r="DH103" t="inlineStr">
        <is>
          <t>Pass 29 completeness repair</t>
        </is>
      </c>
      <c r="DI103" t="n">
        <v>9</v>
      </c>
      <c r="DJ103" t="inlineStr">
        <is>
          <t>General</t>
        </is>
      </c>
      <c r="DK103" t="inlineStr">
        <is>
          <t>terpinyl acetate</t>
        </is>
      </c>
      <c r="DL103" t="inlineStr">
        <is>
          <t>Agarikon; Ajwain; Angelica Root; Artichoke; Ashoka</t>
        </is>
      </c>
      <c r="DM103" t="inlineStr">
        <is>
          <t>Pass 31 relationship intelligence: density, cluster, anchor class, nearest herbs</t>
        </is>
      </c>
      <c r="DN103" t="inlineStr">
        <is>
          <t>Agarikon; Ajwain; Angelica Root; Artichoke; Ashoka</t>
        </is>
      </c>
      <c r="DO103" t="inlineStr">
        <is>
          <t>Agarikon (1 shared pathways) | Ajwain (1 shared pathways) | Angelica Root (1 shared pathways)</t>
        </is>
      </c>
      <c r="DP103" t="inlineStr">
        <is>
          <t>Generalist</t>
        </is>
      </c>
      <c r="DQ103" t="inlineStr">
        <is>
          <t>Pass 32 substitute engine + cluster cleanup</t>
        </is>
      </c>
      <c r="DR103" t="inlineStr">
        <is>
          <t>Agarikon</t>
        </is>
      </c>
      <c r="DS103" t="inlineStr">
        <is>
          <t>Ajwain</t>
        </is>
      </c>
      <c r="DT103" t="inlineStr">
        <is>
          <t>same cluster; lower safety burden; similarity-backed</t>
        </is>
      </c>
      <c r="DU103" t="inlineStr">
        <is>
          <t>Not needed</t>
        </is>
      </c>
      <c r="DV103" t="inlineStr">
        <is>
          <t>Pass 33 fallback replacement engine</t>
        </is>
      </c>
      <c r="DW103" t="inlineStr">
        <is>
          <t>Angelica Root</t>
        </is>
      </c>
      <c r="DX103" t="inlineStr">
        <is>
          <t>Agarikon; Ajwain; Angelica Root; Ashoka; Blue Lotus; Artichoke; Rosemary; Sage</t>
        </is>
      </c>
      <c r="DY103" t="inlineStr">
        <is>
          <t>Pass 35 expanded fallback pool with second-pass candidate exploration</t>
        </is>
      </c>
      <c r="EA103" t="inlineStr">
        <is>
          <t>General</t>
        </is>
      </c>
      <c r="EB103" t="inlineStr">
        <is>
          <t>unclassified</t>
        </is>
      </c>
      <c r="EC103" t="inlineStr">
        <is>
          <t>High</t>
        </is>
      </c>
      <c r="ED103" t="inlineStr">
        <is>
          <t>Pass 40 reinforced weak-category herb data</t>
        </is>
      </c>
      <c r="EG103" t="n">
        <v>3</v>
      </c>
      <c r="EH103" t="n">
        <v>3</v>
      </c>
      <c r="EI103" t="n">
        <v>0</v>
      </c>
      <c r="EJ103" t="n">
        <v>0</v>
      </c>
      <c r="EK103" t="n">
        <v>11</v>
      </c>
      <c r="EL103" t="n">
        <v>7</v>
      </c>
      <c r="EM103" t="inlineStr">
        <is>
          <t>terpinyl acetate</t>
        </is>
      </c>
      <c r="EN103" t="inlineStr">
        <is>
          <t>Pass 48 rolled compound scores into herb-level scoring</t>
        </is>
      </c>
    </row>
    <row r="104">
      <c r="A104" s="68" t="inlineStr">
        <is>
          <t>Holy Basil Seed</t>
        </is>
      </c>
      <c r="B104" s="68" t="inlineStr">
        <is>
          <t>holy-basil-seed</t>
        </is>
      </c>
      <c r="C104" s="68" t="inlineStr">
        <is>
          <t>Ocimum tenuiflorum</t>
        </is>
      </c>
      <c r="D104" s="68" t="inlineStr">
        <is>
          <t>herb</t>
        </is>
      </c>
      <c r="E104" s="68" t="inlineStr">
        <is>
          <t>seed</t>
        </is>
      </c>
      <c r="F104" s="68" t="inlineStr">
        <is>
          <t>seed</t>
        </is>
      </c>
      <c r="G104" s="68" t="inlineStr">
        <is>
          <t>sabja; basil seed</t>
        </is>
      </c>
      <c r="H104" s="68" t="inlineStr">
        <is>
          <t>India and Southeast Asia</t>
        </is>
      </c>
      <c r="I104" s="68" t="inlineStr">
        <is>
          <t>Holy basil seed is positioned for demulcent and digestive support.</t>
        </is>
      </c>
      <c r="J104" s="68" t="inlineStr">
        <is>
          <t>It should be framed distinctly from holy basil leaf because fiber and mucilage drive different use-cases.</t>
        </is>
      </c>
      <c r="K104" s="68" t="inlineStr">
        <is>
          <t>mucilage; fiber</t>
        </is>
      </c>
      <c r="L104" s="68" t="inlineStr">
        <is>
          <t>mucilage</t>
        </is>
      </c>
      <c r="M104" s="68" t="inlineStr">
        <is>
          <t>Demulcent fiber-rich chemistry supports digestive and soothing positioning.</t>
        </is>
      </c>
      <c r="N104" s="68" t="inlineStr">
        <is>
          <t>demulcent support; digestive support</t>
        </is>
      </c>
      <c r="O104" s="68" t="inlineStr">
        <is>
          <t>food/traditional use</t>
        </is>
      </c>
      <c r="P104" s="68" t="inlineStr">
        <is>
          <t>Generally well tolerated.</t>
        </is>
      </c>
      <c r="Q104" s="68" t="inlineStr">
        <is>
          <t>Separate from oral medications in concentrated use.</t>
        </is>
      </c>
      <c r="R104" s="68" t="n"/>
      <c r="S104" s="68" t="n"/>
      <c r="T104" s="68" t="n"/>
      <c r="U104" s="68" t="n"/>
      <c r="V104" s="68" t="n"/>
      <c r="W104" s="68" t="inlineStr">
        <is>
          <t>High</t>
        </is>
      </c>
      <c r="X104" s="68" t="inlineStr">
        <is>
          <t>partial</t>
        </is>
      </c>
      <c r="Y104" s="68" t="n"/>
      <c r="Z104" s="68" t="inlineStr">
        <is>
          <t>present</t>
        </is>
      </c>
      <c r="AA104" s="68" t="inlineStr">
        <is>
          <t>Internal workbook + enrichment queue</t>
        </is>
      </c>
      <c r="AB104" s="68" t="n"/>
      <c r="AC104" s="68" t="n"/>
      <c r="AD104" s="68" t="n"/>
      <c r="AE104" s="68" t="n"/>
      <c r="AF104" s="68" t="n"/>
      <c r="AG104" s="68" t="n">
        <v>3</v>
      </c>
      <c r="AH104" s="68" t="n">
        <v>1</v>
      </c>
      <c r="AI104" s="68" t="n">
        <v>3</v>
      </c>
      <c r="AJ104" s="68" t="n">
        <v>7</v>
      </c>
      <c r="AK104" s="68" t="inlineStr">
        <is>
          <t>Medium</t>
        </is>
      </c>
      <c r="AL104" s="68" t="n"/>
      <c r="AM104" s="68" t="inlineStr">
        <is>
          <t>Linked primary/secondary</t>
        </is>
      </c>
      <c r="AN104" s="68" t="n">
        <v>0.9</v>
      </c>
      <c r="AO104" s="68" t="inlineStr">
        <is>
          <t>Near ready</t>
        </is>
      </c>
      <c r="AP104" s="68" t="n"/>
      <c r="AQ104" s="68" t="n"/>
      <c r="AR104" s="68" t="inlineStr">
        <is>
          <t>Editorial polish</t>
        </is>
      </c>
      <c r="AS104" s="68" t="inlineStr">
        <is>
          <t>Not started</t>
        </is>
      </c>
      <c r="AT104" s="68" t="n"/>
      <c r="AU104" s="68" t="n"/>
      <c r="AV104" s="68" t="n"/>
      <c r="AW104" s="68" t="n"/>
      <c r="AX104" s="68" t="n"/>
      <c r="AY104" s="68" t="n"/>
      <c r="AZ104" s="68" t="n"/>
      <c r="BA104" s="68" t="n"/>
      <c r="BB104" s="68" t="n"/>
      <c r="BC104" s="68" t="n"/>
      <c r="BD104" s="68" t="n"/>
      <c r="BE104" s="68" t="inlineStr">
        <is>
          <t>2026-04-10</t>
        </is>
      </c>
      <c r="BF104" s="68" t="inlineStr">
        <is>
          <t>Metadata normalized from internal workbook links</t>
        </is>
      </c>
      <c r="BG104" s="68" t="inlineStr">
        <is>
          <t>holy-basil-seed|2026-04-10</t>
        </is>
      </c>
      <c r="BH104" s="68" t="inlineStr">
        <is>
          <t>2026-04-10:auto-normalized</t>
        </is>
      </c>
      <c r="BI104" t="inlineStr">
        <is>
          <t>holy-basil-seed</t>
        </is>
      </c>
      <c r="BJ104" t="inlineStr">
        <is>
          <t>Holy Basil Seed</t>
        </is>
      </c>
      <c r="BK104" t="n">
        <v>1</v>
      </c>
      <c r="BL104" t="n">
        <v>0</v>
      </c>
      <c r="BM104" t="n">
        <v>1</v>
      </c>
      <c r="BN104" t="n">
        <v>3</v>
      </c>
      <c r="BO104" t="n">
        <v>100</v>
      </c>
      <c r="BP104" t="n">
        <v>8</v>
      </c>
      <c r="BQ104" t="n">
        <v>0</v>
      </c>
      <c r="BR104" t="n">
        <v>5</v>
      </c>
      <c r="BS104" t="inlineStr">
        <is>
          <t>Tier 4</t>
        </is>
      </c>
      <c r="BT104" t="n">
        <v>3</v>
      </c>
      <c r="BU104" t="inlineStr">
        <is>
          <t>FALSE</t>
        </is>
      </c>
      <c r="BV104" t="inlineStr">
        <is>
          <t>holy-basil-seed</t>
        </is>
      </c>
      <c r="BW104" t="inlineStr">
        <is>
          <t>TRUE</t>
        </is>
      </c>
      <c r="BX104" t="inlineStr">
        <is>
          <t>Pass 10 refreshed scoring from 1 mapped compounds | Pass 13 rescored from 1 mapped compounds</t>
        </is>
      </c>
      <c r="CA104" t="n">
        <v>2</v>
      </c>
      <c r="CB104" t="n">
        <v>0</v>
      </c>
      <c r="CC104" t="n">
        <v>0</v>
      </c>
      <c r="CE104" t="inlineStr">
        <is>
          <t>Pass 13 rescored after herb-name normalization and real top-herb compound sweep</t>
        </is>
      </c>
      <c r="CF104" t="inlineStr">
        <is>
          <t>General</t>
        </is>
      </c>
      <c r="CH104" s="68" t="inlineStr">
        <is>
          <t>Start with low single-herb exposure and increase only if tolerated</t>
        </is>
      </c>
      <c r="CI104" s="68" t="inlineStr">
        <is>
          <t>Product-ideation framing only; not clinical dosing advice.</t>
        </is>
      </c>
      <c r="CJ104" s="68" t="str"/>
      <c r="CK104" s="68" t="str"/>
      <c r="CL104" s="68" t="inlineStr">
        <is>
          <t>Baseline</t>
        </is>
      </c>
      <c r="CM104" s="68" t="inlineStr">
        <is>
          <t>No</t>
        </is>
      </c>
      <c r="CN104" s="68" t="str"/>
      <c r="CO104" s="68" t="inlineStr">
        <is>
          <t>Pass 21 herb-level safety and dose framing</t>
        </is>
      </c>
      <c r="CP104" t="inlineStr">
        <is>
          <t>Baseline</t>
        </is>
      </c>
      <c r="CQ104" t="inlineStr">
        <is>
          <t>No</t>
        </is>
      </c>
      <c r="CS104" t="inlineStr">
        <is>
          <t>Pass 22 refined safety rule severity and reduced broad keyword over-flagging</t>
        </is>
      </c>
      <c r="CT104" t="inlineStr">
        <is>
          <t>General</t>
        </is>
      </c>
      <c r="CU104" t="inlineStr">
        <is>
          <t>demulcent support; digestive support</t>
        </is>
      </c>
      <c r="CV104" t="inlineStr">
        <is>
          <t>Unknown</t>
        </is>
      </c>
      <c r="CW104" t="inlineStr">
        <is>
          <t>Pass 26 normalization: categories, mechanisms, evidence tiers</t>
        </is>
      </c>
      <c r="CX104" t="inlineStr">
        <is>
          <t>Traditional use</t>
        </is>
      </c>
      <c r="CY104" t="inlineStr">
        <is>
          <t>Generally well tolerated.</t>
        </is>
      </c>
      <c r="CZ104" t="inlineStr">
        <is>
          <t>Separate from oral medications in concentrated use</t>
        </is>
      </c>
      <c r="DB104" t="inlineStr">
        <is>
          <t>Pass 28 normalized evidence and safety-related free text</t>
        </is>
      </c>
      <c r="DD104" t="inlineStr">
        <is>
          <t>No standardized dose established; use conservative, product-dependent ranges.</t>
        </is>
      </c>
      <c r="DE104" t="inlineStr">
        <is>
          <t>Common forms include extracts, powders, or teas depending on herb part.</t>
        </is>
      </c>
      <c r="DF104" t="inlineStr">
        <is>
          <t>Quality varies by extraction method, standardization, and contamination risk.</t>
        </is>
      </c>
      <c r="DG104" t="inlineStr">
        <is>
          <t>Low</t>
        </is>
      </c>
      <c r="DH104" t="inlineStr">
        <is>
          <t>Pass 29 completeness repair</t>
        </is>
      </c>
      <c r="DI104" t="n">
        <v>6</v>
      </c>
      <c r="DJ104" t="inlineStr">
        <is>
          <t>General</t>
        </is>
      </c>
      <c r="DL104" t="inlineStr">
        <is>
          <t>Psyllium; Acerola; Agarikon; Ajwain; Aloe Vera</t>
        </is>
      </c>
      <c r="DM104" t="inlineStr">
        <is>
          <t>Pass 31 relationship intelligence: density, cluster, anchor class, nearest herbs</t>
        </is>
      </c>
      <c r="DP104" t="inlineStr">
        <is>
          <t>Generalist</t>
        </is>
      </c>
      <c r="DQ104" t="inlineStr">
        <is>
          <t>Pass 32 substitute engine + cluster cleanup</t>
        </is>
      </c>
      <c r="DT104" t="inlineStr">
        <is>
          <t>no strong safe fallback found</t>
        </is>
      </c>
      <c r="DU104" t="inlineStr">
        <is>
          <t>Not needed</t>
        </is>
      </c>
      <c r="DV104" t="inlineStr">
        <is>
          <t>Pass 33 fallback replacement engine</t>
        </is>
      </c>
      <c r="DY104" t="inlineStr">
        <is>
          <t>Pass 35 expanded fallback pool with second-pass candidate exploration</t>
        </is>
      </c>
      <c r="EA104" t="inlineStr">
        <is>
          <t>General</t>
        </is>
      </c>
      <c r="EC104" t="inlineStr">
        <is>
          <t>High</t>
        </is>
      </c>
      <c r="ED104" t="inlineStr">
        <is>
          <t>Pass 40 reinforced weak-category herb data</t>
        </is>
      </c>
      <c r="EG104" t="n">
        <v>0</v>
      </c>
      <c r="EH104" t="n">
        <v>0</v>
      </c>
      <c r="EI104" t="n">
        <v>0</v>
      </c>
      <c r="EJ104" t="n">
        <v>0</v>
      </c>
      <c r="EK104" t="n">
        <v>0</v>
      </c>
      <c r="EL104" t="n">
        <v>0</v>
      </c>
      <c r="EN104" t="inlineStr">
        <is>
          <t>Pass 48 rolled compound scores into herb-level scoring</t>
        </is>
      </c>
    </row>
    <row r="105">
      <c r="A105" s="68" t="inlineStr">
        <is>
          <t>Psyllium</t>
        </is>
      </c>
      <c r="B105" s="68" t="inlineStr">
        <is>
          <t>psyllium</t>
        </is>
      </c>
      <c r="C105" s="68" t="inlineStr">
        <is>
          <t>Plantago ovata</t>
        </is>
      </c>
      <c r="D105" s="68" t="inlineStr">
        <is>
          <t>herb</t>
        </is>
      </c>
      <c r="E105" s="68" t="inlineStr">
        <is>
          <t>seed husk</t>
        </is>
      </c>
      <c r="F105" s="68" t="inlineStr">
        <is>
          <t>seed husk</t>
        </is>
      </c>
      <c r="G105" s="68" t="inlineStr">
        <is>
          <t>psyllium husk</t>
        </is>
      </c>
      <c r="H105" s="68" t="inlineStr">
        <is>
          <t>India and cultivated globally</t>
        </is>
      </c>
      <c r="I105" s="68" t="inlineStr">
        <is>
          <t>Psyllium is positioned for fiber, GI, and metabolic support.</t>
        </is>
      </c>
      <c r="J105" s="68" t="inlineStr">
        <is>
          <t>It is best framed as a functional-fiber intervention more than a classic phytochemical-heavy herb.</t>
        </is>
      </c>
      <c r="K105" s="68" t="inlineStr">
        <is>
          <t>mucilage; arabinoxylans</t>
        </is>
      </c>
      <c r="L105" s="68" t="inlineStr">
        <is>
          <t>mucilage</t>
        </is>
      </c>
      <c r="M105" s="68" t="inlineStr">
        <is>
          <t>Gel-forming fibers support GI and metabolic positioning.</t>
        </is>
      </c>
      <c r="N105" s="68" t="inlineStr">
        <is>
          <t>GI support; metabolic support</t>
        </is>
      </c>
      <c r="O105" s="68" t="inlineStr">
        <is>
          <t>strong food/supplement literature</t>
        </is>
      </c>
      <c r="P105" s="68" t="inlineStr">
        <is>
          <t>Generally well tolerated with sufficient fluids.</t>
        </is>
      </c>
      <c r="Q105" s="68" t="inlineStr">
        <is>
          <t>Separate from oral medications.</t>
        </is>
      </c>
      <c r="R105" s="68" t="n"/>
      <c r="S105" s="68" t="n"/>
      <c r="T105" s="68" t="n"/>
      <c r="U105" s="68" t="n"/>
      <c r="V105" s="68" t="n"/>
      <c r="W105" s="68" t="inlineStr">
        <is>
          <t>High</t>
        </is>
      </c>
      <c r="X105" s="68" t="inlineStr">
        <is>
          <t>partial</t>
        </is>
      </c>
      <c r="Y105" s="68" t="n"/>
      <c r="Z105" s="68" t="inlineStr">
        <is>
          <t>present</t>
        </is>
      </c>
      <c r="AA105" s="68" t="inlineStr">
        <is>
          <t>Internal workbook + enrichment queue</t>
        </is>
      </c>
      <c r="AB105" s="68" t="n"/>
      <c r="AC105" s="68" t="n"/>
      <c r="AD105" s="68" t="n"/>
      <c r="AE105" s="68" t="n"/>
      <c r="AF105" s="68" t="n"/>
      <c r="AG105" s="68" t="n">
        <v>3</v>
      </c>
      <c r="AH105" s="68" t="n">
        <v>1</v>
      </c>
      <c r="AI105" s="68" t="n">
        <v>3</v>
      </c>
      <c r="AJ105" s="68" t="n">
        <v>7</v>
      </c>
      <c r="AK105" s="68" t="inlineStr">
        <is>
          <t>Medium</t>
        </is>
      </c>
      <c r="AL105" s="68" t="n"/>
      <c r="AM105" s="68" t="inlineStr">
        <is>
          <t>Linked primary/secondary</t>
        </is>
      </c>
      <c r="AN105" s="68" t="n">
        <v>0.9</v>
      </c>
      <c r="AO105" s="68" t="inlineStr">
        <is>
          <t>Near ready</t>
        </is>
      </c>
      <c r="AP105" s="68" t="n"/>
      <c r="AQ105" s="68" t="n"/>
      <c r="AR105" s="68" t="inlineStr">
        <is>
          <t>Editorial polish</t>
        </is>
      </c>
      <c r="AS105" s="68" t="inlineStr">
        <is>
          <t>Not started</t>
        </is>
      </c>
      <c r="AT105" s="68" t="n"/>
      <c r="AU105" s="68" t="n"/>
      <c r="AV105" s="68" t="n"/>
      <c r="AW105" s="68" t="n"/>
      <c r="AX105" s="68" t="n"/>
      <c r="AY105" s="68" t="n"/>
      <c r="AZ105" s="68" t="n"/>
      <c r="BA105" s="68" t="n"/>
      <c r="BB105" s="68" t="n"/>
      <c r="BC105" s="68" t="n"/>
      <c r="BD105" s="68" t="n"/>
      <c r="BE105" s="68" t="inlineStr">
        <is>
          <t>2026-04-10</t>
        </is>
      </c>
      <c r="BF105" s="68" t="inlineStr">
        <is>
          <t>Metadata normalized from internal workbook links</t>
        </is>
      </c>
      <c r="BG105" s="68" t="inlineStr">
        <is>
          <t>psyllium|2026-04-10</t>
        </is>
      </c>
      <c r="BH105" s="68" t="inlineStr">
        <is>
          <t>2026-04-10:auto-normalized</t>
        </is>
      </c>
      <c r="BI105" t="inlineStr">
        <is>
          <t>psyllium</t>
        </is>
      </c>
      <c r="BJ105" t="inlineStr">
        <is>
          <t>Psyllium</t>
        </is>
      </c>
      <c r="BK105" t="n">
        <v>1</v>
      </c>
      <c r="BL105" t="n">
        <v>0</v>
      </c>
      <c r="BM105" t="n">
        <v>1</v>
      </c>
      <c r="BN105" t="n">
        <v>3</v>
      </c>
      <c r="BO105" t="n">
        <v>100</v>
      </c>
      <c r="BP105" t="n">
        <v>8</v>
      </c>
      <c r="BQ105" t="n">
        <v>0</v>
      </c>
      <c r="BR105" t="n">
        <v>5</v>
      </c>
      <c r="BS105" t="inlineStr">
        <is>
          <t>Tier 4</t>
        </is>
      </c>
      <c r="BT105" t="n">
        <v>3</v>
      </c>
      <c r="BU105" t="inlineStr">
        <is>
          <t>FALSE</t>
        </is>
      </c>
      <c r="BV105" t="inlineStr">
        <is>
          <t>psyllium</t>
        </is>
      </c>
      <c r="BW105" t="inlineStr">
        <is>
          <t>TRUE</t>
        </is>
      </c>
      <c r="BX105" t="inlineStr">
        <is>
          <t>Pass 10 refreshed scoring from 1 mapped compounds | Pass 13 rescored from 1 mapped compounds</t>
        </is>
      </c>
      <c r="CA105" t="n">
        <v>2</v>
      </c>
      <c r="CB105" t="n">
        <v>0</v>
      </c>
      <c r="CC105" t="n">
        <v>0</v>
      </c>
      <c r="CE105" t="inlineStr">
        <is>
          <t>Pass 13 rescored after herb-name normalization and real top-herb compound sweep</t>
        </is>
      </c>
      <c r="CF105" t="inlineStr">
        <is>
          <t>General</t>
        </is>
      </c>
      <c r="CH105" s="68" t="inlineStr">
        <is>
          <t>Start with low single-herb exposure and increase only if tolerated</t>
        </is>
      </c>
      <c r="CI105" s="68" t="inlineStr">
        <is>
          <t>Product-ideation framing only; not clinical dosing advice.</t>
        </is>
      </c>
      <c r="CJ105" s="68" t="str"/>
      <c r="CK105" s="68" t="str"/>
      <c r="CL105" s="68" t="inlineStr">
        <is>
          <t>Baseline</t>
        </is>
      </c>
      <c r="CM105" s="68" t="inlineStr">
        <is>
          <t>No</t>
        </is>
      </c>
      <c r="CN105" s="68" t="str"/>
      <c r="CO105" s="68" t="inlineStr">
        <is>
          <t>Pass 21 herb-level safety and dose framing</t>
        </is>
      </c>
      <c r="CP105" t="inlineStr">
        <is>
          <t>Baseline</t>
        </is>
      </c>
      <c r="CQ105" t="inlineStr">
        <is>
          <t>No</t>
        </is>
      </c>
      <c r="CS105" t="inlineStr">
        <is>
          <t>Pass 22 refined safety rule severity and reduced broad keyword over-flagging</t>
        </is>
      </c>
      <c r="CT105" t="inlineStr">
        <is>
          <t>Metabolic Support</t>
        </is>
      </c>
      <c r="CU105" t="inlineStr">
        <is>
          <t>gi support; metabolic support</t>
        </is>
      </c>
      <c r="CV105" t="inlineStr">
        <is>
          <t>Unknown</t>
        </is>
      </c>
      <c r="CW105" t="inlineStr">
        <is>
          <t>Pass 26 normalization: categories, mechanisms, evidence tiers</t>
        </is>
      </c>
      <c r="CX105" t="inlineStr">
        <is>
          <t>Strong food/supplement literature</t>
        </is>
      </c>
      <c r="CY105" t="inlineStr">
        <is>
          <t>Generally well tolerated with sufficient fluids.</t>
        </is>
      </c>
      <c r="CZ105" t="inlineStr">
        <is>
          <t>Separate from oral medications</t>
        </is>
      </c>
      <c r="DB105" t="inlineStr">
        <is>
          <t>Pass 28 normalized evidence and safety-related free text</t>
        </is>
      </c>
      <c r="DD105" t="inlineStr">
        <is>
          <t>No standardized dose established; use conservative, product-dependent ranges.</t>
        </is>
      </c>
      <c r="DE105" t="inlineStr">
        <is>
          <t>Common forms include extracts, powders, or teas depending on herb part.</t>
        </is>
      </c>
      <c r="DF105" t="inlineStr">
        <is>
          <t>Quality varies by extraction method, standardization, and contamination risk.</t>
        </is>
      </c>
      <c r="DG105" t="inlineStr">
        <is>
          <t>Low</t>
        </is>
      </c>
      <c r="DH105" t="inlineStr">
        <is>
          <t>Pass 29 completeness repair</t>
        </is>
      </c>
      <c r="DI105" t="n">
        <v>6</v>
      </c>
      <c r="DJ105" t="inlineStr">
        <is>
          <t>Metabolic</t>
        </is>
      </c>
      <c r="DL105" t="inlineStr">
        <is>
          <t>Holy Basil Seed; Ashitaba; Banaba; Berberis; Bitter Melon</t>
        </is>
      </c>
      <c r="DM105" t="inlineStr">
        <is>
          <t>Pass 31 relationship intelligence: density, cluster, anchor class, nearest herbs</t>
        </is>
      </c>
      <c r="DP105" t="inlineStr">
        <is>
          <t>Metabolic</t>
        </is>
      </c>
      <c r="DQ105" t="inlineStr">
        <is>
          <t>Pass 32 substitute engine + cluster cleanup</t>
        </is>
      </c>
      <c r="DT105" t="inlineStr">
        <is>
          <t>no strong safe fallback found</t>
        </is>
      </c>
      <c r="DU105" t="inlineStr">
        <is>
          <t>Not needed</t>
        </is>
      </c>
      <c r="DV105" t="inlineStr">
        <is>
          <t>Pass 33 fallback replacement engine</t>
        </is>
      </c>
      <c r="DY105" t="inlineStr">
        <is>
          <t>Pass 35 expanded fallback pool with second-pass candidate exploration</t>
        </is>
      </c>
      <c r="EG105" t="n">
        <v>0</v>
      </c>
      <c r="EH105" t="n">
        <v>0</v>
      </c>
      <c r="EI105" t="n">
        <v>0</v>
      </c>
      <c r="EJ105" t="n">
        <v>0</v>
      </c>
      <c r="EK105" t="n">
        <v>0</v>
      </c>
      <c r="EL105" t="n">
        <v>0</v>
      </c>
      <c r="EN105" t="inlineStr">
        <is>
          <t>Pass 48 rolled compound scores into herb-level scoring</t>
        </is>
      </c>
    </row>
    <row r="106">
      <c r="A106" s="68" t="inlineStr">
        <is>
          <t>Caraway</t>
        </is>
      </c>
      <c r="B106" s="68" t="inlineStr">
        <is>
          <t>caraway</t>
        </is>
      </c>
      <c r="C106" s="68" t="inlineStr">
        <is>
          <t>Carum carvi</t>
        </is>
      </c>
      <c r="D106" s="68" t="inlineStr">
        <is>
          <t>herb</t>
        </is>
      </c>
      <c r="E106" s="68" t="inlineStr">
        <is>
          <t>seed</t>
        </is>
      </c>
      <c r="F106" s="68" t="inlineStr">
        <is>
          <t>seed</t>
        </is>
      </c>
      <c r="G106" s="68" t="inlineStr">
        <is>
          <t>caraway</t>
        </is>
      </c>
      <c r="H106" s="68" t="inlineStr">
        <is>
          <t>Europe and Western Asia</t>
        </is>
      </c>
      <c r="I106" s="68" t="inlineStr">
        <is>
          <t>Caraway is positioned for digestive and aromatic support.</t>
        </is>
      </c>
      <c r="J106" s="68" t="inlineStr">
        <is>
          <t>It is best framed as an aromatic seed with traditional GI relevance.</t>
        </is>
      </c>
      <c r="K106" s="68" t="inlineStr">
        <is>
          <t>carvone; limonene</t>
        </is>
      </c>
      <c r="L106" s="68" t="inlineStr">
        <is>
          <t>carvone</t>
        </is>
      </c>
      <c r="M106" s="68" t="inlineStr">
        <is>
          <t>Volatile constituents support digestive and aromatic positioning.</t>
        </is>
      </c>
      <c r="N106" s="68" t="inlineStr">
        <is>
          <t>digestive support; aromatic support</t>
        </is>
      </c>
      <c r="O106" s="68" t="inlineStr">
        <is>
          <t>traditional use + mixed human</t>
        </is>
      </c>
      <c r="P106" s="68" t="inlineStr">
        <is>
          <t>Generally well tolerated.</t>
        </is>
      </c>
      <c r="Q106" s="68" t="inlineStr">
        <is>
          <t>Use caution with concentrated oil assumptions.</t>
        </is>
      </c>
      <c r="R106" s="68" t="n"/>
      <c r="S106" s="68" t="n"/>
      <c r="T106" s="68" t="n"/>
      <c r="U106" s="68" t="n"/>
      <c r="V106" s="68" t="n"/>
      <c r="W106" s="68" t="inlineStr">
        <is>
          <t>High</t>
        </is>
      </c>
      <c r="X106" s="68" t="inlineStr">
        <is>
          <t>validated</t>
        </is>
      </c>
      <c r="Y106" s="68" t="n"/>
      <c r="Z106" s="68" t="inlineStr">
        <is>
          <t>present</t>
        </is>
      </c>
      <c r="AA106" s="68" t="inlineStr">
        <is>
          <t>Internal workbook + enrichment queue</t>
        </is>
      </c>
      <c r="AB106" s="68" t="n"/>
      <c r="AC106" s="68" t="n"/>
      <c r="AD106" s="68" t="n"/>
      <c r="AE106" s="68" t="n"/>
      <c r="AF106" s="68" t="n"/>
      <c r="AG106" s="68" t="n">
        <v>3</v>
      </c>
      <c r="AH106" s="68" t="n">
        <v>1</v>
      </c>
      <c r="AI106" s="68" t="n">
        <v>3</v>
      </c>
      <c r="AJ106" s="68" t="n">
        <v>7</v>
      </c>
      <c r="AK106" s="68" t="inlineStr">
        <is>
          <t>Medium</t>
        </is>
      </c>
      <c r="AL106" s="68" t="n"/>
      <c r="AM106" s="68" t="inlineStr">
        <is>
          <t>Linked primary/secondary</t>
        </is>
      </c>
      <c r="AN106" s="68" t="n">
        <v>0.9</v>
      </c>
      <c r="AO106" s="68" t="inlineStr">
        <is>
          <t>Near ready</t>
        </is>
      </c>
      <c r="AP106" s="68" t="n"/>
      <c r="AQ106" s="68" t="n"/>
      <c r="AR106" s="68" t="inlineStr">
        <is>
          <t>Editorial polish</t>
        </is>
      </c>
      <c r="AS106" s="68" t="inlineStr">
        <is>
          <t>Not started</t>
        </is>
      </c>
      <c r="AT106" s="68" t="n"/>
      <c r="AU106" s="68" t="n"/>
      <c r="AV106" s="68" t="n"/>
      <c r="AW106" s="68" t="n"/>
      <c r="AX106" s="68" t="n"/>
      <c r="AY106" s="68" t="n"/>
      <c r="AZ106" s="68" t="n"/>
      <c r="BA106" s="68" t="n"/>
      <c r="BB106" s="68" t="n"/>
      <c r="BC106" s="68" t="n"/>
      <c r="BD106" s="68" t="n"/>
      <c r="BE106" s="68" t="inlineStr">
        <is>
          <t>2026-04-10</t>
        </is>
      </c>
      <c r="BF106" s="68" t="inlineStr">
        <is>
          <t>Metadata normalized from internal workbook links</t>
        </is>
      </c>
      <c r="BG106" s="68" t="inlineStr">
        <is>
          <t>caraway|2026-04-10</t>
        </is>
      </c>
      <c r="BH106" s="68" t="inlineStr">
        <is>
          <t>2026-04-10:auto-normalized</t>
        </is>
      </c>
      <c r="BI106" t="inlineStr">
        <is>
          <t>caraway</t>
        </is>
      </c>
      <c r="BJ106" t="inlineStr">
        <is>
          <t>Caraway</t>
        </is>
      </c>
      <c r="BK106" t="n">
        <v>1</v>
      </c>
      <c r="BL106" t="n">
        <v>1</v>
      </c>
      <c r="BM106" t="n">
        <v>3</v>
      </c>
      <c r="BN106" t="n">
        <v>7</v>
      </c>
      <c r="BO106" t="n">
        <v>100</v>
      </c>
      <c r="BP106" t="n">
        <v>8</v>
      </c>
      <c r="BQ106" t="n">
        <v>10</v>
      </c>
      <c r="BR106" t="n">
        <v>5</v>
      </c>
      <c r="BS106" t="inlineStr">
        <is>
          <t>Tier 1</t>
        </is>
      </c>
      <c r="BT106" t="n">
        <v>5</v>
      </c>
      <c r="BU106" t="inlineStr">
        <is>
          <t>FALSE</t>
        </is>
      </c>
      <c r="BV106" t="inlineStr">
        <is>
          <t>caraway</t>
        </is>
      </c>
      <c r="BW106" t="inlineStr">
        <is>
          <t>TRUE</t>
        </is>
      </c>
      <c r="BX106" t="inlineStr">
        <is>
          <t>Pass 10 refreshed scoring from 1 mapped compounds | Pass 13 rescored from 1 mapped compounds</t>
        </is>
      </c>
      <c r="BY106" t="inlineStr">
        <is>
          <t>unclassified</t>
        </is>
      </c>
      <c r="CA106" t="n">
        <v>2</v>
      </c>
      <c r="CB106" t="n">
        <v>0</v>
      </c>
      <c r="CC106" t="n">
        <v>0</v>
      </c>
      <c r="CD106" t="inlineStr">
        <is>
          <t>carvone; unclassified</t>
        </is>
      </c>
      <c r="CE106" t="inlineStr">
        <is>
          <t>Pass 13 rescored after herb-name normalization and real top-herb compound sweep</t>
        </is>
      </c>
      <c r="CF106" t="inlineStr">
        <is>
          <t>General</t>
        </is>
      </c>
      <c r="CH106" s="68" t="inlineStr">
        <is>
          <t>Start with low single-herb exposure and increase only if tolerated</t>
        </is>
      </c>
      <c r="CI106" s="68" t="inlineStr">
        <is>
          <t>Product-ideation framing only; not clinical dosing advice.</t>
        </is>
      </c>
      <c r="CJ106" s="68" t="str"/>
      <c r="CK106" s="68" t="str"/>
      <c r="CL106" s="68" t="inlineStr">
        <is>
          <t>Baseline</t>
        </is>
      </c>
      <c r="CM106" s="68" t="inlineStr">
        <is>
          <t>No</t>
        </is>
      </c>
      <c r="CN106" s="68" t="str"/>
      <c r="CO106" s="68" t="inlineStr">
        <is>
          <t>Pass 21 herb-level safety and dose framing</t>
        </is>
      </c>
      <c r="CP106" t="inlineStr">
        <is>
          <t>Baseline</t>
        </is>
      </c>
      <c r="CQ106" t="inlineStr">
        <is>
          <t>No</t>
        </is>
      </c>
      <c r="CS106" t="inlineStr">
        <is>
          <t>Pass 22 refined safety rule severity and reduced broad keyword over-flagging</t>
        </is>
      </c>
      <c r="CT106" t="inlineStr">
        <is>
          <t>General</t>
        </is>
      </c>
      <c r="CU106" t="inlineStr">
        <is>
          <t>aromatic support; digestive support</t>
        </is>
      </c>
      <c r="CV106" t="inlineStr">
        <is>
          <t>Human</t>
        </is>
      </c>
      <c r="CW106" t="inlineStr">
        <is>
          <t>Pass 26 normalization: categories, mechanisms, evidence tiers</t>
        </is>
      </c>
      <c r="CX106" t="inlineStr">
        <is>
          <t>Limited human</t>
        </is>
      </c>
      <c r="CY106" t="inlineStr">
        <is>
          <t>Generally well tolerated.</t>
        </is>
      </c>
      <c r="CZ106" t="inlineStr">
        <is>
          <t>Use caution with concentrated oil assumptions</t>
        </is>
      </c>
      <c r="DB106" t="inlineStr">
        <is>
          <t>Pass 28 normalized evidence and safety-related free text</t>
        </is>
      </c>
      <c r="DD106" t="inlineStr">
        <is>
          <t>No standardized dose established; use conservative, product-dependent ranges.</t>
        </is>
      </c>
      <c r="DE106" t="inlineStr">
        <is>
          <t>Common forms include extracts, powders, or teas depending on herb part.</t>
        </is>
      </c>
      <c r="DF106" t="inlineStr">
        <is>
          <t>Quality varies by extraction method, standardization, and contamination risk.</t>
        </is>
      </c>
      <c r="DG106" t="inlineStr">
        <is>
          <t>Moderate to high</t>
        </is>
      </c>
      <c r="DH106" t="inlineStr">
        <is>
          <t>Pass 29 completeness repair</t>
        </is>
      </c>
      <c r="DI106" t="n">
        <v>9</v>
      </c>
      <c r="DJ106" t="inlineStr">
        <is>
          <t>General</t>
        </is>
      </c>
      <c r="DK106" t="inlineStr">
        <is>
          <t>carvone</t>
        </is>
      </c>
      <c r="DL106" t="inlineStr">
        <is>
          <t>Agarikon; Ajwain; Angelica Root; Artichoke; Ashoka</t>
        </is>
      </c>
      <c r="DM106" t="inlineStr">
        <is>
          <t>Pass 31 relationship intelligence: density, cluster, anchor class, nearest herbs</t>
        </is>
      </c>
      <c r="DN106" t="inlineStr">
        <is>
          <t>Agarikon; Ajwain; Angelica Root; Artichoke; Ashoka</t>
        </is>
      </c>
      <c r="DO106" t="inlineStr">
        <is>
          <t>Agarikon (1 shared pathways) | Ajwain (1 shared pathways) | Angelica Root (1 shared pathways)</t>
        </is>
      </c>
      <c r="DP106" t="inlineStr">
        <is>
          <t>Generalist</t>
        </is>
      </c>
      <c r="DQ106" t="inlineStr">
        <is>
          <t>Pass 32 substitute engine + cluster cleanup</t>
        </is>
      </c>
      <c r="DR106" t="inlineStr">
        <is>
          <t>Agarikon</t>
        </is>
      </c>
      <c r="DS106" t="inlineStr">
        <is>
          <t>Ajwain</t>
        </is>
      </c>
      <c r="DT106" t="inlineStr">
        <is>
          <t>same cluster; lower safety burden; similarity-backed</t>
        </is>
      </c>
      <c r="DU106" t="inlineStr">
        <is>
          <t>Not needed</t>
        </is>
      </c>
      <c r="DV106" t="inlineStr">
        <is>
          <t>Pass 33 fallback replacement engine</t>
        </is>
      </c>
      <c r="DW106" t="inlineStr">
        <is>
          <t>Angelica Root</t>
        </is>
      </c>
      <c r="DX106" t="inlineStr">
        <is>
          <t>Agarikon; Ajwain; Angelica Root; Ashoka; Blue Lotus; Artichoke; Rosemary; Sage</t>
        </is>
      </c>
      <c r="DY106" t="inlineStr">
        <is>
          <t>Pass 35 expanded fallback pool with second-pass candidate exploration</t>
        </is>
      </c>
      <c r="EA106" t="inlineStr">
        <is>
          <t>General</t>
        </is>
      </c>
      <c r="EB106" t="inlineStr">
        <is>
          <t>unclassified</t>
        </is>
      </c>
      <c r="EC106" t="inlineStr">
        <is>
          <t>High</t>
        </is>
      </c>
      <c r="ED106" t="inlineStr">
        <is>
          <t>Pass 40 reinforced weak-category herb data</t>
        </is>
      </c>
      <c r="EG106" t="n">
        <v>3</v>
      </c>
      <c r="EH106" t="n">
        <v>3</v>
      </c>
      <c r="EI106" t="n">
        <v>0</v>
      </c>
      <c r="EJ106" t="n">
        <v>0</v>
      </c>
      <c r="EK106" t="n">
        <v>11</v>
      </c>
      <c r="EL106" t="n">
        <v>7</v>
      </c>
      <c r="EM106" t="inlineStr">
        <is>
          <t>carvone</t>
        </is>
      </c>
      <c r="EN106" t="inlineStr">
        <is>
          <t>Pass 48 rolled compound scores into herb-level scoring</t>
        </is>
      </c>
    </row>
    <row r="107">
      <c r="A107" s="68" t="inlineStr">
        <is>
          <t>Ajwain</t>
        </is>
      </c>
      <c r="B107" s="68" t="inlineStr">
        <is>
          <t>ajwain</t>
        </is>
      </c>
      <c r="C107" s="68" t="inlineStr">
        <is>
          <t>Trachyspermum ammi</t>
        </is>
      </c>
      <c r="D107" s="68" t="inlineStr">
        <is>
          <t>herb</t>
        </is>
      </c>
      <c r="E107" s="68" t="inlineStr">
        <is>
          <t>seed</t>
        </is>
      </c>
      <c r="F107" s="68" t="inlineStr">
        <is>
          <t>seed</t>
        </is>
      </c>
      <c r="G107" s="68" t="inlineStr">
        <is>
          <t>ajwain</t>
        </is>
      </c>
      <c r="H107" s="68" t="inlineStr">
        <is>
          <t>India and South Asia</t>
        </is>
      </c>
      <c r="I107" s="68" t="inlineStr">
        <is>
          <t>Ajwain is positioned for digestive and aromatic support.</t>
        </is>
      </c>
      <c r="J107" s="68" t="inlineStr">
        <is>
          <t>It is best framed as a culinary-medicinal seed with strong traditional GI positioning.</t>
        </is>
      </c>
      <c r="K107" s="68" t="inlineStr">
        <is>
          <t>thymol</t>
        </is>
      </c>
      <c r="L107" s="68" t="inlineStr">
        <is>
          <t>thymol</t>
        </is>
      </c>
      <c r="M107" s="68" t="inlineStr">
        <is>
          <t>Aromatic phenols support digestive and antimicrobial-adjacent positioning.</t>
        </is>
      </c>
      <c r="N107" s="68" t="inlineStr">
        <is>
          <t>digestive support; aromatic support</t>
        </is>
      </c>
      <c r="O107" s="68" t="inlineStr">
        <is>
          <t>traditional use + limited human</t>
        </is>
      </c>
      <c r="P107" s="68" t="inlineStr">
        <is>
          <t>Generally well tolerated.</t>
        </is>
      </c>
      <c r="Q107" s="68" t="inlineStr">
        <is>
          <t>Avoid overextended antimicrobial claims.</t>
        </is>
      </c>
      <c r="R107" s="68" t="n"/>
      <c r="S107" s="68" t="n"/>
      <c r="T107" s="68" t="n"/>
      <c r="U107" s="68" t="n"/>
      <c r="V107" s="68" t="n"/>
      <c r="W107" s="68" t="inlineStr">
        <is>
          <t>High</t>
        </is>
      </c>
      <c r="X107" s="68" t="inlineStr">
        <is>
          <t>partial</t>
        </is>
      </c>
      <c r="Y107" s="68" t="n"/>
      <c r="Z107" s="68" t="inlineStr">
        <is>
          <t>present</t>
        </is>
      </c>
      <c r="AA107" s="68" t="inlineStr">
        <is>
          <t>Internal workbook + enrichment queue</t>
        </is>
      </c>
      <c r="AB107" s="68" t="n"/>
      <c r="AC107" s="68" t="n"/>
      <c r="AD107" s="68" t="n"/>
      <c r="AE107" s="68" t="n"/>
      <c r="AF107" s="68" t="n"/>
      <c r="AG107" s="68" t="n">
        <v>3</v>
      </c>
      <c r="AH107" s="68" t="n">
        <v>1</v>
      </c>
      <c r="AI107" s="68" t="n">
        <v>3</v>
      </c>
      <c r="AJ107" s="68" t="n">
        <v>7</v>
      </c>
      <c r="AK107" s="68" t="inlineStr">
        <is>
          <t>Medium</t>
        </is>
      </c>
      <c r="AL107" s="68" t="n"/>
      <c r="AM107" s="68" t="inlineStr">
        <is>
          <t>Linked primary/secondary</t>
        </is>
      </c>
      <c r="AN107" s="68" t="n">
        <v>0.9</v>
      </c>
      <c r="AO107" s="68" t="inlineStr">
        <is>
          <t>Near ready</t>
        </is>
      </c>
      <c r="AP107" s="68" t="n"/>
      <c r="AQ107" s="68" t="n"/>
      <c r="AR107" s="68" t="inlineStr">
        <is>
          <t>Editorial polish</t>
        </is>
      </c>
      <c r="AS107" s="68" t="inlineStr">
        <is>
          <t>Not started</t>
        </is>
      </c>
      <c r="AT107" s="68" t="n"/>
      <c r="AU107" s="68" t="n"/>
      <c r="AV107" s="68" t="n"/>
      <c r="AW107" s="68" t="n"/>
      <c r="AX107" s="68" t="n"/>
      <c r="AY107" s="68" t="n"/>
      <c r="AZ107" s="68" t="n"/>
      <c r="BA107" s="68" t="n"/>
      <c r="BB107" s="68" t="n"/>
      <c r="BC107" s="68" t="n"/>
      <c r="BD107" s="68" t="n"/>
      <c r="BE107" s="68" t="inlineStr">
        <is>
          <t>2026-04-10</t>
        </is>
      </c>
      <c r="BF107" s="68" t="inlineStr">
        <is>
          <t>Metadata normalized from internal workbook links</t>
        </is>
      </c>
      <c r="BG107" s="68" t="inlineStr">
        <is>
          <t>ajwain|2026-04-10</t>
        </is>
      </c>
      <c r="BH107" s="68" t="inlineStr">
        <is>
          <t>2026-04-10:auto-normalized</t>
        </is>
      </c>
      <c r="BI107" t="inlineStr">
        <is>
          <t>ajwain</t>
        </is>
      </c>
      <c r="BJ107" t="inlineStr">
        <is>
          <t>Ajwain</t>
        </is>
      </c>
      <c r="BK107" t="n">
        <v>3</v>
      </c>
      <c r="BL107" t="n">
        <v>1</v>
      </c>
      <c r="BM107" t="n">
        <v>3</v>
      </c>
      <c r="BN107" t="n">
        <v>14</v>
      </c>
      <c r="BO107" t="n">
        <v>100</v>
      </c>
      <c r="BP107" t="n">
        <v>25</v>
      </c>
      <c r="BQ107" t="n">
        <v>10</v>
      </c>
      <c r="BR107" t="n">
        <v>15</v>
      </c>
      <c r="BS107" t="inlineStr">
        <is>
          <t>Tier 1</t>
        </is>
      </c>
      <c r="BT107" t="n">
        <v>12</v>
      </c>
      <c r="BU107" t="inlineStr">
        <is>
          <t>FALSE</t>
        </is>
      </c>
      <c r="BV107" t="inlineStr">
        <is>
          <t>ajwain</t>
        </is>
      </c>
      <c r="BW107" t="inlineStr">
        <is>
          <t>TRUE</t>
        </is>
      </c>
      <c r="BX107" t="inlineStr">
        <is>
          <t>Pass 10 refreshed scoring from 1 mapped compounds | Pass 13 rescored from 3 mapped compounds</t>
        </is>
      </c>
      <c r="BY107" t="inlineStr">
        <is>
          <t>unclassified</t>
        </is>
      </c>
      <c r="CA107" t="n">
        <v>6</v>
      </c>
      <c r="CB107" t="n">
        <v>0</v>
      </c>
      <c r="CC107" t="n">
        <v>0</v>
      </c>
      <c r="CD107" t="inlineStr">
        <is>
          <t>carvacrol; thymol; unclassified</t>
        </is>
      </c>
      <c r="CE107" t="inlineStr">
        <is>
          <t>Pass 13 rescored after herb-name normalization and real top-herb compound sweep</t>
        </is>
      </c>
      <c r="CF107" t="inlineStr">
        <is>
          <t>General</t>
        </is>
      </c>
      <c r="CH107" s="68" t="inlineStr">
        <is>
          <t>Start with low single-herb exposure and increase only if tolerated</t>
        </is>
      </c>
      <c r="CI107" s="68" t="inlineStr">
        <is>
          <t>Product-ideation framing only; not clinical dosing advice.</t>
        </is>
      </c>
      <c r="CJ107" s="68" t="str"/>
      <c r="CK107" s="68" t="str"/>
      <c r="CL107" s="68" t="inlineStr">
        <is>
          <t>Moderate</t>
        </is>
      </c>
      <c r="CM107" s="68" t="inlineStr">
        <is>
          <t>No</t>
        </is>
      </c>
      <c r="CN107" s="68" t="str"/>
      <c r="CO107" s="68" t="inlineStr">
        <is>
          <t>Pass 21 herb-level safety and dose framing</t>
        </is>
      </c>
      <c r="CP107" t="inlineStr">
        <is>
          <t>Baseline</t>
        </is>
      </c>
      <c r="CQ107" t="inlineStr">
        <is>
          <t>No</t>
        </is>
      </c>
      <c r="CS107" t="inlineStr">
        <is>
          <t>Pass 22 refined safety rule severity and reduced broad keyword over-flagging</t>
        </is>
      </c>
      <c r="CT107" t="inlineStr">
        <is>
          <t>General</t>
        </is>
      </c>
      <c r="CU107" t="inlineStr">
        <is>
          <t>aromatic support; digestive support</t>
        </is>
      </c>
      <c r="CV107" t="inlineStr">
        <is>
          <t>Human</t>
        </is>
      </c>
      <c r="CW107" t="inlineStr">
        <is>
          <t>Pass 26 normalization: categories, mechanisms, evidence tiers</t>
        </is>
      </c>
      <c r="CX107" t="inlineStr">
        <is>
          <t>Limited human</t>
        </is>
      </c>
      <c r="CY107" t="inlineStr">
        <is>
          <t>Generally well tolerated.</t>
        </is>
      </c>
      <c r="CZ107" t="inlineStr">
        <is>
          <t>Avoid overextended antimicrobial claims</t>
        </is>
      </c>
      <c r="DB107" t="inlineStr">
        <is>
          <t>Pass 28 normalized evidence and safety-related free text</t>
        </is>
      </c>
      <c r="DD107" t="inlineStr">
        <is>
          <t>No standardized dose established; use conservative, product-dependent ranges.</t>
        </is>
      </c>
      <c r="DE107" t="inlineStr">
        <is>
          <t>Common forms include extracts, powders, or teas depending on herb part.</t>
        </is>
      </c>
      <c r="DF107" t="inlineStr">
        <is>
          <t>Quality varies by extraction method, standardization, and contamination risk.</t>
        </is>
      </c>
      <c r="DG107" t="inlineStr">
        <is>
          <t>Moderate to high</t>
        </is>
      </c>
      <c r="DH107" t="inlineStr">
        <is>
          <t>Pass 29 completeness repair</t>
        </is>
      </c>
      <c r="DI107" t="n">
        <v>21</v>
      </c>
      <c r="DJ107" t="inlineStr">
        <is>
          <t>General</t>
        </is>
      </c>
      <c r="DK107" t="inlineStr">
        <is>
          <t>carvacrol</t>
        </is>
      </c>
      <c r="DL107" t="inlineStr">
        <is>
          <t>Rosemary; Sage; Agarikon; Angelica Root; Artichoke</t>
        </is>
      </c>
      <c r="DM107" t="inlineStr">
        <is>
          <t>Pass 31 relationship intelligence: density, cluster, anchor class, nearest herbs</t>
        </is>
      </c>
      <c r="DN107" t="inlineStr">
        <is>
          <t>Rosemary; Sage; Agarikon; Angelica Root; Artichoke</t>
        </is>
      </c>
      <c r="DO107" t="inlineStr">
        <is>
          <t>Rosemary (1 shared compounds; 1 shared pathways) | Sage (1 shared compounds; 1 shared pathways) | Agarikon (1 shared pathways)</t>
        </is>
      </c>
      <c r="DP107" t="inlineStr">
        <is>
          <t>Generalist</t>
        </is>
      </c>
      <c r="DQ107" t="inlineStr">
        <is>
          <t>Pass 32 substitute engine + cluster cleanup</t>
        </is>
      </c>
      <c r="DR107" t="inlineStr">
        <is>
          <t>Agarikon</t>
        </is>
      </c>
      <c r="DS107" t="inlineStr">
        <is>
          <t>Rosemary</t>
        </is>
      </c>
      <c r="DT107" t="inlineStr">
        <is>
          <t>same cluster; lower safety burden; similarity-backed</t>
        </is>
      </c>
      <c r="DU107" t="inlineStr">
        <is>
          <t>Not needed</t>
        </is>
      </c>
      <c r="DV107" t="inlineStr">
        <is>
          <t>Pass 33 fallback replacement engine</t>
        </is>
      </c>
      <c r="DW107" t="inlineStr">
        <is>
          <t>Ashoka</t>
        </is>
      </c>
      <c r="DX107" t="inlineStr">
        <is>
          <t>Agarikon; Angelica Root; Ashoka; Blue Lotus; Butterbur; Damiana; Artichoke; Rosemary</t>
        </is>
      </c>
      <c r="DY107" t="inlineStr">
        <is>
          <t>Pass 35 expanded fallback pool with second-pass candidate exploration</t>
        </is>
      </c>
      <c r="EA107" t="inlineStr">
        <is>
          <t>General</t>
        </is>
      </c>
      <c r="EB107" t="inlineStr">
        <is>
          <t>unclassified</t>
        </is>
      </c>
      <c r="EC107" t="inlineStr">
        <is>
          <t>High</t>
        </is>
      </c>
      <c r="ED107" t="inlineStr">
        <is>
          <t>Pass 40 reinforced weak-category herb data</t>
        </is>
      </c>
      <c r="EG107" t="n">
        <v>9</v>
      </c>
      <c r="EH107" t="n">
        <v>4.5</v>
      </c>
      <c r="EI107" t="n">
        <v>0</v>
      </c>
      <c r="EJ107" t="n">
        <v>0</v>
      </c>
      <c r="EK107" t="n">
        <v>22</v>
      </c>
      <c r="EL107" t="n">
        <v>14</v>
      </c>
      <c r="EM107" t="inlineStr">
        <is>
          <t>carvacrol; thymol</t>
        </is>
      </c>
      <c r="EN107" t="inlineStr">
        <is>
          <t>Pass 48 rolled compound scores into herb-level scoring</t>
        </is>
      </c>
    </row>
    <row r="108">
      <c r="A108" s="68" t="inlineStr">
        <is>
          <t>Holy Basil Purple</t>
        </is>
      </c>
      <c r="B108" s="68" t="inlineStr">
        <is>
          <t>holy-basil-purple</t>
        </is>
      </c>
      <c r="C108" s="68" t="inlineStr">
        <is>
          <t>Ocimum tenuiflorum</t>
        </is>
      </c>
      <c r="D108" s="68" t="inlineStr">
        <is>
          <t>herb</t>
        </is>
      </c>
      <c r="E108" s="68" t="inlineStr">
        <is>
          <t>leaf</t>
        </is>
      </c>
      <c r="F108" s="68" t="inlineStr">
        <is>
          <t>leaf</t>
        </is>
      </c>
      <c r="G108" s="68" t="inlineStr">
        <is>
          <t>Krishna tulsi</t>
        </is>
      </c>
      <c r="H108" s="68" t="inlineStr">
        <is>
          <t>India and Southeast Asia</t>
        </is>
      </c>
      <c r="I108" s="68" t="inlineStr">
        <is>
          <t>Purple holy basil is positioned for adaptogenic and antioxidant support.</t>
        </is>
      </c>
      <c r="J108" s="68" t="inlineStr">
        <is>
          <t>It should be framed similarly to tulsi while noting cultivar/form distinctions are secondary to constituent variability.</t>
        </is>
      </c>
      <c r="K108" s="68" t="inlineStr">
        <is>
          <t>eugenol; rosmarinic acid</t>
        </is>
      </c>
      <c r="L108" s="68" t="inlineStr">
        <is>
          <t>eugenol</t>
        </is>
      </c>
      <c r="M108" s="68" t="inlineStr">
        <is>
          <t>Polyphenols and volatiles support stress and antioxidant positioning.</t>
        </is>
      </c>
      <c r="N108" s="68" t="inlineStr">
        <is>
          <t>adaptogenic support; antioxidant</t>
        </is>
      </c>
      <c r="O108" s="68" t="inlineStr">
        <is>
          <t>mixed human + preclinical</t>
        </is>
      </c>
      <c r="P108" s="68" t="inlineStr">
        <is>
          <t>Generally well tolerated.</t>
        </is>
      </c>
      <c r="Q108" s="68" t="inlineStr">
        <is>
          <t>Use caution with concentrated extract marketing claims.</t>
        </is>
      </c>
      <c r="R108" s="68" t="n"/>
      <c r="S108" s="68" t="n"/>
      <c r="T108" s="68" t="n"/>
      <c r="U108" s="68" t="n"/>
      <c r="V108" s="68" t="n"/>
      <c r="W108" s="68" t="inlineStr">
        <is>
          <t>High</t>
        </is>
      </c>
      <c r="X108" s="68" t="inlineStr">
        <is>
          <t>validated</t>
        </is>
      </c>
      <c r="Y108" s="68" t="n"/>
      <c r="Z108" s="68" t="inlineStr">
        <is>
          <t>present</t>
        </is>
      </c>
      <c r="AA108" s="68" t="inlineStr">
        <is>
          <t>Internal workbook + enrichment queue</t>
        </is>
      </c>
      <c r="AB108" s="68" t="n"/>
      <c r="AC108" s="68" t="n"/>
      <c r="AD108" s="68" t="n"/>
      <c r="AE108" s="68" t="n"/>
      <c r="AF108" s="68" t="n"/>
      <c r="AG108" s="68" t="n">
        <v>3</v>
      </c>
      <c r="AH108" s="68" t="n">
        <v>1</v>
      </c>
      <c r="AI108" s="68" t="n">
        <v>3</v>
      </c>
      <c r="AJ108" s="68" t="n">
        <v>7</v>
      </c>
      <c r="AK108" s="68" t="inlineStr">
        <is>
          <t>Medium</t>
        </is>
      </c>
      <c r="AL108" s="68" t="n"/>
      <c r="AM108" s="68" t="inlineStr">
        <is>
          <t>Linked primary/secondary</t>
        </is>
      </c>
      <c r="AN108" s="68" t="n">
        <v>0.9</v>
      </c>
      <c r="AO108" s="68" t="inlineStr">
        <is>
          <t>Near ready</t>
        </is>
      </c>
      <c r="AP108" s="68" t="n"/>
      <c r="AQ108" s="68" t="n"/>
      <c r="AR108" s="68" t="inlineStr">
        <is>
          <t>Editorial polish</t>
        </is>
      </c>
      <c r="AS108" s="68" t="inlineStr">
        <is>
          <t>Not started</t>
        </is>
      </c>
      <c r="AT108" s="68" t="n"/>
      <c r="AU108" s="68" t="n"/>
      <c r="AV108" s="68" t="n"/>
      <c r="AW108" s="68" t="n"/>
      <c r="AX108" s="68" t="n"/>
      <c r="AY108" s="68" t="n"/>
      <c r="AZ108" s="68" t="n"/>
      <c r="BA108" s="68" t="n"/>
      <c r="BB108" s="68" t="n"/>
      <c r="BC108" s="68" t="n"/>
      <c r="BD108" s="68" t="n"/>
      <c r="BE108" s="68" t="inlineStr">
        <is>
          <t>2026-04-10</t>
        </is>
      </c>
      <c r="BF108" s="68" t="inlineStr">
        <is>
          <t>Metadata normalized from internal workbook links</t>
        </is>
      </c>
      <c r="BG108" s="68" t="inlineStr">
        <is>
          <t>holy-basil-purple|2026-04-10</t>
        </is>
      </c>
      <c r="BH108" s="68" t="inlineStr">
        <is>
          <t>2026-04-10:auto-normalized</t>
        </is>
      </c>
      <c r="BI108" t="inlineStr">
        <is>
          <t>holy-basil-purple</t>
        </is>
      </c>
      <c r="BJ108" t="inlineStr">
        <is>
          <t>Holy Basil Purple</t>
        </is>
      </c>
      <c r="BK108" t="n">
        <v>1</v>
      </c>
      <c r="BL108" t="n">
        <v>1</v>
      </c>
      <c r="BM108" t="n">
        <v>3</v>
      </c>
      <c r="BN108" t="n">
        <v>7</v>
      </c>
      <c r="BO108" t="n">
        <v>100</v>
      </c>
      <c r="BP108" t="n">
        <v>8</v>
      </c>
      <c r="BQ108" t="n">
        <v>10</v>
      </c>
      <c r="BR108" t="n">
        <v>5</v>
      </c>
      <c r="BS108" t="inlineStr">
        <is>
          <t>Tier 1</t>
        </is>
      </c>
      <c r="BT108" t="n">
        <v>5</v>
      </c>
      <c r="BU108" t="inlineStr">
        <is>
          <t>FALSE</t>
        </is>
      </c>
      <c r="BV108" t="inlineStr">
        <is>
          <t>holy-basil-purple</t>
        </is>
      </c>
      <c r="BW108" t="inlineStr">
        <is>
          <t>TRUE</t>
        </is>
      </c>
      <c r="BX108" t="inlineStr">
        <is>
          <t>Pass 10 refreshed scoring from 1 mapped compounds | Pass 13 rescored from 1 mapped compounds</t>
        </is>
      </c>
      <c r="BY108" t="inlineStr">
        <is>
          <t>unclassified</t>
        </is>
      </c>
      <c r="CA108" t="n">
        <v>2</v>
      </c>
      <c r="CB108" t="n">
        <v>0</v>
      </c>
      <c r="CC108" t="n">
        <v>0</v>
      </c>
      <c r="CD108" t="inlineStr">
        <is>
          <t>eugenol; unclassified</t>
        </is>
      </c>
      <c r="CE108" t="inlineStr">
        <is>
          <t>Pass 13 rescored after herb-name normalization and real top-herb compound sweep</t>
        </is>
      </c>
      <c r="CF108" t="inlineStr">
        <is>
          <t>General</t>
        </is>
      </c>
      <c r="CH108" s="68" t="inlineStr">
        <is>
          <t>Start with low single-herb exposure and increase only if tolerated</t>
        </is>
      </c>
      <c r="CI108" s="68" t="inlineStr">
        <is>
          <t>Product-ideation framing only; not clinical dosing advice.</t>
        </is>
      </c>
      <c r="CJ108" s="68" t="str"/>
      <c r="CK108" s="68" t="str"/>
      <c r="CL108" s="68" t="inlineStr">
        <is>
          <t>Baseline</t>
        </is>
      </c>
      <c r="CM108" s="68" t="inlineStr">
        <is>
          <t>No</t>
        </is>
      </c>
      <c r="CN108" s="68" t="str"/>
      <c r="CO108" s="68" t="inlineStr">
        <is>
          <t>Pass 21 herb-level safety and dose framing</t>
        </is>
      </c>
      <c r="CP108" t="inlineStr">
        <is>
          <t>Baseline</t>
        </is>
      </c>
      <c r="CQ108" t="inlineStr">
        <is>
          <t>No</t>
        </is>
      </c>
      <c r="CS108" t="inlineStr">
        <is>
          <t>Pass 22 refined safety rule severity and reduced broad keyword over-flagging</t>
        </is>
      </c>
      <c r="CT108" t="inlineStr">
        <is>
          <t>Stress</t>
        </is>
      </c>
      <c r="CU108" t="inlineStr">
        <is>
          <t>adaptogenic support; antioxidant</t>
        </is>
      </c>
      <c r="CV108" t="inlineStr">
        <is>
          <t>Human</t>
        </is>
      </c>
      <c r="CW108" t="inlineStr">
        <is>
          <t>Pass 26 normalization: categories, mechanisms, evidence tiers</t>
        </is>
      </c>
      <c r="CX108" t="inlineStr">
        <is>
          <t>Human + preclinical</t>
        </is>
      </c>
      <c r="CY108" t="inlineStr">
        <is>
          <t>Generally well tolerated.</t>
        </is>
      </c>
      <c r="CZ108" t="inlineStr">
        <is>
          <t>Use caution with concentrated extract marketing claims</t>
        </is>
      </c>
      <c r="DB108" t="inlineStr">
        <is>
          <t>Pass 28 normalized evidence and safety-related free text</t>
        </is>
      </c>
      <c r="DD108" t="inlineStr">
        <is>
          <t>No standardized dose established; use conservative, product-dependent ranges.</t>
        </is>
      </c>
      <c r="DE108" t="inlineStr">
        <is>
          <t>Common forms include extracts, powders, or teas depending on herb part.</t>
        </is>
      </c>
      <c r="DF108" t="inlineStr">
        <is>
          <t>Quality varies by extraction method, standardization, and contamination risk.</t>
        </is>
      </c>
      <c r="DG108" t="inlineStr">
        <is>
          <t>Moderate to high</t>
        </is>
      </c>
      <c r="DH108" t="inlineStr">
        <is>
          <t>Pass 29 completeness repair</t>
        </is>
      </c>
      <c r="DI108" t="n">
        <v>9</v>
      </c>
      <c r="DJ108" t="inlineStr">
        <is>
          <t>Adaptogenic</t>
        </is>
      </c>
      <c r="DK108" t="inlineStr">
        <is>
          <t>eugenol</t>
        </is>
      </c>
      <c r="DL108" t="inlineStr">
        <is>
          <t>Holy Basil; Maca; Maral Root; Rhodiola; Rhodiola Rosea</t>
        </is>
      </c>
      <c r="DM108" t="inlineStr">
        <is>
          <t>Pass 31 relationship intelligence: density, cluster, anchor class, nearest herbs</t>
        </is>
      </c>
      <c r="DN108" t="inlineStr">
        <is>
          <t>Holy Basil; Rhodiola</t>
        </is>
      </c>
      <c r="DO108" t="inlineStr">
        <is>
          <t>Holy Basil (1 shared compounds; 1 shared pathways) | Rhodiola (1 shared pathways)</t>
        </is>
      </c>
      <c r="DP108" t="inlineStr">
        <is>
          <t>Stress / Adaptogenic</t>
        </is>
      </c>
      <c r="DQ108" t="inlineStr">
        <is>
          <t>Pass 32 substitute engine + cluster cleanup</t>
        </is>
      </c>
      <c r="DR108" t="inlineStr">
        <is>
          <t>Rhodiola</t>
        </is>
      </c>
      <c r="DS108" t="inlineStr">
        <is>
          <t>Holy Basil</t>
        </is>
      </c>
      <c r="DT108" t="inlineStr">
        <is>
          <t>same cluster; lower safety burden; similarity-backed</t>
        </is>
      </c>
      <c r="DU108" t="inlineStr">
        <is>
          <t>Not needed</t>
        </is>
      </c>
      <c r="DV108" t="inlineStr">
        <is>
          <t>Pass 33 fallback replacement engine</t>
        </is>
      </c>
      <c r="DW108" t="inlineStr">
        <is>
          <t>Maral Root</t>
        </is>
      </c>
      <c r="DX108" t="inlineStr">
        <is>
          <t>Rhodiola; Maca; Maral Root; Holy Basil; Rhodiola Rosea</t>
        </is>
      </c>
      <c r="DY108" t="inlineStr">
        <is>
          <t>Pass 35 expanded fallback pool with second-pass candidate exploration</t>
        </is>
      </c>
      <c r="EA108" t="inlineStr">
        <is>
          <t>Stress</t>
        </is>
      </c>
      <c r="EB108" t="inlineStr">
        <is>
          <t>unclassified</t>
        </is>
      </c>
      <c r="EC108" t="inlineStr">
        <is>
          <t>High</t>
        </is>
      </c>
      <c r="ED108" t="inlineStr">
        <is>
          <t>Pass 40 reinforced weak-category herb data</t>
        </is>
      </c>
      <c r="EG108" t="n">
        <v>4</v>
      </c>
      <c r="EH108" t="n">
        <v>4</v>
      </c>
      <c r="EI108" t="n">
        <v>0</v>
      </c>
      <c r="EJ108" t="n">
        <v>0</v>
      </c>
      <c r="EK108" t="n">
        <v>14</v>
      </c>
      <c r="EL108" t="n">
        <v>9</v>
      </c>
      <c r="EM108" t="inlineStr">
        <is>
          <t>Eugenol</t>
        </is>
      </c>
      <c r="EN108" t="inlineStr">
        <is>
          <t>Pass 48 rolled compound scores into herb-level scoring</t>
        </is>
      </c>
    </row>
    <row r="109">
      <c r="A109" s="68" t="inlineStr">
        <is>
          <t>Curry Leaf</t>
        </is>
      </c>
      <c r="B109" s="68" t="inlineStr">
        <is>
          <t>curry-leaf</t>
        </is>
      </c>
      <c r="C109" s="68" t="inlineStr">
        <is>
          <t>Murraya koenigii</t>
        </is>
      </c>
      <c r="D109" s="68" t="inlineStr">
        <is>
          <t>herb</t>
        </is>
      </c>
      <c r="E109" s="68" t="inlineStr">
        <is>
          <t>leaf</t>
        </is>
      </c>
      <c r="F109" s="68" t="inlineStr">
        <is>
          <t>leaf</t>
        </is>
      </c>
      <c r="G109" s="68" t="inlineStr">
        <is>
          <t>curry leaf</t>
        </is>
      </c>
      <c r="H109" s="68" t="inlineStr">
        <is>
          <t>India and South Asia</t>
        </is>
      </c>
      <c r="I109" s="68" t="inlineStr">
        <is>
          <t>Curry leaf is positioned for antioxidant and metabolic support.</t>
        </is>
      </c>
      <c r="J109" s="68" t="inlineStr">
        <is>
          <t>It is best framed as a culinary-medicinal leaf with food-form relevance.</t>
        </is>
      </c>
      <c r="K109" s="68" t="inlineStr">
        <is>
          <t>mahanimbine; carbazole alkaloids</t>
        </is>
      </c>
      <c r="L109" s="68" t="inlineStr">
        <is>
          <t>mahanimbine</t>
        </is>
      </c>
      <c r="M109" s="68" t="inlineStr">
        <is>
          <t>Alkaloids and polyphenols support antioxidant and metabolic positioning.</t>
        </is>
      </c>
      <c r="N109" s="68" t="inlineStr">
        <is>
          <t>antioxidant; metabolic support</t>
        </is>
      </c>
      <c r="O109" s="68" t="inlineStr">
        <is>
          <t>food/traditional use + limited human</t>
        </is>
      </c>
      <c r="P109" s="68" t="inlineStr">
        <is>
          <t>Generally well tolerated.</t>
        </is>
      </c>
      <c r="Q109" s="68" t="inlineStr">
        <is>
          <t>Avoid overextended glycemic claims.</t>
        </is>
      </c>
      <c r="R109" s="68" t="n"/>
      <c r="S109" s="68" t="n"/>
      <c r="T109" s="68" t="n"/>
      <c r="U109" s="68" t="n"/>
      <c r="V109" s="68" t="n"/>
      <c r="W109" s="68" t="inlineStr">
        <is>
          <t>High</t>
        </is>
      </c>
      <c r="X109" s="68" t="inlineStr">
        <is>
          <t>validated</t>
        </is>
      </c>
      <c r="Y109" s="68" t="n"/>
      <c r="Z109" s="68" t="inlineStr">
        <is>
          <t>present</t>
        </is>
      </c>
      <c r="AA109" s="68" t="inlineStr">
        <is>
          <t>Internal workbook + enrichment queue</t>
        </is>
      </c>
      <c r="AB109" s="68" t="n"/>
      <c r="AC109" s="68" t="n"/>
      <c r="AD109" s="68" t="n"/>
      <c r="AE109" s="68" t="n"/>
      <c r="AF109" s="68" t="n"/>
      <c r="AG109" s="68" t="n">
        <v>3</v>
      </c>
      <c r="AH109" s="68" t="n">
        <v>1</v>
      </c>
      <c r="AI109" s="68" t="n">
        <v>3</v>
      </c>
      <c r="AJ109" s="68" t="n">
        <v>7</v>
      </c>
      <c r="AK109" s="68" t="inlineStr">
        <is>
          <t>Medium</t>
        </is>
      </c>
      <c r="AL109" s="68" t="n"/>
      <c r="AM109" s="68" t="inlineStr">
        <is>
          <t>Linked primary/secondary</t>
        </is>
      </c>
      <c r="AN109" s="68" t="n">
        <v>0.9</v>
      </c>
      <c r="AO109" s="68" t="inlineStr">
        <is>
          <t>Near ready</t>
        </is>
      </c>
      <c r="AP109" s="68" t="n"/>
      <c r="AQ109" s="68" t="n"/>
      <c r="AR109" s="68" t="inlineStr">
        <is>
          <t>Editorial polish</t>
        </is>
      </c>
      <c r="AS109" s="68" t="inlineStr">
        <is>
          <t>Not started</t>
        </is>
      </c>
      <c r="AT109" s="68" t="n"/>
      <c r="AU109" s="68" t="n"/>
      <c r="AV109" s="68" t="n"/>
      <c r="AW109" s="68" t="n"/>
      <c r="AX109" s="68" t="n"/>
      <c r="AY109" s="68" t="n"/>
      <c r="AZ109" s="68" t="n"/>
      <c r="BA109" s="68" t="n"/>
      <c r="BB109" s="68" t="n"/>
      <c r="BC109" s="68" t="n"/>
      <c r="BD109" s="68" t="n"/>
      <c r="BE109" s="68" t="inlineStr">
        <is>
          <t>2026-04-10</t>
        </is>
      </c>
      <c r="BF109" s="68" t="inlineStr">
        <is>
          <t>Metadata normalized from internal workbook links</t>
        </is>
      </c>
      <c r="BG109" s="68" t="inlineStr">
        <is>
          <t>curry-leaf|2026-04-10</t>
        </is>
      </c>
      <c r="BH109" s="68" t="inlineStr">
        <is>
          <t>2026-04-10:auto-normalized</t>
        </is>
      </c>
      <c r="BI109" t="inlineStr">
        <is>
          <t>curry-leaf</t>
        </is>
      </c>
      <c r="BJ109" t="inlineStr">
        <is>
          <t>Curry Leaf</t>
        </is>
      </c>
      <c r="BK109" t="n">
        <v>1</v>
      </c>
      <c r="BL109" t="n">
        <v>1</v>
      </c>
      <c r="BM109" t="n">
        <v>3</v>
      </c>
      <c r="BN109" t="n">
        <v>7</v>
      </c>
      <c r="BO109" t="n">
        <v>100</v>
      </c>
      <c r="BP109" t="n">
        <v>8</v>
      </c>
      <c r="BQ109" t="n">
        <v>10</v>
      </c>
      <c r="BR109" t="n">
        <v>5</v>
      </c>
      <c r="BS109" t="inlineStr">
        <is>
          <t>Tier 1</t>
        </is>
      </c>
      <c r="BT109" t="n">
        <v>5</v>
      </c>
      <c r="BU109" t="inlineStr">
        <is>
          <t>FALSE</t>
        </is>
      </c>
      <c r="BV109" t="inlineStr">
        <is>
          <t>curry-leaf</t>
        </is>
      </c>
      <c r="BW109" t="inlineStr">
        <is>
          <t>TRUE</t>
        </is>
      </c>
      <c r="BX109" t="inlineStr">
        <is>
          <t>Pass 10 refreshed scoring from 1 mapped compounds | Pass 13 rescored from 1 mapped compounds</t>
        </is>
      </c>
      <c r="BY109" t="inlineStr">
        <is>
          <t>unclassified</t>
        </is>
      </c>
      <c r="CA109" t="n">
        <v>2</v>
      </c>
      <c r="CB109" t="n">
        <v>0</v>
      </c>
      <c r="CC109" t="n">
        <v>0</v>
      </c>
      <c r="CD109" t="inlineStr">
        <is>
          <t>mahanimbine; unclassified</t>
        </is>
      </c>
      <c r="CE109" t="inlineStr">
        <is>
          <t>Pass 13 rescored after herb-name normalization and real top-herb compound sweep</t>
        </is>
      </c>
      <c r="CF109" t="inlineStr">
        <is>
          <t>General</t>
        </is>
      </c>
      <c r="CH109" s="68" t="inlineStr">
        <is>
          <t>Start with low single-herb exposure and increase only if tolerated</t>
        </is>
      </c>
      <c r="CI109" s="68" t="inlineStr">
        <is>
          <t>Product-ideation framing only; not clinical dosing advice.</t>
        </is>
      </c>
      <c r="CJ109" s="68" t="str"/>
      <c r="CK109" s="68" t="str"/>
      <c r="CL109" s="68" t="inlineStr">
        <is>
          <t>Moderate</t>
        </is>
      </c>
      <c r="CM109" s="68" t="inlineStr">
        <is>
          <t>No</t>
        </is>
      </c>
      <c r="CN109" s="68" t="str"/>
      <c r="CO109" s="68" t="inlineStr">
        <is>
          <t>Pass 21 herb-level safety and dose framing</t>
        </is>
      </c>
      <c r="CP109" t="inlineStr">
        <is>
          <t>Baseline</t>
        </is>
      </c>
      <c r="CQ109" t="inlineStr">
        <is>
          <t>No</t>
        </is>
      </c>
      <c r="CS109" t="inlineStr">
        <is>
          <t>Pass 22 refined safety rule severity and reduced broad keyword over-flagging</t>
        </is>
      </c>
      <c r="CT109" t="inlineStr">
        <is>
          <t>Metabolic Support</t>
        </is>
      </c>
      <c r="CU109" t="inlineStr">
        <is>
          <t>antioxidant; metabolic support</t>
        </is>
      </c>
      <c r="CV109" t="inlineStr">
        <is>
          <t>Human</t>
        </is>
      </c>
      <c r="CW109" t="inlineStr">
        <is>
          <t>Pass 26 normalization: categories, mechanisms, evidence tiers</t>
        </is>
      </c>
      <c r="CX109" t="inlineStr">
        <is>
          <t>Limited human</t>
        </is>
      </c>
      <c r="CY109" t="inlineStr">
        <is>
          <t>Generally well tolerated.</t>
        </is>
      </c>
      <c r="CZ109" t="inlineStr">
        <is>
          <t>Avoid overextended glycemic claims</t>
        </is>
      </c>
      <c r="DB109" t="inlineStr">
        <is>
          <t>Pass 28 normalized evidence and safety-related free text</t>
        </is>
      </c>
      <c r="DD109" t="inlineStr">
        <is>
          <t>No standardized dose established; use conservative, product-dependent ranges.</t>
        </is>
      </c>
      <c r="DE109" t="inlineStr">
        <is>
          <t>Common forms include extracts, powders, or teas depending on herb part.</t>
        </is>
      </c>
      <c r="DF109" t="inlineStr">
        <is>
          <t>Quality varies by extraction method, standardization, and contamination risk.</t>
        </is>
      </c>
      <c r="DG109" t="inlineStr">
        <is>
          <t>Moderate to high</t>
        </is>
      </c>
      <c r="DH109" t="inlineStr">
        <is>
          <t>Pass 29 completeness repair</t>
        </is>
      </c>
      <c r="DI109" t="n">
        <v>9</v>
      </c>
      <c r="DJ109" t="inlineStr">
        <is>
          <t>Metabolic</t>
        </is>
      </c>
      <c r="DK109" t="inlineStr">
        <is>
          <t>mahanimbine</t>
        </is>
      </c>
      <c r="DL109" t="inlineStr">
        <is>
          <t>Ashitaba; Banaba; Eucommia; Guarana; Kuding Tea</t>
        </is>
      </c>
      <c r="DM109" t="inlineStr">
        <is>
          <t>Pass 31 relationship intelligence: density, cluster, anchor class, nearest herbs</t>
        </is>
      </c>
      <c r="DN109" t="inlineStr">
        <is>
          <t>Ashitaba; Banaba; Eucommia; Guarana</t>
        </is>
      </c>
      <c r="DO109" t="inlineStr">
        <is>
          <t>Ashitaba (1 shared pathways) | Banaba (1 shared pathways) | Eucommia (1 shared pathways)</t>
        </is>
      </c>
      <c r="DP109" t="inlineStr">
        <is>
          <t>Metabolic</t>
        </is>
      </c>
      <c r="DQ109" t="inlineStr">
        <is>
          <t>Pass 32 substitute engine + cluster cleanup</t>
        </is>
      </c>
      <c r="DR109" t="inlineStr">
        <is>
          <t>Ashitaba</t>
        </is>
      </c>
      <c r="DS109" t="inlineStr">
        <is>
          <t>Banaba</t>
        </is>
      </c>
      <c r="DT109" t="inlineStr">
        <is>
          <t>same cluster; lower safety burden; similarity-backed</t>
        </is>
      </c>
      <c r="DU109" t="inlineStr">
        <is>
          <t>Not needed</t>
        </is>
      </c>
      <c r="DV109" t="inlineStr">
        <is>
          <t>Pass 33 fallback replacement engine</t>
        </is>
      </c>
      <c r="DW109" t="inlineStr">
        <is>
          <t>Eucommia</t>
        </is>
      </c>
      <c r="DX109" t="inlineStr">
        <is>
          <t>Ashitaba; Banaba; Eucommia; Guarana; Kuding Tea</t>
        </is>
      </c>
      <c r="DY109" t="inlineStr">
        <is>
          <t>Pass 35 expanded fallback pool with second-pass candidate exploration</t>
        </is>
      </c>
      <c r="EG109" t="n">
        <v>3</v>
      </c>
      <c r="EH109" t="n">
        <v>3</v>
      </c>
      <c r="EI109" t="n">
        <v>0</v>
      </c>
      <c r="EJ109" t="n">
        <v>0</v>
      </c>
      <c r="EK109" t="n">
        <v>11</v>
      </c>
      <c r="EL109" t="n">
        <v>7</v>
      </c>
      <c r="EM109" t="inlineStr">
        <is>
          <t>mahanimbine</t>
        </is>
      </c>
      <c r="EN109" t="inlineStr">
        <is>
          <t>Pass 48 rolled compound scores into herb-level scoring</t>
        </is>
      </c>
    </row>
    <row r="110">
      <c r="A110" s="68" t="inlineStr">
        <is>
          <t>Gudmar</t>
        </is>
      </c>
      <c r="B110" s="68" t="inlineStr">
        <is>
          <t>gudmar</t>
        </is>
      </c>
      <c r="C110" s="68" t="inlineStr">
        <is>
          <t>Gymnema sylvestre</t>
        </is>
      </c>
      <c r="D110" s="68" t="inlineStr">
        <is>
          <t>herb</t>
        </is>
      </c>
      <c r="E110" s="68" t="inlineStr">
        <is>
          <t>leaf</t>
        </is>
      </c>
      <c r="F110" s="68" t="inlineStr">
        <is>
          <t>leaf</t>
        </is>
      </c>
      <c r="G110" s="68" t="inlineStr">
        <is>
          <t>gudmar</t>
        </is>
      </c>
      <c r="H110" s="68" t="inlineStr">
        <is>
          <t>India and tropical Asia</t>
        </is>
      </c>
      <c r="I110" s="68" t="inlineStr">
        <is>
          <t>Gudmar is positioned for glycemic and sweet-perception support.</t>
        </is>
      </c>
      <c r="J110" s="68" t="inlineStr">
        <is>
          <t>It should be framed consistently with gymnema while preserving alternate-name discoverability.</t>
        </is>
      </c>
      <c r="K110" s="68" t="inlineStr">
        <is>
          <t>gymnemic acids</t>
        </is>
      </c>
      <c r="L110" s="68" t="inlineStr">
        <is>
          <t>gymnemic acids</t>
        </is>
      </c>
      <c r="M110" s="68" t="inlineStr">
        <is>
          <t>Triterpene saponins support glycemic and taste-modulation positioning.</t>
        </is>
      </c>
      <c r="N110" s="68" t="inlineStr">
        <is>
          <t>glycemic support</t>
        </is>
      </c>
      <c r="O110" s="68" t="inlineStr">
        <is>
          <t>mixed human + preclinical</t>
        </is>
      </c>
      <c r="P110" s="68" t="inlineStr">
        <is>
          <t>Generally well tolerated.</t>
        </is>
      </c>
      <c r="Q110" s="68" t="inlineStr">
        <is>
          <t>Use caution with glucose-lowering strategies.</t>
        </is>
      </c>
      <c r="R110" s="68" t="n"/>
      <c r="S110" s="68" t="n"/>
      <c r="T110" s="68" t="n"/>
      <c r="U110" s="68" t="n"/>
      <c r="V110" s="68" t="n"/>
      <c r="W110" s="68" t="inlineStr">
        <is>
          <t>High</t>
        </is>
      </c>
      <c r="X110" s="68" t="inlineStr">
        <is>
          <t>partial</t>
        </is>
      </c>
      <c r="Y110" s="68" t="n"/>
      <c r="Z110" s="68" t="inlineStr">
        <is>
          <t>present</t>
        </is>
      </c>
      <c r="AA110" s="68" t="inlineStr">
        <is>
          <t>Internal workbook + enrichment queue</t>
        </is>
      </c>
      <c r="AB110" s="68" t="n"/>
      <c r="AC110" s="68" t="n"/>
      <c r="AD110" s="68" t="n"/>
      <c r="AE110" s="68" t="n"/>
      <c r="AF110" s="68" t="n"/>
      <c r="AG110" s="68" t="n">
        <v>3</v>
      </c>
      <c r="AH110" s="68" t="n">
        <v>1</v>
      </c>
      <c r="AI110" s="68" t="n">
        <v>3</v>
      </c>
      <c r="AJ110" s="68" t="n">
        <v>7</v>
      </c>
      <c r="AK110" s="68" t="inlineStr">
        <is>
          <t>Medium</t>
        </is>
      </c>
      <c r="AL110" s="68" t="n"/>
      <c r="AM110" s="68" t="inlineStr">
        <is>
          <t>Linked primary/secondary</t>
        </is>
      </c>
      <c r="AN110" s="68" t="n">
        <v>0.9</v>
      </c>
      <c r="AO110" s="68" t="inlineStr">
        <is>
          <t>Near ready</t>
        </is>
      </c>
      <c r="AP110" s="68" t="n"/>
      <c r="AQ110" s="68" t="n"/>
      <c r="AR110" s="68" t="inlineStr">
        <is>
          <t>Editorial polish</t>
        </is>
      </c>
      <c r="AS110" s="68" t="inlineStr">
        <is>
          <t>Not started</t>
        </is>
      </c>
      <c r="AT110" s="68" t="n"/>
      <c r="AU110" s="68" t="n"/>
      <c r="AV110" s="68" t="n"/>
      <c r="AW110" s="68" t="n"/>
      <c r="AX110" s="68" t="n"/>
      <c r="AY110" s="68" t="n"/>
      <c r="AZ110" s="68" t="n"/>
      <c r="BA110" s="68" t="n"/>
      <c r="BB110" s="68" t="n"/>
      <c r="BC110" s="68" t="n"/>
      <c r="BD110" s="68" t="n"/>
      <c r="BE110" s="68" t="inlineStr">
        <is>
          <t>2026-04-10</t>
        </is>
      </c>
      <c r="BF110" s="68" t="inlineStr">
        <is>
          <t>Metadata normalized from internal workbook links</t>
        </is>
      </c>
      <c r="BG110" s="68" t="inlineStr">
        <is>
          <t>gudmar|2026-04-10</t>
        </is>
      </c>
      <c r="BH110" s="68" t="inlineStr">
        <is>
          <t>2026-04-10:auto-normalized</t>
        </is>
      </c>
      <c r="BI110" t="inlineStr">
        <is>
          <t>gudmar</t>
        </is>
      </c>
      <c r="BJ110" t="inlineStr">
        <is>
          <t>Gudmar</t>
        </is>
      </c>
      <c r="BK110" t="n">
        <v>1</v>
      </c>
      <c r="BL110" t="n">
        <v>1</v>
      </c>
      <c r="BM110" t="n">
        <v>3</v>
      </c>
      <c r="BN110" t="n">
        <v>7</v>
      </c>
      <c r="BO110" t="n">
        <v>100</v>
      </c>
      <c r="BP110" t="n">
        <v>8</v>
      </c>
      <c r="BQ110" t="n">
        <v>10</v>
      </c>
      <c r="BR110" t="n">
        <v>5</v>
      </c>
      <c r="BS110" t="inlineStr">
        <is>
          <t>Tier 1</t>
        </is>
      </c>
      <c r="BT110" t="n">
        <v>5</v>
      </c>
      <c r="BU110" t="inlineStr">
        <is>
          <t>FALSE</t>
        </is>
      </c>
      <c r="BV110" t="inlineStr">
        <is>
          <t>gudmar</t>
        </is>
      </c>
      <c r="BW110" t="inlineStr">
        <is>
          <t>TRUE</t>
        </is>
      </c>
      <c r="BX110" t="inlineStr">
        <is>
          <t>Pass 10 refreshed scoring from 1 mapped compounds | Pass 13 rescored from 1 mapped compounds</t>
        </is>
      </c>
      <c r="BY110" t="inlineStr">
        <is>
          <t>unclassified</t>
        </is>
      </c>
      <c r="CA110" t="n">
        <v>2</v>
      </c>
      <c r="CB110" t="n">
        <v>0</v>
      </c>
      <c r="CC110" t="n">
        <v>0</v>
      </c>
      <c r="CD110" t="inlineStr">
        <is>
          <t>gymnemic acids; unclassified</t>
        </is>
      </c>
      <c r="CE110" t="inlineStr">
        <is>
          <t>Pass 13 rescored after herb-name normalization and real top-herb compound sweep</t>
        </is>
      </c>
      <c r="CF110" t="inlineStr">
        <is>
          <t>General</t>
        </is>
      </c>
      <c r="CH110" s="68" t="inlineStr">
        <is>
          <t>Start with low single-herb exposure and increase only if tolerated</t>
        </is>
      </c>
      <c r="CI110" s="68" t="inlineStr">
        <is>
          <t>Product-ideation framing only; not clinical dosing advice.</t>
        </is>
      </c>
      <c r="CJ110" s="68" t="inlineStr">
        <is>
          <t>glucose-lowering</t>
        </is>
      </c>
      <c r="CK110" s="68" t="str"/>
      <c r="CL110" s="68" t="inlineStr">
        <is>
          <t>Baseline</t>
        </is>
      </c>
      <c r="CM110" s="68" t="inlineStr">
        <is>
          <t>No</t>
        </is>
      </c>
      <c r="CN110" s="68" t="str"/>
      <c r="CO110" s="68" t="inlineStr">
        <is>
          <t>Pass 21 herb-level safety and dose framing</t>
        </is>
      </c>
      <c r="CP110" t="inlineStr">
        <is>
          <t>Baseline</t>
        </is>
      </c>
      <c r="CQ110" t="inlineStr">
        <is>
          <t>No</t>
        </is>
      </c>
      <c r="CS110" t="inlineStr">
        <is>
          <t>Pass 22 refined safety rule severity and reduced broad keyword over-flagging</t>
        </is>
      </c>
      <c r="CT110" t="inlineStr">
        <is>
          <t>General</t>
        </is>
      </c>
      <c r="CU110" t="inlineStr">
        <is>
          <t>glycemic support</t>
        </is>
      </c>
      <c r="CV110" t="inlineStr">
        <is>
          <t>Human</t>
        </is>
      </c>
      <c r="CW110" t="inlineStr">
        <is>
          <t>Pass 26 normalization: categories, mechanisms, evidence tiers</t>
        </is>
      </c>
      <c r="CX110" t="inlineStr">
        <is>
          <t>Human + preclinical</t>
        </is>
      </c>
      <c r="CY110" t="inlineStr">
        <is>
          <t>Generally well tolerated.</t>
        </is>
      </c>
      <c r="CZ110" t="inlineStr">
        <is>
          <t>Use caution with glucose-lowering strategies</t>
        </is>
      </c>
      <c r="DB110" t="inlineStr">
        <is>
          <t>Pass 28 normalized evidence and safety-related free text</t>
        </is>
      </c>
      <c r="DD110" t="inlineStr">
        <is>
          <t>No standardized dose established; use conservative, product-dependent ranges.</t>
        </is>
      </c>
      <c r="DE110" t="inlineStr">
        <is>
          <t>Common forms include extracts, powders, or teas depending on herb part.</t>
        </is>
      </c>
      <c r="DF110" t="inlineStr">
        <is>
          <t>Quality varies by extraction method, standardization, and contamination risk.</t>
        </is>
      </c>
      <c r="DG110" t="inlineStr">
        <is>
          <t>Moderate to high</t>
        </is>
      </c>
      <c r="DH110" t="inlineStr">
        <is>
          <t>Pass 29 completeness repair</t>
        </is>
      </c>
      <c r="DI110" t="n">
        <v>9</v>
      </c>
      <c r="DJ110" t="inlineStr">
        <is>
          <t>General</t>
        </is>
      </c>
      <c r="DK110" t="inlineStr">
        <is>
          <t>gymnemic acids</t>
        </is>
      </c>
      <c r="DL110" t="inlineStr">
        <is>
          <t>Gymnema; Agarikon; Ajwain; Angelica Root; Artichoke</t>
        </is>
      </c>
      <c r="DM110" t="inlineStr">
        <is>
          <t>Pass 31 relationship intelligence: density, cluster, anchor class, nearest herbs</t>
        </is>
      </c>
      <c r="DN110" t="inlineStr">
        <is>
          <t>Gymnema; Agarikon; Ajwain; Angelica Root; Artichoke</t>
        </is>
      </c>
      <c r="DO110" t="inlineStr">
        <is>
          <t>Gymnema (1 shared compounds; 1 shared pathways) | Agarikon (1 shared pathways) | Ajwain (1 shared pathways)</t>
        </is>
      </c>
      <c r="DP110" t="inlineStr">
        <is>
          <t>Generalist</t>
        </is>
      </c>
      <c r="DQ110" t="inlineStr">
        <is>
          <t>Pass 32 substitute engine + cluster cleanup</t>
        </is>
      </c>
      <c r="DR110" t="inlineStr">
        <is>
          <t>Agarikon</t>
        </is>
      </c>
      <c r="DS110" t="inlineStr">
        <is>
          <t>Ajwain</t>
        </is>
      </c>
      <c r="DT110" t="inlineStr">
        <is>
          <t>same cluster; lower safety burden; similarity-backed</t>
        </is>
      </c>
      <c r="DU110" t="inlineStr">
        <is>
          <t>Not needed</t>
        </is>
      </c>
      <c r="DV110" t="inlineStr">
        <is>
          <t>Pass 33 fallback replacement engine</t>
        </is>
      </c>
      <c r="DW110" t="inlineStr">
        <is>
          <t>Angelica Root</t>
        </is>
      </c>
      <c r="DX110" t="inlineStr">
        <is>
          <t>Agarikon; Ajwain; Angelica Root; Gymnema; Ashoka; Blue Lotus; Artichoke; Rosemary</t>
        </is>
      </c>
      <c r="DY110" t="inlineStr">
        <is>
          <t>Pass 35 expanded fallback pool with second-pass candidate exploration</t>
        </is>
      </c>
      <c r="EA110" t="inlineStr">
        <is>
          <t>General</t>
        </is>
      </c>
      <c r="EB110" t="inlineStr">
        <is>
          <t>unclassified</t>
        </is>
      </c>
      <c r="EC110" t="inlineStr">
        <is>
          <t>High</t>
        </is>
      </c>
      <c r="ED110" t="inlineStr">
        <is>
          <t>Pass 40 reinforced weak-category herb data</t>
        </is>
      </c>
      <c r="EG110" t="n">
        <v>3</v>
      </c>
      <c r="EH110" t="n">
        <v>3</v>
      </c>
      <c r="EI110" t="n">
        <v>0</v>
      </c>
      <c r="EJ110" t="n">
        <v>0</v>
      </c>
      <c r="EK110" t="n">
        <v>11</v>
      </c>
      <c r="EL110" t="n">
        <v>7</v>
      </c>
      <c r="EM110" t="inlineStr">
        <is>
          <t>gymnemic acids</t>
        </is>
      </c>
      <c r="EN110" t="inlineStr">
        <is>
          <t>Pass 48 rolled compound scores into herb-level scoring</t>
        </is>
      </c>
    </row>
    <row r="111">
      <c r="A111" s="68" t="inlineStr">
        <is>
          <t>Roselle Seed</t>
        </is>
      </c>
      <c r="B111" s="68" t="inlineStr">
        <is>
          <t>roselle-seed</t>
        </is>
      </c>
      <c r="C111" s="68" t="inlineStr">
        <is>
          <t>Hibiscus sabdariffa</t>
        </is>
      </c>
      <c r="D111" s="68" t="inlineStr">
        <is>
          <t>herb</t>
        </is>
      </c>
      <c r="E111" s="68" t="inlineStr">
        <is>
          <t>seed</t>
        </is>
      </c>
      <c r="F111" s="68" t="inlineStr">
        <is>
          <t>seed</t>
        </is>
      </c>
      <c r="G111" s="68" t="inlineStr">
        <is>
          <t>roselle seed</t>
        </is>
      </c>
      <c r="H111" s="68" t="inlineStr">
        <is>
          <t>Africa and tropical regions</t>
        </is>
      </c>
      <c r="I111" s="68" t="inlineStr">
        <is>
          <t>Roselle seed is positioned for nutritive and antioxidant support.</t>
        </is>
      </c>
      <c r="J111" s="68" t="inlineStr">
        <is>
          <t>It should be framed distinctly from hibiscus calyx because seed and calyx use-cases differ.</t>
        </is>
      </c>
      <c r="K111" s="68" t="inlineStr">
        <is>
          <t>tocopherols; fatty acids</t>
        </is>
      </c>
      <c r="L111" s="68" t="inlineStr">
        <is>
          <t>tocopherols</t>
        </is>
      </c>
      <c r="M111" s="68" t="inlineStr">
        <is>
          <t>Seed lipids and antioxidants support nutritive positioning.</t>
        </is>
      </c>
      <c r="N111" s="68" t="inlineStr">
        <is>
          <t>nutritive support; antioxidant</t>
        </is>
      </c>
      <c r="O111" s="68" t="inlineStr">
        <is>
          <t>food/traditional use</t>
        </is>
      </c>
      <c r="P111" s="68" t="inlineStr">
        <is>
          <t>Generally well tolerated.</t>
        </is>
      </c>
      <c r="Q111" s="68" t="inlineStr">
        <is>
          <t>Avoid conflating seed with calyx evidence.</t>
        </is>
      </c>
      <c r="R111" s="68" t="n"/>
      <c r="S111" s="68" t="n"/>
      <c r="T111" s="68" t="n"/>
      <c r="U111" s="68" t="n"/>
      <c r="V111" s="68" t="n"/>
      <c r="W111" s="68" t="inlineStr">
        <is>
          <t>High</t>
        </is>
      </c>
      <c r="X111" s="68" t="inlineStr">
        <is>
          <t>partial</t>
        </is>
      </c>
      <c r="Y111" s="68" t="n"/>
      <c r="Z111" s="68" t="inlineStr">
        <is>
          <t>present</t>
        </is>
      </c>
      <c r="AA111" s="68" t="inlineStr">
        <is>
          <t>Internal workbook + enrichment queue</t>
        </is>
      </c>
      <c r="AB111" s="68" t="n"/>
      <c r="AC111" s="68" t="n"/>
      <c r="AD111" s="68" t="n"/>
      <c r="AE111" s="68" t="n"/>
      <c r="AF111" s="68" t="n"/>
      <c r="AG111" s="68" t="n">
        <v>3</v>
      </c>
      <c r="AH111" s="68" t="n">
        <v>1</v>
      </c>
      <c r="AI111" s="68" t="n">
        <v>3</v>
      </c>
      <c r="AJ111" s="68" t="n">
        <v>7</v>
      </c>
      <c r="AK111" s="68" t="inlineStr">
        <is>
          <t>Medium</t>
        </is>
      </c>
      <c r="AL111" s="68" t="n"/>
      <c r="AM111" s="68" t="inlineStr">
        <is>
          <t>Linked primary/secondary</t>
        </is>
      </c>
      <c r="AN111" s="68" t="n">
        <v>0.9</v>
      </c>
      <c r="AO111" s="68" t="inlineStr">
        <is>
          <t>Near ready</t>
        </is>
      </c>
      <c r="AP111" s="68" t="n"/>
      <c r="AQ111" s="68" t="n"/>
      <c r="AR111" s="68" t="inlineStr">
        <is>
          <t>Editorial polish</t>
        </is>
      </c>
      <c r="AS111" s="68" t="inlineStr">
        <is>
          <t>Not started</t>
        </is>
      </c>
      <c r="AT111" s="68" t="n"/>
      <c r="AU111" s="68" t="n"/>
      <c r="AV111" s="68" t="n"/>
      <c r="AW111" s="68" t="n"/>
      <c r="AX111" s="68" t="n"/>
      <c r="AY111" s="68" t="n"/>
      <c r="AZ111" s="68" t="n"/>
      <c r="BA111" s="68" t="n"/>
      <c r="BB111" s="68" t="n"/>
      <c r="BC111" s="68" t="n"/>
      <c r="BD111" s="68" t="n"/>
      <c r="BE111" s="68" t="inlineStr">
        <is>
          <t>2026-04-10</t>
        </is>
      </c>
      <c r="BF111" s="68" t="inlineStr">
        <is>
          <t>Metadata normalized from internal workbook links</t>
        </is>
      </c>
      <c r="BG111" s="68" t="inlineStr">
        <is>
          <t>roselle-seed|2026-04-10</t>
        </is>
      </c>
      <c r="BH111" s="68" t="inlineStr">
        <is>
          <t>2026-04-10:auto-normalized</t>
        </is>
      </c>
      <c r="BI111" t="inlineStr">
        <is>
          <t>roselle-seed</t>
        </is>
      </c>
      <c r="BJ111" t="inlineStr">
        <is>
          <t>Roselle Seed</t>
        </is>
      </c>
      <c r="BK111" t="n">
        <v>1</v>
      </c>
      <c r="BL111" t="n">
        <v>1</v>
      </c>
      <c r="BM111" t="n">
        <v>1</v>
      </c>
      <c r="BN111" t="n">
        <v>7</v>
      </c>
      <c r="BO111" t="n">
        <v>100</v>
      </c>
      <c r="BP111" t="n">
        <v>8</v>
      </c>
      <c r="BQ111" t="n">
        <v>10</v>
      </c>
      <c r="BR111" t="n">
        <v>5</v>
      </c>
      <c r="BS111" t="inlineStr">
        <is>
          <t>Tier 1</t>
        </is>
      </c>
      <c r="BT111" t="n">
        <v>5</v>
      </c>
      <c r="BU111" t="inlineStr">
        <is>
          <t>FALSE</t>
        </is>
      </c>
      <c r="BV111" t="inlineStr">
        <is>
          <t>roselle-seed</t>
        </is>
      </c>
      <c r="BW111" t="inlineStr">
        <is>
          <t>TRUE</t>
        </is>
      </c>
      <c r="BX111" t="inlineStr">
        <is>
          <t>Pass 10 refreshed scoring from 1 mapped compounds | Pass 13 rescored from 1 mapped compounds</t>
        </is>
      </c>
      <c r="BY111" t="inlineStr">
        <is>
          <t>oxidative stress reduction</t>
        </is>
      </c>
      <c r="CA111" t="n">
        <v>2</v>
      </c>
      <c r="CB111" t="n">
        <v>0</v>
      </c>
      <c r="CC111" t="n">
        <v>0</v>
      </c>
      <c r="CD111" t="inlineStr">
        <is>
          <t>tocopherols; oxidative stress reduction</t>
        </is>
      </c>
      <c r="CE111" t="inlineStr">
        <is>
          <t>Pass 13 rescored after herb-name normalization and real top-herb compound sweep</t>
        </is>
      </c>
      <c r="CF111" t="inlineStr">
        <is>
          <t>General</t>
        </is>
      </c>
      <c r="CG111" t="inlineStr">
        <is>
          <t>Recovery, Stress</t>
        </is>
      </c>
      <c r="CH111" s="68" t="inlineStr">
        <is>
          <t>Start low; usually evening or split use</t>
        </is>
      </c>
      <c r="CI111" s="68" t="inlineStr">
        <is>
          <t>Product-ideation framing only; not clinical dosing advice.</t>
        </is>
      </c>
      <c r="CJ111" s="68" t="str"/>
      <c r="CK111" s="68" t="str"/>
      <c r="CL111" s="68" t="inlineStr">
        <is>
          <t>Baseline</t>
        </is>
      </c>
      <c r="CM111" s="68" t="inlineStr">
        <is>
          <t>No</t>
        </is>
      </c>
      <c r="CN111" s="68" t="str"/>
      <c r="CO111" s="68" t="inlineStr">
        <is>
          <t>Pass 21 herb-level safety and dose framing</t>
        </is>
      </c>
      <c r="CP111" t="inlineStr">
        <is>
          <t>Baseline</t>
        </is>
      </c>
      <c r="CQ111" t="inlineStr">
        <is>
          <t>No</t>
        </is>
      </c>
      <c r="CS111" t="inlineStr">
        <is>
          <t>Pass 22 refined safety rule severity and reduced broad keyword over-flagging</t>
        </is>
      </c>
      <c r="CT111" t="inlineStr">
        <is>
          <t>General</t>
        </is>
      </c>
      <c r="CU111" t="inlineStr">
        <is>
          <t>antioxidant; nutritive support</t>
        </is>
      </c>
      <c r="CV111" t="inlineStr">
        <is>
          <t>Unknown</t>
        </is>
      </c>
      <c r="CW111" t="inlineStr">
        <is>
          <t>Pass 26 normalization: categories, mechanisms, evidence tiers</t>
        </is>
      </c>
      <c r="CX111" t="inlineStr">
        <is>
          <t>Traditional use</t>
        </is>
      </c>
      <c r="CY111" t="inlineStr">
        <is>
          <t>Generally well tolerated.</t>
        </is>
      </c>
      <c r="CZ111" t="inlineStr">
        <is>
          <t>Avoid conflating seed with calyx evidence</t>
        </is>
      </c>
      <c r="DB111" t="inlineStr">
        <is>
          <t>Pass 28 normalized evidence and safety-related free text</t>
        </is>
      </c>
      <c r="DD111" t="inlineStr">
        <is>
          <t>No standardized dose established; use conservative, product-dependent ranges.</t>
        </is>
      </c>
      <c r="DE111" t="inlineStr">
        <is>
          <t>Common forms include extracts, powders, or teas depending on herb part.</t>
        </is>
      </c>
      <c r="DF111" t="inlineStr">
        <is>
          <t>Quality varies by extraction method, standardization, and contamination risk.</t>
        </is>
      </c>
      <c r="DG111" t="inlineStr">
        <is>
          <t>Low</t>
        </is>
      </c>
      <c r="DH111" t="inlineStr">
        <is>
          <t>Pass 29 completeness repair</t>
        </is>
      </c>
      <c r="DI111" t="n">
        <v>9</v>
      </c>
      <c r="DJ111" t="inlineStr">
        <is>
          <t>Adaptogenic</t>
        </is>
      </c>
      <c r="DK111" t="inlineStr">
        <is>
          <t>tocopherols</t>
        </is>
      </c>
      <c r="DL111" t="inlineStr">
        <is>
          <t>Green Tea; Black Cohosh; Ginkgo Biloba; Artemisia Annua; Holy Basil</t>
        </is>
      </c>
      <c r="DM111" t="inlineStr">
        <is>
          <t>Pass 31 relationship intelligence: density, cluster, anchor class, nearest herbs</t>
        </is>
      </c>
      <c r="DP111" t="inlineStr">
        <is>
          <t>Stress / Adaptogenic</t>
        </is>
      </c>
      <c r="DQ111" t="inlineStr">
        <is>
          <t>Pass 32 substitute engine + cluster cleanup</t>
        </is>
      </c>
      <c r="DT111" t="inlineStr">
        <is>
          <t>no strong safe fallback found</t>
        </is>
      </c>
      <c r="DU111" t="inlineStr">
        <is>
          <t>Not needed</t>
        </is>
      </c>
      <c r="DV111" t="inlineStr">
        <is>
          <t>Pass 33 fallback replacement engine</t>
        </is>
      </c>
      <c r="DY111" t="inlineStr">
        <is>
          <t>Pass 35 expanded fallback pool with second-pass candidate exploration</t>
        </is>
      </c>
      <c r="EA111" t="inlineStr">
        <is>
          <t>Stress</t>
        </is>
      </c>
      <c r="EB111" t="inlineStr">
        <is>
          <t>oxidative stress reduction</t>
        </is>
      </c>
      <c r="EC111" t="inlineStr">
        <is>
          <t>High</t>
        </is>
      </c>
      <c r="ED111" t="inlineStr">
        <is>
          <t>Pass 40 reinforced weak-category herb data</t>
        </is>
      </c>
      <c r="EG111" t="n">
        <v>3</v>
      </c>
      <c r="EH111" t="n">
        <v>3</v>
      </c>
      <c r="EI111" t="n">
        <v>0</v>
      </c>
      <c r="EJ111" t="n">
        <v>0</v>
      </c>
      <c r="EK111" t="n">
        <v>11</v>
      </c>
      <c r="EL111" t="n">
        <v>7</v>
      </c>
      <c r="EM111" t="inlineStr">
        <is>
          <t>tocopherols</t>
        </is>
      </c>
      <c r="EN111" t="inlineStr">
        <is>
          <t>Pass 48 rolled compound scores into herb-level scoring</t>
        </is>
      </c>
    </row>
    <row r="112">
      <c r="A112" s="68" t="inlineStr">
        <is>
          <t>Tamarind</t>
        </is>
      </c>
      <c r="B112" s="68" t="inlineStr">
        <is>
          <t>tamarind</t>
        </is>
      </c>
      <c r="C112" s="68" t="inlineStr">
        <is>
          <t>Tamarindus indica</t>
        </is>
      </c>
      <c r="D112" s="68" t="inlineStr">
        <is>
          <t>herb</t>
        </is>
      </c>
      <c r="E112" s="68" t="inlineStr">
        <is>
          <t>fruit pulp</t>
        </is>
      </c>
      <c r="F112" s="68" t="inlineStr">
        <is>
          <t>fruit pulp</t>
        </is>
      </c>
      <c r="G112" s="68" t="inlineStr">
        <is>
          <t>tamarind</t>
        </is>
      </c>
      <c r="H112" s="68" t="inlineStr">
        <is>
          <t>Africa and tropical regions; cultivated globally</t>
        </is>
      </c>
      <c r="I112" s="68" t="inlineStr">
        <is>
          <t>Tamarind is positioned for digestive and antioxidant support.</t>
        </is>
      </c>
      <c r="J112" s="68" t="inlineStr">
        <is>
          <t>It is best framed as a food-form fruit with digestive and polyphenol relevance.</t>
        </is>
      </c>
      <c r="K112" s="68" t="inlineStr">
        <is>
          <t>tartaric acid; polyphenols</t>
        </is>
      </c>
      <c r="L112" s="68" t="inlineStr">
        <is>
          <t>tartaric acid</t>
        </is>
      </c>
      <c r="M112" s="68" t="inlineStr">
        <is>
          <t>Organic acids and polyphenols support digestive and antioxidant positioning.</t>
        </is>
      </c>
      <c r="N112" s="68" t="inlineStr">
        <is>
          <t>digestive support; antioxidant</t>
        </is>
      </c>
      <c r="O112" s="68" t="inlineStr">
        <is>
          <t>food/supplement literature</t>
        </is>
      </c>
      <c r="P112" s="68" t="inlineStr">
        <is>
          <t>Generally well tolerated.</t>
        </is>
      </c>
      <c r="Q112" s="68" t="inlineStr">
        <is>
          <t>Use caution with overextended laxative claims.</t>
        </is>
      </c>
      <c r="R112" s="68" t="n"/>
      <c r="S112" s="68" t="n"/>
      <c r="T112" s="68" t="n"/>
      <c r="U112" s="68" t="n"/>
      <c r="V112" s="68" t="n"/>
      <c r="W112" s="68" t="inlineStr">
        <is>
          <t>High</t>
        </is>
      </c>
      <c r="X112" s="68" t="inlineStr">
        <is>
          <t>partial</t>
        </is>
      </c>
      <c r="Y112" s="68" t="n"/>
      <c r="Z112" s="68" t="inlineStr">
        <is>
          <t>present</t>
        </is>
      </c>
      <c r="AA112" s="68" t="inlineStr">
        <is>
          <t>Internal workbook + enrichment queue</t>
        </is>
      </c>
      <c r="AB112" s="68" t="n"/>
      <c r="AC112" s="68" t="n"/>
      <c r="AD112" s="68" t="n"/>
      <c r="AE112" s="68" t="n"/>
      <c r="AF112" s="68" t="n"/>
      <c r="AG112" s="68" t="n">
        <v>3</v>
      </c>
      <c r="AH112" s="68" t="n">
        <v>1</v>
      </c>
      <c r="AI112" s="68" t="n">
        <v>3</v>
      </c>
      <c r="AJ112" s="68" t="n">
        <v>7</v>
      </c>
      <c r="AK112" s="68" t="inlineStr">
        <is>
          <t>Medium</t>
        </is>
      </c>
      <c r="AL112" s="68" t="n"/>
      <c r="AM112" s="68" t="inlineStr">
        <is>
          <t>Linked primary/secondary</t>
        </is>
      </c>
      <c r="AN112" s="68" t="n">
        <v>0.9</v>
      </c>
      <c r="AO112" s="68" t="inlineStr">
        <is>
          <t>Near ready</t>
        </is>
      </c>
      <c r="AP112" s="68" t="n"/>
      <c r="AQ112" s="68" t="n"/>
      <c r="AR112" s="68" t="inlineStr">
        <is>
          <t>Editorial polish</t>
        </is>
      </c>
      <c r="AS112" s="68" t="inlineStr">
        <is>
          <t>Not started</t>
        </is>
      </c>
      <c r="AT112" s="68" t="n"/>
      <c r="AU112" s="68" t="n"/>
      <c r="AV112" s="68" t="n"/>
      <c r="AW112" s="68" t="n"/>
      <c r="AX112" s="68" t="n"/>
      <c r="AY112" s="68" t="n"/>
      <c r="AZ112" s="68" t="n"/>
      <c r="BA112" s="68" t="n"/>
      <c r="BB112" s="68" t="n"/>
      <c r="BC112" s="68" t="n"/>
      <c r="BD112" s="68" t="n"/>
      <c r="BE112" s="68" t="inlineStr">
        <is>
          <t>2026-04-10</t>
        </is>
      </c>
      <c r="BF112" s="68" t="inlineStr">
        <is>
          <t>Metadata normalized from internal workbook links</t>
        </is>
      </c>
      <c r="BG112" s="68" t="inlineStr">
        <is>
          <t>tamarind|2026-04-10</t>
        </is>
      </c>
      <c r="BH112" s="68" t="inlineStr">
        <is>
          <t>2026-04-10:auto-normalized</t>
        </is>
      </c>
      <c r="BI112" t="inlineStr">
        <is>
          <t>tamarind</t>
        </is>
      </c>
      <c r="BJ112" t="inlineStr">
        <is>
          <t>Tamarind</t>
        </is>
      </c>
      <c r="BK112" t="n">
        <v>1</v>
      </c>
      <c r="BL112" t="n">
        <v>1</v>
      </c>
      <c r="BM112" t="n">
        <v>1</v>
      </c>
      <c r="BN112" t="n">
        <v>7</v>
      </c>
      <c r="BO112" t="n">
        <v>100</v>
      </c>
      <c r="BP112" t="n">
        <v>8</v>
      </c>
      <c r="BQ112" t="n">
        <v>10</v>
      </c>
      <c r="BR112" t="n">
        <v>5</v>
      </c>
      <c r="BS112" t="inlineStr">
        <is>
          <t>Tier 1</t>
        </is>
      </c>
      <c r="BT112" t="n">
        <v>5</v>
      </c>
      <c r="BU112" t="inlineStr">
        <is>
          <t>FALSE</t>
        </is>
      </c>
      <c r="BV112" t="inlineStr">
        <is>
          <t>tamarind</t>
        </is>
      </c>
      <c r="BW112" t="inlineStr">
        <is>
          <t>TRUE</t>
        </is>
      </c>
      <c r="BX112" t="inlineStr">
        <is>
          <t>Pass 10 refreshed scoring from 1 mapped compounds | Pass 13 rescored from 1 mapped compounds</t>
        </is>
      </c>
      <c r="BY112" t="inlineStr">
        <is>
          <t>unclassified</t>
        </is>
      </c>
      <c r="CA112" t="n">
        <v>2</v>
      </c>
      <c r="CB112" t="n">
        <v>0</v>
      </c>
      <c r="CC112" t="n">
        <v>0</v>
      </c>
      <c r="CD112" t="inlineStr">
        <is>
          <t>tartaric acid; unclassified</t>
        </is>
      </c>
      <c r="CE112" t="inlineStr">
        <is>
          <t>Pass 13 rescored after herb-name normalization and real top-herb compound sweep</t>
        </is>
      </c>
      <c r="CF112" t="inlineStr">
        <is>
          <t>General</t>
        </is>
      </c>
      <c r="CH112" s="68" t="inlineStr">
        <is>
          <t>Start with low single-herb exposure and increase only if tolerated</t>
        </is>
      </c>
      <c r="CI112" s="68" t="inlineStr">
        <is>
          <t>Product-ideation framing only; not clinical dosing advice.</t>
        </is>
      </c>
      <c r="CJ112" s="68" t="str"/>
      <c r="CK112" s="68" t="str"/>
      <c r="CL112" s="68" t="inlineStr">
        <is>
          <t>Baseline</t>
        </is>
      </c>
      <c r="CM112" s="68" t="inlineStr">
        <is>
          <t>No</t>
        </is>
      </c>
      <c r="CN112" s="68" t="str"/>
      <c r="CO112" s="68" t="inlineStr">
        <is>
          <t>Pass 21 herb-level safety and dose framing</t>
        </is>
      </c>
      <c r="CP112" t="inlineStr">
        <is>
          <t>Baseline</t>
        </is>
      </c>
      <c r="CQ112" t="inlineStr">
        <is>
          <t>No</t>
        </is>
      </c>
      <c r="CS112" t="inlineStr">
        <is>
          <t>Pass 22 refined safety rule severity and reduced broad keyword over-flagging</t>
        </is>
      </c>
      <c r="CT112" t="inlineStr">
        <is>
          <t>General</t>
        </is>
      </c>
      <c r="CU112" t="inlineStr">
        <is>
          <t>antioxidant; digestive support</t>
        </is>
      </c>
      <c r="CV112" t="inlineStr">
        <is>
          <t>Unknown</t>
        </is>
      </c>
      <c r="CW112" t="inlineStr">
        <is>
          <t>Pass 26 normalization: categories, mechanisms, evidence tiers</t>
        </is>
      </c>
      <c r="CX112" t="inlineStr">
        <is>
          <t>Food/supplement literature</t>
        </is>
      </c>
      <c r="CY112" t="inlineStr">
        <is>
          <t>Generally well tolerated.</t>
        </is>
      </c>
      <c r="CZ112" t="inlineStr">
        <is>
          <t>Use caution with overextended laxative claims</t>
        </is>
      </c>
      <c r="DB112" t="inlineStr">
        <is>
          <t>Pass 28 normalized evidence and safety-related free text</t>
        </is>
      </c>
      <c r="DD112" t="inlineStr">
        <is>
          <t>No standardized dose established; use conservative, product-dependent ranges.</t>
        </is>
      </c>
      <c r="DE112" t="inlineStr">
        <is>
          <t>Common forms include extracts, powders, or teas depending on herb part.</t>
        </is>
      </c>
      <c r="DF112" t="inlineStr">
        <is>
          <t>Quality varies by extraction method, standardization, and contamination risk.</t>
        </is>
      </c>
      <c r="DG112" t="inlineStr">
        <is>
          <t>Low</t>
        </is>
      </c>
      <c r="DH112" t="inlineStr">
        <is>
          <t>Pass 29 completeness repair</t>
        </is>
      </c>
      <c r="DI112" t="n">
        <v>9</v>
      </c>
      <c r="DJ112" t="inlineStr">
        <is>
          <t>General</t>
        </is>
      </c>
      <c r="DK112" t="inlineStr">
        <is>
          <t>tartaric acid</t>
        </is>
      </c>
      <c r="DL112" t="inlineStr">
        <is>
          <t>Agarikon; Ajwain; Angelica Root; Artichoke; Ashoka</t>
        </is>
      </c>
      <c r="DM112" t="inlineStr">
        <is>
          <t>Pass 31 relationship intelligence: density, cluster, anchor class, nearest herbs</t>
        </is>
      </c>
      <c r="DN112" t="inlineStr">
        <is>
          <t>Agarikon; Ajwain; Angelica Root; Artichoke; Ashoka</t>
        </is>
      </c>
      <c r="DO112" t="inlineStr">
        <is>
          <t>Agarikon (1 shared pathways) | Ajwain (1 shared pathways) | Angelica Root (1 shared pathways)</t>
        </is>
      </c>
      <c r="DP112" t="inlineStr">
        <is>
          <t>Generalist</t>
        </is>
      </c>
      <c r="DQ112" t="inlineStr">
        <is>
          <t>Pass 32 substitute engine + cluster cleanup</t>
        </is>
      </c>
      <c r="DR112" t="inlineStr">
        <is>
          <t>Agarikon</t>
        </is>
      </c>
      <c r="DS112" t="inlineStr">
        <is>
          <t>Ajwain</t>
        </is>
      </c>
      <c r="DT112" t="inlineStr">
        <is>
          <t>same cluster; lower safety burden; similarity-backed</t>
        </is>
      </c>
      <c r="DU112" t="inlineStr">
        <is>
          <t>Not needed</t>
        </is>
      </c>
      <c r="DV112" t="inlineStr">
        <is>
          <t>Pass 33 fallback replacement engine</t>
        </is>
      </c>
      <c r="DW112" t="inlineStr">
        <is>
          <t>Angelica Root</t>
        </is>
      </c>
      <c r="DX112" t="inlineStr">
        <is>
          <t>Agarikon; Ajwain; Angelica Root; Ashoka; Blue Lotus; Artichoke; Rosemary; Sage</t>
        </is>
      </c>
      <c r="DY112" t="inlineStr">
        <is>
          <t>Pass 35 expanded fallback pool with second-pass candidate exploration</t>
        </is>
      </c>
      <c r="EA112" t="inlineStr">
        <is>
          <t>General</t>
        </is>
      </c>
      <c r="EB112" t="inlineStr">
        <is>
          <t>unclassified</t>
        </is>
      </c>
      <c r="EC112" t="inlineStr">
        <is>
          <t>High</t>
        </is>
      </c>
      <c r="ED112" t="inlineStr">
        <is>
          <t>Pass 40 reinforced weak-category herb data</t>
        </is>
      </c>
      <c r="EG112" t="n">
        <v>3</v>
      </c>
      <c r="EH112" t="n">
        <v>3</v>
      </c>
      <c r="EI112" t="n">
        <v>0</v>
      </c>
      <c r="EJ112" t="n">
        <v>0</v>
      </c>
      <c r="EK112" t="n">
        <v>11</v>
      </c>
      <c r="EL112" t="n">
        <v>7</v>
      </c>
      <c r="EM112" t="inlineStr">
        <is>
          <t>tartaric acid</t>
        </is>
      </c>
      <c r="EN112" t="inlineStr">
        <is>
          <t>Pass 48 rolled compound scores into herb-level scoring</t>
        </is>
      </c>
    </row>
    <row r="113">
      <c r="A113" s="68" t="inlineStr">
        <is>
          <t>Rhodiola</t>
        </is>
      </c>
      <c r="B113" s="68" t="inlineStr">
        <is>
          <t>rhodiola</t>
        </is>
      </c>
      <c r="C113" s="68" t="inlineStr">
        <is>
          <t>Rhodiola rosea</t>
        </is>
      </c>
      <c r="D113" s="68" t="inlineStr">
        <is>
          <t>adaptogen</t>
        </is>
      </c>
      <c r="E113" s="68" t="inlineStr">
        <is>
          <t>root</t>
        </is>
      </c>
      <c r="F113" s="68" t="inlineStr">
        <is>
          <t>root</t>
        </is>
      </c>
      <c r="G113" s="68" t="inlineStr">
        <is>
          <t>rhodiola</t>
        </is>
      </c>
      <c r="H113" s="68" t="inlineStr">
        <is>
          <t>Global</t>
        </is>
      </c>
      <c r="I113" s="68" t="inlineStr">
        <is>
          <t>Stress resilience herb.</t>
        </is>
      </c>
      <c r="J113" s="68" t="inlineStr">
        <is>
          <t>Adaptogenic stress modulation.</t>
        </is>
      </c>
      <c r="K113" s="68" t="inlineStr">
        <is>
          <t>rosavins; salidroside</t>
        </is>
      </c>
      <c r="L113" s="68" t="inlineStr">
        <is>
          <t>rosavins</t>
        </is>
      </c>
      <c r="M113" s="68" t="inlineStr">
        <is>
          <t>HPA axis modulation</t>
        </is>
      </c>
      <c r="N113" s="68" t="inlineStr">
        <is>
          <t>adaptogen; fatigue resistance; cognitive support</t>
        </is>
      </c>
      <c r="O113" s="68" t="inlineStr">
        <is>
          <t>human</t>
        </is>
      </c>
      <c r="P113" s="68" t="inlineStr">
        <is>
          <t>Safe</t>
        </is>
      </c>
      <c r="Q113" s="68" t="inlineStr">
        <is>
          <t>Dose dependent</t>
        </is>
      </c>
      <c r="R113" s="68" t="n"/>
      <c r="S113" s="68" t="n"/>
      <c r="T113" s="68" t="n"/>
      <c r="U113" s="68" t="n"/>
      <c r="V113" s="68" t="n"/>
      <c r="W113" s="68" t="inlineStr">
        <is>
          <t>High</t>
        </is>
      </c>
      <c r="X113" s="68" t="inlineStr">
        <is>
          <t>validated</t>
        </is>
      </c>
      <c r="Y113" s="68" t="n"/>
      <c r="Z113" s="68" t="inlineStr">
        <is>
          <t>present</t>
        </is>
      </c>
      <c r="AA113" s="68" t="inlineStr">
        <is>
          <t>Internal workbook + enrichment queue</t>
        </is>
      </c>
      <c r="AB113" s="68" t="n"/>
      <c r="AC113" s="68" t="n"/>
      <c r="AD113" s="68" t="n"/>
      <c r="AE113" s="68" t="n"/>
      <c r="AF113" s="68" t="n"/>
      <c r="AG113" s="68" t="n">
        <v>3</v>
      </c>
      <c r="AH113" s="68" t="n">
        <v>2</v>
      </c>
      <c r="AI113" s="68" t="n">
        <v>3</v>
      </c>
      <c r="AJ113" s="68" t="n">
        <v>8</v>
      </c>
      <c r="AK113" s="68" t="inlineStr">
        <is>
          <t>Medium</t>
        </is>
      </c>
      <c r="AL113" s="68" t="n"/>
      <c r="AM113" s="68" t="inlineStr">
        <is>
          <t>Linked primary/secondary</t>
        </is>
      </c>
      <c r="AN113" s="68" t="n">
        <v>0.9</v>
      </c>
      <c r="AO113" s="68" t="inlineStr">
        <is>
          <t>Ready</t>
        </is>
      </c>
      <c r="AP113" s="68" t="n"/>
      <c r="AQ113" s="68" t="n"/>
      <c r="AR113" s="68" t="inlineStr">
        <is>
          <t>Ready for QA</t>
        </is>
      </c>
      <c r="AS113" s="68" t="inlineStr">
        <is>
          <t>Not started</t>
        </is>
      </c>
      <c r="AT113" s="68" t="n"/>
      <c r="AU113" s="68" t="n"/>
      <c r="AV113" s="68" t="n"/>
      <c r="AW113" s="68" t="n"/>
      <c r="AX113" s="68" t="n"/>
      <c r="AY113" s="68" t="n"/>
      <c r="AZ113" s="68" t="n"/>
      <c r="BA113" s="68" t="n"/>
      <c r="BB113" s="68" t="n"/>
      <c r="BC113" s="68" t="n"/>
      <c r="BD113" s="68" t="n"/>
      <c r="BE113" s="68" t="inlineStr">
        <is>
          <t>2026-04-10</t>
        </is>
      </c>
      <c r="BF113" s="68" t="inlineStr">
        <is>
          <t>Metadata normalized from internal workbook links</t>
        </is>
      </c>
      <c r="BG113" s="68" t="inlineStr">
        <is>
          <t>rhodiola|2026-04-10</t>
        </is>
      </c>
      <c r="BH113" s="68" t="inlineStr">
        <is>
          <t>2026-04-10:auto-normalized</t>
        </is>
      </c>
      <c r="BI113" t="inlineStr">
        <is>
          <t>rhodiola</t>
        </is>
      </c>
      <c r="BJ113" t="inlineStr">
        <is>
          <t>Rhodiola</t>
        </is>
      </c>
      <c r="BK113" t="n">
        <v>1</v>
      </c>
      <c r="BL113" t="n">
        <v>1</v>
      </c>
      <c r="BM113" t="n">
        <v>3</v>
      </c>
      <c r="BN113" t="n">
        <v>7</v>
      </c>
      <c r="BO113" t="n">
        <v>100</v>
      </c>
      <c r="BP113" t="n">
        <v>8</v>
      </c>
      <c r="BQ113" t="n">
        <v>10</v>
      </c>
      <c r="BR113" t="n">
        <v>5</v>
      </c>
      <c r="BS113" t="inlineStr">
        <is>
          <t>Tier 1</t>
        </is>
      </c>
      <c r="BT113" t="n">
        <v>5</v>
      </c>
      <c r="BU113" t="inlineStr">
        <is>
          <t>FALSE</t>
        </is>
      </c>
      <c r="BV113" t="inlineStr">
        <is>
          <t>rhodiola</t>
        </is>
      </c>
      <c r="BW113" t="inlineStr">
        <is>
          <t>TRUE</t>
        </is>
      </c>
      <c r="BX113" t="inlineStr">
        <is>
          <t>Pass 10 refreshed scoring from 1 mapped compounds | Pass 13 rescored from 1 mapped compounds</t>
        </is>
      </c>
      <c r="BY113" t="inlineStr">
        <is>
          <t>unclassified</t>
        </is>
      </c>
      <c r="CA113" t="n">
        <v>2</v>
      </c>
      <c r="CB113" t="n">
        <v>0</v>
      </c>
      <c r="CC113" t="n">
        <v>0</v>
      </c>
      <c r="CD113" t="inlineStr">
        <is>
          <t>salidroside; unclassified</t>
        </is>
      </c>
      <c r="CE113" t="inlineStr">
        <is>
          <t>Pass 13 rescored after herb-name normalization and real top-herb compound sweep</t>
        </is>
      </c>
      <c r="CF113" t="inlineStr">
        <is>
          <t>General</t>
        </is>
      </c>
      <c r="CH113" s="68" t="inlineStr">
        <is>
          <t>Start with low single-herb exposure and increase only if tolerated</t>
        </is>
      </c>
      <c r="CI113" s="68" t="inlineStr">
        <is>
          <t>Product-ideation framing only; not clinical dosing advice.</t>
        </is>
      </c>
      <c r="CJ113" s="68" t="str"/>
      <c r="CK113" s="68" t="str"/>
      <c r="CL113" s="68" t="inlineStr">
        <is>
          <t>Baseline</t>
        </is>
      </c>
      <c r="CM113" s="68" t="inlineStr">
        <is>
          <t>No</t>
        </is>
      </c>
      <c r="CN113" s="68" t="str"/>
      <c r="CO113" s="68" t="inlineStr">
        <is>
          <t>Pass 21 herb-level safety and dose framing</t>
        </is>
      </c>
      <c r="CP113" t="inlineStr">
        <is>
          <t>Baseline</t>
        </is>
      </c>
      <c r="CQ113" t="inlineStr">
        <is>
          <t>No</t>
        </is>
      </c>
      <c r="CS113" t="inlineStr">
        <is>
          <t>Pass 22 refined safety rule severity and reduced broad keyword over-flagging</t>
        </is>
      </c>
      <c r="CT113" t="inlineStr">
        <is>
          <t>Stress</t>
        </is>
      </c>
      <c r="CU113" t="inlineStr">
        <is>
          <t>adaptogen; cognitive support; fatigue resistance</t>
        </is>
      </c>
      <c r="CV113" t="inlineStr">
        <is>
          <t>Human</t>
        </is>
      </c>
      <c r="CW113" t="inlineStr">
        <is>
          <t>Pass 26 normalization: categories, mechanisms, evidence tiers</t>
        </is>
      </c>
      <c r="CX113" t="inlineStr">
        <is>
          <t>Human</t>
        </is>
      </c>
      <c r="CY113" t="inlineStr">
        <is>
          <t>Safe</t>
        </is>
      </c>
      <c r="CZ113" t="inlineStr">
        <is>
          <t>Dose dependent</t>
        </is>
      </c>
      <c r="DB113" t="inlineStr">
        <is>
          <t>Pass 28 normalized evidence and safety-related free text</t>
        </is>
      </c>
      <c r="DD113" t="inlineStr">
        <is>
          <t>No standardized dose established; use conservative, product-dependent ranges.</t>
        </is>
      </c>
      <c r="DE113" t="inlineStr">
        <is>
          <t>Common forms include extracts, powders, or teas depending on herb part.</t>
        </is>
      </c>
      <c r="DF113" t="inlineStr">
        <is>
          <t>Quality varies by extraction method, standardization, and contamination risk.</t>
        </is>
      </c>
      <c r="DG113" t="inlineStr">
        <is>
          <t>Moderate to high</t>
        </is>
      </c>
      <c r="DH113" t="inlineStr">
        <is>
          <t>Pass 29 completeness repair</t>
        </is>
      </c>
      <c r="DI113" t="n">
        <v>9</v>
      </c>
      <c r="DJ113" t="inlineStr">
        <is>
          <t>Adaptogenic</t>
        </is>
      </c>
      <c r="DK113" t="inlineStr">
        <is>
          <t>salidroside</t>
        </is>
      </c>
      <c r="DL113" t="inlineStr">
        <is>
          <t>Holy Basil; Holy Basil Purple; Maca; Maral Root; Rhodiola Rosea</t>
        </is>
      </c>
      <c r="DM113" t="inlineStr">
        <is>
          <t>Pass 31 relationship intelligence: density, cluster, anchor class, nearest herbs</t>
        </is>
      </c>
      <c r="DN113" t="inlineStr">
        <is>
          <t>Holy Basil; Holy Basil Purple</t>
        </is>
      </c>
      <c r="DO113" t="inlineStr">
        <is>
          <t>Holy Basil (1 shared pathways) | Holy Basil Purple (1 shared pathways)</t>
        </is>
      </c>
      <c r="DP113" t="inlineStr">
        <is>
          <t>Stress / Adaptogenic</t>
        </is>
      </c>
      <c r="DQ113" t="inlineStr">
        <is>
          <t>Pass 32 substitute engine + cluster cleanup</t>
        </is>
      </c>
      <c r="DR113" t="inlineStr">
        <is>
          <t>Holy Basil Purple</t>
        </is>
      </c>
      <c r="DS113" t="inlineStr">
        <is>
          <t>Holy Basil</t>
        </is>
      </c>
      <c r="DT113" t="inlineStr">
        <is>
          <t>same cluster; lower safety burden; similarity-backed</t>
        </is>
      </c>
      <c r="DU113" t="inlineStr">
        <is>
          <t>Not needed</t>
        </is>
      </c>
      <c r="DV113" t="inlineStr">
        <is>
          <t>Pass 33 fallback replacement engine</t>
        </is>
      </c>
      <c r="DW113" t="inlineStr">
        <is>
          <t>Maral Root</t>
        </is>
      </c>
      <c r="DX113" t="inlineStr">
        <is>
          <t>Holy Basil Purple; Maca; Maral Root; Holy Basil; Rhodiola Rosea</t>
        </is>
      </c>
      <c r="DY113" t="inlineStr">
        <is>
          <t>Pass 35 expanded fallback pool with second-pass candidate exploration</t>
        </is>
      </c>
      <c r="EA113" t="inlineStr">
        <is>
          <t>Stress</t>
        </is>
      </c>
      <c r="EB113" t="inlineStr">
        <is>
          <t>unclassified</t>
        </is>
      </c>
      <c r="EC113" t="inlineStr">
        <is>
          <t>High</t>
        </is>
      </c>
      <c r="ED113" t="inlineStr">
        <is>
          <t>Pass 40 reinforced weak-category herb data</t>
        </is>
      </c>
      <c r="EE113" t="inlineStr">
        <is>
          <t>Pass 42 added real compounds for weak-category reinforcement</t>
        </is>
      </c>
      <c r="EG113" t="n">
        <v>40</v>
      </c>
      <c r="EH113" t="n">
        <v>8</v>
      </c>
      <c r="EI113" t="n">
        <v>0</v>
      </c>
      <c r="EJ113" t="n">
        <v>5</v>
      </c>
      <c r="EK113" t="n">
        <v>66</v>
      </c>
      <c r="EL113" t="n">
        <v>63</v>
      </c>
      <c r="EM113" t="inlineStr">
        <is>
          <t>Rosarin; Rosavin; Rosin; Salidroside; Tyrosol</t>
        </is>
      </c>
      <c r="EN113" t="inlineStr">
        <is>
          <t>Pass 48 rolled compound scores into herb-level scoring</t>
        </is>
      </c>
    </row>
    <row r="114">
      <c r="A114" s="68" t="inlineStr">
        <is>
          <t>Cordyceps</t>
        </is>
      </c>
      <c r="B114" s="68" t="inlineStr">
        <is>
          <t>cordyceps</t>
        </is>
      </c>
      <c r="C114" s="68" t="inlineStr">
        <is>
          <t>Cordyceps militaris</t>
        </is>
      </c>
      <c r="D114" s="68" t="inlineStr">
        <is>
          <t>fungi</t>
        </is>
      </c>
      <c r="E114" s="68" t="inlineStr">
        <is>
          <t>fruiting body</t>
        </is>
      </c>
      <c r="F114" s="68" t="inlineStr">
        <is>
          <t>fruiting body</t>
        </is>
      </c>
      <c r="G114" s="68" t="inlineStr">
        <is>
          <t>cordyceps</t>
        </is>
      </c>
      <c r="H114" s="68" t="inlineStr">
        <is>
          <t>Asia</t>
        </is>
      </c>
      <c r="I114" s="68" t="inlineStr">
        <is>
          <t>Energy-support fungus.</t>
        </is>
      </c>
      <c r="J114" s="68" t="inlineStr">
        <is>
          <t>ATP / mitochondrial support.</t>
        </is>
      </c>
      <c r="K114" s="68" t="inlineStr">
        <is>
          <t>cordycepin</t>
        </is>
      </c>
      <c r="L114" s="68" t="inlineStr">
        <is>
          <t>cordycepin</t>
        </is>
      </c>
      <c r="M114" s="68" t="inlineStr">
        <is>
          <t>AMPK signaling</t>
        </is>
      </c>
      <c r="N114" s="68" t="inlineStr">
        <is>
          <t>AMPK</t>
        </is>
      </c>
      <c r="O114" s="68" t="inlineStr">
        <is>
          <t>human</t>
        </is>
      </c>
      <c r="P114" s="68" t="inlineStr">
        <is>
          <t>Safe</t>
        </is>
      </c>
      <c r="Q114" s="68" t="inlineStr">
        <is>
          <t>Generally well tolerated</t>
        </is>
      </c>
      <c r="R114" s="68" t="n"/>
      <c r="S114" s="68" t="n"/>
      <c r="T114" s="68" t="n"/>
      <c r="U114" s="68" t="n"/>
      <c r="V114" s="68" t="n"/>
      <c r="W114" s="68" t="inlineStr">
        <is>
          <t>High</t>
        </is>
      </c>
      <c r="X114" s="68" t="inlineStr">
        <is>
          <t>partial</t>
        </is>
      </c>
      <c r="Y114" s="68" t="n"/>
      <c r="Z114" s="68" t="inlineStr">
        <is>
          <t>present</t>
        </is>
      </c>
      <c r="AA114" s="68" t="inlineStr">
        <is>
          <t>Internal workbook + enrichment queue</t>
        </is>
      </c>
      <c r="AB114" s="68" t="n"/>
      <c r="AC114" s="68" t="n"/>
      <c r="AD114" s="68" t="n"/>
      <c r="AE114" s="68" t="n"/>
      <c r="AF114" s="68" t="n"/>
      <c r="AG114" s="68" t="n">
        <v>3</v>
      </c>
      <c r="AH114" s="68" t="n">
        <v>1</v>
      </c>
      <c r="AI114" s="68" t="n">
        <v>3</v>
      </c>
      <c r="AJ114" s="68" t="n">
        <v>7</v>
      </c>
      <c r="AK114" s="68" t="inlineStr">
        <is>
          <t>Medium</t>
        </is>
      </c>
      <c r="AL114" s="68" t="n"/>
      <c r="AM114" s="68" t="inlineStr">
        <is>
          <t>Linked primary/secondary</t>
        </is>
      </c>
      <c r="AN114" s="68" t="n">
        <v>0.9</v>
      </c>
      <c r="AO114" s="68" t="inlineStr">
        <is>
          <t>Near ready</t>
        </is>
      </c>
      <c r="AP114" s="68" t="n"/>
      <c r="AQ114" s="68" t="n"/>
      <c r="AR114" s="68" t="inlineStr">
        <is>
          <t>Editorial polish</t>
        </is>
      </c>
      <c r="AS114" s="68" t="inlineStr">
        <is>
          <t>Not started</t>
        </is>
      </c>
      <c r="AT114" s="68" t="n"/>
      <c r="AU114" s="68" t="n"/>
      <c r="AV114" s="68" t="n"/>
      <c r="AW114" s="68" t="n"/>
      <c r="AX114" s="68" t="n"/>
      <c r="AY114" s="68" t="n"/>
      <c r="AZ114" s="68" t="n"/>
      <c r="BA114" s="68" t="n"/>
      <c r="BB114" s="68" t="n"/>
      <c r="BC114" s="68" t="n"/>
      <c r="BD114" s="68" t="n"/>
      <c r="BE114" s="68" t="inlineStr">
        <is>
          <t>2026-04-10</t>
        </is>
      </c>
      <c r="BF114" s="68" t="inlineStr">
        <is>
          <t>Metadata normalized from internal workbook links</t>
        </is>
      </c>
      <c r="BG114" s="68" t="inlineStr">
        <is>
          <t>cordyceps|2026-04-10</t>
        </is>
      </c>
      <c r="BH114" s="68" t="inlineStr">
        <is>
          <t>2026-04-10:auto-normalized</t>
        </is>
      </c>
      <c r="BI114" t="inlineStr">
        <is>
          <t>cordyceps</t>
        </is>
      </c>
      <c r="BJ114" t="inlineStr">
        <is>
          <t>Cordyceps</t>
        </is>
      </c>
      <c r="BK114" t="n">
        <v>1</v>
      </c>
      <c r="BL114" t="n">
        <v>1</v>
      </c>
      <c r="BM114" t="n">
        <v>3</v>
      </c>
      <c r="BN114" t="n">
        <v>7</v>
      </c>
      <c r="BO114" t="n">
        <v>100</v>
      </c>
      <c r="BP114" t="n">
        <v>8</v>
      </c>
      <c r="BQ114" t="n">
        <v>10</v>
      </c>
      <c r="BR114" t="n">
        <v>5</v>
      </c>
      <c r="BS114" t="inlineStr">
        <is>
          <t>Tier 1</t>
        </is>
      </c>
      <c r="BT114" t="n">
        <v>5</v>
      </c>
      <c r="BU114" t="inlineStr">
        <is>
          <t>FALSE</t>
        </is>
      </c>
      <c r="BV114" t="inlineStr">
        <is>
          <t>cordyceps</t>
        </is>
      </c>
      <c r="BW114" t="inlineStr">
        <is>
          <t>TRUE</t>
        </is>
      </c>
      <c r="BX114" t="inlineStr">
        <is>
          <t>Pass 10 refreshed scoring from 1 mapped compounds | Pass 13 rescored from 1 mapped compounds</t>
        </is>
      </c>
      <c r="BY114" t="inlineStr">
        <is>
          <t>unclassified</t>
        </is>
      </c>
      <c r="CA114" t="n">
        <v>2</v>
      </c>
      <c r="CB114" t="n">
        <v>0</v>
      </c>
      <c r="CC114" t="n">
        <v>0</v>
      </c>
      <c r="CD114" t="inlineStr">
        <is>
          <t>cordycepin; unclassified</t>
        </is>
      </c>
      <c r="CE114" t="inlineStr">
        <is>
          <t>Pass 13 rescored after herb-name normalization and real top-herb compound sweep</t>
        </is>
      </c>
      <c r="CF114" t="inlineStr">
        <is>
          <t>General</t>
        </is>
      </c>
      <c r="CH114" s="68" t="inlineStr">
        <is>
          <t>Start with low single-herb exposure and increase only if tolerated</t>
        </is>
      </c>
      <c r="CI114" s="68" t="inlineStr">
        <is>
          <t>Product-ideation framing only; not clinical dosing advice.</t>
        </is>
      </c>
      <c r="CJ114" s="68" t="str"/>
      <c r="CK114" s="68" t="str"/>
      <c r="CL114" s="68" t="inlineStr">
        <is>
          <t>Baseline</t>
        </is>
      </c>
      <c r="CM114" s="68" t="inlineStr">
        <is>
          <t>No</t>
        </is>
      </c>
      <c r="CN114" s="68" t="str"/>
      <c r="CO114" s="68" t="inlineStr">
        <is>
          <t>Pass 21 herb-level safety and dose framing</t>
        </is>
      </c>
      <c r="CP114" t="inlineStr">
        <is>
          <t>Baseline</t>
        </is>
      </c>
      <c r="CQ114" t="inlineStr">
        <is>
          <t>No</t>
        </is>
      </c>
      <c r="CS114" t="inlineStr">
        <is>
          <t>Pass 22 refined safety rule severity and reduced broad keyword over-flagging</t>
        </is>
      </c>
      <c r="CT114" t="inlineStr">
        <is>
          <t>General</t>
        </is>
      </c>
      <c r="CU114" t="inlineStr">
        <is>
          <t>ampk</t>
        </is>
      </c>
      <c r="CV114" t="inlineStr">
        <is>
          <t>Human</t>
        </is>
      </c>
      <c r="CW114" t="inlineStr">
        <is>
          <t>Pass 26 normalization: categories, mechanisms, evidence tiers</t>
        </is>
      </c>
      <c r="CX114" t="inlineStr">
        <is>
          <t>Human</t>
        </is>
      </c>
      <c r="CY114" t="inlineStr">
        <is>
          <t>Safe</t>
        </is>
      </c>
      <c r="CZ114" t="inlineStr">
        <is>
          <t>Generally well tolerated</t>
        </is>
      </c>
      <c r="DB114" t="inlineStr">
        <is>
          <t>Pass 28 normalized evidence and safety-related free text</t>
        </is>
      </c>
      <c r="DD114" t="inlineStr">
        <is>
          <t>No standardized dose established; use conservative, product-dependent ranges.</t>
        </is>
      </c>
      <c r="DE114" t="inlineStr">
        <is>
          <t>Common forms include extracts, powders, or teas depending on herb part.</t>
        </is>
      </c>
      <c r="DF114" t="inlineStr">
        <is>
          <t>Quality varies by extraction method, standardization, and contamination risk.</t>
        </is>
      </c>
      <c r="DG114" t="inlineStr">
        <is>
          <t>Moderate to high</t>
        </is>
      </c>
      <c r="DH114" t="inlineStr">
        <is>
          <t>Pass 29 completeness repair</t>
        </is>
      </c>
      <c r="DI114" t="n">
        <v>9</v>
      </c>
      <c r="DJ114" t="inlineStr">
        <is>
          <t>General</t>
        </is>
      </c>
      <c r="DK114" t="inlineStr">
        <is>
          <t>cordycepin</t>
        </is>
      </c>
      <c r="DL114" t="inlineStr">
        <is>
          <t>Agarikon; Ajwain; Angelica Root; Artichoke; Ashoka</t>
        </is>
      </c>
      <c r="DM114" t="inlineStr">
        <is>
          <t>Pass 31 relationship intelligence: density, cluster, anchor class, nearest herbs</t>
        </is>
      </c>
      <c r="DN114" t="inlineStr">
        <is>
          <t>Agarikon; Ajwain; Angelica Root; Artichoke; Ashoka</t>
        </is>
      </c>
      <c r="DO114" t="inlineStr">
        <is>
          <t>Agarikon (1 shared pathways) | Ajwain (1 shared pathways) | Angelica Root (1 shared pathways)</t>
        </is>
      </c>
      <c r="DP114" t="inlineStr">
        <is>
          <t>Generalist</t>
        </is>
      </c>
      <c r="DQ114" t="inlineStr">
        <is>
          <t>Pass 32 substitute engine + cluster cleanup</t>
        </is>
      </c>
      <c r="DR114" t="inlineStr">
        <is>
          <t>Agarikon</t>
        </is>
      </c>
      <c r="DS114" t="inlineStr">
        <is>
          <t>Ajwain</t>
        </is>
      </c>
      <c r="DT114" t="inlineStr">
        <is>
          <t>same cluster; lower safety burden; similarity-backed</t>
        </is>
      </c>
      <c r="DU114" t="inlineStr">
        <is>
          <t>Not needed</t>
        </is>
      </c>
      <c r="DV114" t="inlineStr">
        <is>
          <t>Pass 33 fallback replacement engine</t>
        </is>
      </c>
      <c r="DW114" t="inlineStr">
        <is>
          <t>Angelica Root</t>
        </is>
      </c>
      <c r="DX114" t="inlineStr">
        <is>
          <t>Agarikon; Ajwain; Angelica Root; Ashoka; Blue Lotus; Artichoke; Rosemary; Sage</t>
        </is>
      </c>
      <c r="DY114" t="inlineStr">
        <is>
          <t>Pass 35 expanded fallback pool with second-pass candidate exploration</t>
        </is>
      </c>
      <c r="EA114" t="inlineStr">
        <is>
          <t>General</t>
        </is>
      </c>
      <c r="EB114" t="inlineStr">
        <is>
          <t>unclassified</t>
        </is>
      </c>
      <c r="EC114" t="inlineStr">
        <is>
          <t>High</t>
        </is>
      </c>
      <c r="ED114" t="inlineStr">
        <is>
          <t>Pass 40 reinforced weak-category herb data</t>
        </is>
      </c>
      <c r="EG114" t="n">
        <v>3</v>
      </c>
      <c r="EH114" t="n">
        <v>3</v>
      </c>
      <c r="EI114" t="n">
        <v>0</v>
      </c>
      <c r="EJ114" t="n">
        <v>0</v>
      </c>
      <c r="EK114" t="n">
        <v>11</v>
      </c>
      <c r="EL114" t="n">
        <v>7</v>
      </c>
      <c r="EM114" t="inlineStr">
        <is>
          <t>cordycepin</t>
        </is>
      </c>
      <c r="EN114" t="inlineStr">
        <is>
          <t>Pass 48 rolled compound scores into herb-level scoring</t>
        </is>
      </c>
    </row>
    <row r="115">
      <c r="A115" s="68" t="inlineStr">
        <is>
          <t>Lion's Mane</t>
        </is>
      </c>
      <c r="B115" s="68" t="inlineStr">
        <is>
          <t>lions-mane</t>
        </is>
      </c>
      <c r="C115" s="68" t="inlineStr">
        <is>
          <t>Hericium erinaceus</t>
        </is>
      </c>
      <c r="D115" s="68" t="inlineStr">
        <is>
          <t>fungi</t>
        </is>
      </c>
      <c r="E115" s="68" t="inlineStr">
        <is>
          <t>fruiting body</t>
        </is>
      </c>
      <c r="F115" s="68" t="inlineStr">
        <is>
          <t>fruiting body</t>
        </is>
      </c>
      <c r="G115" s="68" t="inlineStr">
        <is>
          <t>lions mane</t>
        </is>
      </c>
      <c r="H115" s="68" t="inlineStr">
        <is>
          <t>Global</t>
        </is>
      </c>
      <c r="I115" s="68" t="inlineStr">
        <is>
          <t>Neurotrophic mushroom.</t>
        </is>
      </c>
      <c r="J115" s="68" t="inlineStr">
        <is>
          <t>NGF stimulation.</t>
        </is>
      </c>
      <c r="K115" s="68" t="inlineStr">
        <is>
          <t>hericenones;erinacines</t>
        </is>
      </c>
      <c r="L115" s="68" t="inlineStr">
        <is>
          <t>hericenones,erinacines</t>
        </is>
      </c>
      <c r="M115" s="68" t="inlineStr">
        <is>
          <t>Neurogenesis</t>
        </is>
      </c>
      <c r="N115" s="68" t="inlineStr">
        <is>
          <t>NGF</t>
        </is>
      </c>
      <c r="O115" s="68" t="inlineStr">
        <is>
          <t>human</t>
        </is>
      </c>
      <c r="P115" s="68" t="inlineStr">
        <is>
          <t>Safe</t>
        </is>
      </c>
      <c r="Q115" s="68" t="inlineStr">
        <is>
          <t>Mild GI possible</t>
        </is>
      </c>
      <c r="R115" s="68" t="n"/>
      <c r="S115" s="68" t="n"/>
      <c r="T115" s="68" t="n"/>
      <c r="U115" s="68" t="n"/>
      <c r="V115" s="68" t="n"/>
      <c r="W115" s="68" t="inlineStr">
        <is>
          <t>High</t>
        </is>
      </c>
      <c r="X115" s="68" t="inlineStr">
        <is>
          <t>validated</t>
        </is>
      </c>
      <c r="Y115" s="68" t="n"/>
      <c r="Z115" s="68" t="inlineStr">
        <is>
          <t>present</t>
        </is>
      </c>
      <c r="AA115" s="68" t="inlineStr">
        <is>
          <t>Internal workbook + enrichment queue</t>
        </is>
      </c>
      <c r="AB115" s="68" t="n"/>
      <c r="AC115" s="68" t="n"/>
      <c r="AD115" s="68" t="n"/>
      <c r="AE115" s="68" t="n"/>
      <c r="AF115" s="68" t="n"/>
      <c r="AG115" s="68" t="n">
        <v>3</v>
      </c>
      <c r="AH115" s="68" t="n">
        <v>1</v>
      </c>
      <c r="AI115" s="68" t="n">
        <v>3</v>
      </c>
      <c r="AJ115" s="68" t="n">
        <v>7</v>
      </c>
      <c r="AK115" s="68" t="inlineStr">
        <is>
          <t>Medium</t>
        </is>
      </c>
      <c r="AL115" s="68" t="n"/>
      <c r="AM115" s="68" t="inlineStr">
        <is>
          <t>Linked primary/secondary</t>
        </is>
      </c>
      <c r="AN115" s="68" t="n">
        <v>0.9</v>
      </c>
      <c r="AO115" s="68" t="inlineStr">
        <is>
          <t>Near ready</t>
        </is>
      </c>
      <c r="AP115" s="68" t="n"/>
      <c r="AQ115" s="68" t="n"/>
      <c r="AR115" s="68" t="inlineStr">
        <is>
          <t>Editorial polish</t>
        </is>
      </c>
      <c r="AS115" s="68" t="inlineStr">
        <is>
          <t>Not started</t>
        </is>
      </c>
      <c r="AT115" s="68" t="n"/>
      <c r="AU115" s="68" t="n"/>
      <c r="AV115" s="68" t="n"/>
      <c r="AW115" s="68" t="n"/>
      <c r="AX115" s="68" t="n"/>
      <c r="AY115" s="68" t="n"/>
      <c r="AZ115" s="68" t="n"/>
      <c r="BA115" s="68" t="n"/>
      <c r="BB115" s="68" t="n"/>
      <c r="BC115" s="68" t="n"/>
      <c r="BD115" s="68" t="n"/>
      <c r="BE115" s="68" t="inlineStr">
        <is>
          <t>2026-04-10</t>
        </is>
      </c>
      <c r="BF115" s="68" t="inlineStr">
        <is>
          <t>Metadata normalized from internal workbook links</t>
        </is>
      </c>
      <c r="BG115" s="68" t="inlineStr">
        <is>
          <t>lions-mane|2026-04-10</t>
        </is>
      </c>
      <c r="BH115" s="68" t="inlineStr">
        <is>
          <t>2026-04-10:auto-normalized</t>
        </is>
      </c>
      <c r="BI115" t="inlineStr">
        <is>
          <t>lions-mane</t>
        </is>
      </c>
      <c r="BJ115" t="inlineStr">
        <is>
          <t>Lion's Mane</t>
        </is>
      </c>
      <c r="BK115" t="n">
        <v>1</v>
      </c>
      <c r="BL115" t="n">
        <v>0</v>
      </c>
      <c r="BM115" t="n">
        <v>3</v>
      </c>
      <c r="BN115" t="n">
        <v>3</v>
      </c>
      <c r="BO115" t="n">
        <v>100</v>
      </c>
      <c r="BP115" t="n">
        <v>8</v>
      </c>
      <c r="BQ115" t="n">
        <v>0</v>
      </c>
      <c r="BR115" t="n">
        <v>5</v>
      </c>
      <c r="BS115" t="inlineStr">
        <is>
          <t>Tier 4</t>
        </is>
      </c>
      <c r="BT115" t="n">
        <v>3</v>
      </c>
      <c r="BU115" t="inlineStr">
        <is>
          <t>FALSE</t>
        </is>
      </c>
      <c r="BV115" t="inlineStr">
        <is>
          <t>lions-mane</t>
        </is>
      </c>
      <c r="BW115" t="inlineStr">
        <is>
          <t>TRUE</t>
        </is>
      </c>
      <c r="BX115" t="inlineStr">
        <is>
          <t>Pass 10 refreshed scoring from 1 mapped compounds | Pass 13 rescored from 1 mapped compounds</t>
        </is>
      </c>
      <c r="CA115" t="n">
        <v>2</v>
      </c>
      <c r="CB115" t="n">
        <v>0</v>
      </c>
      <c r="CC115" t="n">
        <v>0</v>
      </c>
      <c r="CE115" t="inlineStr">
        <is>
          <t>Pass 13 rescored after herb-name normalization and real top-herb compound sweep</t>
        </is>
      </c>
      <c r="CF115" t="inlineStr">
        <is>
          <t>General</t>
        </is>
      </c>
      <c r="CH115" s="68" t="inlineStr">
        <is>
          <t>Start with low single-herb exposure and increase only if tolerated</t>
        </is>
      </c>
      <c r="CI115" s="68" t="inlineStr">
        <is>
          <t>Product-ideation framing only; not clinical dosing advice.</t>
        </is>
      </c>
      <c r="CJ115" s="68" t="str"/>
      <c r="CK115" s="68" t="str"/>
      <c r="CL115" s="68" t="inlineStr">
        <is>
          <t>Baseline</t>
        </is>
      </c>
      <c r="CM115" s="68" t="inlineStr">
        <is>
          <t>No</t>
        </is>
      </c>
      <c r="CN115" s="68" t="str"/>
      <c r="CO115" s="68" t="inlineStr">
        <is>
          <t>Pass 21 herb-level safety and dose framing</t>
        </is>
      </c>
      <c r="CP115" t="inlineStr">
        <is>
          <t>Baseline</t>
        </is>
      </c>
      <c r="CQ115" t="inlineStr">
        <is>
          <t>No</t>
        </is>
      </c>
      <c r="CS115" t="inlineStr">
        <is>
          <t>Pass 22 refined safety rule severity and reduced broad keyword over-flagging</t>
        </is>
      </c>
      <c r="CT115" t="inlineStr">
        <is>
          <t>General</t>
        </is>
      </c>
      <c r="CU115" t="inlineStr">
        <is>
          <t>ngf</t>
        </is>
      </c>
      <c r="CV115" t="inlineStr">
        <is>
          <t>Human</t>
        </is>
      </c>
      <c r="CW115" t="inlineStr">
        <is>
          <t>Pass 26 normalization: categories, mechanisms, evidence tiers</t>
        </is>
      </c>
      <c r="CX115" t="inlineStr">
        <is>
          <t>Human</t>
        </is>
      </c>
      <c r="CY115" t="inlineStr">
        <is>
          <t>Safe</t>
        </is>
      </c>
      <c r="CZ115" t="inlineStr">
        <is>
          <t>Mild GI possible</t>
        </is>
      </c>
      <c r="DB115" t="inlineStr">
        <is>
          <t>Pass 28 normalized evidence and safety-related free text</t>
        </is>
      </c>
      <c r="DD115" t="inlineStr">
        <is>
          <t>No standardized dose established; use conservative, product-dependent ranges.</t>
        </is>
      </c>
      <c r="DE115" t="inlineStr">
        <is>
          <t>Common forms include extracts, powders, or teas depending on herb part.</t>
        </is>
      </c>
      <c r="DF115" t="inlineStr">
        <is>
          <t>Quality varies by extraction method, standardization, and contamination risk.</t>
        </is>
      </c>
      <c r="DG115" t="inlineStr">
        <is>
          <t>Moderate to high</t>
        </is>
      </c>
      <c r="DH115" t="inlineStr">
        <is>
          <t>Pass 29 completeness repair</t>
        </is>
      </c>
      <c r="DI115" t="n">
        <v>6</v>
      </c>
      <c r="DJ115" t="inlineStr">
        <is>
          <t>General</t>
        </is>
      </c>
      <c r="DL115" t="inlineStr">
        <is>
          <t>Acerola; Agarikon; Ajwain; Aloe Vera; American Ginseng</t>
        </is>
      </c>
      <c r="DM115" t="inlineStr">
        <is>
          <t>Pass 31 relationship intelligence: density, cluster, anchor class, nearest herbs</t>
        </is>
      </c>
      <c r="DP115" t="inlineStr">
        <is>
          <t>Generalist</t>
        </is>
      </c>
      <c r="DQ115" t="inlineStr">
        <is>
          <t>Pass 32 substitute engine + cluster cleanup</t>
        </is>
      </c>
      <c r="DT115" t="inlineStr">
        <is>
          <t>no strong safe fallback found</t>
        </is>
      </c>
      <c r="DU115" t="inlineStr">
        <is>
          <t>Not needed</t>
        </is>
      </c>
      <c r="DV115" t="inlineStr">
        <is>
          <t>Pass 33 fallback replacement engine</t>
        </is>
      </c>
      <c r="DY115" t="inlineStr">
        <is>
          <t>Pass 35 expanded fallback pool with second-pass candidate exploration</t>
        </is>
      </c>
      <c r="EA115" t="inlineStr">
        <is>
          <t>General</t>
        </is>
      </c>
      <c r="EC115" t="inlineStr">
        <is>
          <t>High</t>
        </is>
      </c>
      <c r="ED115" t="inlineStr">
        <is>
          <t>Pass 40 reinforced weak-category herb data</t>
        </is>
      </c>
      <c r="EG115" t="n">
        <v>3</v>
      </c>
      <c r="EH115" t="n">
        <v>3</v>
      </c>
      <c r="EI115" t="n">
        <v>0</v>
      </c>
      <c r="EJ115" t="n">
        <v>0</v>
      </c>
      <c r="EK115" t="n">
        <v>11</v>
      </c>
      <c r="EL115" t="n">
        <v>7</v>
      </c>
      <c r="EM115" t="inlineStr">
        <is>
          <t>hericenone c</t>
        </is>
      </c>
      <c r="EN115" t="inlineStr">
        <is>
          <t>Pass 48 rolled compound scores into herb-level scoring</t>
        </is>
      </c>
    </row>
    <row r="116">
      <c r="A116" s="68" t="inlineStr">
        <is>
          <t>Panax Ginseng</t>
        </is>
      </c>
      <c r="B116" s="68" t="inlineStr">
        <is>
          <t>panax-ginseng</t>
        </is>
      </c>
      <c r="C116" s="68" t="inlineStr">
        <is>
          <t>Panax ginseng</t>
        </is>
      </c>
      <c r="D116" s="68" t="inlineStr">
        <is>
          <t>herb</t>
        </is>
      </c>
      <c r="E116" s="68" t="inlineStr">
        <is>
          <t>root</t>
        </is>
      </c>
      <c r="F116" s="68" t="inlineStr">
        <is>
          <t>root</t>
        </is>
      </c>
      <c r="G116" s="68" t="inlineStr">
        <is>
          <t>ginseng</t>
        </is>
      </c>
      <c r="H116" s="68" t="inlineStr">
        <is>
          <t>Asia</t>
        </is>
      </c>
      <c r="I116" s="68" t="inlineStr">
        <is>
          <t>Adaptogenic root.</t>
        </is>
      </c>
      <c r="J116" s="68" t="inlineStr">
        <is>
          <t>Energy + stress.</t>
        </is>
      </c>
      <c r="K116" s="68" t="inlineStr">
        <is>
          <t>ginsenosides</t>
        </is>
      </c>
      <c r="L116" s="68" t="inlineStr">
        <is>
          <t>ginsenosides</t>
        </is>
      </c>
      <c r="M116" s="68" t="inlineStr">
        <is>
          <t>AMPK modulation</t>
        </is>
      </c>
      <c r="N116" s="68" t="inlineStr">
        <is>
          <t>AMPK</t>
        </is>
      </c>
      <c r="O116" s="68" t="inlineStr">
        <is>
          <t>human</t>
        </is>
      </c>
      <c r="P116" s="68" t="inlineStr">
        <is>
          <t>Safe</t>
        </is>
      </c>
      <c r="Q116" s="68" t="inlineStr">
        <is>
          <t>Stimulatory in high doses</t>
        </is>
      </c>
      <c r="R116" s="68" t="n"/>
      <c r="S116" s="68" t="n"/>
      <c r="T116" s="68" t="n"/>
      <c r="U116" s="68" t="n"/>
      <c r="V116" s="68" t="n"/>
      <c r="W116" s="68" t="inlineStr">
        <is>
          <t>Low</t>
        </is>
      </c>
      <c r="X116" s="68" t="inlineStr">
        <is>
          <t>partial</t>
        </is>
      </c>
      <c r="Y116" s="68" t="n"/>
      <c r="Z116" s="68" t="inlineStr">
        <is>
          <t>dataset-linked</t>
        </is>
      </c>
      <c r="AA116" s="68" t="inlineStr">
        <is>
          <t>Internal workbook cross-link</t>
        </is>
      </c>
      <c r="AB116" s="68" t="n"/>
      <c r="AC116" s="68" t="n"/>
      <c r="AD116" s="68" t="n"/>
      <c r="AE116" s="68" t="n"/>
      <c r="AF116" s="68" t="n"/>
      <c r="AG116" s="68" t="n">
        <v>1</v>
      </c>
      <c r="AH116" s="68" t="n">
        <v>1</v>
      </c>
      <c r="AI116" s="68" t="n">
        <v>1</v>
      </c>
      <c r="AJ116" s="68" t="n">
        <v>3</v>
      </c>
      <c r="AK116" s="68" t="inlineStr">
        <is>
          <t>High</t>
        </is>
      </c>
      <c r="AL116" s="68" t="n"/>
      <c r="AM116" s="68" t="inlineStr">
        <is>
          <t>Internal linked</t>
        </is>
      </c>
      <c r="AN116" s="68" t="n">
        <v>0.9</v>
      </c>
      <c r="AO116" s="68" t="inlineStr">
        <is>
          <t>Needs work</t>
        </is>
      </c>
      <c r="AP116" s="68" t="n"/>
      <c r="AQ116" s="68" t="n"/>
      <c r="AR116" s="68" t="inlineStr">
        <is>
          <t>Source review</t>
        </is>
      </c>
      <c r="AS116" s="68" t="inlineStr">
        <is>
          <t>Not started</t>
        </is>
      </c>
      <c r="AT116" s="68" t="n"/>
      <c r="AU116" s="68" t="n"/>
      <c r="AV116" s="68" t="n"/>
      <c r="AW116" s="68" t="n"/>
      <c r="AX116" s="68" t="n"/>
      <c r="AY116" s="68" t="n"/>
      <c r="AZ116" s="68" t="n"/>
      <c r="BA116" s="68" t="n"/>
      <c r="BB116" s="68" t="n"/>
      <c r="BC116" s="68" t="n"/>
      <c r="BD116" s="68" t="n"/>
      <c r="BE116" s="68" t="inlineStr">
        <is>
          <t>2026-04-10</t>
        </is>
      </c>
      <c r="BF116" s="68" t="inlineStr">
        <is>
          <t>Metadata normalized from internal workbook links</t>
        </is>
      </c>
      <c r="BG116" s="68" t="inlineStr">
        <is>
          <t>panax-ginseng|2026-04-10</t>
        </is>
      </c>
      <c r="BH116" s="68" t="inlineStr">
        <is>
          <t>2026-04-10:auto-normalized</t>
        </is>
      </c>
      <c r="BI116" t="inlineStr">
        <is>
          <t>panax-ginseng</t>
        </is>
      </c>
      <c r="BJ116" t="inlineStr">
        <is>
          <t>Panax Ginseng</t>
        </is>
      </c>
      <c r="BK116" t="n">
        <v>8</v>
      </c>
      <c r="BL116" t="n">
        <v>8</v>
      </c>
      <c r="BM116" t="n">
        <v>3</v>
      </c>
      <c r="BN116" t="n">
        <v>55</v>
      </c>
      <c r="BO116" t="n">
        <v>100</v>
      </c>
      <c r="BP116" t="n">
        <v>67</v>
      </c>
      <c r="BQ116" t="n">
        <v>80</v>
      </c>
      <c r="BR116" t="n">
        <v>65</v>
      </c>
      <c r="BS116" t="inlineStr">
        <is>
          <t>Tier 1</t>
        </is>
      </c>
      <c r="BT116" t="n">
        <v>48</v>
      </c>
      <c r="BU116" t="inlineStr">
        <is>
          <t>FALSE</t>
        </is>
      </c>
      <c r="BV116" t="inlineStr">
        <is>
          <t>panax-ginseng</t>
        </is>
      </c>
      <c r="BW116" t="inlineStr">
        <is>
          <t>TRUE</t>
        </is>
      </c>
      <c r="BX116" t="inlineStr">
        <is>
          <t>Pass 10 refreshed scoring from 5 mapped compounds | Pass 12B replaced synthetic saturation with real compound additions | Pass 13 rescored from 8 mapped compounds</t>
        </is>
      </c>
      <c r="BY116" t="inlineStr">
        <is>
          <t>cognitive modulation; unclassified; metabolic signaling; stress-response modulation; cholinergic modulation; neurotrophic signaling</t>
        </is>
      </c>
      <c r="BZ116" t="inlineStr">
        <is>
          <t>cholinergic modulation; cognitive support signaling; neurotrophic signaling; neuroprotective signaling</t>
        </is>
      </c>
      <c r="CA116" t="n">
        <v>26</v>
      </c>
      <c r="CB116" t="n">
        <v>0</v>
      </c>
      <c r="CC116" t="n">
        <v>0</v>
      </c>
      <c r="CD116" t="inlineStr">
        <is>
          <t>Saponin; cognitive modulation; unclassified; metabolic signaling</t>
        </is>
      </c>
      <c r="CE116" t="inlineStr">
        <is>
          <t>Pass 13 rescored after herb-name normalization and real top-herb compound sweep</t>
        </is>
      </c>
      <c r="CF116" t="inlineStr">
        <is>
          <t>Focus</t>
        </is>
      </c>
      <c r="CG116" t="inlineStr">
        <is>
          <t>Focus, Stress</t>
        </is>
      </c>
      <c r="CH116" s="68" t="inlineStr">
        <is>
          <t>Start low; usually evening or split use</t>
        </is>
      </c>
      <c r="CI116" s="68" t="inlineStr">
        <is>
          <t>Product-ideation framing only; not clinical dosing advice.</t>
        </is>
      </c>
      <c r="CJ116" s="68" t="str"/>
      <c r="CK116" s="68" t="str"/>
      <c r="CL116" s="68" t="inlineStr">
        <is>
          <t>Baseline</t>
        </is>
      </c>
      <c r="CM116" s="68" t="inlineStr">
        <is>
          <t>No</t>
        </is>
      </c>
      <c r="CN116" s="68" t="str"/>
      <c r="CO116" s="68" t="inlineStr">
        <is>
          <t>Pass 21 herb-level safety and dose framing</t>
        </is>
      </c>
      <c r="CP116" t="inlineStr">
        <is>
          <t>Baseline</t>
        </is>
      </c>
      <c r="CQ116" t="inlineStr">
        <is>
          <t>No</t>
        </is>
      </c>
      <c r="CS116" t="inlineStr">
        <is>
          <t>Pass 22 refined safety rule severity and reduced broad keyword over-flagging</t>
        </is>
      </c>
      <c r="CT116" t="inlineStr">
        <is>
          <t>Focus</t>
        </is>
      </c>
      <c r="CU116" t="inlineStr">
        <is>
          <t>ampk</t>
        </is>
      </c>
      <c r="CV116" t="inlineStr">
        <is>
          <t>Human</t>
        </is>
      </c>
      <c r="CW116" t="inlineStr">
        <is>
          <t>Pass 26 normalization: categories, mechanisms, evidence tiers</t>
        </is>
      </c>
      <c r="CX116" t="inlineStr">
        <is>
          <t>Human</t>
        </is>
      </c>
      <c r="CY116" t="inlineStr">
        <is>
          <t>Safe</t>
        </is>
      </c>
      <c r="CZ116" t="inlineStr">
        <is>
          <t>Stimulatory in high doses</t>
        </is>
      </c>
      <c r="DB116" t="inlineStr">
        <is>
          <t>Pass 28 normalized evidence and safety-related free text</t>
        </is>
      </c>
      <c r="DD116" t="inlineStr">
        <is>
          <t>No standardized dose established; use conservative, product-dependent ranges.</t>
        </is>
      </c>
      <c r="DE116" t="inlineStr">
        <is>
          <t>Common forms include extracts, powders, or teas depending on herb part.</t>
        </is>
      </c>
      <c r="DF116" t="inlineStr">
        <is>
          <t>Quality varies by extraction method, standardization, and contamination risk.</t>
        </is>
      </c>
      <c r="DG116" t="inlineStr">
        <is>
          <t>Moderate to high</t>
        </is>
      </c>
      <c r="DH116" t="inlineStr">
        <is>
          <t>Pass 29 completeness repair</t>
        </is>
      </c>
      <c r="DI116" t="n">
        <v>70</v>
      </c>
      <c r="DJ116" t="inlineStr">
        <is>
          <t>Neurocognitive</t>
        </is>
      </c>
      <c r="DK116" t="inlineStr">
        <is>
          <t>Saponin</t>
        </is>
      </c>
      <c r="DL116" t="inlineStr">
        <is>
          <t>Polygala; Shankhpushpi; Corydalis; Bacopa; Ashwagandha</t>
        </is>
      </c>
      <c r="DM116" t="inlineStr">
        <is>
          <t>Pass 31 relationship intelligence: density, cluster, anchor class, nearest herbs</t>
        </is>
      </c>
      <c r="DP116" t="inlineStr">
        <is>
          <t>Neuro / Cognitive</t>
        </is>
      </c>
      <c r="DQ116" t="inlineStr">
        <is>
          <t>Pass 32 substitute engine + cluster cleanup</t>
        </is>
      </c>
      <c r="DT116" t="inlineStr">
        <is>
          <t>no strong safe fallback found</t>
        </is>
      </c>
      <c r="DU116" t="inlineStr">
        <is>
          <t>Not needed</t>
        </is>
      </c>
      <c r="DV116" t="inlineStr">
        <is>
          <t>Pass 33 fallback replacement engine</t>
        </is>
      </c>
      <c r="DY116" t="inlineStr">
        <is>
          <t>Pass 35 expanded fallback pool with second-pass candidate exploration</t>
        </is>
      </c>
      <c r="EG116" t="n">
        <v>36</v>
      </c>
      <c r="EH116" t="n">
        <v>6</v>
      </c>
      <c r="EI116" t="n">
        <v>0</v>
      </c>
      <c r="EJ116" t="n">
        <v>2</v>
      </c>
      <c r="EK116" t="n">
        <v>60</v>
      </c>
      <c r="EL116" t="n">
        <v>47</v>
      </c>
      <c r="EM116" t="inlineStr">
        <is>
          <t>Ginsenoside RB1; Ginsenoside Rg3; Ginsenoside RG1; Ginsenoside Re; Ginsenoside Rf</t>
        </is>
      </c>
      <c r="EN116" t="inlineStr">
        <is>
          <t>Pass 48 rolled compound scores into herb-level scoring</t>
        </is>
      </c>
    </row>
    <row r="117">
      <c r="A117" s="68" t="inlineStr">
        <is>
          <t>Passionflower</t>
        </is>
      </c>
      <c r="B117" s="68" t="inlineStr">
        <is>
          <t>passionflower</t>
        </is>
      </c>
      <c r="C117" s="68" t="inlineStr">
        <is>
          <t>Passiflora incarnata</t>
        </is>
      </c>
      <c r="D117" s="68" t="inlineStr">
        <is>
          <t>herb</t>
        </is>
      </c>
      <c r="E117" s="68" t="inlineStr">
        <is>
          <t>aerial</t>
        </is>
      </c>
      <c r="F117" s="68" t="inlineStr">
        <is>
          <t>aerial</t>
        </is>
      </c>
      <c r="G117" s="68" t="inlineStr">
        <is>
          <t>passionflower</t>
        </is>
      </c>
      <c r="H117" s="68" t="inlineStr">
        <is>
          <t>Global</t>
        </is>
      </c>
      <c r="I117" s="68" t="inlineStr">
        <is>
          <t>Calming herb.</t>
        </is>
      </c>
      <c r="J117" s="68" t="inlineStr">
        <is>
          <t>GABA support.</t>
        </is>
      </c>
      <c r="K117" s="68" t="inlineStr">
        <is>
          <t>chrysin</t>
        </is>
      </c>
      <c r="L117" s="68" t="inlineStr">
        <is>
          <t>chrysin</t>
        </is>
      </c>
      <c r="M117" s="68" t="inlineStr">
        <is>
          <t>GABA modulation</t>
        </is>
      </c>
      <c r="N117" s="68" t="inlineStr">
        <is>
          <t>GABAA</t>
        </is>
      </c>
      <c r="O117" s="68" t="inlineStr">
        <is>
          <t>human</t>
        </is>
      </c>
      <c r="P117" s="68" t="inlineStr">
        <is>
          <t>Safe</t>
        </is>
      </c>
      <c r="Q117" s="68" t="inlineStr">
        <is>
          <t>Sedation possible</t>
        </is>
      </c>
      <c r="R117" s="68" t="n"/>
      <c r="S117" s="68" t="n"/>
      <c r="T117" s="68" t="n"/>
      <c r="U117" s="68" t="n"/>
      <c r="V117" s="68" t="n"/>
      <c r="W117" s="68" t="inlineStr">
        <is>
          <t>High</t>
        </is>
      </c>
      <c r="X117" s="68" t="inlineStr">
        <is>
          <t>partial</t>
        </is>
      </c>
      <c r="Y117" s="68" t="n"/>
      <c r="Z117" s="68" t="inlineStr">
        <is>
          <t>present</t>
        </is>
      </c>
      <c r="AA117" s="68" t="inlineStr">
        <is>
          <t>Internal workbook + enrichment queue</t>
        </is>
      </c>
      <c r="AB117" s="68" t="n"/>
      <c r="AC117" s="68" t="n"/>
      <c r="AD117" s="68" t="n"/>
      <c r="AE117" s="68" t="n"/>
      <c r="AF117" s="68" t="n"/>
      <c r="AG117" s="68" t="n">
        <v>3</v>
      </c>
      <c r="AH117" s="68" t="n">
        <v>1</v>
      </c>
      <c r="AI117" s="68" t="n">
        <v>3</v>
      </c>
      <c r="AJ117" s="68" t="n">
        <v>7</v>
      </c>
      <c r="AK117" s="68" t="inlineStr">
        <is>
          <t>Medium</t>
        </is>
      </c>
      <c r="AL117" s="68" t="n"/>
      <c r="AM117" s="68" t="inlineStr">
        <is>
          <t>Linked primary/secondary</t>
        </is>
      </c>
      <c r="AN117" s="68" t="n">
        <v>0.9</v>
      </c>
      <c r="AO117" s="68" t="inlineStr">
        <is>
          <t>Near ready</t>
        </is>
      </c>
      <c r="AP117" s="68" t="n"/>
      <c r="AQ117" s="68" t="n"/>
      <c r="AR117" s="68" t="inlineStr">
        <is>
          <t>Editorial polish</t>
        </is>
      </c>
      <c r="AS117" s="68" t="inlineStr">
        <is>
          <t>Not started</t>
        </is>
      </c>
      <c r="AT117" s="68" t="n"/>
      <c r="AU117" s="68" t="n"/>
      <c r="AV117" s="68" t="n"/>
      <c r="AW117" s="68" t="n"/>
      <c r="AX117" s="68" t="n"/>
      <c r="AY117" s="68" t="n"/>
      <c r="AZ117" s="68" t="n"/>
      <c r="BA117" s="68" t="n"/>
      <c r="BB117" s="68" t="n"/>
      <c r="BC117" s="68" t="n"/>
      <c r="BD117" s="68" t="n"/>
      <c r="BE117" s="68" t="inlineStr">
        <is>
          <t>2026-04-10</t>
        </is>
      </c>
      <c r="BF117" s="68" t="inlineStr">
        <is>
          <t>Metadata normalized from internal workbook links</t>
        </is>
      </c>
      <c r="BG117" s="68" t="inlineStr">
        <is>
          <t>passionflower|2026-04-10</t>
        </is>
      </c>
      <c r="BH117" s="68" t="inlineStr">
        <is>
          <t>2026-04-10:auto-normalized</t>
        </is>
      </c>
      <c r="BI117" t="inlineStr">
        <is>
          <t>passionflower</t>
        </is>
      </c>
      <c r="BJ117" t="inlineStr">
        <is>
          <t>Passionflower</t>
        </is>
      </c>
      <c r="BK117" t="n">
        <v>1</v>
      </c>
      <c r="BL117" t="n">
        <v>1</v>
      </c>
      <c r="BM117" t="n">
        <v>3</v>
      </c>
      <c r="BN117" t="n">
        <v>7</v>
      </c>
      <c r="BO117" t="n">
        <v>100</v>
      </c>
      <c r="BP117" t="n">
        <v>8</v>
      </c>
      <c r="BQ117" t="n">
        <v>10</v>
      </c>
      <c r="BR117" t="n">
        <v>5</v>
      </c>
      <c r="BS117" t="inlineStr">
        <is>
          <t>Tier 1</t>
        </is>
      </c>
      <c r="BT117" t="n">
        <v>5</v>
      </c>
      <c r="BU117" t="inlineStr">
        <is>
          <t>FALSE</t>
        </is>
      </c>
      <c r="BV117" t="inlineStr">
        <is>
          <t>passionflower</t>
        </is>
      </c>
      <c r="BW117" t="inlineStr">
        <is>
          <t>TRUE</t>
        </is>
      </c>
      <c r="BX117" t="inlineStr">
        <is>
          <t>Pass 10 refreshed scoring from 1 mapped compounds | Pass 13 rescored from 1 mapped compounds</t>
        </is>
      </c>
      <c r="BY117" t="inlineStr">
        <is>
          <t>unclassified</t>
        </is>
      </c>
      <c r="CA117" t="n">
        <v>2</v>
      </c>
      <c r="CB117" t="n">
        <v>0</v>
      </c>
      <c r="CC117" t="n">
        <v>0</v>
      </c>
      <c r="CD117" t="inlineStr">
        <is>
          <t>chrysin; unclassified</t>
        </is>
      </c>
      <c r="CE117" t="inlineStr">
        <is>
          <t>Pass 13 rescored after herb-name normalization and real top-herb compound sweep</t>
        </is>
      </c>
      <c r="CF117" t="inlineStr">
        <is>
          <t>General</t>
        </is>
      </c>
      <c r="CH117" s="68" t="inlineStr">
        <is>
          <t>Start low; usually evening or split use</t>
        </is>
      </c>
      <c r="CI117" s="68" t="inlineStr">
        <is>
          <t>Prefer evening or split dosing; avoid stacking with other sedative-heavy products by default.</t>
        </is>
      </c>
      <c r="CJ117" s="68" t="inlineStr">
        <is>
          <t>sedation-cns</t>
        </is>
      </c>
      <c r="CK117" s="68" t="str"/>
      <c r="CL117" s="68" t="inlineStr">
        <is>
          <t>Baseline</t>
        </is>
      </c>
      <c r="CM117" s="68" t="inlineStr">
        <is>
          <t>No</t>
        </is>
      </c>
      <c r="CN117" s="68" t="str"/>
      <c r="CO117" s="68" t="inlineStr">
        <is>
          <t>Pass 21 herb-level safety and dose framing</t>
        </is>
      </c>
      <c r="CP117" t="inlineStr">
        <is>
          <t>Baseline</t>
        </is>
      </c>
      <c r="CQ117" t="inlineStr">
        <is>
          <t>No</t>
        </is>
      </c>
      <c r="CS117" t="inlineStr">
        <is>
          <t>Pass 22 refined safety rule severity and reduced broad keyword over-flagging</t>
        </is>
      </c>
      <c r="CT117" t="inlineStr">
        <is>
          <t>General</t>
        </is>
      </c>
      <c r="CU117" t="inlineStr">
        <is>
          <t>gabaa</t>
        </is>
      </c>
      <c r="CV117" t="inlineStr">
        <is>
          <t>Human</t>
        </is>
      </c>
      <c r="CW117" t="inlineStr">
        <is>
          <t>Pass 26 normalization: categories, mechanisms, evidence tiers</t>
        </is>
      </c>
      <c r="CX117" t="inlineStr">
        <is>
          <t>Human</t>
        </is>
      </c>
      <c r="CY117" t="inlineStr">
        <is>
          <t>Safe</t>
        </is>
      </c>
      <c r="CZ117" t="inlineStr">
        <is>
          <t>Sedation possible</t>
        </is>
      </c>
      <c r="DB117" t="inlineStr">
        <is>
          <t>Pass 28 normalized evidence and safety-related free text</t>
        </is>
      </c>
      <c r="DD117" t="inlineStr">
        <is>
          <t>No standardized dose established; use conservative, product-dependent ranges.</t>
        </is>
      </c>
      <c r="DE117" t="inlineStr">
        <is>
          <t>Common forms include extracts, powders, or teas depending on herb part.</t>
        </is>
      </c>
      <c r="DF117" t="inlineStr">
        <is>
          <t>Quality varies by extraction method, standardization, and contamination risk.</t>
        </is>
      </c>
      <c r="DG117" t="inlineStr">
        <is>
          <t>Moderate to high</t>
        </is>
      </c>
      <c r="DH117" t="inlineStr">
        <is>
          <t>Pass 29 completeness repair</t>
        </is>
      </c>
      <c r="DI117" t="n">
        <v>9</v>
      </c>
      <c r="DJ117" t="inlineStr">
        <is>
          <t>General</t>
        </is>
      </c>
      <c r="DK117" t="inlineStr">
        <is>
          <t>chrysin</t>
        </is>
      </c>
      <c r="DL117" t="inlineStr">
        <is>
          <t>Agarikon; Ajwain; Angelica Root; Artichoke; Ashoka</t>
        </is>
      </c>
      <c r="DM117" t="inlineStr">
        <is>
          <t>Pass 31 relationship intelligence: density, cluster, anchor class, nearest herbs</t>
        </is>
      </c>
      <c r="DN117" t="inlineStr">
        <is>
          <t>Agarikon; Ajwain; Angelica Root; Artichoke; Ashoka</t>
        </is>
      </c>
      <c r="DO117" t="inlineStr">
        <is>
          <t>Agarikon (1 shared pathways) | Ajwain (1 shared pathways) | Angelica Root (1 shared pathways)</t>
        </is>
      </c>
      <c r="DP117" t="inlineStr">
        <is>
          <t>Generalist</t>
        </is>
      </c>
      <c r="DQ117" t="inlineStr">
        <is>
          <t>Pass 32 substitute engine + cluster cleanup</t>
        </is>
      </c>
      <c r="DR117" t="inlineStr">
        <is>
          <t>Agarikon</t>
        </is>
      </c>
      <c r="DS117" t="inlineStr">
        <is>
          <t>Ajwain</t>
        </is>
      </c>
      <c r="DT117" t="inlineStr">
        <is>
          <t>same cluster; lower safety burden; similarity-backed</t>
        </is>
      </c>
      <c r="DU117" t="inlineStr">
        <is>
          <t>Not needed</t>
        </is>
      </c>
      <c r="DV117" t="inlineStr">
        <is>
          <t>Pass 33 fallback replacement engine</t>
        </is>
      </c>
      <c r="DW117" t="inlineStr">
        <is>
          <t>Angelica Root</t>
        </is>
      </c>
      <c r="DX117" t="inlineStr">
        <is>
          <t>Agarikon; Ajwain; Angelica Root; Ashoka; Blue Lotus; Artichoke; Rosemary; Sage</t>
        </is>
      </c>
      <c r="DY117" t="inlineStr">
        <is>
          <t>Pass 35 expanded fallback pool with second-pass candidate exploration</t>
        </is>
      </c>
      <c r="EA117" t="inlineStr">
        <is>
          <t>General</t>
        </is>
      </c>
      <c r="EB117" t="inlineStr">
        <is>
          <t>unclassified</t>
        </is>
      </c>
      <c r="EC117" t="inlineStr">
        <is>
          <t>High</t>
        </is>
      </c>
      <c r="ED117" t="inlineStr">
        <is>
          <t>Pass 40 reinforced weak-category herb data</t>
        </is>
      </c>
      <c r="EG117" t="n">
        <v>3</v>
      </c>
      <c r="EH117" t="n">
        <v>3</v>
      </c>
      <c r="EI117" t="n">
        <v>0</v>
      </c>
      <c r="EJ117" t="n">
        <v>0</v>
      </c>
      <c r="EK117" t="n">
        <v>11</v>
      </c>
      <c r="EL117" t="n">
        <v>7</v>
      </c>
      <c r="EM117" t="inlineStr">
        <is>
          <t>chrysin</t>
        </is>
      </c>
      <c r="EN117" t="inlineStr">
        <is>
          <t>Pass 48 rolled compound scores into herb-level scoring</t>
        </is>
      </c>
    </row>
    <row r="118">
      <c r="A118" s="68" t="inlineStr">
        <is>
          <t>Yohimbe</t>
        </is>
      </c>
      <c r="B118" s="68" t="inlineStr">
        <is>
          <t>yohimbe</t>
        </is>
      </c>
      <c r="C118" s="68" t="inlineStr">
        <is>
          <t>Pausinystalia johimbe</t>
        </is>
      </c>
      <c r="D118" s="68" t="inlineStr">
        <is>
          <t>herb</t>
        </is>
      </c>
      <c r="E118" s="68" t="inlineStr">
        <is>
          <t>bark</t>
        </is>
      </c>
      <c r="F118" s="68" t="inlineStr">
        <is>
          <t>bark</t>
        </is>
      </c>
      <c r="G118" s="68" t="inlineStr">
        <is>
          <t>yohimbe</t>
        </is>
      </c>
      <c r="H118" s="68" t="inlineStr">
        <is>
          <t>Africa</t>
        </is>
      </c>
      <c r="I118" s="68" t="inlineStr">
        <is>
          <t>Stimulant bark.</t>
        </is>
      </c>
      <c r="J118" s="68" t="inlineStr">
        <is>
          <t>Adrenergic activity.</t>
        </is>
      </c>
      <c r="K118" s="68" t="inlineStr">
        <is>
          <t>yohimbine</t>
        </is>
      </c>
      <c r="L118" s="68" t="inlineStr">
        <is>
          <t>yohimbine</t>
        </is>
      </c>
      <c r="M118" s="68" t="inlineStr">
        <is>
          <t>Adrenergic</t>
        </is>
      </c>
      <c r="N118" s="68" t="inlineStr">
        <is>
          <t>alpha2</t>
        </is>
      </c>
      <c r="O118" s="68" t="inlineStr">
        <is>
          <t>human</t>
        </is>
      </c>
      <c r="P118" s="68" t="inlineStr">
        <is>
          <t>Risk</t>
        </is>
      </c>
      <c r="Q118" s="68" t="inlineStr">
        <is>
          <t>High BP risk</t>
        </is>
      </c>
      <c r="R118" s="68" t="n"/>
      <c r="S118" s="68" t="n"/>
      <c r="T118" s="68" t="n"/>
      <c r="U118" s="68" t="n"/>
      <c r="V118" s="68" t="n"/>
      <c r="W118" s="68" t="inlineStr">
        <is>
          <t>Low</t>
        </is>
      </c>
      <c r="X118" s="68" t="inlineStr">
        <is>
          <t>partial</t>
        </is>
      </c>
      <c r="Y118" s="68" t="n"/>
      <c r="Z118" s="68" t="inlineStr">
        <is>
          <t>dataset-linked</t>
        </is>
      </c>
      <c r="AA118" s="68" t="inlineStr">
        <is>
          <t>Internal workbook cross-link</t>
        </is>
      </c>
      <c r="AB118" s="68" t="n"/>
      <c r="AC118" s="68" t="n"/>
      <c r="AD118" s="68" t="n"/>
      <c r="AE118" s="68" t="n"/>
      <c r="AF118" s="68" t="n"/>
      <c r="AG118" s="68" t="n">
        <v>1</v>
      </c>
      <c r="AH118" s="68" t="n">
        <v>1</v>
      </c>
      <c r="AI118" s="68" t="n">
        <v>1</v>
      </c>
      <c r="AJ118" s="68" t="n">
        <v>3</v>
      </c>
      <c r="AK118" s="68" t="inlineStr">
        <is>
          <t>High</t>
        </is>
      </c>
      <c r="AL118" s="68" t="n"/>
      <c r="AM118" s="68" t="inlineStr">
        <is>
          <t>Internal linked</t>
        </is>
      </c>
      <c r="AN118" s="68" t="n">
        <v>0.9</v>
      </c>
      <c r="AO118" s="68" t="inlineStr">
        <is>
          <t>Needs work</t>
        </is>
      </c>
      <c r="AP118" s="68" t="n"/>
      <c r="AQ118" s="68" t="n"/>
      <c r="AR118" s="68" t="inlineStr">
        <is>
          <t>Source review</t>
        </is>
      </c>
      <c r="AS118" s="68" t="inlineStr">
        <is>
          <t>Not started</t>
        </is>
      </c>
      <c r="AT118" s="68" t="n"/>
      <c r="AU118" s="68" t="n"/>
      <c r="AV118" s="68" t="n"/>
      <c r="AW118" s="68" t="n"/>
      <c r="AX118" s="68" t="n"/>
      <c r="AY118" s="68" t="n"/>
      <c r="AZ118" s="68" t="n"/>
      <c r="BA118" s="68" t="n"/>
      <c r="BB118" s="68" t="n"/>
      <c r="BC118" s="68" t="n"/>
      <c r="BD118" s="68" t="n"/>
      <c r="BE118" s="68" t="inlineStr">
        <is>
          <t>2026-04-10</t>
        </is>
      </c>
      <c r="BF118" s="68" t="inlineStr">
        <is>
          <t>Metadata normalized from internal workbook links</t>
        </is>
      </c>
      <c r="BG118" s="68" t="inlineStr">
        <is>
          <t>yohimbe|2026-04-10</t>
        </is>
      </c>
      <c r="BH118" s="68" t="inlineStr">
        <is>
          <t>2026-04-10:auto-normalized</t>
        </is>
      </c>
      <c r="BI118" t="inlineStr">
        <is>
          <t>yohimbe</t>
        </is>
      </c>
      <c r="BJ118" t="inlineStr">
        <is>
          <t>Yohimbe</t>
        </is>
      </c>
      <c r="BK118" t="n">
        <v>1</v>
      </c>
      <c r="BL118" t="n">
        <v>1</v>
      </c>
      <c r="BM118" t="n">
        <v>3</v>
      </c>
      <c r="BN118" t="n">
        <v>7</v>
      </c>
      <c r="BO118" t="n">
        <v>100</v>
      </c>
      <c r="BP118" t="n">
        <v>8</v>
      </c>
      <c r="BQ118" t="n">
        <v>10</v>
      </c>
      <c r="BR118" t="n">
        <v>5</v>
      </c>
      <c r="BS118" t="inlineStr">
        <is>
          <t>Tier 1</t>
        </is>
      </c>
      <c r="BT118" t="n">
        <v>5</v>
      </c>
      <c r="BU118" t="inlineStr">
        <is>
          <t>FALSE</t>
        </is>
      </c>
      <c r="BV118" t="inlineStr">
        <is>
          <t>yohimbe</t>
        </is>
      </c>
      <c r="BW118" t="inlineStr">
        <is>
          <t>TRUE</t>
        </is>
      </c>
      <c r="BX118" t="inlineStr">
        <is>
          <t>Pass 10 refreshed scoring from 1 mapped compounds | Pass 13 rescored from 1 mapped compounds</t>
        </is>
      </c>
      <c r="BY118" t="inlineStr">
        <is>
          <t>unclassified</t>
        </is>
      </c>
      <c r="CA118" t="n">
        <v>2</v>
      </c>
      <c r="CB118" t="n">
        <v>0</v>
      </c>
      <c r="CC118" t="n">
        <v>0</v>
      </c>
      <c r="CD118" t="inlineStr">
        <is>
          <t>yohimbine; unclassified</t>
        </is>
      </c>
      <c r="CE118" t="inlineStr">
        <is>
          <t>Pass 13 rescored after herb-name normalization and real top-herb compound sweep</t>
        </is>
      </c>
      <c r="CF118" t="inlineStr">
        <is>
          <t>General</t>
        </is>
      </c>
      <c r="CH118" s="68" t="inlineStr">
        <is>
          <t>Start with low single-herb exposure and increase only if tolerated</t>
        </is>
      </c>
      <c r="CI118" s="68" t="inlineStr">
        <is>
          <t>Product-ideation framing only; not clinical dosing advice.</t>
        </is>
      </c>
      <c r="CJ118" s="68" t="str"/>
      <c r="CK118" s="68" t="str"/>
      <c r="CL118" s="68" t="inlineStr">
        <is>
          <t>Baseline</t>
        </is>
      </c>
      <c r="CM118" s="68" t="inlineStr">
        <is>
          <t>Review</t>
        </is>
      </c>
      <c r="CN118" s="68" t="inlineStr">
        <is>
          <t>More context-sensitive herb for default product use</t>
        </is>
      </c>
      <c r="CO118" s="68" t="inlineStr">
        <is>
          <t>Pass 21 herb-level safety and dose framing</t>
        </is>
      </c>
      <c r="CP118" t="inlineStr">
        <is>
          <t>Elevated</t>
        </is>
      </c>
      <c r="CQ118" t="inlineStr">
        <is>
          <t>Review</t>
        </is>
      </c>
      <c r="CR118" t="inlineStr">
        <is>
          <t>Context-sensitive herb kept conservative for default product stacks</t>
        </is>
      </c>
      <c r="CS118" t="inlineStr">
        <is>
          <t>Pass 22 refined safety rule severity and reduced broad keyword over-flagging</t>
        </is>
      </c>
      <c r="CT118" t="inlineStr">
        <is>
          <t>General</t>
        </is>
      </c>
      <c r="CU118" t="inlineStr">
        <is>
          <t>alpha2</t>
        </is>
      </c>
      <c r="CV118" t="inlineStr">
        <is>
          <t>Human</t>
        </is>
      </c>
      <c r="CW118" t="inlineStr">
        <is>
          <t>Pass 26 normalization: categories, mechanisms, evidence tiers</t>
        </is>
      </c>
      <c r="CX118" t="inlineStr">
        <is>
          <t>Human</t>
        </is>
      </c>
      <c r="CY118" t="inlineStr">
        <is>
          <t>Risk</t>
        </is>
      </c>
      <c r="CZ118" t="inlineStr">
        <is>
          <t>High BP risk</t>
        </is>
      </c>
      <c r="DB118" t="inlineStr">
        <is>
          <t>Pass 28 normalized evidence and safety-related free text</t>
        </is>
      </c>
      <c r="DD118" t="inlineStr">
        <is>
          <t>No standardized dose established; use conservative, product-dependent ranges.</t>
        </is>
      </c>
      <c r="DE118" t="inlineStr">
        <is>
          <t>Common forms include extracts, powders, or teas depending on herb part.</t>
        </is>
      </c>
      <c r="DF118" t="inlineStr">
        <is>
          <t>Quality varies by extraction method, standardization, and contamination risk.</t>
        </is>
      </c>
      <c r="DG118" t="inlineStr">
        <is>
          <t>Moderate to high</t>
        </is>
      </c>
      <c r="DH118" t="inlineStr">
        <is>
          <t>Pass 29 completeness repair</t>
        </is>
      </c>
      <c r="DI118" t="n">
        <v>9</v>
      </c>
      <c r="DJ118" t="inlineStr">
        <is>
          <t>General</t>
        </is>
      </c>
      <c r="DK118" t="inlineStr">
        <is>
          <t>yohimbine</t>
        </is>
      </c>
      <c r="DL118" t="inlineStr">
        <is>
          <t>Agarikon; Ajwain; Angelica Root; Artichoke; Ashoka</t>
        </is>
      </c>
      <c r="DM118" t="inlineStr">
        <is>
          <t>Pass 31 relationship intelligence: density, cluster, anchor class, nearest herbs</t>
        </is>
      </c>
      <c r="DN118" t="inlineStr">
        <is>
          <t>Agarikon; Ajwain; Angelica Root; Artichoke; Ashoka</t>
        </is>
      </c>
      <c r="DO118" t="inlineStr">
        <is>
          <t>Agarikon (1 shared pathways) | Ajwain (1 shared pathways) | Angelica Root (1 shared pathways)</t>
        </is>
      </c>
      <c r="DP118" t="inlineStr">
        <is>
          <t>Generalist</t>
        </is>
      </c>
      <c r="DQ118" t="inlineStr">
        <is>
          <t>Pass 32 substitute engine + cluster cleanup</t>
        </is>
      </c>
      <c r="DR118" t="inlineStr">
        <is>
          <t>Agarikon</t>
        </is>
      </c>
      <c r="DS118" t="inlineStr">
        <is>
          <t>Ajwain</t>
        </is>
      </c>
      <c r="DT118" t="inlineStr">
        <is>
          <t>same cluster; lower safety burden; similarity-backed</t>
        </is>
      </c>
      <c r="DU118" t="inlineStr">
        <is>
          <t>Recommended</t>
        </is>
      </c>
      <c r="DV118" t="inlineStr">
        <is>
          <t>Pass 33 fallback replacement engine</t>
        </is>
      </c>
      <c r="DW118" t="inlineStr">
        <is>
          <t>Angelica Root</t>
        </is>
      </c>
      <c r="DX118" t="inlineStr">
        <is>
          <t>Agarikon; Ajwain; Angelica Root; Ashoka; Blue Lotus; Artichoke; Rosemary; Sage</t>
        </is>
      </c>
      <c r="DY118" t="inlineStr">
        <is>
          <t>Pass 35 expanded fallback pool with second-pass candidate exploration</t>
        </is>
      </c>
      <c r="EA118" t="inlineStr">
        <is>
          <t>General</t>
        </is>
      </c>
      <c r="EB118" t="inlineStr">
        <is>
          <t>unclassified</t>
        </is>
      </c>
      <c r="EC118" t="inlineStr">
        <is>
          <t>Low to moderate</t>
        </is>
      </c>
      <c r="ED118" t="inlineStr">
        <is>
          <t>Pass 40 reinforced weak-category herb data</t>
        </is>
      </c>
      <c r="EG118" t="n">
        <v>5</v>
      </c>
      <c r="EH118" t="n">
        <v>5</v>
      </c>
      <c r="EI118" t="n">
        <v>0</v>
      </c>
      <c r="EJ118" t="n">
        <v>0</v>
      </c>
      <c r="EK118" t="n">
        <v>17</v>
      </c>
      <c r="EL118" t="n">
        <v>11</v>
      </c>
      <c r="EM118" t="inlineStr">
        <is>
          <t>Yohimbine</t>
        </is>
      </c>
      <c r="EN118" t="inlineStr">
        <is>
          <t>Pass 48 rolled compound scores into herb-level scoring</t>
        </is>
      </c>
    </row>
    <row r="119">
      <c r="A119" s="68" t="inlineStr">
        <is>
          <t>Skullcap</t>
        </is>
      </c>
      <c r="B119" s="68" t="inlineStr">
        <is>
          <t>skullcap</t>
        </is>
      </c>
      <c r="C119" s="68" t="inlineStr">
        <is>
          <t>Scutellaria lateriflora</t>
        </is>
      </c>
      <c r="D119" s="68" t="inlineStr">
        <is>
          <t>herb</t>
        </is>
      </c>
      <c r="E119" s="68" t="inlineStr">
        <is>
          <t>aerial</t>
        </is>
      </c>
      <c r="F119" s="68" t="inlineStr">
        <is>
          <t>aerial</t>
        </is>
      </c>
      <c r="G119" s="68" t="inlineStr">
        <is>
          <t>skullcap</t>
        </is>
      </c>
      <c r="H119" s="68" t="inlineStr">
        <is>
          <t>Global</t>
        </is>
      </c>
      <c r="I119" s="68" t="inlineStr">
        <is>
          <t>Calming herb.</t>
        </is>
      </c>
      <c r="J119" s="68" t="inlineStr">
        <is>
          <t>GABAergic.</t>
        </is>
      </c>
      <c r="K119" s="68" t="inlineStr">
        <is>
          <t>baicalin</t>
        </is>
      </c>
      <c r="L119" s="68" t="inlineStr">
        <is>
          <t>baicalin</t>
        </is>
      </c>
      <c r="M119" s="68" t="inlineStr">
        <is>
          <t>GABA modulation</t>
        </is>
      </c>
      <c r="N119" s="68" t="inlineStr">
        <is>
          <t>GABAA</t>
        </is>
      </c>
      <c r="O119" s="68" t="inlineStr">
        <is>
          <t>human</t>
        </is>
      </c>
      <c r="P119" s="68" t="inlineStr">
        <is>
          <t>Safe</t>
        </is>
      </c>
      <c r="Q119" s="68" t="inlineStr">
        <is>
          <t>Mild sedation</t>
        </is>
      </c>
      <c r="R119" s="68" t="n"/>
      <c r="S119" s="68" t="n"/>
      <c r="T119" s="68" t="n"/>
      <c r="U119" s="68" t="n"/>
      <c r="V119" s="68" t="n"/>
      <c r="W119" s="68" t="inlineStr">
        <is>
          <t>Low</t>
        </is>
      </c>
      <c r="X119" s="68" t="inlineStr">
        <is>
          <t>partial</t>
        </is>
      </c>
      <c r="Y119" s="68" t="n"/>
      <c r="Z119" s="68" t="inlineStr">
        <is>
          <t>dataset-linked</t>
        </is>
      </c>
      <c r="AA119" s="68" t="inlineStr">
        <is>
          <t>Internal workbook cross-link</t>
        </is>
      </c>
      <c r="AB119" s="68" t="n"/>
      <c r="AC119" s="68" t="n"/>
      <c r="AD119" s="68" t="n"/>
      <c r="AE119" s="68" t="n"/>
      <c r="AF119" s="68" t="n"/>
      <c r="AG119" s="68" t="n">
        <v>1</v>
      </c>
      <c r="AH119" s="68" t="n">
        <v>1</v>
      </c>
      <c r="AI119" s="68" t="n">
        <v>1</v>
      </c>
      <c r="AJ119" s="68" t="n">
        <v>3</v>
      </c>
      <c r="AK119" s="68" t="inlineStr">
        <is>
          <t>High</t>
        </is>
      </c>
      <c r="AL119" s="68" t="n"/>
      <c r="AM119" s="68" t="inlineStr">
        <is>
          <t>Internal linked</t>
        </is>
      </c>
      <c r="AN119" s="68" t="n">
        <v>0.9</v>
      </c>
      <c r="AO119" s="68" t="inlineStr">
        <is>
          <t>Needs work</t>
        </is>
      </c>
      <c r="AP119" s="68" t="n"/>
      <c r="AQ119" s="68" t="n"/>
      <c r="AR119" s="68" t="inlineStr">
        <is>
          <t>Source review</t>
        </is>
      </c>
      <c r="AS119" s="68" t="inlineStr">
        <is>
          <t>Not started</t>
        </is>
      </c>
      <c r="AT119" s="68" t="n"/>
      <c r="AU119" s="68" t="n"/>
      <c r="AV119" s="68" t="n"/>
      <c r="AW119" s="68" t="n"/>
      <c r="AX119" s="68" t="n"/>
      <c r="AY119" s="68" t="n"/>
      <c r="AZ119" s="68" t="n"/>
      <c r="BA119" s="68" t="n"/>
      <c r="BB119" s="68" t="n"/>
      <c r="BC119" s="68" t="n"/>
      <c r="BD119" s="68" t="n"/>
      <c r="BE119" s="68" t="inlineStr">
        <is>
          <t>2026-04-10</t>
        </is>
      </c>
      <c r="BF119" s="68" t="inlineStr">
        <is>
          <t>Metadata normalized from internal workbook links</t>
        </is>
      </c>
      <c r="BG119" s="68" t="inlineStr">
        <is>
          <t>skullcap|2026-04-10</t>
        </is>
      </c>
      <c r="BH119" s="68" t="inlineStr">
        <is>
          <t>2026-04-10:auto-normalized</t>
        </is>
      </c>
      <c r="BI119" t="inlineStr">
        <is>
          <t>skullcap</t>
        </is>
      </c>
      <c r="BJ119" t="inlineStr">
        <is>
          <t>Skullcap</t>
        </is>
      </c>
      <c r="BK119" t="n">
        <v>0</v>
      </c>
      <c r="BL119" t="n">
        <v>0</v>
      </c>
      <c r="BM119" t="n">
        <v>3</v>
      </c>
      <c r="BN119" t="n">
        <v>0</v>
      </c>
      <c r="BO119" t="n">
        <v>100</v>
      </c>
      <c r="BP119" t="n">
        <v>0</v>
      </c>
      <c r="BQ119" t="n">
        <v>0</v>
      </c>
      <c r="BR119" t="n">
        <v>0</v>
      </c>
      <c r="BS119" t="inlineStr">
        <is>
          <t>Tier 4</t>
        </is>
      </c>
      <c r="BT119" t="n">
        <v>0</v>
      </c>
      <c r="BU119" t="inlineStr">
        <is>
          <t>FALSE</t>
        </is>
      </c>
      <c r="BV119" t="inlineStr">
        <is>
          <t>skullcap</t>
        </is>
      </c>
      <c r="BW119" t="inlineStr">
        <is>
          <t>FALSE</t>
        </is>
      </c>
      <c r="BX119" t="inlineStr">
        <is>
          <t>Pass 10 refreshed scoring from 0 mapped compounds | Pass 13 rescored from 0 mapped compounds</t>
        </is>
      </c>
      <c r="CA119" t="n">
        <v>0</v>
      </c>
      <c r="CB119" t="n">
        <v>0</v>
      </c>
      <c r="CC119" t="n">
        <v>0</v>
      </c>
      <c r="CE119" t="inlineStr">
        <is>
          <t>Pass 13 rescored after herb-name normalization and real top-herb compound sweep</t>
        </is>
      </c>
      <c r="CF119" t="inlineStr">
        <is>
          <t>General</t>
        </is>
      </c>
      <c r="CH119" s="68" t="inlineStr">
        <is>
          <t>Start low; usually evening or split use</t>
        </is>
      </c>
      <c r="CI119" s="68" t="inlineStr">
        <is>
          <t>Prefer evening or split dosing; avoid stacking with other sedative-heavy products by default.</t>
        </is>
      </c>
      <c r="CJ119" s="68" t="inlineStr">
        <is>
          <t>sedation-cns</t>
        </is>
      </c>
      <c r="CK119" s="68" t="str"/>
      <c r="CL119" s="68" t="inlineStr">
        <is>
          <t>Baseline</t>
        </is>
      </c>
      <c r="CM119" s="68" t="inlineStr">
        <is>
          <t>No</t>
        </is>
      </c>
      <c r="CN119" s="68" t="str"/>
      <c r="CO119" s="68" t="inlineStr">
        <is>
          <t>Pass 21 herb-level safety and dose framing</t>
        </is>
      </c>
      <c r="CP119" t="inlineStr">
        <is>
          <t>Baseline</t>
        </is>
      </c>
      <c r="CQ119" t="inlineStr">
        <is>
          <t>No</t>
        </is>
      </c>
      <c r="CS119" t="inlineStr">
        <is>
          <t>Pass 22 refined safety rule severity and reduced broad keyword over-flagging</t>
        </is>
      </c>
      <c r="CT119" t="inlineStr">
        <is>
          <t>General</t>
        </is>
      </c>
      <c r="CU119" t="inlineStr">
        <is>
          <t>gabaa</t>
        </is>
      </c>
      <c r="CV119" t="inlineStr">
        <is>
          <t>Human</t>
        </is>
      </c>
      <c r="CW119" t="inlineStr">
        <is>
          <t>Pass 26 normalization: categories, mechanisms, evidence tiers</t>
        </is>
      </c>
      <c r="CX119" t="inlineStr">
        <is>
          <t>Human</t>
        </is>
      </c>
      <c r="CY119" t="inlineStr">
        <is>
          <t>Safe</t>
        </is>
      </c>
      <c r="CZ119" t="inlineStr">
        <is>
          <t>Mild sedation</t>
        </is>
      </c>
      <c r="DB119" t="inlineStr">
        <is>
          <t>Pass 28 normalized evidence and safety-related free text</t>
        </is>
      </c>
      <c r="DD119" t="inlineStr">
        <is>
          <t>No standardized dose established; use conservative, product-dependent ranges.</t>
        </is>
      </c>
      <c r="DE119" t="inlineStr">
        <is>
          <t>Common forms include extracts, powders, or teas depending on herb part.</t>
        </is>
      </c>
      <c r="DF119" t="inlineStr">
        <is>
          <t>Quality varies by extraction method, standardization, and contamination risk.</t>
        </is>
      </c>
      <c r="DG119" t="inlineStr">
        <is>
          <t>Moderate to high</t>
        </is>
      </c>
      <c r="DH119" t="inlineStr">
        <is>
          <t>Pass 29 completeness repair</t>
        </is>
      </c>
      <c r="DI119" t="n">
        <v>0</v>
      </c>
      <c r="DJ119" t="inlineStr">
        <is>
          <t>General</t>
        </is>
      </c>
      <c r="DL119" t="inlineStr">
        <is>
          <t>Acerola; Agarikon; Ajwain; Aloe Vera; American Ginseng</t>
        </is>
      </c>
      <c r="DM119" t="inlineStr">
        <is>
          <t>Pass 31 relationship intelligence: density, cluster, anchor class, nearest herbs</t>
        </is>
      </c>
      <c r="DP119" t="inlineStr">
        <is>
          <t>Generalist</t>
        </is>
      </c>
      <c r="DQ119" t="inlineStr">
        <is>
          <t>Pass 32 substitute engine + cluster cleanup</t>
        </is>
      </c>
      <c r="DT119" t="inlineStr">
        <is>
          <t>no strong safe fallback found</t>
        </is>
      </c>
      <c r="DU119" t="inlineStr">
        <is>
          <t>Not needed</t>
        </is>
      </c>
      <c r="DV119" t="inlineStr">
        <is>
          <t>Pass 33 fallback replacement engine</t>
        </is>
      </c>
      <c r="DY119" t="inlineStr">
        <is>
          <t>Pass 35 expanded fallback pool with second-pass candidate exploration</t>
        </is>
      </c>
      <c r="EA119" t="inlineStr">
        <is>
          <t>General</t>
        </is>
      </c>
      <c r="EC119" t="inlineStr">
        <is>
          <t>Low</t>
        </is>
      </c>
      <c r="ED119" t="inlineStr">
        <is>
          <t>Pass 40 reinforced weak-category herb data</t>
        </is>
      </c>
      <c r="EG119" t="n">
        <v>0</v>
      </c>
      <c r="EH119" t="n">
        <v>0</v>
      </c>
      <c r="EI119" t="n">
        <v>0</v>
      </c>
      <c r="EJ119" t="n">
        <v>0</v>
      </c>
      <c r="EK119" t="n">
        <v>0</v>
      </c>
      <c r="EL119" t="n">
        <v>0</v>
      </c>
      <c r="EN119" t="inlineStr">
        <is>
          <t>Pass 48 rolled compound scores into herb-level scoring</t>
        </is>
      </c>
    </row>
    <row r="120">
      <c r="A120" s="68" t="inlineStr">
        <is>
          <t>Eleuthero</t>
        </is>
      </c>
      <c r="B120" s="68" t="inlineStr">
        <is>
          <t>eleuthero</t>
        </is>
      </c>
      <c r="C120" s="68" t="inlineStr">
        <is>
          <t>Eleutherococcus senticosus</t>
        </is>
      </c>
      <c r="D120" s="68" t="inlineStr">
        <is>
          <t>herb</t>
        </is>
      </c>
      <c r="E120" s="68" t="inlineStr">
        <is>
          <t>root</t>
        </is>
      </c>
      <c r="F120" s="68" t="inlineStr">
        <is>
          <t>root</t>
        </is>
      </c>
      <c r="G120" s="68" t="inlineStr">
        <is>
          <t>eleuthero</t>
        </is>
      </c>
      <c r="H120" s="68" t="inlineStr">
        <is>
          <t>Asia</t>
        </is>
      </c>
      <c r="I120" s="68" t="inlineStr">
        <is>
          <t>Adaptogen.</t>
        </is>
      </c>
      <c r="J120" s="68" t="inlineStr">
        <is>
          <t>Stress resilience.</t>
        </is>
      </c>
      <c r="K120" s="68" t="inlineStr">
        <is>
          <t>eleutherosides</t>
        </is>
      </c>
      <c r="L120" s="68" t="inlineStr">
        <is>
          <t>eleutherosides</t>
        </is>
      </c>
      <c r="M120" s="68" t="inlineStr">
        <is>
          <t>HPA axis</t>
        </is>
      </c>
      <c r="N120" s="68" t="inlineStr">
        <is>
          <t>HPA axis</t>
        </is>
      </c>
      <c r="O120" s="68" t="inlineStr">
        <is>
          <t>human</t>
        </is>
      </c>
      <c r="P120" s="68" t="inlineStr">
        <is>
          <t>Safe</t>
        </is>
      </c>
      <c r="Q120" s="68" t="inlineStr">
        <is>
          <t>Generally safe</t>
        </is>
      </c>
      <c r="R120" s="68" t="n"/>
      <c r="S120" s="68" t="n"/>
      <c r="T120" s="68" t="n"/>
      <c r="U120" s="68" t="n"/>
      <c r="V120" s="68" t="n"/>
      <c r="W120" s="68" t="inlineStr">
        <is>
          <t>Low</t>
        </is>
      </c>
      <c r="X120" s="68" t="inlineStr">
        <is>
          <t>partial</t>
        </is>
      </c>
      <c r="Y120" s="68" t="n"/>
      <c r="Z120" s="68" t="inlineStr">
        <is>
          <t>dataset-linked</t>
        </is>
      </c>
      <c r="AA120" s="68" t="inlineStr">
        <is>
          <t>Internal workbook cross-link</t>
        </is>
      </c>
      <c r="AB120" s="68" t="n"/>
      <c r="AC120" s="68" t="n"/>
      <c r="AD120" s="68" t="n"/>
      <c r="AE120" s="68" t="n"/>
      <c r="AF120" s="68" t="n"/>
      <c r="AG120" s="68" t="n">
        <v>1</v>
      </c>
      <c r="AH120" s="68" t="n">
        <v>1</v>
      </c>
      <c r="AI120" s="68" t="n">
        <v>1</v>
      </c>
      <c r="AJ120" s="68" t="n">
        <v>3</v>
      </c>
      <c r="AK120" s="68" t="inlineStr">
        <is>
          <t>High</t>
        </is>
      </c>
      <c r="AL120" s="68" t="n"/>
      <c r="AM120" s="68" t="inlineStr">
        <is>
          <t>Internal linked</t>
        </is>
      </c>
      <c r="AN120" s="68" t="n">
        <v>0.9</v>
      </c>
      <c r="AO120" s="68" t="inlineStr">
        <is>
          <t>Needs work</t>
        </is>
      </c>
      <c r="AP120" s="68" t="n"/>
      <c r="AQ120" s="68" t="n"/>
      <c r="AR120" s="68" t="inlineStr">
        <is>
          <t>Source review</t>
        </is>
      </c>
      <c r="AS120" s="68" t="inlineStr">
        <is>
          <t>Not started</t>
        </is>
      </c>
      <c r="AT120" s="68" t="n"/>
      <c r="AU120" s="68" t="n"/>
      <c r="AV120" s="68" t="n"/>
      <c r="AW120" s="68" t="n"/>
      <c r="AX120" s="68" t="n"/>
      <c r="AY120" s="68" t="n"/>
      <c r="AZ120" s="68" t="n"/>
      <c r="BA120" s="68" t="n"/>
      <c r="BB120" s="68" t="n"/>
      <c r="BC120" s="68" t="n"/>
      <c r="BD120" s="68" t="n"/>
      <c r="BE120" s="68" t="inlineStr">
        <is>
          <t>2026-04-10</t>
        </is>
      </c>
      <c r="BF120" s="68" t="inlineStr">
        <is>
          <t>Metadata normalized from internal workbook links</t>
        </is>
      </c>
      <c r="BG120" s="68" t="inlineStr">
        <is>
          <t>eleuthero|2026-04-10</t>
        </is>
      </c>
      <c r="BH120" s="68" t="inlineStr">
        <is>
          <t>2026-04-10:auto-normalized</t>
        </is>
      </c>
      <c r="BI120" t="inlineStr">
        <is>
          <t>eleuthero</t>
        </is>
      </c>
      <c r="BJ120" t="inlineStr">
        <is>
          <t>Eleuthero</t>
        </is>
      </c>
      <c r="BK120" t="n">
        <v>1</v>
      </c>
      <c r="BL120" t="n">
        <v>1</v>
      </c>
      <c r="BM120" t="n">
        <v>3</v>
      </c>
      <c r="BN120" t="n">
        <v>7</v>
      </c>
      <c r="BO120" t="n">
        <v>100</v>
      </c>
      <c r="BP120" t="n">
        <v>8</v>
      </c>
      <c r="BQ120" t="n">
        <v>10</v>
      </c>
      <c r="BR120" t="n">
        <v>5</v>
      </c>
      <c r="BS120" t="inlineStr">
        <is>
          <t>Tier 1</t>
        </is>
      </c>
      <c r="BT120" t="n">
        <v>5</v>
      </c>
      <c r="BU120" t="inlineStr">
        <is>
          <t>FALSE</t>
        </is>
      </c>
      <c r="BV120" t="inlineStr">
        <is>
          <t>eleuthero</t>
        </is>
      </c>
      <c r="BW120" t="inlineStr">
        <is>
          <t>TRUE</t>
        </is>
      </c>
      <c r="BX120" t="inlineStr">
        <is>
          <t>Pass 10 refreshed scoring from 1 mapped compounds | Pass 13 rescored from 1 mapped compounds</t>
        </is>
      </c>
      <c r="BY120" t="inlineStr">
        <is>
          <t>unclassified</t>
        </is>
      </c>
      <c r="CA120" t="n">
        <v>2</v>
      </c>
      <c r="CB120" t="n">
        <v>0</v>
      </c>
      <c r="CC120" t="n">
        <v>0</v>
      </c>
      <c r="CD120" t="inlineStr">
        <is>
          <t>eleutherosides; unclassified</t>
        </is>
      </c>
      <c r="CE120" t="inlineStr">
        <is>
          <t>Pass 13 rescored after herb-name normalization and real top-herb compound sweep</t>
        </is>
      </c>
      <c r="CF120" t="inlineStr">
        <is>
          <t>General</t>
        </is>
      </c>
      <c r="CH120" s="68" t="inlineStr">
        <is>
          <t>Start with low single-herb exposure and increase only if tolerated</t>
        </is>
      </c>
      <c r="CI120" s="68" t="inlineStr">
        <is>
          <t>Product-ideation framing only; not clinical dosing advice.</t>
        </is>
      </c>
      <c r="CJ120" s="68" t="str"/>
      <c r="CK120" s="68" t="str"/>
      <c r="CL120" s="68" t="inlineStr">
        <is>
          <t>Baseline</t>
        </is>
      </c>
      <c r="CM120" s="68" t="inlineStr">
        <is>
          <t>No</t>
        </is>
      </c>
      <c r="CN120" s="68" t="str"/>
      <c r="CO120" s="68" t="inlineStr">
        <is>
          <t>Pass 21 herb-level safety and dose framing</t>
        </is>
      </c>
      <c r="CP120" t="inlineStr">
        <is>
          <t>Baseline</t>
        </is>
      </c>
      <c r="CQ120" t="inlineStr">
        <is>
          <t>No</t>
        </is>
      </c>
      <c r="CS120" t="inlineStr">
        <is>
          <t>Pass 22 refined safety rule severity and reduced broad keyword over-flagging</t>
        </is>
      </c>
      <c r="CT120" t="inlineStr">
        <is>
          <t>General</t>
        </is>
      </c>
      <c r="CU120" t="inlineStr">
        <is>
          <t>hpa axis</t>
        </is>
      </c>
      <c r="CV120" t="inlineStr">
        <is>
          <t>Human</t>
        </is>
      </c>
      <c r="CW120" t="inlineStr">
        <is>
          <t>Pass 26 normalization: categories, mechanisms, evidence tiers</t>
        </is>
      </c>
      <c r="CX120" t="inlineStr">
        <is>
          <t>Human</t>
        </is>
      </c>
      <c r="CY120" t="inlineStr">
        <is>
          <t>Safe</t>
        </is>
      </c>
      <c r="CZ120" t="inlineStr">
        <is>
          <t>Generally safe</t>
        </is>
      </c>
      <c r="DB120" t="inlineStr">
        <is>
          <t>Pass 28 normalized evidence and safety-related free text</t>
        </is>
      </c>
      <c r="DD120" t="inlineStr">
        <is>
          <t>No standardized dose established; use conservative, product-dependent ranges.</t>
        </is>
      </c>
      <c r="DE120" t="inlineStr">
        <is>
          <t>Common forms include extracts, powders, or teas depending on herb part.</t>
        </is>
      </c>
      <c r="DF120" t="inlineStr">
        <is>
          <t>Quality varies by extraction method, standardization, and contamination risk.</t>
        </is>
      </c>
      <c r="DG120" t="inlineStr">
        <is>
          <t>Moderate to high</t>
        </is>
      </c>
      <c r="DH120" t="inlineStr">
        <is>
          <t>Pass 29 completeness repair</t>
        </is>
      </c>
      <c r="DI120" t="n">
        <v>9</v>
      </c>
      <c r="DJ120" t="inlineStr">
        <is>
          <t>General</t>
        </is>
      </c>
      <c r="DK120" t="inlineStr">
        <is>
          <t>eleutherosides</t>
        </is>
      </c>
      <c r="DL120" t="inlineStr">
        <is>
          <t>Agarikon; Ajwain; Angelica Root; Artichoke; Ashoka</t>
        </is>
      </c>
      <c r="DM120" t="inlineStr">
        <is>
          <t>Pass 31 relationship intelligence: density, cluster, anchor class, nearest herbs</t>
        </is>
      </c>
      <c r="DN120" t="inlineStr">
        <is>
          <t>Agarikon; Ajwain; Angelica Root; Artichoke; Ashoka</t>
        </is>
      </c>
      <c r="DO120" t="inlineStr">
        <is>
          <t>Agarikon (1 shared pathways) | Ajwain (1 shared pathways) | Angelica Root (1 shared pathways)</t>
        </is>
      </c>
      <c r="DP120" t="inlineStr">
        <is>
          <t>Generalist</t>
        </is>
      </c>
      <c r="DQ120" t="inlineStr">
        <is>
          <t>Pass 32 substitute engine + cluster cleanup</t>
        </is>
      </c>
      <c r="DR120" t="inlineStr">
        <is>
          <t>Agarikon</t>
        </is>
      </c>
      <c r="DS120" t="inlineStr">
        <is>
          <t>Ajwain</t>
        </is>
      </c>
      <c r="DT120" t="inlineStr">
        <is>
          <t>same cluster; lower safety burden; similarity-backed</t>
        </is>
      </c>
      <c r="DU120" t="inlineStr">
        <is>
          <t>Not needed</t>
        </is>
      </c>
      <c r="DV120" t="inlineStr">
        <is>
          <t>Pass 33 fallback replacement engine</t>
        </is>
      </c>
      <c r="DW120" t="inlineStr">
        <is>
          <t>Angelica Root</t>
        </is>
      </c>
      <c r="DX120" t="inlineStr">
        <is>
          <t>Agarikon; Ajwain; Angelica Root; Ashoka; Blue Lotus; Artichoke; Rosemary; Sage</t>
        </is>
      </c>
      <c r="DY120" t="inlineStr">
        <is>
          <t>Pass 35 expanded fallback pool with second-pass candidate exploration</t>
        </is>
      </c>
      <c r="EA120" t="inlineStr">
        <is>
          <t>General</t>
        </is>
      </c>
      <c r="EB120" t="inlineStr">
        <is>
          <t>unclassified</t>
        </is>
      </c>
      <c r="EC120" t="inlineStr">
        <is>
          <t>Low to moderate</t>
        </is>
      </c>
      <c r="ED120" t="inlineStr">
        <is>
          <t>Pass 40 reinforced weak-category herb data</t>
        </is>
      </c>
      <c r="EG120" t="n">
        <v>3</v>
      </c>
      <c r="EH120" t="n">
        <v>3</v>
      </c>
      <c r="EI120" t="n">
        <v>0</v>
      </c>
      <c r="EJ120" t="n">
        <v>0</v>
      </c>
      <c r="EK120" t="n">
        <v>11</v>
      </c>
      <c r="EL120" t="n">
        <v>7</v>
      </c>
      <c r="EM120" t="inlineStr">
        <is>
          <t>eleutherosides</t>
        </is>
      </c>
      <c r="EN120" t="inlineStr">
        <is>
          <t>Pass 48 rolled compound scores into herb-level scoring</t>
        </is>
      </c>
    </row>
    <row r="121">
      <c r="A121" s="68" t="inlineStr">
        <is>
          <t>Gotu Kola</t>
        </is>
      </c>
      <c r="B121" s="68" t="inlineStr">
        <is>
          <t>gotu-kola</t>
        </is>
      </c>
      <c r="C121" s="68" t="inlineStr">
        <is>
          <t>Centella asiatica</t>
        </is>
      </c>
      <c r="D121" s="68" t="inlineStr">
        <is>
          <t>herb</t>
        </is>
      </c>
      <c r="E121" s="68" t="inlineStr">
        <is>
          <t>leaf</t>
        </is>
      </c>
      <c r="F121" s="68" t="inlineStr">
        <is>
          <t>leaf</t>
        </is>
      </c>
      <c r="G121" s="68" t="inlineStr">
        <is>
          <t>gotu kola</t>
        </is>
      </c>
      <c r="H121" s="68" t="inlineStr">
        <is>
          <t>Global</t>
        </is>
      </c>
      <c r="I121" s="68" t="inlineStr">
        <is>
          <t>Cognitive + vascular.</t>
        </is>
      </c>
      <c r="J121" s="68" t="inlineStr">
        <is>
          <t>NO support.</t>
        </is>
      </c>
      <c r="K121" s="68" t="inlineStr">
        <is>
          <t>asiaticoside</t>
        </is>
      </c>
      <c r="L121" s="68" t="inlineStr">
        <is>
          <t>asiaticoside</t>
        </is>
      </c>
      <c r="M121" s="68" t="inlineStr">
        <is>
          <t>NO pathway</t>
        </is>
      </c>
      <c r="N121" s="68" t="inlineStr">
        <is>
          <t>NO</t>
        </is>
      </c>
      <c r="O121" s="68" t="inlineStr">
        <is>
          <t>human</t>
        </is>
      </c>
      <c r="P121" s="68" t="inlineStr">
        <is>
          <t>Safe</t>
        </is>
      </c>
      <c r="Q121" s="68" t="inlineStr">
        <is>
          <t>Generally safe</t>
        </is>
      </c>
      <c r="R121" s="68" t="n"/>
      <c r="S121" s="68" t="n"/>
      <c r="T121" s="68" t="n"/>
      <c r="U121" s="68" t="n"/>
      <c r="V121" s="68" t="n"/>
      <c r="W121" s="68" t="inlineStr">
        <is>
          <t>Medium</t>
        </is>
      </c>
      <c r="X121" s="68" t="inlineStr">
        <is>
          <t>partial</t>
        </is>
      </c>
      <c r="Y121" s="68" t="n"/>
      <c r="Z121" s="68" t="inlineStr">
        <is>
          <t>dataset-linked</t>
        </is>
      </c>
      <c r="AA121" s="68" t="inlineStr">
        <is>
          <t>Internal workbook cross-link</t>
        </is>
      </c>
      <c r="AB121" s="68" t="n"/>
      <c r="AC121" s="68" t="n"/>
      <c r="AD121" s="68" t="n"/>
      <c r="AE121" s="68" t="n"/>
      <c r="AF121" s="68" t="n"/>
      <c r="AG121" s="68" t="n">
        <v>2</v>
      </c>
      <c r="AH121" s="68" t="n">
        <v>2</v>
      </c>
      <c r="AI121" s="68" t="n">
        <v>2</v>
      </c>
      <c r="AJ121" s="68" t="n">
        <v>6</v>
      </c>
      <c r="AK121" s="68" t="inlineStr">
        <is>
          <t>Medium</t>
        </is>
      </c>
      <c r="AL121" s="68" t="n"/>
      <c r="AM121" s="68" t="inlineStr">
        <is>
          <t>Internal linked</t>
        </is>
      </c>
      <c r="AN121" s="68" t="n">
        <v>0.9</v>
      </c>
      <c r="AO121" s="68" t="inlineStr">
        <is>
          <t>Near ready</t>
        </is>
      </c>
      <c r="AP121" s="68" t="n"/>
      <c r="AQ121" s="68" t="n"/>
      <c r="AR121" s="68" t="inlineStr">
        <is>
          <t>Editorial polish</t>
        </is>
      </c>
      <c r="AS121" s="68" t="inlineStr">
        <is>
          <t>Not started</t>
        </is>
      </c>
      <c r="AT121" s="68" t="n"/>
      <c r="AU121" s="68" t="n"/>
      <c r="AV121" s="68" t="n"/>
      <c r="AW121" s="68" t="n"/>
      <c r="AX121" s="68" t="n"/>
      <c r="AY121" s="68" t="n"/>
      <c r="AZ121" s="68" t="n"/>
      <c r="BA121" s="68" t="n"/>
      <c r="BB121" s="68" t="n"/>
      <c r="BC121" s="68" t="n"/>
      <c r="BD121" s="68" t="n"/>
      <c r="BE121" s="68" t="inlineStr">
        <is>
          <t>2026-04-10</t>
        </is>
      </c>
      <c r="BF121" s="68" t="inlineStr">
        <is>
          <t>Metadata normalized from internal workbook links</t>
        </is>
      </c>
      <c r="BG121" s="68" t="inlineStr">
        <is>
          <t>gotu-kola|2026-04-10</t>
        </is>
      </c>
      <c r="BH121" s="68" t="inlineStr">
        <is>
          <t>2026-04-10:auto-normalized</t>
        </is>
      </c>
      <c r="BI121" t="inlineStr">
        <is>
          <t>gotu-kola</t>
        </is>
      </c>
      <c r="BJ121" t="inlineStr">
        <is>
          <t>Gotu Kola</t>
        </is>
      </c>
      <c r="BK121" t="n">
        <v>0</v>
      </c>
      <c r="BL121" t="n">
        <v>0</v>
      </c>
      <c r="BM121" t="n">
        <v>3</v>
      </c>
      <c r="BN121" t="n">
        <v>0</v>
      </c>
      <c r="BO121" t="n">
        <v>100</v>
      </c>
      <c r="BP121" t="n">
        <v>0</v>
      </c>
      <c r="BQ121" t="n">
        <v>0</v>
      </c>
      <c r="BR121" t="n">
        <v>0</v>
      </c>
      <c r="BS121" t="inlineStr">
        <is>
          <t>Tier 4</t>
        </is>
      </c>
      <c r="BT121" t="n">
        <v>0</v>
      </c>
      <c r="BU121" t="inlineStr">
        <is>
          <t>FALSE</t>
        </is>
      </c>
      <c r="BV121" t="inlineStr">
        <is>
          <t>gotu-kola</t>
        </is>
      </c>
      <c r="BW121" t="inlineStr">
        <is>
          <t>FALSE</t>
        </is>
      </c>
      <c r="BX121" t="inlineStr">
        <is>
          <t>Pass 10 refreshed scoring from 0 mapped compounds | Pass 13 rescored from 0 mapped compounds</t>
        </is>
      </c>
      <c r="CA121" t="n">
        <v>0</v>
      </c>
      <c r="CB121" t="n">
        <v>0</v>
      </c>
      <c r="CC121" t="n">
        <v>0</v>
      </c>
      <c r="CE121" t="inlineStr">
        <is>
          <t>Pass 13 rescored after herb-name normalization and real top-herb compound sweep</t>
        </is>
      </c>
      <c r="CF121" t="inlineStr">
        <is>
          <t>General</t>
        </is>
      </c>
      <c r="CH121" s="68" t="inlineStr">
        <is>
          <t>Start with low single-herb exposure and increase only if tolerated</t>
        </is>
      </c>
      <c r="CI121" s="68" t="inlineStr">
        <is>
          <t>Product-ideation framing only; not clinical dosing advice.</t>
        </is>
      </c>
      <c r="CJ121" s="68" t="str"/>
      <c r="CK121" s="68" t="str"/>
      <c r="CL121" s="68" t="inlineStr">
        <is>
          <t>Baseline</t>
        </is>
      </c>
      <c r="CM121" s="68" t="inlineStr">
        <is>
          <t>No</t>
        </is>
      </c>
      <c r="CN121" s="68" t="str"/>
      <c r="CO121" s="68" t="inlineStr">
        <is>
          <t>Pass 21 herb-level safety and dose framing</t>
        </is>
      </c>
      <c r="CP121" t="inlineStr">
        <is>
          <t>Baseline</t>
        </is>
      </c>
      <c r="CQ121" t="inlineStr">
        <is>
          <t>No</t>
        </is>
      </c>
      <c r="CS121" t="inlineStr">
        <is>
          <t>Pass 22 refined safety rule severity and reduced broad keyword over-flagging</t>
        </is>
      </c>
      <c r="CT121" t="inlineStr">
        <is>
          <t>General</t>
        </is>
      </c>
      <c r="CU121" t="inlineStr">
        <is>
          <t>no</t>
        </is>
      </c>
      <c r="CV121" t="inlineStr">
        <is>
          <t>Human</t>
        </is>
      </c>
      <c r="CW121" t="inlineStr">
        <is>
          <t>Pass 26 normalization: categories, mechanisms, evidence tiers</t>
        </is>
      </c>
      <c r="CX121" t="inlineStr">
        <is>
          <t>Human</t>
        </is>
      </c>
      <c r="CY121" t="inlineStr">
        <is>
          <t>Safe</t>
        </is>
      </c>
      <c r="CZ121" t="inlineStr">
        <is>
          <t>Generally safe</t>
        </is>
      </c>
      <c r="DB121" t="inlineStr">
        <is>
          <t>Pass 28 normalized evidence and safety-related free text</t>
        </is>
      </c>
      <c r="DD121" t="inlineStr">
        <is>
          <t>No standardized dose established; use conservative, product-dependent ranges.</t>
        </is>
      </c>
      <c r="DE121" t="inlineStr">
        <is>
          <t>Common forms include extracts, powders, or teas depending on herb part.</t>
        </is>
      </c>
      <c r="DF121" t="inlineStr">
        <is>
          <t>Quality varies by extraction method, standardization, and contamination risk.</t>
        </is>
      </c>
      <c r="DG121" t="inlineStr">
        <is>
          <t>Moderate to high</t>
        </is>
      </c>
      <c r="DH121" t="inlineStr">
        <is>
          <t>Pass 29 completeness repair</t>
        </is>
      </c>
      <c r="DI121" t="n">
        <v>0</v>
      </c>
      <c r="DJ121" t="inlineStr">
        <is>
          <t>General</t>
        </is>
      </c>
      <c r="DL121" t="inlineStr">
        <is>
          <t>Acerola; Agarikon; Ajwain; Aloe Vera; American Ginseng</t>
        </is>
      </c>
      <c r="DM121" t="inlineStr">
        <is>
          <t>Pass 31 relationship intelligence: density, cluster, anchor class, nearest herbs</t>
        </is>
      </c>
      <c r="DP121" t="inlineStr">
        <is>
          <t>Generalist</t>
        </is>
      </c>
      <c r="DQ121" t="inlineStr">
        <is>
          <t>Pass 32 substitute engine + cluster cleanup</t>
        </is>
      </c>
      <c r="DT121" t="inlineStr">
        <is>
          <t>no strong safe fallback found</t>
        </is>
      </c>
      <c r="DU121" t="inlineStr">
        <is>
          <t>Not needed</t>
        </is>
      </c>
      <c r="DV121" t="inlineStr">
        <is>
          <t>Pass 33 fallback replacement engine</t>
        </is>
      </c>
      <c r="DY121" t="inlineStr">
        <is>
          <t>Pass 35 expanded fallback pool with second-pass candidate exploration</t>
        </is>
      </c>
      <c r="EA121" t="inlineStr">
        <is>
          <t>General</t>
        </is>
      </c>
      <c r="EC121" t="inlineStr">
        <is>
          <t>Medium</t>
        </is>
      </c>
      <c r="ED121" t="inlineStr">
        <is>
          <t>Pass 40 reinforced weak-category herb data</t>
        </is>
      </c>
      <c r="EG121" t="n">
        <v>0</v>
      </c>
      <c r="EH121" t="n">
        <v>0</v>
      </c>
      <c r="EI121" t="n">
        <v>0</v>
      </c>
      <c r="EJ121" t="n">
        <v>0</v>
      </c>
      <c r="EK121" t="n">
        <v>0</v>
      </c>
      <c r="EL121" t="n">
        <v>0</v>
      </c>
      <c r="EN121" t="inlineStr">
        <is>
          <t>Pass 48 rolled compound scores into herb-level scoring</t>
        </is>
      </c>
    </row>
    <row r="122">
      <c r="A122" s="68" t="inlineStr">
        <is>
          <t>Schisandra</t>
        </is>
      </c>
      <c r="B122" s="68" t="inlineStr">
        <is>
          <t>schisandra</t>
        </is>
      </c>
      <c r="C122" s="68" t="inlineStr">
        <is>
          <t>Schisandra chinensis</t>
        </is>
      </c>
      <c r="D122" s="68" t="inlineStr">
        <is>
          <t>herb</t>
        </is>
      </c>
      <c r="E122" s="68" t="inlineStr">
        <is>
          <t>berry</t>
        </is>
      </c>
      <c r="F122" s="68" t="inlineStr">
        <is>
          <t>berry</t>
        </is>
      </c>
      <c r="G122" s="68" t="inlineStr">
        <is>
          <t>schisandra</t>
        </is>
      </c>
      <c r="H122" s="68" t="inlineStr">
        <is>
          <t>Asia</t>
        </is>
      </c>
      <c r="I122" s="68" t="inlineStr">
        <is>
          <t>Adaptogen.</t>
        </is>
      </c>
      <c r="J122" s="68" t="inlineStr">
        <is>
          <t>Liver + stress.</t>
        </is>
      </c>
      <c r="K122" s="68" t="inlineStr">
        <is>
          <t>gomisins</t>
        </is>
      </c>
      <c r="L122" s="68" t="inlineStr">
        <is>
          <t>gomisins</t>
        </is>
      </c>
      <c r="M122" s="68" t="inlineStr">
        <is>
          <t>Nrf2</t>
        </is>
      </c>
      <c r="N122" s="68" t="inlineStr">
        <is>
          <t>Nrf2</t>
        </is>
      </c>
      <c r="O122" s="68" t="inlineStr">
        <is>
          <t>human</t>
        </is>
      </c>
      <c r="P122" s="68" t="inlineStr">
        <is>
          <t>Safe</t>
        </is>
      </c>
      <c r="Q122" s="68" t="inlineStr">
        <is>
          <t>Generally safe</t>
        </is>
      </c>
      <c r="R122" s="68" t="n"/>
      <c r="S122" s="68" t="n"/>
      <c r="T122" s="68" t="n"/>
      <c r="U122" s="68" t="n"/>
      <c r="V122" s="68" t="n"/>
      <c r="W122" s="68" t="inlineStr">
        <is>
          <t>Low</t>
        </is>
      </c>
      <c r="X122" s="68" t="inlineStr">
        <is>
          <t>partial</t>
        </is>
      </c>
      <c r="Y122" s="68" t="n"/>
      <c r="Z122" s="68" t="inlineStr">
        <is>
          <t>dataset-linked</t>
        </is>
      </c>
      <c r="AA122" s="68" t="inlineStr">
        <is>
          <t>Internal workbook cross-link</t>
        </is>
      </c>
      <c r="AB122" s="68" t="n"/>
      <c r="AC122" s="68" t="n"/>
      <c r="AD122" s="68" t="n"/>
      <c r="AE122" s="68" t="n"/>
      <c r="AF122" s="68" t="n"/>
      <c r="AG122" s="68" t="n">
        <v>1</v>
      </c>
      <c r="AH122" s="68" t="n">
        <v>1</v>
      </c>
      <c r="AI122" s="68" t="n">
        <v>1</v>
      </c>
      <c r="AJ122" s="68" t="n">
        <v>3</v>
      </c>
      <c r="AK122" s="68" t="inlineStr">
        <is>
          <t>High</t>
        </is>
      </c>
      <c r="AL122" s="68" t="n"/>
      <c r="AM122" s="68" t="inlineStr">
        <is>
          <t>Internal linked</t>
        </is>
      </c>
      <c r="AN122" s="68" t="n">
        <v>0.9</v>
      </c>
      <c r="AO122" s="68" t="inlineStr">
        <is>
          <t>Needs work</t>
        </is>
      </c>
      <c r="AP122" s="68" t="n"/>
      <c r="AQ122" s="68" t="n"/>
      <c r="AR122" s="68" t="inlineStr">
        <is>
          <t>Source review</t>
        </is>
      </c>
      <c r="AS122" s="68" t="inlineStr">
        <is>
          <t>Not started</t>
        </is>
      </c>
      <c r="AT122" s="68" t="n"/>
      <c r="AU122" s="68" t="n"/>
      <c r="AV122" s="68" t="n"/>
      <c r="AW122" s="68" t="n"/>
      <c r="AX122" s="68" t="n"/>
      <c r="AY122" s="68" t="n"/>
      <c r="AZ122" s="68" t="n"/>
      <c r="BA122" s="68" t="n"/>
      <c r="BB122" s="68" t="n"/>
      <c r="BC122" s="68" t="n"/>
      <c r="BD122" s="68" t="n"/>
      <c r="BE122" s="68" t="inlineStr">
        <is>
          <t>2026-04-10</t>
        </is>
      </c>
      <c r="BF122" s="68" t="inlineStr">
        <is>
          <t>Metadata normalized from internal workbook links</t>
        </is>
      </c>
      <c r="BG122" s="68" t="inlineStr">
        <is>
          <t>schisandra|2026-04-10</t>
        </is>
      </c>
      <c r="BH122" s="68" t="inlineStr">
        <is>
          <t>2026-04-10:auto-normalized</t>
        </is>
      </c>
      <c r="BI122" t="inlineStr">
        <is>
          <t>schisandra</t>
        </is>
      </c>
      <c r="BJ122" t="inlineStr">
        <is>
          <t>Schisandra</t>
        </is>
      </c>
      <c r="BK122" t="n">
        <v>0</v>
      </c>
      <c r="BL122" t="n">
        <v>0</v>
      </c>
      <c r="BM122" t="n">
        <v>3</v>
      </c>
      <c r="BN122" t="n">
        <v>0</v>
      </c>
      <c r="BO122" t="n">
        <v>100</v>
      </c>
      <c r="BP122" t="n">
        <v>0</v>
      </c>
      <c r="BQ122" t="n">
        <v>0</v>
      </c>
      <c r="BR122" t="n">
        <v>0</v>
      </c>
      <c r="BS122" t="inlineStr">
        <is>
          <t>Tier 4</t>
        </is>
      </c>
      <c r="BT122" t="n">
        <v>0</v>
      </c>
      <c r="BU122" t="inlineStr">
        <is>
          <t>FALSE</t>
        </is>
      </c>
      <c r="BV122" t="inlineStr">
        <is>
          <t>schisandra</t>
        </is>
      </c>
      <c r="BW122" t="inlineStr">
        <is>
          <t>FALSE</t>
        </is>
      </c>
      <c r="BX122" t="inlineStr">
        <is>
          <t>Pass 10 refreshed scoring from 0 mapped compounds | Pass 13 rescored from 0 mapped compounds</t>
        </is>
      </c>
      <c r="CA122" t="n">
        <v>0</v>
      </c>
      <c r="CB122" t="n">
        <v>0</v>
      </c>
      <c r="CC122" t="n">
        <v>0</v>
      </c>
      <c r="CE122" t="inlineStr">
        <is>
          <t>Pass 13 rescored after herb-name normalization and real top-herb compound sweep</t>
        </is>
      </c>
      <c r="CF122" t="inlineStr">
        <is>
          <t>General</t>
        </is>
      </c>
      <c r="CH122" s="68" t="inlineStr">
        <is>
          <t>Start with low single-herb exposure and increase only if tolerated</t>
        </is>
      </c>
      <c r="CI122" s="68" t="inlineStr">
        <is>
          <t>Product-ideation framing only; not clinical dosing advice.</t>
        </is>
      </c>
      <c r="CJ122" s="68" t="str"/>
      <c r="CK122" s="68" t="str"/>
      <c r="CL122" s="68" t="inlineStr">
        <is>
          <t>Baseline</t>
        </is>
      </c>
      <c r="CM122" s="68" t="inlineStr">
        <is>
          <t>No</t>
        </is>
      </c>
      <c r="CN122" s="68" t="str"/>
      <c r="CO122" s="68" t="inlineStr">
        <is>
          <t>Pass 21 herb-level safety and dose framing</t>
        </is>
      </c>
      <c r="CP122" t="inlineStr">
        <is>
          <t>Baseline</t>
        </is>
      </c>
      <c r="CQ122" t="inlineStr">
        <is>
          <t>No</t>
        </is>
      </c>
      <c r="CS122" t="inlineStr">
        <is>
          <t>Pass 22 refined safety rule severity and reduced broad keyword over-flagging</t>
        </is>
      </c>
      <c r="CT122" t="inlineStr">
        <is>
          <t>General</t>
        </is>
      </c>
      <c r="CU122" t="inlineStr">
        <is>
          <t>nrf2</t>
        </is>
      </c>
      <c r="CV122" t="inlineStr">
        <is>
          <t>Human</t>
        </is>
      </c>
      <c r="CW122" t="inlineStr">
        <is>
          <t>Pass 26 normalization: categories, mechanisms, evidence tiers</t>
        </is>
      </c>
      <c r="CX122" t="inlineStr">
        <is>
          <t>Human</t>
        </is>
      </c>
      <c r="CY122" t="inlineStr">
        <is>
          <t>Safe</t>
        </is>
      </c>
      <c r="CZ122" t="inlineStr">
        <is>
          <t>Generally safe</t>
        </is>
      </c>
      <c r="DB122" t="inlineStr">
        <is>
          <t>Pass 28 normalized evidence and safety-related free text</t>
        </is>
      </c>
      <c r="DD122" t="inlineStr">
        <is>
          <t>No standardized dose established; use conservative, product-dependent ranges.</t>
        </is>
      </c>
      <c r="DE122" t="inlineStr">
        <is>
          <t>Common forms include extracts, powders, or teas depending on herb part.</t>
        </is>
      </c>
      <c r="DF122" t="inlineStr">
        <is>
          <t>Quality varies by extraction method, standardization, and contamination risk.</t>
        </is>
      </c>
      <c r="DG122" t="inlineStr">
        <is>
          <t>Moderate to high</t>
        </is>
      </c>
      <c r="DH122" t="inlineStr">
        <is>
          <t>Pass 29 completeness repair</t>
        </is>
      </c>
      <c r="DI122" t="n">
        <v>0</v>
      </c>
      <c r="DJ122" t="inlineStr">
        <is>
          <t>General</t>
        </is>
      </c>
      <c r="DL122" t="inlineStr">
        <is>
          <t>Acerola; Agarikon; Ajwain; Aloe Vera; American Ginseng</t>
        </is>
      </c>
      <c r="DM122" t="inlineStr">
        <is>
          <t>Pass 31 relationship intelligence: density, cluster, anchor class, nearest herbs</t>
        </is>
      </c>
      <c r="DP122" t="inlineStr">
        <is>
          <t>Generalist</t>
        </is>
      </c>
      <c r="DQ122" t="inlineStr">
        <is>
          <t>Pass 32 substitute engine + cluster cleanup</t>
        </is>
      </c>
      <c r="DT122" t="inlineStr">
        <is>
          <t>no strong safe fallback found</t>
        </is>
      </c>
      <c r="DU122" t="inlineStr">
        <is>
          <t>Not needed</t>
        </is>
      </c>
      <c r="DV122" t="inlineStr">
        <is>
          <t>Pass 33 fallback replacement engine</t>
        </is>
      </c>
      <c r="DY122" t="inlineStr">
        <is>
          <t>Pass 35 expanded fallback pool with second-pass candidate exploration</t>
        </is>
      </c>
      <c r="EA122" t="inlineStr">
        <is>
          <t>General</t>
        </is>
      </c>
      <c r="EC122" t="inlineStr">
        <is>
          <t>Low</t>
        </is>
      </c>
      <c r="ED122" t="inlineStr">
        <is>
          <t>Pass 40 reinforced weak-category herb data</t>
        </is>
      </c>
      <c r="EG122" t="n">
        <v>0</v>
      </c>
      <c r="EH122" t="n">
        <v>0</v>
      </c>
      <c r="EI122" t="n">
        <v>0</v>
      </c>
      <c r="EJ122" t="n">
        <v>0</v>
      </c>
      <c r="EK122" t="n">
        <v>0</v>
      </c>
      <c r="EL122" t="n">
        <v>0</v>
      </c>
      <c r="EN122" t="inlineStr">
        <is>
          <t>Pass 48 rolled compound scores into herb-level scoring</t>
        </is>
      </c>
    </row>
    <row r="123">
      <c r="A123" s="68" t="inlineStr">
        <is>
          <t>Reishi</t>
        </is>
      </c>
      <c r="B123" s="68" t="inlineStr">
        <is>
          <t>reishi</t>
        </is>
      </c>
      <c r="C123" s="68" t="inlineStr">
        <is>
          <t>Ganoderma lucidum</t>
        </is>
      </c>
      <c r="D123" s="68" t="inlineStr">
        <is>
          <t>fungi</t>
        </is>
      </c>
      <c r="E123" s="68" t="inlineStr">
        <is>
          <t>fruiting body</t>
        </is>
      </c>
      <c r="F123" s="68" t="inlineStr">
        <is>
          <t>fruiting body</t>
        </is>
      </c>
      <c r="G123" s="68" t="inlineStr">
        <is>
          <t>reishi</t>
        </is>
      </c>
      <c r="H123" s="68" t="inlineStr">
        <is>
          <t>Global</t>
        </is>
      </c>
      <c r="I123" s="68" t="inlineStr">
        <is>
          <t>Immune mushroom.</t>
        </is>
      </c>
      <c r="J123" s="68" t="inlineStr">
        <is>
          <t>Immune modulation.</t>
        </is>
      </c>
      <c r="K123" s="68" t="inlineStr">
        <is>
          <t>triterpenes</t>
        </is>
      </c>
      <c r="L123" s="68" t="inlineStr">
        <is>
          <t>triterpenes</t>
        </is>
      </c>
      <c r="M123" s="68" t="inlineStr">
        <is>
          <t>NFkB</t>
        </is>
      </c>
      <c r="N123" s="68" t="inlineStr">
        <is>
          <t>NFkB</t>
        </is>
      </c>
      <c r="O123" s="68" t="inlineStr">
        <is>
          <t>human</t>
        </is>
      </c>
      <c r="P123" s="68" t="inlineStr">
        <is>
          <t>Safe</t>
        </is>
      </c>
      <c r="Q123" s="68" t="inlineStr">
        <is>
          <t>Mild GI</t>
        </is>
      </c>
      <c r="R123" s="68" t="n"/>
      <c r="S123" s="68" t="n"/>
      <c r="T123" s="68" t="n"/>
      <c r="U123" s="68" t="n"/>
      <c r="V123" s="68" t="n"/>
      <c r="W123" s="68" t="inlineStr">
        <is>
          <t>High</t>
        </is>
      </c>
      <c r="X123" s="68" t="inlineStr">
        <is>
          <t>partial</t>
        </is>
      </c>
      <c r="Y123" s="68" t="n"/>
      <c r="Z123" s="68" t="inlineStr">
        <is>
          <t>present</t>
        </is>
      </c>
      <c r="AA123" s="68" t="inlineStr">
        <is>
          <t>Internal workbook + enrichment queue</t>
        </is>
      </c>
      <c r="AB123" s="68" t="n"/>
      <c r="AC123" s="68" t="n"/>
      <c r="AD123" s="68" t="n"/>
      <c r="AE123" s="68" t="n"/>
      <c r="AF123" s="68" t="n"/>
      <c r="AG123" s="68" t="n">
        <v>3</v>
      </c>
      <c r="AH123" s="68" t="n">
        <v>1</v>
      </c>
      <c r="AI123" s="68" t="n">
        <v>3</v>
      </c>
      <c r="AJ123" s="68" t="n">
        <v>7</v>
      </c>
      <c r="AK123" s="68" t="inlineStr">
        <is>
          <t>Medium</t>
        </is>
      </c>
      <c r="AL123" s="68" t="n"/>
      <c r="AM123" s="68" t="inlineStr">
        <is>
          <t>Linked primary/secondary</t>
        </is>
      </c>
      <c r="AN123" s="68" t="n">
        <v>0.9</v>
      </c>
      <c r="AO123" s="68" t="inlineStr">
        <is>
          <t>Near ready</t>
        </is>
      </c>
      <c r="AP123" s="68" t="n"/>
      <c r="AQ123" s="68" t="n"/>
      <c r="AR123" s="68" t="inlineStr">
        <is>
          <t>Editorial polish</t>
        </is>
      </c>
      <c r="AS123" s="68" t="inlineStr">
        <is>
          <t>Not started</t>
        </is>
      </c>
      <c r="AT123" s="68" t="n"/>
      <c r="AU123" s="68" t="n"/>
      <c r="AV123" s="68" t="n"/>
      <c r="AW123" s="68" t="n"/>
      <c r="AX123" s="68" t="n"/>
      <c r="AY123" s="68" t="n"/>
      <c r="AZ123" s="68" t="n"/>
      <c r="BA123" s="68" t="n"/>
      <c r="BB123" s="68" t="n"/>
      <c r="BC123" s="68" t="n"/>
      <c r="BD123" s="68" t="n"/>
      <c r="BE123" s="68" t="inlineStr">
        <is>
          <t>2026-04-10</t>
        </is>
      </c>
      <c r="BF123" s="68" t="inlineStr">
        <is>
          <t>Metadata normalized from internal workbook links</t>
        </is>
      </c>
      <c r="BG123" s="68" t="inlineStr">
        <is>
          <t>reishi|2026-04-10</t>
        </is>
      </c>
      <c r="BH123" s="68" t="inlineStr">
        <is>
          <t>2026-04-10:auto-normalized</t>
        </is>
      </c>
      <c r="BI123" t="inlineStr">
        <is>
          <t>reishi</t>
        </is>
      </c>
      <c r="BJ123" t="inlineStr">
        <is>
          <t>Reishi</t>
        </is>
      </c>
      <c r="BK123" t="n">
        <v>1</v>
      </c>
      <c r="BL123" t="n">
        <v>1</v>
      </c>
      <c r="BM123" t="n">
        <v>3</v>
      </c>
      <c r="BN123" t="n">
        <v>7</v>
      </c>
      <c r="BO123" t="n">
        <v>100</v>
      </c>
      <c r="BP123" t="n">
        <v>8</v>
      </c>
      <c r="BQ123" t="n">
        <v>10</v>
      </c>
      <c r="BR123" t="n">
        <v>5</v>
      </c>
      <c r="BS123" t="inlineStr">
        <is>
          <t>Tier 1</t>
        </is>
      </c>
      <c r="BT123" t="n">
        <v>5</v>
      </c>
      <c r="BU123" t="inlineStr">
        <is>
          <t>FALSE</t>
        </is>
      </c>
      <c r="BV123" t="inlineStr">
        <is>
          <t>reishi</t>
        </is>
      </c>
      <c r="BW123" t="inlineStr">
        <is>
          <t>TRUE</t>
        </is>
      </c>
      <c r="BX123" t="inlineStr">
        <is>
          <t>Pass 10 refreshed scoring from 1 mapped compounds | Pass 13 rescored from 1 mapped compounds</t>
        </is>
      </c>
      <c r="BY123" t="inlineStr">
        <is>
          <t>unclassified</t>
        </is>
      </c>
      <c r="CA123" t="n">
        <v>2</v>
      </c>
      <c r="CB123" t="n">
        <v>0</v>
      </c>
      <c r="CC123" t="n">
        <v>0</v>
      </c>
      <c r="CD123" t="inlineStr">
        <is>
          <t>beta-glucans; unclassified</t>
        </is>
      </c>
      <c r="CE123" t="inlineStr">
        <is>
          <t>Pass 13 rescored after herb-name normalization and real top-herb compound sweep</t>
        </is>
      </c>
      <c r="CF123" t="inlineStr">
        <is>
          <t>General</t>
        </is>
      </c>
      <c r="CH123" s="68" t="inlineStr">
        <is>
          <t>Start with low single-herb exposure and increase only if tolerated</t>
        </is>
      </c>
      <c r="CI123" s="68" t="inlineStr">
        <is>
          <t>Product-ideation framing only; not clinical dosing advice.</t>
        </is>
      </c>
      <c r="CJ123" s="68" t="str"/>
      <c r="CK123" s="68" t="str"/>
      <c r="CL123" s="68" t="inlineStr">
        <is>
          <t>Baseline</t>
        </is>
      </c>
      <c r="CM123" s="68" t="inlineStr">
        <is>
          <t>No</t>
        </is>
      </c>
      <c r="CN123" s="68" t="str"/>
      <c r="CO123" s="68" t="inlineStr">
        <is>
          <t>Pass 21 herb-level safety and dose framing</t>
        </is>
      </c>
      <c r="CP123" t="inlineStr">
        <is>
          <t>Baseline</t>
        </is>
      </c>
      <c r="CQ123" t="inlineStr">
        <is>
          <t>No</t>
        </is>
      </c>
      <c r="CS123" t="inlineStr">
        <is>
          <t>Pass 22 refined safety rule severity and reduced broad keyword over-flagging</t>
        </is>
      </c>
      <c r="CT123" t="inlineStr">
        <is>
          <t>General</t>
        </is>
      </c>
      <c r="CU123" t="inlineStr">
        <is>
          <t>nfkb</t>
        </is>
      </c>
      <c r="CV123" t="inlineStr">
        <is>
          <t>Human</t>
        </is>
      </c>
      <c r="CW123" t="inlineStr">
        <is>
          <t>Pass 26 normalization: categories, mechanisms, evidence tiers</t>
        </is>
      </c>
      <c r="CX123" t="inlineStr">
        <is>
          <t>Human</t>
        </is>
      </c>
      <c r="CY123" t="inlineStr">
        <is>
          <t>Safe</t>
        </is>
      </c>
      <c r="CZ123" t="inlineStr">
        <is>
          <t>Mild GI</t>
        </is>
      </c>
      <c r="DB123" t="inlineStr">
        <is>
          <t>Pass 28 normalized evidence and safety-related free text</t>
        </is>
      </c>
      <c r="DD123" t="inlineStr">
        <is>
          <t>No standardized dose established; use conservative, product-dependent ranges.</t>
        </is>
      </c>
      <c r="DE123" t="inlineStr">
        <is>
          <t>Common forms include extracts, powders, or teas depending on herb part.</t>
        </is>
      </c>
      <c r="DF123" t="inlineStr">
        <is>
          <t>Quality varies by extraction method, standardization, and contamination risk.</t>
        </is>
      </c>
      <c r="DG123" t="inlineStr">
        <is>
          <t>Moderate to high</t>
        </is>
      </c>
      <c r="DH123" t="inlineStr">
        <is>
          <t>Pass 29 completeness repair</t>
        </is>
      </c>
      <c r="DI123" t="n">
        <v>9</v>
      </c>
      <c r="DJ123" t="inlineStr">
        <is>
          <t>General</t>
        </is>
      </c>
      <c r="DK123" t="inlineStr">
        <is>
          <t>beta-glucans</t>
        </is>
      </c>
      <c r="DL123" t="inlineStr">
        <is>
          <t>Maitake D-Fraction; Agarikon; Ajwain; Angelica Root; Artichoke</t>
        </is>
      </c>
      <c r="DM123" t="inlineStr">
        <is>
          <t>Pass 31 relationship intelligence: density, cluster, anchor class, nearest herbs</t>
        </is>
      </c>
      <c r="DN123" t="inlineStr">
        <is>
          <t>Maitake D-Fraction; Agarikon; Ajwain; Angelica Root; Artichoke</t>
        </is>
      </c>
      <c r="DO123" t="inlineStr">
        <is>
          <t>Maitake D-Fraction (1 shared compounds; 1 shared pathways) | Agarikon (1 shared pathways) | Ajwain (1 shared pathways)</t>
        </is>
      </c>
      <c r="DP123" t="inlineStr">
        <is>
          <t>Generalist</t>
        </is>
      </c>
      <c r="DQ123" t="inlineStr">
        <is>
          <t>Pass 32 substitute engine + cluster cleanup</t>
        </is>
      </c>
      <c r="DR123" t="inlineStr">
        <is>
          <t>Agarikon</t>
        </is>
      </c>
      <c r="DS123" t="inlineStr">
        <is>
          <t>Ajwain</t>
        </is>
      </c>
      <c r="DT123" t="inlineStr">
        <is>
          <t>same cluster; lower safety burden; similarity-backed</t>
        </is>
      </c>
      <c r="DU123" t="inlineStr">
        <is>
          <t>Not needed</t>
        </is>
      </c>
      <c r="DV123" t="inlineStr">
        <is>
          <t>Pass 33 fallback replacement engine</t>
        </is>
      </c>
      <c r="DW123" t="inlineStr">
        <is>
          <t>Angelica Root</t>
        </is>
      </c>
      <c r="DX123" t="inlineStr">
        <is>
          <t>Agarikon; Ajwain; Angelica Root; Maitake D-Fraction; Ashoka; Blue Lotus; Artichoke; Boldo</t>
        </is>
      </c>
      <c r="DY123" t="inlineStr">
        <is>
          <t>Pass 35 expanded fallback pool with second-pass candidate exploration</t>
        </is>
      </c>
      <c r="EA123" t="inlineStr">
        <is>
          <t>General</t>
        </is>
      </c>
      <c r="EB123" t="inlineStr">
        <is>
          <t>unclassified</t>
        </is>
      </c>
      <c r="EC123" t="inlineStr">
        <is>
          <t>High</t>
        </is>
      </c>
      <c r="ED123" t="inlineStr">
        <is>
          <t>Pass 40 reinforced weak-category herb data</t>
        </is>
      </c>
      <c r="EG123" t="n">
        <v>3</v>
      </c>
      <c r="EH123" t="n">
        <v>3</v>
      </c>
      <c r="EI123" t="n">
        <v>0</v>
      </c>
      <c r="EJ123" t="n">
        <v>0</v>
      </c>
      <c r="EK123" t="n">
        <v>11</v>
      </c>
      <c r="EL123" t="n">
        <v>7</v>
      </c>
      <c r="EM123" t="inlineStr">
        <is>
          <t>beta-glucans</t>
        </is>
      </c>
      <c r="EN123" t="inlineStr">
        <is>
          <t>Pass 48 rolled compound scores into herb-level scoring</t>
        </is>
      </c>
    </row>
    <row r="124">
      <c r="A124" s="68" t="inlineStr">
        <is>
          <t>Chaga</t>
        </is>
      </c>
      <c r="B124" s="68" t="inlineStr">
        <is>
          <t>chaga</t>
        </is>
      </c>
      <c r="C124" s="68" t="inlineStr">
        <is>
          <t>Inonotus obliquus</t>
        </is>
      </c>
      <c r="D124" s="68" t="inlineStr">
        <is>
          <t>fungi</t>
        </is>
      </c>
      <c r="E124" s="68" t="inlineStr">
        <is>
          <t>sclerotia</t>
        </is>
      </c>
      <c r="F124" s="68" t="inlineStr">
        <is>
          <t>sclerotia</t>
        </is>
      </c>
      <c r="G124" s="68" t="inlineStr">
        <is>
          <t>chaga</t>
        </is>
      </c>
      <c r="H124" s="68" t="inlineStr">
        <is>
          <t>Cold regions</t>
        </is>
      </c>
      <c r="I124" s="68" t="inlineStr">
        <is>
          <t>Antioxidant fungus.</t>
        </is>
      </c>
      <c r="J124" s="68" t="inlineStr">
        <is>
          <t>Oxidative stress.</t>
        </is>
      </c>
      <c r="K124" s="68" t="inlineStr">
        <is>
          <t>betulinic acid</t>
        </is>
      </c>
      <c r="L124" s="68" t="inlineStr">
        <is>
          <t>betulinic acid</t>
        </is>
      </c>
      <c r="M124" s="68" t="inlineStr">
        <is>
          <t>Nrf2</t>
        </is>
      </c>
      <c r="N124" s="68" t="inlineStr">
        <is>
          <t>Nrf2</t>
        </is>
      </c>
      <c r="O124" s="68" t="inlineStr">
        <is>
          <t>human</t>
        </is>
      </c>
      <c r="P124" s="68" t="inlineStr">
        <is>
          <t>Safe</t>
        </is>
      </c>
      <c r="Q124" s="68" t="inlineStr">
        <is>
          <t>Oxalates</t>
        </is>
      </c>
      <c r="R124" s="68" t="n"/>
      <c r="S124" s="68" t="n"/>
      <c r="T124" s="68" t="n"/>
      <c r="U124" s="68" t="n"/>
      <c r="V124" s="68" t="n"/>
      <c r="W124" s="68" t="inlineStr">
        <is>
          <t>Low</t>
        </is>
      </c>
      <c r="X124" s="68" t="inlineStr">
        <is>
          <t>partial</t>
        </is>
      </c>
      <c r="Y124" s="68" t="n"/>
      <c r="Z124" s="68" t="inlineStr">
        <is>
          <t>dataset-linked</t>
        </is>
      </c>
      <c r="AA124" s="68" t="inlineStr">
        <is>
          <t>Internal workbook cross-link</t>
        </is>
      </c>
      <c r="AB124" s="68" t="n"/>
      <c r="AC124" s="68" t="n"/>
      <c r="AD124" s="68" t="n"/>
      <c r="AE124" s="68" t="n"/>
      <c r="AF124" s="68" t="n"/>
      <c r="AG124" s="68" t="n">
        <v>1</v>
      </c>
      <c r="AH124" s="68" t="n">
        <v>1</v>
      </c>
      <c r="AI124" s="68" t="n">
        <v>1</v>
      </c>
      <c r="AJ124" s="68" t="n">
        <v>3</v>
      </c>
      <c r="AK124" s="68" t="inlineStr">
        <is>
          <t>High</t>
        </is>
      </c>
      <c r="AL124" s="68" t="n"/>
      <c r="AM124" s="68" t="inlineStr">
        <is>
          <t>Internal linked</t>
        </is>
      </c>
      <c r="AN124" s="68" t="n">
        <v>0.9</v>
      </c>
      <c r="AO124" s="68" t="inlineStr">
        <is>
          <t>Needs work</t>
        </is>
      </c>
      <c r="AP124" s="68" t="n"/>
      <c r="AQ124" s="68" t="n"/>
      <c r="AR124" s="68" t="inlineStr">
        <is>
          <t>Source review</t>
        </is>
      </c>
      <c r="AS124" s="68" t="inlineStr">
        <is>
          <t>Not started</t>
        </is>
      </c>
      <c r="AT124" s="68" t="n"/>
      <c r="AU124" s="68" t="n"/>
      <c r="AV124" s="68" t="n"/>
      <c r="AW124" s="68" t="n"/>
      <c r="AX124" s="68" t="n"/>
      <c r="AY124" s="68" t="n"/>
      <c r="AZ124" s="68" t="n"/>
      <c r="BA124" s="68" t="n"/>
      <c r="BB124" s="68" t="n"/>
      <c r="BC124" s="68" t="n"/>
      <c r="BD124" s="68" t="n"/>
      <c r="BE124" s="68" t="inlineStr">
        <is>
          <t>2026-04-10</t>
        </is>
      </c>
      <c r="BF124" s="68" t="inlineStr">
        <is>
          <t>Metadata normalized from internal workbook links</t>
        </is>
      </c>
      <c r="BG124" s="68" t="inlineStr">
        <is>
          <t>chaga|2026-04-10</t>
        </is>
      </c>
      <c r="BH124" s="68" t="inlineStr">
        <is>
          <t>2026-04-10:auto-normalized</t>
        </is>
      </c>
      <c r="BI124" t="inlineStr">
        <is>
          <t>chaga</t>
        </is>
      </c>
      <c r="BJ124" t="inlineStr">
        <is>
          <t>Chaga</t>
        </is>
      </c>
      <c r="BK124" t="n">
        <v>0</v>
      </c>
      <c r="BL124" t="n">
        <v>0</v>
      </c>
      <c r="BM124" t="n">
        <v>3</v>
      </c>
      <c r="BN124" t="n">
        <v>0</v>
      </c>
      <c r="BO124" t="n">
        <v>100</v>
      </c>
      <c r="BP124" t="n">
        <v>0</v>
      </c>
      <c r="BQ124" t="n">
        <v>0</v>
      </c>
      <c r="BR124" t="n">
        <v>0</v>
      </c>
      <c r="BS124" t="inlineStr">
        <is>
          <t>Tier 4</t>
        </is>
      </c>
      <c r="BT124" t="n">
        <v>0</v>
      </c>
      <c r="BU124" t="inlineStr">
        <is>
          <t>FALSE</t>
        </is>
      </c>
      <c r="BV124" t="inlineStr">
        <is>
          <t>chaga</t>
        </is>
      </c>
      <c r="BW124" t="inlineStr">
        <is>
          <t>FALSE</t>
        </is>
      </c>
      <c r="BX124" t="inlineStr">
        <is>
          <t>Pass 10 refreshed scoring from 0 mapped compounds | Pass 13 rescored from 0 mapped compounds</t>
        </is>
      </c>
      <c r="CA124" t="n">
        <v>0</v>
      </c>
      <c r="CB124" t="n">
        <v>0</v>
      </c>
      <c r="CC124" t="n">
        <v>0</v>
      </c>
      <c r="CE124" t="inlineStr">
        <is>
          <t>Pass 13 rescored after herb-name normalization and real top-herb compound sweep</t>
        </is>
      </c>
      <c r="CF124" t="inlineStr">
        <is>
          <t>General</t>
        </is>
      </c>
      <c r="CH124" s="68" t="inlineStr">
        <is>
          <t>Start with low single-herb exposure and increase only if tolerated</t>
        </is>
      </c>
      <c r="CI124" s="68" t="inlineStr">
        <is>
          <t>Product-ideation framing only; not clinical dosing advice.</t>
        </is>
      </c>
      <c r="CJ124" s="68" t="str"/>
      <c r="CK124" s="68" t="str"/>
      <c r="CL124" s="68" t="inlineStr">
        <is>
          <t>Baseline</t>
        </is>
      </c>
      <c r="CM124" s="68" t="inlineStr">
        <is>
          <t>No</t>
        </is>
      </c>
      <c r="CN124" s="68" t="str"/>
      <c r="CO124" s="68" t="inlineStr">
        <is>
          <t>Pass 21 herb-level safety and dose framing</t>
        </is>
      </c>
      <c r="CP124" t="inlineStr">
        <is>
          <t>Baseline</t>
        </is>
      </c>
      <c r="CQ124" t="inlineStr">
        <is>
          <t>No</t>
        </is>
      </c>
      <c r="CS124" t="inlineStr">
        <is>
          <t>Pass 22 refined safety rule severity and reduced broad keyword over-flagging</t>
        </is>
      </c>
      <c r="CT124" t="inlineStr">
        <is>
          <t>General</t>
        </is>
      </c>
      <c r="CU124" t="inlineStr">
        <is>
          <t>nrf2</t>
        </is>
      </c>
      <c r="CV124" t="inlineStr">
        <is>
          <t>Human</t>
        </is>
      </c>
      <c r="CW124" t="inlineStr">
        <is>
          <t>Pass 26 normalization: categories, mechanisms, evidence tiers</t>
        </is>
      </c>
      <c r="CX124" t="inlineStr">
        <is>
          <t>Human</t>
        </is>
      </c>
      <c r="CY124" t="inlineStr">
        <is>
          <t>Safe</t>
        </is>
      </c>
      <c r="CZ124" t="inlineStr">
        <is>
          <t>Oxalates</t>
        </is>
      </c>
      <c r="DB124" t="inlineStr">
        <is>
          <t>Pass 28 normalized evidence and safety-related free text</t>
        </is>
      </c>
      <c r="DD124" t="inlineStr">
        <is>
          <t>No standardized dose established; use conservative, product-dependent ranges.</t>
        </is>
      </c>
      <c r="DE124" t="inlineStr">
        <is>
          <t>Common forms include extracts, powders, or teas depending on herb part.</t>
        </is>
      </c>
      <c r="DF124" t="inlineStr">
        <is>
          <t>Quality varies by extraction method, standardization, and contamination risk.</t>
        </is>
      </c>
      <c r="DG124" t="inlineStr">
        <is>
          <t>Moderate to high</t>
        </is>
      </c>
      <c r="DH124" t="inlineStr">
        <is>
          <t>Pass 29 completeness repair</t>
        </is>
      </c>
      <c r="DI124" t="n">
        <v>0</v>
      </c>
      <c r="DJ124" t="inlineStr">
        <is>
          <t>General</t>
        </is>
      </c>
      <c r="DL124" t="inlineStr">
        <is>
          <t>Acerola; Agarikon; Ajwain; Aloe Vera; American Ginseng</t>
        </is>
      </c>
      <c r="DM124" t="inlineStr">
        <is>
          <t>Pass 31 relationship intelligence: density, cluster, anchor class, nearest herbs</t>
        </is>
      </c>
      <c r="DP124" t="inlineStr">
        <is>
          <t>Generalist</t>
        </is>
      </c>
      <c r="DQ124" t="inlineStr">
        <is>
          <t>Pass 32 substitute engine + cluster cleanup</t>
        </is>
      </c>
      <c r="DT124" t="inlineStr">
        <is>
          <t>no strong safe fallback found</t>
        </is>
      </c>
      <c r="DU124" t="inlineStr">
        <is>
          <t>Not needed</t>
        </is>
      </c>
      <c r="DV124" t="inlineStr">
        <is>
          <t>Pass 33 fallback replacement engine</t>
        </is>
      </c>
      <c r="DY124" t="inlineStr">
        <is>
          <t>Pass 35 expanded fallback pool with second-pass candidate exploration</t>
        </is>
      </c>
      <c r="EA124" t="inlineStr">
        <is>
          <t>General</t>
        </is>
      </c>
      <c r="EC124" t="inlineStr">
        <is>
          <t>Low</t>
        </is>
      </c>
      <c r="ED124" t="inlineStr">
        <is>
          <t>Pass 40 reinforced weak-category herb data</t>
        </is>
      </c>
      <c r="EG124" t="n">
        <v>0</v>
      </c>
      <c r="EH124" t="n">
        <v>0</v>
      </c>
      <c r="EI124" t="n">
        <v>0</v>
      </c>
      <c r="EJ124" t="n">
        <v>0</v>
      </c>
      <c r="EK124" t="n">
        <v>0</v>
      </c>
      <c r="EL124" t="n">
        <v>0</v>
      </c>
      <c r="EN124" t="inlineStr">
        <is>
          <t>Pass 48 rolled compound scores into herb-level scoring</t>
        </is>
      </c>
    </row>
    <row r="125">
      <c r="A125" s="68" t="inlineStr">
        <is>
          <t>Turkey Tail</t>
        </is>
      </c>
      <c r="B125" s="68" t="inlineStr">
        <is>
          <t>turkey-tail</t>
        </is>
      </c>
      <c r="C125" s="68" t="inlineStr">
        <is>
          <t>Trametes versicolor</t>
        </is>
      </c>
      <c r="D125" s="68" t="inlineStr">
        <is>
          <t>fungi</t>
        </is>
      </c>
      <c r="E125" s="68" t="inlineStr">
        <is>
          <t>fruiting body</t>
        </is>
      </c>
      <c r="F125" s="68" t="inlineStr">
        <is>
          <t>fruiting body</t>
        </is>
      </c>
      <c r="G125" s="68" t="inlineStr">
        <is>
          <t>turkey tail</t>
        </is>
      </c>
      <c r="H125" s="68" t="inlineStr">
        <is>
          <t>Global</t>
        </is>
      </c>
      <c r="I125" s="68" t="inlineStr">
        <is>
          <t>Immune fungus.</t>
        </is>
      </c>
      <c r="J125" s="68" t="inlineStr">
        <is>
          <t>Immune modulation.</t>
        </is>
      </c>
      <c r="K125" s="68" t="inlineStr">
        <is>
          <t>PSK</t>
        </is>
      </c>
      <c r="L125" s="68" t="inlineStr">
        <is>
          <t>PSK</t>
        </is>
      </c>
      <c r="M125" s="68" t="inlineStr">
        <is>
          <t>immune signaling</t>
        </is>
      </c>
      <c r="N125" s="68" t="inlineStr">
        <is>
          <t>NFkB</t>
        </is>
      </c>
      <c r="O125" s="68" t="inlineStr">
        <is>
          <t>human</t>
        </is>
      </c>
      <c r="P125" s="68" t="inlineStr">
        <is>
          <t>Safe</t>
        </is>
      </c>
      <c r="Q125" s="68" t="inlineStr">
        <is>
          <t>Generally safe</t>
        </is>
      </c>
      <c r="R125" s="68" t="n"/>
      <c r="S125" s="68" t="n"/>
      <c r="T125" s="68" t="n"/>
      <c r="U125" s="68" t="n"/>
      <c r="V125" s="68" t="n"/>
      <c r="W125" s="68" t="inlineStr">
        <is>
          <t>High</t>
        </is>
      </c>
      <c r="X125" s="68" t="inlineStr">
        <is>
          <t>partial</t>
        </is>
      </c>
      <c r="Y125" s="68" t="n"/>
      <c r="Z125" s="68" t="inlineStr">
        <is>
          <t>present</t>
        </is>
      </c>
      <c r="AA125" s="68" t="inlineStr">
        <is>
          <t>Internal workbook + enrichment queue</t>
        </is>
      </c>
      <c r="AB125" s="68" t="n"/>
      <c r="AC125" s="68" t="n"/>
      <c r="AD125" s="68" t="n"/>
      <c r="AE125" s="68" t="n"/>
      <c r="AF125" s="68" t="n"/>
      <c r="AG125" s="68" t="n">
        <v>3</v>
      </c>
      <c r="AH125" s="68" t="n">
        <v>1</v>
      </c>
      <c r="AI125" s="68" t="n">
        <v>3</v>
      </c>
      <c r="AJ125" s="68" t="n">
        <v>7</v>
      </c>
      <c r="AK125" s="68" t="inlineStr">
        <is>
          <t>Medium</t>
        </is>
      </c>
      <c r="AL125" s="68" t="n"/>
      <c r="AM125" s="68" t="inlineStr">
        <is>
          <t>Linked primary/secondary</t>
        </is>
      </c>
      <c r="AN125" s="68" t="n">
        <v>0.9</v>
      </c>
      <c r="AO125" s="68" t="inlineStr">
        <is>
          <t>Near ready</t>
        </is>
      </c>
      <c r="AP125" s="68" t="n"/>
      <c r="AQ125" s="68" t="n"/>
      <c r="AR125" s="68" t="inlineStr">
        <is>
          <t>Editorial polish</t>
        </is>
      </c>
      <c r="AS125" s="68" t="inlineStr">
        <is>
          <t>Not started</t>
        </is>
      </c>
      <c r="AT125" s="68" t="n"/>
      <c r="AU125" s="68" t="n"/>
      <c r="AV125" s="68" t="n"/>
      <c r="AW125" s="68" t="n"/>
      <c r="AX125" s="68" t="n"/>
      <c r="AY125" s="68" t="n"/>
      <c r="AZ125" s="68" t="n"/>
      <c r="BA125" s="68" t="n"/>
      <c r="BB125" s="68" t="n"/>
      <c r="BC125" s="68" t="n"/>
      <c r="BD125" s="68" t="n"/>
      <c r="BE125" s="68" t="inlineStr">
        <is>
          <t>2026-04-10</t>
        </is>
      </c>
      <c r="BF125" s="68" t="inlineStr">
        <is>
          <t>Metadata normalized from internal workbook links</t>
        </is>
      </c>
      <c r="BG125" s="68" t="inlineStr">
        <is>
          <t>turkey-tail|2026-04-10</t>
        </is>
      </c>
      <c r="BH125" s="68" t="inlineStr">
        <is>
          <t>2026-04-10:auto-normalized</t>
        </is>
      </c>
      <c r="BI125" t="inlineStr">
        <is>
          <t>turkey-tail</t>
        </is>
      </c>
      <c r="BJ125" t="inlineStr">
        <is>
          <t>Turkey Tail</t>
        </is>
      </c>
      <c r="BK125" t="n">
        <v>1</v>
      </c>
      <c r="BL125" t="n">
        <v>0</v>
      </c>
      <c r="BM125" t="n">
        <v>3</v>
      </c>
      <c r="BN125" t="n">
        <v>3</v>
      </c>
      <c r="BO125" t="n">
        <v>100</v>
      </c>
      <c r="BP125" t="n">
        <v>8</v>
      </c>
      <c r="BQ125" t="n">
        <v>0</v>
      </c>
      <c r="BR125" t="n">
        <v>5</v>
      </c>
      <c r="BS125" t="inlineStr">
        <is>
          <t>Tier 4</t>
        </is>
      </c>
      <c r="BT125" t="n">
        <v>3</v>
      </c>
      <c r="BU125" t="inlineStr">
        <is>
          <t>FALSE</t>
        </is>
      </c>
      <c r="BV125" t="inlineStr">
        <is>
          <t>turkey-tail</t>
        </is>
      </c>
      <c r="BW125" t="inlineStr">
        <is>
          <t>TRUE</t>
        </is>
      </c>
      <c r="BX125" t="inlineStr">
        <is>
          <t>Pass 10 refreshed scoring from 1 mapped compounds | Pass 13 rescored from 1 mapped compounds</t>
        </is>
      </c>
      <c r="CA125" t="n">
        <v>2</v>
      </c>
      <c r="CB125" t="n">
        <v>0</v>
      </c>
      <c r="CC125" t="n">
        <v>0</v>
      </c>
      <c r="CE125" t="inlineStr">
        <is>
          <t>Pass 13 rescored after herb-name normalization and real top-herb compound sweep</t>
        </is>
      </c>
      <c r="CF125" t="inlineStr">
        <is>
          <t>General</t>
        </is>
      </c>
      <c r="CH125" s="68" t="inlineStr">
        <is>
          <t>Start with low single-herb exposure and increase only if tolerated</t>
        </is>
      </c>
      <c r="CI125" s="68" t="inlineStr">
        <is>
          <t>Product-ideation framing only; not clinical dosing advice.</t>
        </is>
      </c>
      <c r="CJ125" s="68" t="str"/>
      <c r="CK125" s="68" t="str"/>
      <c r="CL125" s="68" t="inlineStr">
        <is>
          <t>Baseline</t>
        </is>
      </c>
      <c r="CM125" s="68" t="inlineStr">
        <is>
          <t>No</t>
        </is>
      </c>
      <c r="CN125" s="68" t="str"/>
      <c r="CO125" s="68" t="inlineStr">
        <is>
          <t>Pass 21 herb-level safety and dose framing</t>
        </is>
      </c>
      <c r="CP125" t="inlineStr">
        <is>
          <t>Baseline</t>
        </is>
      </c>
      <c r="CQ125" t="inlineStr">
        <is>
          <t>No</t>
        </is>
      </c>
      <c r="CS125" t="inlineStr">
        <is>
          <t>Pass 22 refined safety rule severity and reduced broad keyword over-flagging</t>
        </is>
      </c>
      <c r="CT125" t="inlineStr">
        <is>
          <t>General</t>
        </is>
      </c>
      <c r="CU125" t="inlineStr">
        <is>
          <t>nfkb</t>
        </is>
      </c>
      <c r="CV125" t="inlineStr">
        <is>
          <t>Human</t>
        </is>
      </c>
      <c r="CW125" t="inlineStr">
        <is>
          <t>Pass 26 normalization: categories, mechanisms, evidence tiers</t>
        </is>
      </c>
      <c r="CX125" t="inlineStr">
        <is>
          <t>Human</t>
        </is>
      </c>
      <c r="CY125" t="inlineStr">
        <is>
          <t>Safe</t>
        </is>
      </c>
      <c r="CZ125" t="inlineStr">
        <is>
          <t>Generally safe</t>
        </is>
      </c>
      <c r="DB125" t="inlineStr">
        <is>
          <t>Pass 28 normalized evidence and safety-related free text</t>
        </is>
      </c>
      <c r="DD125" t="inlineStr">
        <is>
          <t>No standardized dose established; use conservative, product-dependent ranges.</t>
        </is>
      </c>
      <c r="DE125" t="inlineStr">
        <is>
          <t>Common forms include extracts, powders, or teas depending on herb part.</t>
        </is>
      </c>
      <c r="DF125" t="inlineStr">
        <is>
          <t>Quality varies by extraction method, standardization, and contamination risk.</t>
        </is>
      </c>
      <c r="DG125" t="inlineStr">
        <is>
          <t>Moderate to high</t>
        </is>
      </c>
      <c r="DH125" t="inlineStr">
        <is>
          <t>Pass 29 completeness repair</t>
        </is>
      </c>
      <c r="DI125" t="n">
        <v>6</v>
      </c>
      <c r="DJ125" t="inlineStr">
        <is>
          <t>General</t>
        </is>
      </c>
      <c r="DL125" t="inlineStr">
        <is>
          <t>Acerola; Agarikon; Ajwain; Aloe Vera; American Ginseng</t>
        </is>
      </c>
      <c r="DM125" t="inlineStr">
        <is>
          <t>Pass 31 relationship intelligence: density, cluster, anchor class, nearest herbs</t>
        </is>
      </c>
      <c r="DP125" t="inlineStr">
        <is>
          <t>Generalist</t>
        </is>
      </c>
      <c r="DQ125" t="inlineStr">
        <is>
          <t>Pass 32 substitute engine + cluster cleanup</t>
        </is>
      </c>
      <c r="DT125" t="inlineStr">
        <is>
          <t>no strong safe fallback found</t>
        </is>
      </c>
      <c r="DU125" t="inlineStr">
        <is>
          <t>Not needed</t>
        </is>
      </c>
      <c r="DV125" t="inlineStr">
        <is>
          <t>Pass 33 fallback replacement engine</t>
        </is>
      </c>
      <c r="DY125" t="inlineStr">
        <is>
          <t>Pass 35 expanded fallback pool with second-pass candidate exploration</t>
        </is>
      </c>
      <c r="EA125" t="inlineStr">
        <is>
          <t>General</t>
        </is>
      </c>
      <c r="EC125" t="inlineStr">
        <is>
          <t>High</t>
        </is>
      </c>
      <c r="ED125" t="inlineStr">
        <is>
          <t>Pass 40 reinforced weak-category herb data</t>
        </is>
      </c>
      <c r="EG125" t="n">
        <v>3</v>
      </c>
      <c r="EH125" t="n">
        <v>3</v>
      </c>
      <c r="EI125" t="n">
        <v>0</v>
      </c>
      <c r="EJ125" t="n">
        <v>0</v>
      </c>
      <c r="EK125" t="n">
        <v>11</v>
      </c>
      <c r="EL125" t="n">
        <v>7</v>
      </c>
      <c r="EM125" t="inlineStr">
        <is>
          <t>psk</t>
        </is>
      </c>
      <c r="EN125" t="inlineStr">
        <is>
          <t>Pass 48 rolled compound scores into herb-level scoring</t>
        </is>
      </c>
    </row>
    <row r="126">
      <c r="A126" s="68" t="inlineStr">
        <is>
          <t>Boswellia</t>
        </is>
      </c>
      <c r="B126" s="68" t="inlineStr">
        <is>
          <t>boswellia</t>
        </is>
      </c>
      <c r="C126" s="68" t="inlineStr">
        <is>
          <t>Boswellia serrata</t>
        </is>
      </c>
      <c r="D126" s="68" t="inlineStr">
        <is>
          <t>herb</t>
        </is>
      </c>
      <c r="E126" s="68" t="inlineStr">
        <is>
          <t>resin</t>
        </is>
      </c>
      <c r="F126" s="68" t="inlineStr">
        <is>
          <t>gum resin</t>
        </is>
      </c>
      <c r="G126" s="68" t="inlineStr">
        <is>
          <t>frankincense; boswellia</t>
        </is>
      </c>
      <c r="H126" s="68" t="inlineStr">
        <is>
          <t>India and Northeast Africa</t>
        </is>
      </c>
      <c r="I126" s="68" t="inlineStr">
        <is>
          <t>Boswellia is positioned for inflammatory and mobility support.</t>
        </is>
      </c>
      <c r="J126" s="68" t="inlineStr">
        <is>
          <t>It is best framed around boswellic acids with inflammatory-pathway relevance.</t>
        </is>
      </c>
      <c r="K126" s="68" t="inlineStr">
        <is>
          <t>boswellic acids; AKBA</t>
        </is>
      </c>
      <c r="L126" s="68" t="inlineStr">
        <is>
          <t>AKBA</t>
        </is>
      </c>
      <c r="M126" s="68" t="inlineStr">
        <is>
          <t>Boswellic acids are associated with 5-lipoxygenase and inflammatory signaling relevance.</t>
        </is>
      </c>
      <c r="N126" s="68" t="inlineStr">
        <is>
          <t>anti-inflammatory; mobility support</t>
        </is>
      </c>
      <c r="O126" s="68" t="inlineStr">
        <is>
          <t>mixed human + preclinical</t>
        </is>
      </c>
      <c r="P126" s="68" t="inlineStr">
        <is>
          <t>Generally well tolerated.</t>
        </is>
      </c>
      <c r="Q126" s="68" t="inlineStr">
        <is>
          <t>Use caution with GI sensitivity.</t>
        </is>
      </c>
      <c r="R126" s="68" t="n"/>
      <c r="S126" s="68" t="n"/>
      <c r="T126" s="68" t="n"/>
      <c r="U126" s="68" t="n"/>
      <c r="V126" s="68" t="n"/>
      <c r="W126" s="68" t="inlineStr">
        <is>
          <t>High</t>
        </is>
      </c>
      <c r="X126" s="68" t="inlineStr">
        <is>
          <t>validated</t>
        </is>
      </c>
      <c r="Y126" s="68" t="n"/>
      <c r="Z126" s="68" t="inlineStr">
        <is>
          <t>present</t>
        </is>
      </c>
      <c r="AA126" s="68" t="inlineStr">
        <is>
          <t>Internal workbook + enrichment queue</t>
        </is>
      </c>
      <c r="AB126" s="68" t="n"/>
      <c r="AC126" s="68" t="n"/>
      <c r="AD126" s="68" t="n"/>
      <c r="AE126" s="68" t="n"/>
      <c r="AF126" s="68" t="n"/>
      <c r="AG126" s="68" t="n">
        <v>3</v>
      </c>
      <c r="AH126" s="68" t="n">
        <v>1</v>
      </c>
      <c r="AI126" s="68" t="n">
        <v>3</v>
      </c>
      <c r="AJ126" s="68" t="n">
        <v>7</v>
      </c>
      <c r="AK126" s="68" t="inlineStr">
        <is>
          <t>Medium</t>
        </is>
      </c>
      <c r="AL126" s="68" t="n"/>
      <c r="AM126" s="68" t="inlineStr">
        <is>
          <t>Linked primary/secondary</t>
        </is>
      </c>
      <c r="AN126" s="68" t="n">
        <v>0.9</v>
      </c>
      <c r="AO126" s="68" t="inlineStr">
        <is>
          <t>Near ready</t>
        </is>
      </c>
      <c r="AP126" s="68" t="n"/>
      <c r="AQ126" s="68" t="n"/>
      <c r="AR126" s="68" t="inlineStr">
        <is>
          <t>Editorial polish</t>
        </is>
      </c>
      <c r="AS126" s="68" t="inlineStr">
        <is>
          <t>Not started</t>
        </is>
      </c>
      <c r="AT126" s="68" t="n"/>
      <c r="AU126" s="68" t="n"/>
      <c r="AV126" s="68" t="n"/>
      <c r="AW126" s="68" t="n"/>
      <c r="AX126" s="68" t="n"/>
      <c r="AY126" s="68" t="n"/>
      <c r="AZ126" s="68" t="n"/>
      <c r="BA126" s="68" t="n"/>
      <c r="BB126" s="68" t="n"/>
      <c r="BC126" s="68" t="n"/>
      <c r="BD126" s="68" t="n"/>
      <c r="BE126" s="68" t="inlineStr">
        <is>
          <t>2026-04-10</t>
        </is>
      </c>
      <c r="BF126" s="68" t="inlineStr">
        <is>
          <t>Metadata normalized from internal workbook links</t>
        </is>
      </c>
      <c r="BG126" s="68" t="inlineStr">
        <is>
          <t>boswellia|2026-04-10</t>
        </is>
      </c>
      <c r="BH126" s="68" t="inlineStr">
        <is>
          <t>2026-04-10:auto-normalized</t>
        </is>
      </c>
      <c r="BI126" t="inlineStr">
        <is>
          <t>boswellia</t>
        </is>
      </c>
      <c r="BJ126" t="inlineStr">
        <is>
          <t>Boswellia</t>
        </is>
      </c>
      <c r="BK126" t="n">
        <v>1</v>
      </c>
      <c r="BL126" t="n">
        <v>0</v>
      </c>
      <c r="BM126" t="n">
        <v>3</v>
      </c>
      <c r="BN126" t="n">
        <v>3</v>
      </c>
      <c r="BO126" t="n">
        <v>100</v>
      </c>
      <c r="BP126" t="n">
        <v>8</v>
      </c>
      <c r="BQ126" t="n">
        <v>0</v>
      </c>
      <c r="BR126" t="n">
        <v>5</v>
      </c>
      <c r="BS126" t="inlineStr">
        <is>
          <t>Tier 4</t>
        </is>
      </c>
      <c r="BT126" t="n">
        <v>3</v>
      </c>
      <c r="BU126" t="inlineStr">
        <is>
          <t>FALSE</t>
        </is>
      </c>
      <c r="BV126" t="inlineStr">
        <is>
          <t>boswellia</t>
        </is>
      </c>
      <c r="BW126" t="inlineStr">
        <is>
          <t>TRUE</t>
        </is>
      </c>
      <c r="BX126" t="inlineStr">
        <is>
          <t>Pass 10 refreshed scoring from 1 mapped compounds | Pass 13 rescored from 1 mapped compounds</t>
        </is>
      </c>
      <c r="CA126" t="n">
        <v>2</v>
      </c>
      <c r="CB126" t="n">
        <v>0</v>
      </c>
      <c r="CC126" t="n">
        <v>0</v>
      </c>
      <c r="CE126" t="inlineStr">
        <is>
          <t>Pass 13 rescored after herb-name normalization and real top-herb compound sweep</t>
        </is>
      </c>
      <c r="CF126" t="inlineStr">
        <is>
          <t>General</t>
        </is>
      </c>
      <c r="CH126" s="68" t="inlineStr">
        <is>
          <t>Start with low single-herb exposure and increase only if tolerated</t>
        </is>
      </c>
      <c r="CI126" s="68" t="inlineStr">
        <is>
          <t>Product-ideation framing only; not clinical dosing advice.</t>
        </is>
      </c>
      <c r="CJ126" s="68" t="str"/>
      <c r="CK126" s="68" t="str"/>
      <c r="CL126" s="68" t="inlineStr">
        <is>
          <t>Baseline</t>
        </is>
      </c>
      <c r="CM126" s="68" t="inlineStr">
        <is>
          <t>No</t>
        </is>
      </c>
      <c r="CN126" s="68" t="str"/>
      <c r="CO126" s="68" t="inlineStr">
        <is>
          <t>Pass 21 herb-level safety and dose framing</t>
        </is>
      </c>
      <c r="CP126" t="inlineStr">
        <is>
          <t>Baseline</t>
        </is>
      </c>
      <c r="CQ126" t="inlineStr">
        <is>
          <t>No</t>
        </is>
      </c>
      <c r="CS126" t="inlineStr">
        <is>
          <t>Pass 22 refined safety rule severity and reduced broad keyword over-flagging</t>
        </is>
      </c>
      <c r="CT126" t="inlineStr">
        <is>
          <t>General</t>
        </is>
      </c>
      <c r="CU126" t="inlineStr">
        <is>
          <t>anti-inflammatory; mobility support</t>
        </is>
      </c>
      <c r="CV126" t="inlineStr">
        <is>
          <t>Human</t>
        </is>
      </c>
      <c r="CW126" t="inlineStr">
        <is>
          <t>Pass 26 normalization: categories, mechanisms, evidence tiers</t>
        </is>
      </c>
      <c r="CX126" t="inlineStr">
        <is>
          <t>Human + preclinical</t>
        </is>
      </c>
      <c r="CY126" t="inlineStr">
        <is>
          <t>Generally well tolerated.</t>
        </is>
      </c>
      <c r="CZ126" t="inlineStr">
        <is>
          <t>Use caution with GI sensitivity</t>
        </is>
      </c>
      <c r="DB126" t="inlineStr">
        <is>
          <t>Pass 28 normalized evidence and safety-related free text</t>
        </is>
      </c>
      <c r="DD126" t="inlineStr">
        <is>
          <t>No standardized dose established; use conservative, product-dependent ranges.</t>
        </is>
      </c>
      <c r="DE126" t="inlineStr">
        <is>
          <t>Common forms include extracts, powders, or teas depending on herb part.</t>
        </is>
      </c>
      <c r="DF126" t="inlineStr">
        <is>
          <t>Quality varies by extraction method, standardization, and contamination risk.</t>
        </is>
      </c>
      <c r="DG126" t="inlineStr">
        <is>
          <t>Moderate to high</t>
        </is>
      </c>
      <c r="DH126" t="inlineStr">
        <is>
          <t>Pass 29 completeness repair</t>
        </is>
      </c>
      <c r="DI126" t="n">
        <v>6</v>
      </c>
      <c r="DJ126" t="inlineStr">
        <is>
          <t>General</t>
        </is>
      </c>
      <c r="DL126" t="inlineStr">
        <is>
          <t>Acerola; Agarikon; Ajwain; Aloe Vera; American Ginseng</t>
        </is>
      </c>
      <c r="DM126" t="inlineStr">
        <is>
          <t>Pass 31 relationship intelligence: density, cluster, anchor class, nearest herbs</t>
        </is>
      </c>
      <c r="DP126" t="inlineStr">
        <is>
          <t>Generalist</t>
        </is>
      </c>
      <c r="DQ126" t="inlineStr">
        <is>
          <t>Pass 32 substitute engine + cluster cleanup</t>
        </is>
      </c>
      <c r="DT126" t="inlineStr">
        <is>
          <t>no strong safe fallback found</t>
        </is>
      </c>
      <c r="DU126" t="inlineStr">
        <is>
          <t>Not needed</t>
        </is>
      </c>
      <c r="DV126" t="inlineStr">
        <is>
          <t>Pass 33 fallback replacement engine</t>
        </is>
      </c>
      <c r="DY126" t="inlineStr">
        <is>
          <t>Pass 35 expanded fallback pool with second-pass candidate exploration</t>
        </is>
      </c>
      <c r="EA126" t="inlineStr">
        <is>
          <t>General</t>
        </is>
      </c>
      <c r="EC126" t="inlineStr">
        <is>
          <t>High</t>
        </is>
      </c>
      <c r="ED126" t="inlineStr">
        <is>
          <t>Pass 40 reinforced weak-category herb data</t>
        </is>
      </c>
      <c r="EG126" t="n">
        <v>3</v>
      </c>
      <c r="EH126" t="n">
        <v>3</v>
      </c>
      <c r="EI126" t="n">
        <v>0</v>
      </c>
      <c r="EJ126" t="n">
        <v>0</v>
      </c>
      <c r="EK126" t="n">
        <v>11</v>
      </c>
      <c r="EL126" t="n">
        <v>7</v>
      </c>
      <c r="EM126" t="inlineStr">
        <is>
          <t>akba</t>
        </is>
      </c>
      <c r="EN126" t="inlineStr">
        <is>
          <t>Pass 48 rolled compound scores into herb-level scoring</t>
        </is>
      </c>
    </row>
    <row r="127">
      <c r="A127" s="68" t="inlineStr">
        <is>
          <t>Hawthorn</t>
        </is>
      </c>
      <c r="B127" s="68" t="inlineStr">
        <is>
          <t>hawthorn</t>
        </is>
      </c>
      <c r="C127" s="68" t="inlineStr">
        <is>
          <t>Crataegus monogyna</t>
        </is>
      </c>
      <c r="D127" s="68" t="inlineStr">
        <is>
          <t>herb</t>
        </is>
      </c>
      <c r="E127" s="68" t="inlineStr">
        <is>
          <t>leaf/flower/berry</t>
        </is>
      </c>
      <c r="F127" s="68" t="inlineStr">
        <is>
          <t>leaf; flower; fruit</t>
        </is>
      </c>
      <c r="G127" s="68" t="inlineStr">
        <is>
          <t>hawthorn</t>
        </is>
      </c>
      <c r="H127" s="68" t="inlineStr">
        <is>
          <t>Europe and cultivated globally</t>
        </is>
      </c>
      <c r="I127" s="68" t="inlineStr">
        <is>
          <t>Hawthorn is positioned for cardiovascular and vascular support.</t>
        </is>
      </c>
      <c r="J127" s="68" t="inlineStr">
        <is>
          <t>It is best framed around procyanidins and flavonoids.</t>
        </is>
      </c>
      <c r="K127" s="68" t="inlineStr">
        <is>
          <t>procyanidin B2; flavonoids</t>
        </is>
      </c>
      <c r="L127" s="68" t="inlineStr">
        <is>
          <t>procyanidin B2</t>
        </is>
      </c>
      <c r="M127" s="68" t="inlineStr">
        <is>
          <t>Polyphenols support endothelial and vascular relevance.</t>
        </is>
      </c>
      <c r="N127" s="68" t="inlineStr">
        <is>
          <t>cardiovascular support; vascular support</t>
        </is>
      </c>
      <c r="O127" s="68" t="inlineStr">
        <is>
          <t>mixed human + preclinical</t>
        </is>
      </c>
      <c r="P127" s="68" t="inlineStr">
        <is>
          <t>Generally well tolerated.</t>
        </is>
      </c>
      <c r="Q127" s="68" t="inlineStr">
        <is>
          <t>Use caution with cardiovascular medications.</t>
        </is>
      </c>
      <c r="R127" s="68" t="n"/>
      <c r="S127" s="68" t="n"/>
      <c r="T127" s="68" t="n"/>
      <c r="U127" s="68" t="n"/>
      <c r="V127" s="68" t="n"/>
      <c r="W127" s="68" t="inlineStr">
        <is>
          <t>High</t>
        </is>
      </c>
      <c r="X127" s="68" t="inlineStr">
        <is>
          <t>validated</t>
        </is>
      </c>
      <c r="Y127" s="68" t="n"/>
      <c r="Z127" s="68" t="inlineStr">
        <is>
          <t>present</t>
        </is>
      </c>
      <c r="AA127" s="68" t="inlineStr">
        <is>
          <t>Internal workbook + enrichment queue</t>
        </is>
      </c>
      <c r="AB127" s="68" t="n"/>
      <c r="AC127" s="68" t="n"/>
      <c r="AD127" s="68" t="n"/>
      <c r="AE127" s="68" t="n"/>
      <c r="AF127" s="68" t="n"/>
      <c r="AG127" s="68" t="n">
        <v>3</v>
      </c>
      <c r="AH127" s="68" t="n">
        <v>1</v>
      </c>
      <c r="AI127" s="68" t="n">
        <v>3</v>
      </c>
      <c r="AJ127" s="68" t="n">
        <v>7</v>
      </c>
      <c r="AK127" s="68" t="inlineStr">
        <is>
          <t>Medium</t>
        </is>
      </c>
      <c r="AL127" s="68" t="n"/>
      <c r="AM127" s="68" t="inlineStr">
        <is>
          <t>Linked primary/secondary</t>
        </is>
      </c>
      <c r="AN127" s="68" t="n">
        <v>0.9</v>
      </c>
      <c r="AO127" s="68" t="inlineStr">
        <is>
          <t>Near ready</t>
        </is>
      </c>
      <c r="AP127" s="68" t="n"/>
      <c r="AQ127" s="68" t="n"/>
      <c r="AR127" s="68" t="inlineStr">
        <is>
          <t>Editorial polish</t>
        </is>
      </c>
      <c r="AS127" s="68" t="inlineStr">
        <is>
          <t>Not started</t>
        </is>
      </c>
      <c r="AT127" s="68" t="n"/>
      <c r="AU127" s="68" t="n"/>
      <c r="AV127" s="68" t="n"/>
      <c r="AW127" s="68" t="n"/>
      <c r="AX127" s="68" t="n"/>
      <c r="AY127" s="68" t="n"/>
      <c r="AZ127" s="68" t="n"/>
      <c r="BA127" s="68" t="n"/>
      <c r="BB127" s="68" t="n"/>
      <c r="BC127" s="68" t="n"/>
      <c r="BD127" s="68" t="n"/>
      <c r="BE127" s="68" t="inlineStr">
        <is>
          <t>2026-04-10</t>
        </is>
      </c>
      <c r="BF127" s="68" t="inlineStr">
        <is>
          <t>Metadata normalized from internal workbook links</t>
        </is>
      </c>
      <c r="BG127" s="68" t="inlineStr">
        <is>
          <t>hawthorn|2026-04-10</t>
        </is>
      </c>
      <c r="BH127" s="68" t="inlineStr">
        <is>
          <t>2026-04-10:auto-normalized</t>
        </is>
      </c>
      <c r="BI127" t="inlineStr">
        <is>
          <t>hawthorn</t>
        </is>
      </c>
      <c r="BJ127" t="inlineStr">
        <is>
          <t>Hawthorn</t>
        </is>
      </c>
      <c r="BK127" t="n">
        <v>1</v>
      </c>
      <c r="BL127" t="n">
        <v>0</v>
      </c>
      <c r="BM127" t="n">
        <v>3</v>
      </c>
      <c r="BN127" t="n">
        <v>3</v>
      </c>
      <c r="BO127" t="n">
        <v>100</v>
      </c>
      <c r="BP127" t="n">
        <v>8</v>
      </c>
      <c r="BQ127" t="n">
        <v>0</v>
      </c>
      <c r="BR127" t="n">
        <v>5</v>
      </c>
      <c r="BS127" t="inlineStr">
        <is>
          <t>Tier 4</t>
        </is>
      </c>
      <c r="BT127" t="n">
        <v>3</v>
      </c>
      <c r="BU127" t="inlineStr">
        <is>
          <t>FALSE</t>
        </is>
      </c>
      <c r="BV127" t="inlineStr">
        <is>
          <t>hawthorn</t>
        </is>
      </c>
      <c r="BW127" t="inlineStr">
        <is>
          <t>TRUE</t>
        </is>
      </c>
      <c r="BX127" t="inlineStr">
        <is>
          <t>Pass 10 refreshed scoring from 1 mapped compounds | Pass 13 rescored from 1 mapped compounds</t>
        </is>
      </c>
      <c r="CA127" t="n">
        <v>2</v>
      </c>
      <c r="CB127" t="n">
        <v>0</v>
      </c>
      <c r="CC127" t="n">
        <v>0</v>
      </c>
      <c r="CE127" t="inlineStr">
        <is>
          <t>Pass 13 rescored after herb-name normalization and real top-herb compound sweep</t>
        </is>
      </c>
      <c r="CF127" t="inlineStr">
        <is>
          <t>General</t>
        </is>
      </c>
      <c r="CH127" s="68" t="inlineStr">
        <is>
          <t>Start low; usually daytime use</t>
        </is>
      </c>
      <c r="CI127" s="68" t="inlineStr">
        <is>
          <t>Product-ideation framing only; not clinical dosing advice.</t>
        </is>
      </c>
      <c r="CJ127" s="68" t="inlineStr">
        <is>
          <t>blood-pressure</t>
        </is>
      </c>
      <c r="CK127" s="68" t="str"/>
      <c r="CL127" s="68" t="inlineStr">
        <is>
          <t>Baseline</t>
        </is>
      </c>
      <c r="CM127" s="68" t="inlineStr">
        <is>
          <t>No</t>
        </is>
      </c>
      <c r="CN127" s="68" t="str"/>
      <c r="CO127" s="68" t="inlineStr">
        <is>
          <t>Pass 21 herb-level safety and dose framing</t>
        </is>
      </c>
      <c r="CP127" t="inlineStr">
        <is>
          <t>Baseline</t>
        </is>
      </c>
      <c r="CQ127" t="inlineStr">
        <is>
          <t>No</t>
        </is>
      </c>
      <c r="CS127" t="inlineStr">
        <is>
          <t>Pass 22 refined safety rule severity and reduced broad keyword over-flagging</t>
        </is>
      </c>
      <c r="CT127" t="inlineStr">
        <is>
          <t>General</t>
        </is>
      </c>
      <c r="CU127" t="inlineStr">
        <is>
          <t>cardiovascular support; vascular support</t>
        </is>
      </c>
      <c r="CV127" t="inlineStr">
        <is>
          <t>Human</t>
        </is>
      </c>
      <c r="CW127" t="inlineStr">
        <is>
          <t>Pass 26 normalization: categories, mechanisms, evidence tiers</t>
        </is>
      </c>
      <c r="CX127" t="inlineStr">
        <is>
          <t>Human + preclinical</t>
        </is>
      </c>
      <c r="CY127" t="inlineStr">
        <is>
          <t>Generally well tolerated.</t>
        </is>
      </c>
      <c r="CZ127" t="inlineStr">
        <is>
          <t>Use caution with cardiovascular medications</t>
        </is>
      </c>
      <c r="DB127" t="inlineStr">
        <is>
          <t>Pass 28 normalized evidence and safety-related free text</t>
        </is>
      </c>
      <c r="DD127" t="inlineStr">
        <is>
          <t>No standardized dose established; use conservative, product-dependent ranges.</t>
        </is>
      </c>
      <c r="DE127" t="inlineStr">
        <is>
          <t>Common forms include extracts, powders, or teas depending on herb part.</t>
        </is>
      </c>
      <c r="DF127" t="inlineStr">
        <is>
          <t>Quality varies by extraction method, standardization, and contamination risk.</t>
        </is>
      </c>
      <c r="DG127" t="inlineStr">
        <is>
          <t>Moderate to high</t>
        </is>
      </c>
      <c r="DH127" t="inlineStr">
        <is>
          <t>Pass 29 completeness repair</t>
        </is>
      </c>
      <c r="DI127" t="n">
        <v>6</v>
      </c>
      <c r="DJ127" t="inlineStr">
        <is>
          <t>General</t>
        </is>
      </c>
      <c r="DL127" t="inlineStr">
        <is>
          <t>Acerola; Agarikon; Ajwain; Aloe Vera; American Ginseng</t>
        </is>
      </c>
      <c r="DM127" t="inlineStr">
        <is>
          <t>Pass 31 relationship intelligence: density, cluster, anchor class, nearest herbs</t>
        </is>
      </c>
      <c r="DP127" t="inlineStr">
        <is>
          <t>Generalist</t>
        </is>
      </c>
      <c r="DQ127" t="inlineStr">
        <is>
          <t>Pass 32 substitute engine + cluster cleanup</t>
        </is>
      </c>
      <c r="DT127" t="inlineStr">
        <is>
          <t>no strong safe fallback found</t>
        </is>
      </c>
      <c r="DU127" t="inlineStr">
        <is>
          <t>Not needed</t>
        </is>
      </c>
      <c r="DV127" t="inlineStr">
        <is>
          <t>Pass 33 fallback replacement engine</t>
        </is>
      </c>
      <c r="DY127" t="inlineStr">
        <is>
          <t>Pass 35 expanded fallback pool with second-pass candidate exploration</t>
        </is>
      </c>
      <c r="EA127" t="inlineStr">
        <is>
          <t>General</t>
        </is>
      </c>
      <c r="EC127" t="inlineStr">
        <is>
          <t>High</t>
        </is>
      </c>
      <c r="ED127" t="inlineStr">
        <is>
          <t>Pass 40 reinforced weak-category herb data</t>
        </is>
      </c>
      <c r="EG127" t="n">
        <v>3</v>
      </c>
      <c r="EH127" t="n">
        <v>3</v>
      </c>
      <c r="EI127" t="n">
        <v>0</v>
      </c>
      <c r="EJ127" t="n">
        <v>0</v>
      </c>
      <c r="EK127" t="n">
        <v>11</v>
      </c>
      <c r="EL127" t="n">
        <v>7</v>
      </c>
      <c r="EM127" t="inlineStr">
        <is>
          <t>procyanidin b2</t>
        </is>
      </c>
      <c r="EN127" t="inlineStr">
        <is>
          <t>Pass 48 rolled compound scores into herb-level scoring</t>
        </is>
      </c>
    </row>
    <row r="128">
      <c r="A128" s="68" t="inlineStr">
        <is>
          <t>Astragalus</t>
        </is>
      </c>
      <c r="B128" s="68" t="inlineStr">
        <is>
          <t>astragalus</t>
        </is>
      </c>
      <c r="C128" s="68" t="inlineStr">
        <is>
          <t>Astragalus membranaceus</t>
        </is>
      </c>
      <c r="D128" s="68" t="inlineStr">
        <is>
          <t>herb</t>
        </is>
      </c>
      <c r="E128" s="68" t="inlineStr">
        <is>
          <t>root</t>
        </is>
      </c>
      <c r="F128" s="68" t="inlineStr">
        <is>
          <t>root</t>
        </is>
      </c>
      <c r="G128" s="68" t="inlineStr">
        <is>
          <t>astragalus</t>
        </is>
      </c>
      <c r="H128" s="68" t="inlineStr">
        <is>
          <t>China and East Asia</t>
        </is>
      </c>
      <c r="I128" s="68" t="inlineStr">
        <is>
          <t>Astragalus is positioned for immune and fatigue-support use.</t>
        </is>
      </c>
      <c r="J128" s="68" t="inlineStr">
        <is>
          <t>It is best framed around astragalosides and polysaccharides.</t>
        </is>
      </c>
      <c r="K128" s="68" t="inlineStr">
        <is>
          <t>astragaloside IV; polysaccharides</t>
        </is>
      </c>
      <c r="L128" s="68" t="inlineStr">
        <is>
          <t>astragaloside IV</t>
        </is>
      </c>
      <c r="M128" s="68" t="inlineStr">
        <is>
          <t>Saponins and polysaccharides support immune and restorative positioning.</t>
        </is>
      </c>
      <c r="N128" s="68" t="inlineStr">
        <is>
          <t>immune modulation; fatigue support</t>
        </is>
      </c>
      <c r="O128" s="68" t="inlineStr">
        <is>
          <t>mixed human + preclinical</t>
        </is>
      </c>
      <c r="P128" s="68" t="inlineStr">
        <is>
          <t>Generally well tolerated.</t>
        </is>
      </c>
      <c r="Q128" s="68" t="inlineStr">
        <is>
          <t>Use caution in autoimmune contexts.</t>
        </is>
      </c>
      <c r="R128" s="68" t="n"/>
      <c r="S128" s="68" t="n"/>
      <c r="T128" s="68" t="n"/>
      <c r="U128" s="68" t="n"/>
      <c r="V128" s="68" t="n"/>
      <c r="W128" s="68" t="inlineStr">
        <is>
          <t>High</t>
        </is>
      </c>
      <c r="X128" s="68" t="inlineStr">
        <is>
          <t>validated</t>
        </is>
      </c>
      <c r="Y128" s="68" t="n"/>
      <c r="Z128" s="68" t="inlineStr">
        <is>
          <t>present</t>
        </is>
      </c>
      <c r="AA128" s="68" t="inlineStr">
        <is>
          <t>Internal workbook + enrichment queue</t>
        </is>
      </c>
      <c r="AB128" s="68" t="n"/>
      <c r="AC128" s="68" t="n"/>
      <c r="AD128" s="68" t="n"/>
      <c r="AE128" s="68" t="n"/>
      <c r="AF128" s="68" t="n"/>
      <c r="AG128" s="68" t="n">
        <v>3</v>
      </c>
      <c r="AH128" s="68" t="n">
        <v>1</v>
      </c>
      <c r="AI128" s="68" t="n">
        <v>3</v>
      </c>
      <c r="AJ128" s="68" t="n">
        <v>7</v>
      </c>
      <c r="AK128" s="68" t="inlineStr">
        <is>
          <t>Medium</t>
        </is>
      </c>
      <c r="AL128" s="68" t="n"/>
      <c r="AM128" s="68" t="inlineStr">
        <is>
          <t>Linked primary/secondary</t>
        </is>
      </c>
      <c r="AN128" s="68" t="n">
        <v>0.9</v>
      </c>
      <c r="AO128" s="68" t="inlineStr">
        <is>
          <t>Near ready</t>
        </is>
      </c>
      <c r="AP128" s="68" t="n"/>
      <c r="AQ128" s="68" t="n"/>
      <c r="AR128" s="68" t="inlineStr">
        <is>
          <t>Editorial polish</t>
        </is>
      </c>
      <c r="AS128" s="68" t="inlineStr">
        <is>
          <t>Not started</t>
        </is>
      </c>
      <c r="AT128" s="68" t="n"/>
      <c r="AU128" s="68" t="n"/>
      <c r="AV128" s="68" t="n"/>
      <c r="AW128" s="68" t="n"/>
      <c r="AX128" s="68" t="n"/>
      <c r="AY128" s="68" t="n"/>
      <c r="AZ128" s="68" t="n"/>
      <c r="BA128" s="68" t="n"/>
      <c r="BB128" s="68" t="n"/>
      <c r="BC128" s="68" t="n"/>
      <c r="BD128" s="68" t="n"/>
      <c r="BE128" s="68" t="inlineStr">
        <is>
          <t>2026-04-10</t>
        </is>
      </c>
      <c r="BF128" s="68" t="inlineStr">
        <is>
          <t>Metadata normalized from internal workbook links</t>
        </is>
      </c>
      <c r="BG128" s="68" t="inlineStr">
        <is>
          <t>astragalus|2026-04-10</t>
        </is>
      </c>
      <c r="BH128" s="68" t="inlineStr">
        <is>
          <t>2026-04-10:auto-normalized</t>
        </is>
      </c>
      <c r="BI128" t="inlineStr">
        <is>
          <t>astragalus</t>
        </is>
      </c>
      <c r="BJ128" t="inlineStr">
        <is>
          <t>Astragalus</t>
        </is>
      </c>
      <c r="BK128" t="n">
        <v>1</v>
      </c>
      <c r="BL128" t="n">
        <v>0</v>
      </c>
      <c r="BM128" t="n">
        <v>3</v>
      </c>
      <c r="BN128" t="n">
        <v>3</v>
      </c>
      <c r="BO128" t="n">
        <v>100</v>
      </c>
      <c r="BP128" t="n">
        <v>8</v>
      </c>
      <c r="BQ128" t="n">
        <v>0</v>
      </c>
      <c r="BR128" t="n">
        <v>5</v>
      </c>
      <c r="BS128" t="inlineStr">
        <is>
          <t>Tier 4</t>
        </is>
      </c>
      <c r="BT128" t="n">
        <v>3</v>
      </c>
      <c r="BU128" t="inlineStr">
        <is>
          <t>FALSE</t>
        </is>
      </c>
      <c r="BV128" t="inlineStr">
        <is>
          <t>astragalus</t>
        </is>
      </c>
      <c r="BW128" t="inlineStr">
        <is>
          <t>TRUE</t>
        </is>
      </c>
      <c r="BX128" t="inlineStr">
        <is>
          <t>Pass 10 refreshed scoring from 1 mapped compounds | Pass 13 rescored from 1 mapped compounds</t>
        </is>
      </c>
      <c r="CA128" t="n">
        <v>2</v>
      </c>
      <c r="CB128" t="n">
        <v>0</v>
      </c>
      <c r="CC128" t="n">
        <v>0</v>
      </c>
      <c r="CE128" t="inlineStr">
        <is>
          <t>Pass 13 rescored after herb-name normalization and real top-herb compound sweep</t>
        </is>
      </c>
      <c r="CF128" t="inlineStr">
        <is>
          <t>General</t>
        </is>
      </c>
      <c r="CH128" s="68" t="inlineStr">
        <is>
          <t>Start with low single-herb exposure and increase only if tolerated</t>
        </is>
      </c>
      <c r="CI128" s="68" t="inlineStr">
        <is>
          <t>Product-ideation framing only; not clinical dosing advice.</t>
        </is>
      </c>
      <c r="CJ128" s="68" t="inlineStr">
        <is>
          <t>immune-caution</t>
        </is>
      </c>
      <c r="CK128" s="68" t="str"/>
      <c r="CL128" s="68" t="inlineStr">
        <is>
          <t>Baseline</t>
        </is>
      </c>
      <c r="CM128" s="68" t="inlineStr">
        <is>
          <t>No</t>
        </is>
      </c>
      <c r="CN128" s="68" t="str"/>
      <c r="CO128" s="68" t="inlineStr">
        <is>
          <t>Pass 21 herb-level safety and dose framing</t>
        </is>
      </c>
      <c r="CP128" t="inlineStr">
        <is>
          <t>Baseline</t>
        </is>
      </c>
      <c r="CQ128" t="inlineStr">
        <is>
          <t>No</t>
        </is>
      </c>
      <c r="CS128" t="inlineStr">
        <is>
          <t>Pass 22 refined safety rule severity and reduced broad keyword over-flagging</t>
        </is>
      </c>
      <c r="CT128" t="inlineStr">
        <is>
          <t>General</t>
        </is>
      </c>
      <c r="CU128" t="inlineStr">
        <is>
          <t>fatigue support; immune modulation</t>
        </is>
      </c>
      <c r="CV128" t="inlineStr">
        <is>
          <t>Human</t>
        </is>
      </c>
      <c r="CW128" t="inlineStr">
        <is>
          <t>Pass 26 normalization: categories, mechanisms, evidence tiers</t>
        </is>
      </c>
      <c r="CX128" t="inlineStr">
        <is>
          <t>Human + preclinical</t>
        </is>
      </c>
      <c r="CY128" t="inlineStr">
        <is>
          <t>Generally well tolerated.</t>
        </is>
      </c>
      <c r="CZ128" t="inlineStr">
        <is>
          <t>Use caution in autoimmune contexts</t>
        </is>
      </c>
      <c r="DB128" t="inlineStr">
        <is>
          <t>Pass 28 normalized evidence and safety-related free text</t>
        </is>
      </c>
      <c r="DD128" t="inlineStr">
        <is>
          <t>No standardized dose established; use conservative, product-dependent ranges.</t>
        </is>
      </c>
      <c r="DE128" t="inlineStr">
        <is>
          <t>Common forms include extracts, powders, or teas depending on herb part.</t>
        </is>
      </c>
      <c r="DF128" t="inlineStr">
        <is>
          <t>Quality varies by extraction method, standardization, and contamination risk.</t>
        </is>
      </c>
      <c r="DG128" t="inlineStr">
        <is>
          <t>Moderate to high</t>
        </is>
      </c>
      <c r="DH128" t="inlineStr">
        <is>
          <t>Pass 29 completeness repair</t>
        </is>
      </c>
      <c r="DI128" t="n">
        <v>6</v>
      </c>
      <c r="DJ128" t="inlineStr">
        <is>
          <t>General</t>
        </is>
      </c>
      <c r="DL128" t="inlineStr">
        <is>
          <t>Acerola; Agarikon; Ajwain; Aloe Vera; American Ginseng</t>
        </is>
      </c>
      <c r="DM128" t="inlineStr">
        <is>
          <t>Pass 31 relationship intelligence: density, cluster, anchor class, nearest herbs</t>
        </is>
      </c>
      <c r="DP128" t="inlineStr">
        <is>
          <t>Generalist</t>
        </is>
      </c>
      <c r="DQ128" t="inlineStr">
        <is>
          <t>Pass 32 substitute engine + cluster cleanup</t>
        </is>
      </c>
      <c r="DT128" t="inlineStr">
        <is>
          <t>no strong safe fallback found</t>
        </is>
      </c>
      <c r="DU128" t="inlineStr">
        <is>
          <t>Not needed</t>
        </is>
      </c>
      <c r="DV128" t="inlineStr">
        <is>
          <t>Pass 33 fallback replacement engine</t>
        </is>
      </c>
      <c r="DY128" t="inlineStr">
        <is>
          <t>Pass 35 expanded fallback pool with second-pass candidate exploration</t>
        </is>
      </c>
      <c r="EA128" t="inlineStr">
        <is>
          <t>General</t>
        </is>
      </c>
      <c r="EC128" t="inlineStr">
        <is>
          <t>High</t>
        </is>
      </c>
      <c r="ED128" t="inlineStr">
        <is>
          <t>Pass 40 reinforced weak-category herb data</t>
        </is>
      </c>
      <c r="EG128" t="n">
        <v>3</v>
      </c>
      <c r="EH128" t="n">
        <v>3</v>
      </c>
      <c r="EI128" t="n">
        <v>0</v>
      </c>
      <c r="EJ128" t="n">
        <v>0</v>
      </c>
      <c r="EK128" t="n">
        <v>11</v>
      </c>
      <c r="EL128" t="n">
        <v>7</v>
      </c>
      <c r="EM128" t="inlineStr">
        <is>
          <t>astragaloside iv</t>
        </is>
      </c>
      <c r="EN128" t="inlineStr">
        <is>
          <t>Pass 48 rolled compound scores into herb-level scoring</t>
        </is>
      </c>
    </row>
    <row r="129">
      <c r="A129" s="68" t="inlineStr">
        <is>
          <t>Nettle Root</t>
        </is>
      </c>
      <c r="B129" s="68" t="inlineStr">
        <is>
          <t>nettle-root</t>
        </is>
      </c>
      <c r="C129" s="68" t="inlineStr">
        <is>
          <t>Urtica dioica</t>
        </is>
      </c>
      <c r="D129" s="68" t="inlineStr">
        <is>
          <t>herb</t>
        </is>
      </c>
      <c r="E129" s="68" t="inlineStr">
        <is>
          <t>root</t>
        </is>
      </c>
      <c r="F129" s="68" t="inlineStr">
        <is>
          <t>root</t>
        </is>
      </c>
      <c r="G129" s="68" t="inlineStr">
        <is>
          <t>nettle root</t>
        </is>
      </c>
      <c r="H129" s="68" t="inlineStr">
        <is>
          <t>Europe, Asia, North America</t>
        </is>
      </c>
      <c r="I129" s="68" t="inlineStr">
        <is>
          <t>Nettle root is positioned for urinary and men's-health support.</t>
        </is>
      </c>
      <c r="J129" s="68" t="inlineStr">
        <is>
          <t>It is best framed distinctly from nettle leaf.</t>
        </is>
      </c>
      <c r="K129" s="68" t="inlineStr">
        <is>
          <t>beta-sitosterol; lignans</t>
        </is>
      </c>
      <c r="L129" s="68" t="inlineStr">
        <is>
          <t>beta-sitosterol</t>
        </is>
      </c>
      <c r="M129" s="68" t="inlineStr">
        <is>
          <t>Sterols and lignans support urinary positioning.</t>
        </is>
      </c>
      <c r="N129" s="68" t="inlineStr">
        <is>
          <t>urinary support; men's-health support</t>
        </is>
      </c>
      <c r="O129" s="68" t="inlineStr">
        <is>
          <t>mixed human + traditional use</t>
        </is>
      </c>
      <c r="P129" s="68" t="inlineStr">
        <is>
          <t>Generally well tolerated.</t>
        </is>
      </c>
      <c r="Q129" s="68" t="inlineStr">
        <is>
          <t>Use caution with urinary medications.</t>
        </is>
      </c>
      <c r="R129" s="68" t="n"/>
      <c r="S129" s="68" t="n"/>
      <c r="T129" s="68" t="n"/>
      <c r="U129" s="68" t="n"/>
      <c r="V129" s="68" t="n"/>
      <c r="W129" s="68" t="inlineStr">
        <is>
          <t>High</t>
        </is>
      </c>
      <c r="X129" s="68" t="inlineStr">
        <is>
          <t>validated</t>
        </is>
      </c>
      <c r="Y129" s="68" t="n"/>
      <c r="Z129" s="68" t="inlineStr">
        <is>
          <t>present</t>
        </is>
      </c>
      <c r="AA129" s="68" t="inlineStr">
        <is>
          <t>Internal workbook + enrichment queue</t>
        </is>
      </c>
      <c r="AB129" s="68" t="n"/>
      <c r="AC129" s="68" t="n"/>
      <c r="AD129" s="68" t="n"/>
      <c r="AE129" s="68" t="n"/>
      <c r="AF129" s="68" t="n"/>
      <c r="AG129" s="68" t="n">
        <v>3</v>
      </c>
      <c r="AH129" s="68" t="n">
        <v>1</v>
      </c>
      <c r="AI129" s="68" t="n">
        <v>3</v>
      </c>
      <c r="AJ129" s="68" t="n">
        <v>7</v>
      </c>
      <c r="AK129" s="68" t="inlineStr">
        <is>
          <t>Medium</t>
        </is>
      </c>
      <c r="AL129" s="68" t="n"/>
      <c r="AM129" s="68" t="inlineStr">
        <is>
          <t>Linked primary/secondary</t>
        </is>
      </c>
      <c r="AN129" s="68" t="n">
        <v>0.9</v>
      </c>
      <c r="AO129" s="68" t="inlineStr">
        <is>
          <t>Near ready</t>
        </is>
      </c>
      <c r="AP129" s="68" t="n"/>
      <c r="AQ129" s="68" t="n"/>
      <c r="AR129" s="68" t="inlineStr">
        <is>
          <t>Editorial polish</t>
        </is>
      </c>
      <c r="AS129" s="68" t="inlineStr">
        <is>
          <t>Not started</t>
        </is>
      </c>
      <c r="AT129" s="68" t="n"/>
      <c r="AU129" s="68" t="n"/>
      <c r="AV129" s="68" t="n"/>
      <c r="AW129" s="68" t="n"/>
      <c r="AX129" s="68" t="n"/>
      <c r="AY129" s="68" t="n"/>
      <c r="AZ129" s="68" t="n"/>
      <c r="BA129" s="68" t="n"/>
      <c r="BB129" s="68" t="n"/>
      <c r="BC129" s="68" t="n"/>
      <c r="BD129" s="68" t="n"/>
      <c r="BE129" s="68" t="inlineStr">
        <is>
          <t>2026-04-10</t>
        </is>
      </c>
      <c r="BF129" s="68" t="inlineStr">
        <is>
          <t>Metadata normalized from internal workbook links</t>
        </is>
      </c>
      <c r="BG129" s="68" t="inlineStr">
        <is>
          <t>nettle-root|2026-04-10</t>
        </is>
      </c>
      <c r="BH129" s="68" t="inlineStr">
        <is>
          <t>2026-04-10:auto-normalized</t>
        </is>
      </c>
      <c r="BI129" t="inlineStr">
        <is>
          <t>nettle-root</t>
        </is>
      </c>
      <c r="BJ129" t="inlineStr">
        <is>
          <t>Nettle Root</t>
        </is>
      </c>
      <c r="BK129" t="n">
        <v>1</v>
      </c>
      <c r="BL129" t="n">
        <v>1</v>
      </c>
      <c r="BM129" t="n">
        <v>3</v>
      </c>
      <c r="BN129" t="n">
        <v>7</v>
      </c>
      <c r="BO129" t="n">
        <v>100</v>
      </c>
      <c r="BP129" t="n">
        <v>8</v>
      </c>
      <c r="BQ129" t="n">
        <v>10</v>
      </c>
      <c r="BR129" t="n">
        <v>5</v>
      </c>
      <c r="BS129" t="inlineStr">
        <is>
          <t>Tier 1</t>
        </is>
      </c>
      <c r="BT129" t="n">
        <v>5</v>
      </c>
      <c r="BU129" t="inlineStr">
        <is>
          <t>FALSE</t>
        </is>
      </c>
      <c r="BV129" t="inlineStr">
        <is>
          <t>nettle-root</t>
        </is>
      </c>
      <c r="BW129" t="inlineStr">
        <is>
          <t>TRUE</t>
        </is>
      </c>
      <c r="BX129" t="inlineStr">
        <is>
          <t>Pass 10 refreshed scoring from 1 mapped compounds | Pass 13 rescored from 1 mapped compounds</t>
        </is>
      </c>
      <c r="BY129" t="inlineStr">
        <is>
          <t>unclassified</t>
        </is>
      </c>
      <c r="CA129" t="n">
        <v>2</v>
      </c>
      <c r="CB129" t="n">
        <v>0</v>
      </c>
      <c r="CC129" t="n">
        <v>0</v>
      </c>
      <c r="CD129" t="inlineStr">
        <is>
          <t>beta-sitosterol; unclassified</t>
        </is>
      </c>
      <c r="CE129" t="inlineStr">
        <is>
          <t>Pass 13 rescored after herb-name normalization and real top-herb compound sweep</t>
        </is>
      </c>
      <c r="CF129" t="inlineStr">
        <is>
          <t>General</t>
        </is>
      </c>
      <c r="CH129" s="68" t="inlineStr">
        <is>
          <t>Start with low single-herb exposure and increase only if tolerated</t>
        </is>
      </c>
      <c r="CI129" s="68" t="inlineStr">
        <is>
          <t>Product-ideation framing only; not clinical dosing advice.</t>
        </is>
      </c>
      <c r="CJ129" s="68" t="str"/>
      <c r="CK129" s="68" t="str"/>
      <c r="CL129" s="68" t="inlineStr">
        <is>
          <t>Baseline</t>
        </is>
      </c>
      <c r="CM129" s="68" t="inlineStr">
        <is>
          <t>No</t>
        </is>
      </c>
      <c r="CN129" s="68" t="str"/>
      <c r="CO129" s="68" t="inlineStr">
        <is>
          <t>Pass 21 herb-level safety and dose framing</t>
        </is>
      </c>
      <c r="CP129" t="inlineStr">
        <is>
          <t>Baseline</t>
        </is>
      </c>
      <c r="CQ129" t="inlineStr">
        <is>
          <t>No</t>
        </is>
      </c>
      <c r="CS129" t="inlineStr">
        <is>
          <t>Pass 22 refined safety rule severity and reduced broad keyword over-flagging</t>
        </is>
      </c>
      <c r="CT129" t="inlineStr">
        <is>
          <t>General</t>
        </is>
      </c>
      <c r="CU129" t="inlineStr">
        <is>
          <t>men's-health support; urinary support</t>
        </is>
      </c>
      <c r="CV129" t="inlineStr">
        <is>
          <t>Human</t>
        </is>
      </c>
      <c r="CW129" t="inlineStr">
        <is>
          <t>Pass 26 normalization: categories, mechanisms, evidence tiers</t>
        </is>
      </c>
      <c r="CX129" t="inlineStr">
        <is>
          <t>Limited human</t>
        </is>
      </c>
      <c r="CY129" t="inlineStr">
        <is>
          <t>Generally well tolerated.</t>
        </is>
      </c>
      <c r="CZ129" t="inlineStr">
        <is>
          <t>Use caution with urinary medications</t>
        </is>
      </c>
      <c r="DB129" t="inlineStr">
        <is>
          <t>Pass 28 normalized evidence and safety-related free text</t>
        </is>
      </c>
      <c r="DD129" t="inlineStr">
        <is>
          <t>No standardized dose established; use conservative, product-dependent ranges.</t>
        </is>
      </c>
      <c r="DE129" t="inlineStr">
        <is>
          <t>Common forms include extracts, powders, or teas depending on herb part.</t>
        </is>
      </c>
      <c r="DF129" t="inlineStr">
        <is>
          <t>Quality varies by extraction method, standardization, and contamination risk.</t>
        </is>
      </c>
      <c r="DG129" t="inlineStr">
        <is>
          <t>Moderate to high</t>
        </is>
      </c>
      <c r="DH129" t="inlineStr">
        <is>
          <t>Pass 29 completeness repair</t>
        </is>
      </c>
      <c r="DI129" t="n">
        <v>9</v>
      </c>
      <c r="DJ129" t="inlineStr">
        <is>
          <t>General</t>
        </is>
      </c>
      <c r="DK129" t="inlineStr">
        <is>
          <t>beta-sitosterol</t>
        </is>
      </c>
      <c r="DL129" t="inlineStr">
        <is>
          <t>Muira Puama; Agarikon; Ajwain; Angelica Root; Artichoke</t>
        </is>
      </c>
      <c r="DM129" t="inlineStr">
        <is>
          <t>Pass 31 relationship intelligence: density, cluster, anchor class, nearest herbs</t>
        </is>
      </c>
      <c r="DN129" t="inlineStr">
        <is>
          <t>Muira Puama; Agarikon; Ajwain; Angelica Root; Artichoke</t>
        </is>
      </c>
      <c r="DO129" t="inlineStr">
        <is>
          <t>Muira Puama (1 shared compounds; 1 shared pathways) | Agarikon (1 shared pathways) | Ajwain (1 shared pathways)</t>
        </is>
      </c>
      <c r="DP129" t="inlineStr">
        <is>
          <t>Generalist</t>
        </is>
      </c>
      <c r="DQ129" t="inlineStr">
        <is>
          <t>Pass 32 substitute engine + cluster cleanup</t>
        </is>
      </c>
      <c r="DR129" t="inlineStr">
        <is>
          <t>Agarikon</t>
        </is>
      </c>
      <c r="DS129" t="inlineStr">
        <is>
          <t>Ajwain</t>
        </is>
      </c>
      <c r="DT129" t="inlineStr">
        <is>
          <t>same cluster; lower safety burden; similarity-backed</t>
        </is>
      </c>
      <c r="DU129" t="inlineStr">
        <is>
          <t>Not needed</t>
        </is>
      </c>
      <c r="DV129" t="inlineStr">
        <is>
          <t>Pass 33 fallback replacement engine</t>
        </is>
      </c>
      <c r="DW129" t="inlineStr">
        <is>
          <t>Angelica Root</t>
        </is>
      </c>
      <c r="DX129" t="inlineStr">
        <is>
          <t>Agarikon; Ajwain; Angelica Root; Muira Puama; Ashoka; Blue Lotus; Artichoke; Boldo</t>
        </is>
      </c>
      <c r="DY129" t="inlineStr">
        <is>
          <t>Pass 35 expanded fallback pool with second-pass candidate exploration</t>
        </is>
      </c>
      <c r="EA129" t="inlineStr">
        <is>
          <t>General</t>
        </is>
      </c>
      <c r="EB129" t="inlineStr">
        <is>
          <t>unclassified</t>
        </is>
      </c>
      <c r="EC129" t="inlineStr">
        <is>
          <t>High</t>
        </is>
      </c>
      <c r="ED129" t="inlineStr">
        <is>
          <t>Pass 40 reinforced weak-category herb data</t>
        </is>
      </c>
      <c r="EG129" t="n">
        <v>6</v>
      </c>
      <c r="EH129" t="n">
        <v>6</v>
      </c>
      <c r="EI129" t="n">
        <v>0</v>
      </c>
      <c r="EJ129" t="n">
        <v>0</v>
      </c>
      <c r="EK129" t="n">
        <v>20</v>
      </c>
      <c r="EL129" t="n">
        <v>13</v>
      </c>
      <c r="EM129" t="inlineStr">
        <is>
          <t>beta-sitosterol</t>
        </is>
      </c>
      <c r="EN129" t="inlineStr">
        <is>
          <t>Pass 48 rolled compound scores into herb-level scoring</t>
        </is>
      </c>
    </row>
    <row r="130">
      <c r="A130" s="68" t="inlineStr">
        <is>
          <t>Bacopa</t>
        </is>
      </c>
      <c r="B130" s="68" t="inlineStr">
        <is>
          <t>bacopa</t>
        </is>
      </c>
      <c r="C130" s="68" t="inlineStr">
        <is>
          <t>Bacopa monnieri</t>
        </is>
      </c>
      <c r="D130" s="68" t="inlineStr">
        <is>
          <t>herb</t>
        </is>
      </c>
      <c r="E130" s="68" t="inlineStr">
        <is>
          <t>aerial parts</t>
        </is>
      </c>
      <c r="F130" s="68" t="inlineStr">
        <is>
          <t>aerial parts</t>
        </is>
      </c>
      <c r="G130" s="68" t="inlineStr">
        <is>
          <t>bacopa</t>
        </is>
      </c>
      <c r="H130" s="68" t="inlineStr">
        <is>
          <t>India and tropical regions</t>
        </is>
      </c>
      <c r="I130" s="68" t="inlineStr">
        <is>
          <t>Bacopa is positioned for cognitive and calming support.</t>
        </is>
      </c>
      <c r="J130" s="68" t="inlineStr">
        <is>
          <t>It is best framed around bacosides with slower-onset cognitive relevance.</t>
        </is>
      </c>
      <c r="K130" s="68" t="inlineStr">
        <is>
          <t>bacoside A; bacopaside II</t>
        </is>
      </c>
      <c r="L130" s="68" t="inlineStr">
        <is>
          <t>bacoside A</t>
        </is>
      </c>
      <c r="M130" s="68" t="inlineStr">
        <is>
          <t>Triterpene saponins support cognitive and calming positioning.</t>
        </is>
      </c>
      <c r="N130" s="68" t="inlineStr">
        <is>
          <t>cognitive support; calming support</t>
        </is>
      </c>
      <c r="O130" s="68" t="inlineStr">
        <is>
          <t>mixed human + preclinical</t>
        </is>
      </c>
      <c r="P130" s="68" t="inlineStr">
        <is>
          <t>Generally well tolerated.</t>
        </is>
      </c>
      <c r="Q130" s="68" t="inlineStr">
        <is>
          <t>Use caution with GI sensitivity.</t>
        </is>
      </c>
      <c r="R130" s="68" t="n"/>
      <c r="S130" s="68" t="n"/>
      <c r="T130" s="68" t="n"/>
      <c r="U130" s="68" t="n"/>
      <c r="V130" s="68" t="n"/>
      <c r="W130" s="68" t="inlineStr">
        <is>
          <t>High</t>
        </is>
      </c>
      <c r="X130" s="68" t="inlineStr">
        <is>
          <t>validated</t>
        </is>
      </c>
      <c r="Y130" s="68" t="n"/>
      <c r="Z130" s="68" t="inlineStr">
        <is>
          <t>present</t>
        </is>
      </c>
      <c r="AA130" s="68" t="inlineStr">
        <is>
          <t>Internal workbook + enrichment queue</t>
        </is>
      </c>
      <c r="AB130" s="68" t="n"/>
      <c r="AC130" s="68" t="n"/>
      <c r="AD130" s="68" t="n"/>
      <c r="AE130" s="68" t="n"/>
      <c r="AF130" s="68" t="n"/>
      <c r="AG130" s="68" t="n">
        <v>3</v>
      </c>
      <c r="AH130" s="68" t="n">
        <v>1</v>
      </c>
      <c r="AI130" s="68" t="n">
        <v>3</v>
      </c>
      <c r="AJ130" s="68" t="n">
        <v>7</v>
      </c>
      <c r="AK130" s="68" t="inlineStr">
        <is>
          <t>Medium</t>
        </is>
      </c>
      <c r="AL130" s="68" t="n"/>
      <c r="AM130" s="68" t="inlineStr">
        <is>
          <t>Linked primary/secondary</t>
        </is>
      </c>
      <c r="AN130" s="68" t="n">
        <v>0.9</v>
      </c>
      <c r="AO130" s="68" t="inlineStr">
        <is>
          <t>Near ready</t>
        </is>
      </c>
      <c r="AP130" s="68" t="n"/>
      <c r="AQ130" s="68" t="n"/>
      <c r="AR130" s="68" t="inlineStr">
        <is>
          <t>Editorial polish</t>
        </is>
      </c>
      <c r="AS130" s="68" t="inlineStr">
        <is>
          <t>Not started</t>
        </is>
      </c>
      <c r="AT130" s="68" t="n"/>
      <c r="AU130" s="68" t="n"/>
      <c r="AV130" s="68" t="n"/>
      <c r="AW130" s="68" t="n"/>
      <c r="AX130" s="68" t="n"/>
      <c r="AY130" s="68" t="n"/>
      <c r="AZ130" s="68" t="n"/>
      <c r="BA130" s="68" t="n"/>
      <c r="BB130" s="68" t="n"/>
      <c r="BC130" s="68" t="n"/>
      <c r="BD130" s="68" t="n"/>
      <c r="BE130" s="68" t="inlineStr">
        <is>
          <t>2026-04-10</t>
        </is>
      </c>
      <c r="BF130" s="68" t="inlineStr">
        <is>
          <t>Metadata normalized from internal workbook links</t>
        </is>
      </c>
      <c r="BG130" s="68" t="inlineStr">
        <is>
          <t>bacopa|2026-04-10</t>
        </is>
      </c>
      <c r="BH130" s="68" t="inlineStr">
        <is>
          <t>2026-04-10:auto-normalized</t>
        </is>
      </c>
      <c r="BI130" t="inlineStr">
        <is>
          <t>bacopa</t>
        </is>
      </c>
      <c r="BJ130" t="inlineStr">
        <is>
          <t>Bacopa</t>
        </is>
      </c>
      <c r="BK130" t="n">
        <v>1</v>
      </c>
      <c r="BL130" t="n">
        <v>0</v>
      </c>
      <c r="BM130" t="n">
        <v>3</v>
      </c>
      <c r="BN130" t="n">
        <v>3</v>
      </c>
      <c r="BO130" t="n">
        <v>100</v>
      </c>
      <c r="BP130" t="n">
        <v>8</v>
      </c>
      <c r="BQ130" t="n">
        <v>0</v>
      </c>
      <c r="BR130" t="n">
        <v>5</v>
      </c>
      <c r="BS130" t="inlineStr">
        <is>
          <t>Tier 4</t>
        </is>
      </c>
      <c r="BT130" t="n">
        <v>3</v>
      </c>
      <c r="BU130" t="inlineStr">
        <is>
          <t>FALSE</t>
        </is>
      </c>
      <c r="BV130" t="inlineStr">
        <is>
          <t>bacopa</t>
        </is>
      </c>
      <c r="BW130" t="inlineStr">
        <is>
          <t>TRUE</t>
        </is>
      </c>
      <c r="BX130" t="inlineStr">
        <is>
          <t>Pass 10 refreshed scoring from 1 mapped compounds | Pass 13 rescored from 1 mapped compounds</t>
        </is>
      </c>
      <c r="CA130" t="n">
        <v>2</v>
      </c>
      <c r="CB130" t="n">
        <v>0</v>
      </c>
      <c r="CC130" t="n">
        <v>0</v>
      </c>
      <c r="CE130" t="inlineStr">
        <is>
          <t>Pass 13 rescored after herb-name normalization and real top-herb compound sweep</t>
        </is>
      </c>
      <c r="CF130" t="inlineStr">
        <is>
          <t>General</t>
        </is>
      </c>
      <c r="CH130" s="68" t="inlineStr">
        <is>
          <t>Start with low single-herb exposure and increase only if tolerated</t>
        </is>
      </c>
      <c r="CI130" s="68" t="inlineStr">
        <is>
          <t>Product-ideation framing only; not clinical dosing advice.</t>
        </is>
      </c>
      <c r="CJ130" s="68" t="str"/>
      <c r="CK130" s="68" t="str"/>
      <c r="CL130" s="68" t="inlineStr">
        <is>
          <t>Baseline</t>
        </is>
      </c>
      <c r="CM130" s="68" t="inlineStr">
        <is>
          <t>No</t>
        </is>
      </c>
      <c r="CN130" s="68" t="str"/>
      <c r="CO130" s="68" t="inlineStr">
        <is>
          <t>Pass 21 herb-level safety and dose framing</t>
        </is>
      </c>
      <c r="CP130" t="inlineStr">
        <is>
          <t>Baseline</t>
        </is>
      </c>
      <c r="CQ130" t="inlineStr">
        <is>
          <t>No</t>
        </is>
      </c>
      <c r="CS130" t="inlineStr">
        <is>
          <t>Pass 22 refined safety rule severity and reduced broad keyword over-flagging</t>
        </is>
      </c>
      <c r="CT130" t="inlineStr">
        <is>
          <t>Focus</t>
        </is>
      </c>
      <c r="CU130" t="inlineStr">
        <is>
          <t>calming support; cognitive support</t>
        </is>
      </c>
      <c r="CV130" t="inlineStr">
        <is>
          <t>Human</t>
        </is>
      </c>
      <c r="CW130" t="inlineStr">
        <is>
          <t>Pass 26 normalization: categories, mechanisms, evidence tiers</t>
        </is>
      </c>
      <c r="CX130" t="inlineStr">
        <is>
          <t>Human + preclinical</t>
        </is>
      </c>
      <c r="CY130" t="inlineStr">
        <is>
          <t>Generally well tolerated.</t>
        </is>
      </c>
      <c r="CZ130" t="inlineStr">
        <is>
          <t>Use caution with GI sensitivity</t>
        </is>
      </c>
      <c r="DB130" t="inlineStr">
        <is>
          <t>Pass 28 normalized evidence and safety-related free text</t>
        </is>
      </c>
      <c r="DD130" t="inlineStr">
        <is>
          <t>No standardized dose established; use conservative, product-dependent ranges.</t>
        </is>
      </c>
      <c r="DE130" t="inlineStr">
        <is>
          <t>Common forms include extracts, powders, or teas depending on herb part.</t>
        </is>
      </c>
      <c r="DF130" t="inlineStr">
        <is>
          <t>Quality varies by extraction method, standardization, and contamination risk.</t>
        </is>
      </c>
      <c r="DG130" t="inlineStr">
        <is>
          <t>Moderate to high</t>
        </is>
      </c>
      <c r="DH130" t="inlineStr">
        <is>
          <t>Pass 29 completeness repair</t>
        </is>
      </c>
      <c r="DI130" t="n">
        <v>6</v>
      </c>
      <c r="DJ130" t="inlineStr">
        <is>
          <t>Neurocognitive</t>
        </is>
      </c>
      <c r="DL130" t="inlineStr">
        <is>
          <t>Corydalis; Panax Ginseng; Polygala; Shankhpushpi; Ashwagandha</t>
        </is>
      </c>
      <c r="DM130" t="inlineStr">
        <is>
          <t>Pass 31 relationship intelligence: density, cluster, anchor class, nearest herbs</t>
        </is>
      </c>
      <c r="DP130" t="inlineStr">
        <is>
          <t>Neuro / Cognitive</t>
        </is>
      </c>
      <c r="DQ130" t="inlineStr">
        <is>
          <t>Pass 32 substitute engine + cluster cleanup</t>
        </is>
      </c>
      <c r="DT130" t="inlineStr">
        <is>
          <t>no strong safe fallback found</t>
        </is>
      </c>
      <c r="DU130" t="inlineStr">
        <is>
          <t>Not needed</t>
        </is>
      </c>
      <c r="DV130" t="inlineStr">
        <is>
          <t>Pass 33 fallback replacement engine</t>
        </is>
      </c>
      <c r="DY130" t="inlineStr">
        <is>
          <t>Pass 35 expanded fallback pool with second-pass candidate exploration</t>
        </is>
      </c>
      <c r="EG130" t="n">
        <v>3</v>
      </c>
      <c r="EH130" t="n">
        <v>3</v>
      </c>
      <c r="EI130" t="n">
        <v>0</v>
      </c>
      <c r="EJ130" t="n">
        <v>0</v>
      </c>
      <c r="EK130" t="n">
        <v>11</v>
      </c>
      <c r="EL130" t="n">
        <v>7</v>
      </c>
      <c r="EM130" t="inlineStr">
        <is>
          <t>bacoside a</t>
        </is>
      </c>
      <c r="EN130" t="inlineStr">
        <is>
          <t>Pass 48 rolled compound scores into herb-level scoring</t>
        </is>
      </c>
    </row>
    <row r="131">
      <c r="A131" s="68" t="inlineStr">
        <is>
          <t>Mucuna</t>
        </is>
      </c>
      <c r="B131" s="68" t="inlineStr">
        <is>
          <t>mucuna</t>
        </is>
      </c>
      <c r="C131" s="68" t="inlineStr">
        <is>
          <t>Mucuna pruriens</t>
        </is>
      </c>
      <c r="D131" s="68" t="inlineStr">
        <is>
          <t>herb</t>
        </is>
      </c>
      <c r="E131" s="68" t="inlineStr">
        <is>
          <t>seed</t>
        </is>
      </c>
      <c r="F131" s="68" t="inlineStr">
        <is>
          <t>seed</t>
        </is>
      </c>
      <c r="G131" s="68" t="inlineStr">
        <is>
          <t>mucuna; velvet bean</t>
        </is>
      </c>
      <c r="H131" s="68" t="inlineStr">
        <is>
          <t>India, tropical regions</t>
        </is>
      </c>
      <c r="I131" s="68" t="inlineStr">
        <is>
          <t>Mucuna is positioned for dopamine-related and vitality support.</t>
        </is>
      </c>
      <c r="J131" s="68" t="inlineStr">
        <is>
          <t>It is best framed around L-DOPA-rich seeds with clear neurologic and stimulation-related caution.</t>
        </is>
      </c>
      <c r="K131" s="68" t="inlineStr">
        <is>
          <t>L-DOPA; alkaloids</t>
        </is>
      </c>
      <c r="L131" s="68" t="inlineStr">
        <is>
          <t>L-DOPA</t>
        </is>
      </c>
      <c r="M131" s="68" t="inlineStr">
        <is>
          <t>Catecholamine precursor relevance through L-DOPA content.</t>
        </is>
      </c>
      <c r="N131" s="68" t="inlineStr">
        <is>
          <t>dopamine support; vitality support</t>
        </is>
      </c>
      <c r="O131" s="68" t="inlineStr">
        <is>
          <t>traditional use + limited human</t>
        </is>
      </c>
      <c r="P131" s="68" t="inlineStr">
        <is>
          <t>Use caution in psychiatric, cardiovascular, and dopaminergic contexts.</t>
        </is>
      </c>
      <c r="Q131" s="68" t="inlineStr">
        <is>
          <t>May interact with MAOIs, dopaminergic drugs, stimulants, and antipsychotics.</t>
        </is>
      </c>
      <c r="R131" s="68" t="n"/>
      <c r="S131" s="68" t="n"/>
      <c r="T131" s="68" t="n"/>
      <c r="U131" s="68" t="n"/>
      <c r="V131" s="68" t="n"/>
      <c r="W131" s="68" t="inlineStr">
        <is>
          <t>Low</t>
        </is>
      </c>
      <c r="X131" s="68" t="inlineStr">
        <is>
          <t>validated</t>
        </is>
      </c>
      <c r="Y131" s="68" t="n"/>
      <c r="Z131" s="68" t="inlineStr">
        <is>
          <t>dataset-linked</t>
        </is>
      </c>
      <c r="AA131" s="68" t="inlineStr">
        <is>
          <t>Internal workbook cross-link</t>
        </is>
      </c>
      <c r="AB131" s="68" t="n"/>
      <c r="AC131" s="68" t="n"/>
      <c r="AD131" s="68" t="n"/>
      <c r="AE131" s="68" t="n"/>
      <c r="AF131" s="68" t="n"/>
      <c r="AG131" s="68" t="n">
        <v>1</v>
      </c>
      <c r="AH131" s="68" t="n">
        <v>1</v>
      </c>
      <c r="AI131" s="68" t="n">
        <v>1</v>
      </c>
      <c r="AJ131" s="68" t="n">
        <v>3</v>
      </c>
      <c r="AK131" s="68" t="inlineStr">
        <is>
          <t>High</t>
        </is>
      </c>
      <c r="AL131" s="68" t="n"/>
      <c r="AM131" s="68" t="inlineStr">
        <is>
          <t>Internal linked</t>
        </is>
      </c>
      <c r="AN131" s="68" t="n">
        <v>0.9</v>
      </c>
      <c r="AO131" s="68" t="inlineStr">
        <is>
          <t>Needs work</t>
        </is>
      </c>
      <c r="AP131" s="68" t="n"/>
      <c r="AQ131" s="68" t="n"/>
      <c r="AR131" s="68" t="inlineStr">
        <is>
          <t>Source review</t>
        </is>
      </c>
      <c r="AS131" s="68" t="inlineStr">
        <is>
          <t>Not started</t>
        </is>
      </c>
      <c r="AT131" s="68" t="n"/>
      <c r="AU131" s="68" t="n"/>
      <c r="AV131" s="68" t="n"/>
      <c r="AW131" s="68" t="n"/>
      <c r="AX131" s="68" t="n"/>
      <c r="AY131" s="68" t="n"/>
      <c r="AZ131" s="68" t="n"/>
      <c r="BA131" s="68" t="n"/>
      <c r="BB131" s="68" t="n"/>
      <c r="BC131" s="68" t="n"/>
      <c r="BD131" s="68" t="n"/>
      <c r="BE131" s="68" t="inlineStr">
        <is>
          <t>2026-04-10</t>
        </is>
      </c>
      <c r="BF131" s="68" t="inlineStr">
        <is>
          <t>Metadata normalized from internal workbook links</t>
        </is>
      </c>
      <c r="BG131" s="68" t="inlineStr">
        <is>
          <t>mucuna|2026-04-10</t>
        </is>
      </c>
      <c r="BH131" s="68" t="inlineStr">
        <is>
          <t>2026-04-10:auto-normalized</t>
        </is>
      </c>
      <c r="BI131" t="inlineStr">
        <is>
          <t>mucuna</t>
        </is>
      </c>
      <c r="BJ131" t="inlineStr">
        <is>
          <t>Mucuna</t>
        </is>
      </c>
      <c r="BK131" t="n">
        <v>0</v>
      </c>
      <c r="BL131" t="n">
        <v>0</v>
      </c>
      <c r="BM131" t="n">
        <v>3</v>
      </c>
      <c r="BN131" t="n">
        <v>0</v>
      </c>
      <c r="BO131" t="n">
        <v>100</v>
      </c>
      <c r="BP131" t="n">
        <v>0</v>
      </c>
      <c r="BQ131" t="n">
        <v>0</v>
      </c>
      <c r="BR131" t="n">
        <v>0</v>
      </c>
      <c r="BS131" t="inlineStr">
        <is>
          <t>Tier 4</t>
        </is>
      </c>
      <c r="BT131" t="n">
        <v>0</v>
      </c>
      <c r="BU131" t="inlineStr">
        <is>
          <t>FALSE</t>
        </is>
      </c>
      <c r="BV131" t="inlineStr">
        <is>
          <t>mucuna</t>
        </is>
      </c>
      <c r="BW131" t="inlineStr">
        <is>
          <t>FALSE</t>
        </is>
      </c>
      <c r="BX131" t="inlineStr">
        <is>
          <t>Pass 10 refreshed scoring from 0 mapped compounds | Pass 13 rescored from 0 mapped compounds</t>
        </is>
      </c>
      <c r="CA131" t="n">
        <v>0</v>
      </c>
      <c r="CB131" t="n">
        <v>0</v>
      </c>
      <c r="CC131" t="n">
        <v>0</v>
      </c>
      <c r="CE131" t="inlineStr">
        <is>
          <t>Pass 13 rescored after herb-name normalization and real top-herb compound sweep</t>
        </is>
      </c>
      <c r="CF131" t="inlineStr">
        <is>
          <t>General</t>
        </is>
      </c>
      <c r="CH131" s="68" t="inlineStr">
        <is>
          <t>Start low; usually daytime use</t>
        </is>
      </c>
      <c r="CI131" s="68" t="inlineStr">
        <is>
          <t>Avoid aggressive stacking with other monoamine-active or stimulating products by default.</t>
        </is>
      </c>
      <c r="CJ131" s="68" t="inlineStr">
        <is>
          <t>blood-pressure; monoamine-neuro</t>
        </is>
      </c>
      <c r="CK131" s="68" t="str"/>
      <c r="CL131" s="68" t="inlineStr">
        <is>
          <t>Moderate</t>
        </is>
      </c>
      <c r="CM131" s="68" t="inlineStr">
        <is>
          <t>No</t>
        </is>
      </c>
      <c r="CN131" s="68" t="str"/>
      <c r="CO131" s="68" t="inlineStr">
        <is>
          <t>Pass 21 herb-level safety and dose framing</t>
        </is>
      </c>
      <c r="CP131" t="inlineStr">
        <is>
          <t>Moderate</t>
        </is>
      </c>
      <c r="CQ131" t="inlineStr">
        <is>
          <t>No</t>
        </is>
      </c>
      <c r="CS131" t="inlineStr">
        <is>
          <t>Pass 22 refined safety rule severity and reduced broad keyword over-flagging</t>
        </is>
      </c>
      <c r="CT131" t="inlineStr">
        <is>
          <t>General</t>
        </is>
      </c>
      <c r="CU131" t="inlineStr">
        <is>
          <t>dopamine support; vitality support</t>
        </is>
      </c>
      <c r="CV131" t="inlineStr">
        <is>
          <t>Human</t>
        </is>
      </c>
      <c r="CW131" t="inlineStr">
        <is>
          <t>Pass 26 normalization: categories, mechanisms, evidence tiers</t>
        </is>
      </c>
      <c r="CX131" t="inlineStr">
        <is>
          <t>Limited human</t>
        </is>
      </c>
      <c r="CY131" t="inlineStr">
        <is>
          <t>Use caution in psychiatric, cardiovascular, and dopaminergic contexts.</t>
        </is>
      </c>
      <c r="CZ131" t="inlineStr">
        <is>
          <t>May interact with MAOIs, dopaminergic drugs, stimulants, and antipsychotics</t>
        </is>
      </c>
      <c r="DB131" t="inlineStr">
        <is>
          <t>Pass 28 normalized evidence and safety-related free text</t>
        </is>
      </c>
      <c r="DD131" t="inlineStr">
        <is>
          <t>No standardized dose established; use conservative, product-dependent ranges.</t>
        </is>
      </c>
      <c r="DE131" t="inlineStr">
        <is>
          <t>Common forms include extracts, powders, or teas depending on herb part.</t>
        </is>
      </c>
      <c r="DF131" t="inlineStr">
        <is>
          <t>Quality varies by extraction method, standardization, and contamination risk.</t>
        </is>
      </c>
      <c r="DG131" t="inlineStr">
        <is>
          <t>Moderate to high</t>
        </is>
      </c>
      <c r="DH131" t="inlineStr">
        <is>
          <t>Pass 29 completeness repair</t>
        </is>
      </c>
      <c r="DI131" t="n">
        <v>0</v>
      </c>
      <c r="DJ131" t="inlineStr">
        <is>
          <t>General</t>
        </is>
      </c>
      <c r="DL131" t="inlineStr">
        <is>
          <t>Acerola; Agarikon; Ajwain; Aloe Vera; American Ginseng</t>
        </is>
      </c>
      <c r="DM131" t="inlineStr">
        <is>
          <t>Pass 31 relationship intelligence: density, cluster, anchor class, nearest herbs</t>
        </is>
      </c>
      <c r="DP131" t="inlineStr">
        <is>
          <t>Generalist</t>
        </is>
      </c>
      <c r="DQ131" t="inlineStr">
        <is>
          <t>Pass 32 substitute engine + cluster cleanup</t>
        </is>
      </c>
      <c r="DT131" t="inlineStr">
        <is>
          <t>no strong safe fallback found</t>
        </is>
      </c>
      <c r="DU131" t="inlineStr">
        <is>
          <t>Optional</t>
        </is>
      </c>
      <c r="DV131" t="inlineStr">
        <is>
          <t>Pass 33 fallback replacement engine</t>
        </is>
      </c>
      <c r="DY131" t="inlineStr">
        <is>
          <t>Pass 35 expanded fallback pool with second-pass candidate exploration</t>
        </is>
      </c>
      <c r="EA131" t="inlineStr">
        <is>
          <t>General</t>
        </is>
      </c>
      <c r="EC131" t="inlineStr">
        <is>
          <t>Low</t>
        </is>
      </c>
      <c r="ED131" t="inlineStr">
        <is>
          <t>Pass 40 reinforced weak-category herb data</t>
        </is>
      </c>
      <c r="EG131" t="n">
        <v>0</v>
      </c>
      <c r="EH131" t="n">
        <v>0</v>
      </c>
      <c r="EI131" t="n">
        <v>0</v>
      </c>
      <c r="EJ131" t="n">
        <v>0</v>
      </c>
      <c r="EK131" t="n">
        <v>0</v>
      </c>
      <c r="EL131" t="n">
        <v>0</v>
      </c>
      <c r="EN131" t="inlineStr">
        <is>
          <t>Pass 48 rolled compound scores into herb-level scoring</t>
        </is>
      </c>
    </row>
    <row r="132">
      <c r="A132" s="68" t="inlineStr">
        <is>
          <t>Epimedium</t>
        </is>
      </c>
      <c r="B132" s="68" t="inlineStr">
        <is>
          <t>epimedium</t>
        </is>
      </c>
      <c r="C132" s="68" t="inlineStr">
        <is>
          <t>Epimedium sagittatum</t>
        </is>
      </c>
      <c r="D132" s="68" t="inlineStr">
        <is>
          <t>herb</t>
        </is>
      </c>
      <c r="E132" s="68" t="inlineStr">
        <is>
          <t>aerial parts</t>
        </is>
      </c>
      <c r="F132" s="68" t="inlineStr">
        <is>
          <t>leaf</t>
        </is>
      </c>
      <c r="G132" s="68" t="inlineStr">
        <is>
          <t>epimedium; horny goat weed</t>
        </is>
      </c>
      <c r="H132" s="68" t="inlineStr">
        <is>
          <t>China and East Asia</t>
        </is>
      </c>
      <c r="I132" s="68" t="inlineStr">
        <is>
          <t>Epimedium is positioned for libido and circulation support.</t>
        </is>
      </c>
      <c r="J132" s="68" t="inlineStr">
        <is>
          <t>It is best framed around icariin and broader flavonoid content with stimulant and cardiovascular caution.</t>
        </is>
      </c>
      <c r="K132" s="68" t="inlineStr">
        <is>
          <t>icariin; flavonoids</t>
        </is>
      </c>
      <c r="L132" s="68" t="inlineStr">
        <is>
          <t>icariin</t>
        </is>
      </c>
      <c r="M132" s="68" t="inlineStr">
        <is>
          <t>PDE-related and nitric-oxide-linked relevance is commonly proposed.</t>
        </is>
      </c>
      <c r="N132" s="68" t="inlineStr">
        <is>
          <t>libido support; circulation support</t>
        </is>
      </c>
      <c r="O132" s="68" t="inlineStr">
        <is>
          <t>traditional use + limited human</t>
        </is>
      </c>
      <c r="P132" s="68" t="inlineStr">
        <is>
          <t>Use caution with blood pressure instability and overstimulation.</t>
        </is>
      </c>
      <c r="Q132" s="68" t="inlineStr">
        <is>
          <t>May interact with antihypertensives, vasodilators, stimulants, and anticoagulants.</t>
        </is>
      </c>
      <c r="R132" s="68" t="n"/>
      <c r="S132" s="68" t="n"/>
      <c r="T132" s="68" t="n"/>
      <c r="U132" s="68" t="n"/>
      <c r="V132" s="68" t="n"/>
      <c r="W132" s="68" t="inlineStr">
        <is>
          <t>Low</t>
        </is>
      </c>
      <c r="X132" s="68" t="inlineStr">
        <is>
          <t>validated</t>
        </is>
      </c>
      <c r="Y132" s="68" t="n"/>
      <c r="Z132" s="68" t="inlineStr">
        <is>
          <t>dataset-linked</t>
        </is>
      </c>
      <c r="AA132" s="68" t="inlineStr">
        <is>
          <t>Internal workbook cross-link</t>
        </is>
      </c>
      <c r="AB132" s="68" t="n"/>
      <c r="AC132" s="68" t="n"/>
      <c r="AD132" s="68" t="n"/>
      <c r="AE132" s="68" t="n"/>
      <c r="AF132" s="68" t="n"/>
      <c r="AG132" s="68" t="n">
        <v>1</v>
      </c>
      <c r="AH132" s="68" t="n">
        <v>1</v>
      </c>
      <c r="AI132" s="68" t="n">
        <v>1</v>
      </c>
      <c r="AJ132" s="68" t="n">
        <v>3</v>
      </c>
      <c r="AK132" s="68" t="inlineStr">
        <is>
          <t>High</t>
        </is>
      </c>
      <c r="AL132" s="68" t="n"/>
      <c r="AM132" s="68" t="inlineStr">
        <is>
          <t>Internal linked</t>
        </is>
      </c>
      <c r="AN132" s="68" t="n">
        <v>0.9</v>
      </c>
      <c r="AO132" s="68" t="inlineStr">
        <is>
          <t>Needs work</t>
        </is>
      </c>
      <c r="AP132" s="68" t="n"/>
      <c r="AQ132" s="68" t="n"/>
      <c r="AR132" s="68" t="inlineStr">
        <is>
          <t>Source review</t>
        </is>
      </c>
      <c r="AS132" s="68" t="inlineStr">
        <is>
          <t>Not started</t>
        </is>
      </c>
      <c r="AT132" s="68" t="n"/>
      <c r="AU132" s="68" t="n"/>
      <c r="AV132" s="68" t="n"/>
      <c r="AW132" s="68" t="n"/>
      <c r="AX132" s="68" t="n"/>
      <c r="AY132" s="68" t="n"/>
      <c r="AZ132" s="68" t="n"/>
      <c r="BA132" s="68" t="n"/>
      <c r="BB132" s="68" t="n"/>
      <c r="BC132" s="68" t="n"/>
      <c r="BD132" s="68" t="n"/>
      <c r="BE132" s="68" t="inlineStr">
        <is>
          <t>2026-04-10</t>
        </is>
      </c>
      <c r="BF132" s="68" t="inlineStr">
        <is>
          <t>Metadata normalized from internal workbook links</t>
        </is>
      </c>
      <c r="BG132" s="68" t="inlineStr">
        <is>
          <t>epimedium|2026-04-10</t>
        </is>
      </c>
      <c r="BH132" s="68" t="inlineStr">
        <is>
          <t>2026-04-10:auto-normalized</t>
        </is>
      </c>
      <c r="BI132" t="inlineStr">
        <is>
          <t>epimedium</t>
        </is>
      </c>
      <c r="BJ132" t="inlineStr">
        <is>
          <t>Epimedium</t>
        </is>
      </c>
      <c r="BK132" t="n">
        <v>5</v>
      </c>
      <c r="BL132" t="n">
        <v>3</v>
      </c>
      <c r="BM132" t="n">
        <v>3</v>
      </c>
      <c r="BN132" t="n">
        <v>27</v>
      </c>
      <c r="BO132" t="n">
        <v>100</v>
      </c>
      <c r="BP132" t="n">
        <v>42</v>
      </c>
      <c r="BQ132" t="n">
        <v>30</v>
      </c>
      <c r="BR132" t="n">
        <v>38</v>
      </c>
      <c r="BS132" t="inlineStr">
        <is>
          <t>Tier 1</t>
        </is>
      </c>
      <c r="BT132" t="n">
        <v>27</v>
      </c>
      <c r="BU132" t="inlineStr">
        <is>
          <t>FALSE</t>
        </is>
      </c>
      <c r="BV132" t="inlineStr">
        <is>
          <t>epimedium</t>
        </is>
      </c>
      <c r="BW132" t="inlineStr">
        <is>
          <t>TRUE</t>
        </is>
      </c>
      <c r="BX132" t="inlineStr">
        <is>
          <t>Pass 10 refreshed scoring from 2 mapped compounds | Pass 13 rescored from 5 mapped compounds</t>
        </is>
      </c>
      <c r="BY132" t="inlineStr">
        <is>
          <t>nitric oxide signaling; unclassified; PDE5-related signaling</t>
        </is>
      </c>
      <c r="BZ132" t="inlineStr">
        <is>
          <t>nitric oxide signaling; PDE5-related signaling; nitric oxide pathway support</t>
        </is>
      </c>
      <c r="CA132" t="n">
        <v>15</v>
      </c>
      <c r="CB132" t="n">
        <v>0</v>
      </c>
      <c r="CC132" t="n">
        <v>0</v>
      </c>
      <c r="CD132" t="inlineStr">
        <is>
          <t>Flavonoid; icariin; nitric oxide signaling; unclassified; PDE5-related signaling</t>
        </is>
      </c>
      <c r="CE132" t="inlineStr">
        <is>
          <t>Pass 13 rescored after herb-name normalization and real top-herb compound sweep</t>
        </is>
      </c>
      <c r="CF132" t="inlineStr">
        <is>
          <t>General</t>
        </is>
      </c>
      <c r="CH132" s="68" t="inlineStr">
        <is>
          <t>Start low; usually daytime use</t>
        </is>
      </c>
      <c r="CI132" s="68" t="inlineStr">
        <is>
          <t>Keep conservative around surgery, anticoagulants, or antiplatelet use.</t>
        </is>
      </c>
      <c r="CJ132" s="68" t="inlineStr">
        <is>
          <t>bleeding-risk; blood-pressure</t>
        </is>
      </c>
      <c r="CK132" s="68" t="str"/>
      <c r="CL132" s="68" t="inlineStr">
        <is>
          <t>Moderate</t>
        </is>
      </c>
      <c r="CM132" s="68" t="inlineStr">
        <is>
          <t>No</t>
        </is>
      </c>
      <c r="CN132" s="68" t="str"/>
      <c r="CO132" s="68" t="inlineStr">
        <is>
          <t>Pass 21 herb-level safety and dose framing</t>
        </is>
      </c>
      <c r="CP132" t="inlineStr">
        <is>
          <t>Moderate</t>
        </is>
      </c>
      <c r="CQ132" t="inlineStr">
        <is>
          <t>No</t>
        </is>
      </c>
      <c r="CS132" t="inlineStr">
        <is>
          <t>Pass 22 refined safety rule severity and reduced broad keyword over-flagging</t>
        </is>
      </c>
      <c r="CT132" t="inlineStr">
        <is>
          <t>General</t>
        </is>
      </c>
      <c r="CU132" t="inlineStr">
        <is>
          <t>circulation support; libido support</t>
        </is>
      </c>
      <c r="CV132" t="inlineStr">
        <is>
          <t>Human</t>
        </is>
      </c>
      <c r="CW132" t="inlineStr">
        <is>
          <t>Pass 26 normalization: categories, mechanisms, evidence tiers</t>
        </is>
      </c>
      <c r="CX132" t="inlineStr">
        <is>
          <t>Limited human</t>
        </is>
      </c>
      <c r="CY132" t="inlineStr">
        <is>
          <t>Use caution with blood pressure instability and overstimulation.</t>
        </is>
      </c>
      <c r="CZ132" t="inlineStr">
        <is>
          <t>May interact with antihypertensives, vasodilators, stimulants, and anticoagulants</t>
        </is>
      </c>
      <c r="DB132" t="inlineStr">
        <is>
          <t>Pass 28 normalized evidence and safety-related free text</t>
        </is>
      </c>
      <c r="DD132" t="inlineStr">
        <is>
          <t>No standardized dose established; use conservative, product-dependent ranges.</t>
        </is>
      </c>
      <c r="DE132" t="inlineStr">
        <is>
          <t>Common forms include extracts, powders, or teas depending on herb part.</t>
        </is>
      </c>
      <c r="DF132" t="inlineStr">
        <is>
          <t>Quality varies by extraction method, standardization, and contamination risk.</t>
        </is>
      </c>
      <c r="DG132" t="inlineStr">
        <is>
          <t>Moderate to high</t>
        </is>
      </c>
      <c r="DH132" t="inlineStr">
        <is>
          <t>Pass 29 completeness repair</t>
        </is>
      </c>
      <c r="DI132" t="n">
        <v>50</v>
      </c>
      <c r="DJ132" t="inlineStr">
        <is>
          <t>Vascular</t>
        </is>
      </c>
      <c r="DK132" t="inlineStr">
        <is>
          <t>Flavonoid</t>
        </is>
      </c>
      <c r="DL132" t="inlineStr">
        <is>
          <t>Arjuna; Agarikon; Ajwain; Angelica Root; Artichoke</t>
        </is>
      </c>
      <c r="DM132" t="inlineStr">
        <is>
          <t>Pass 31 relationship intelligence: density, cluster, anchor class, nearest herbs</t>
        </is>
      </c>
      <c r="DP132" t="inlineStr">
        <is>
          <t>Circulation / Vascular</t>
        </is>
      </c>
      <c r="DQ132" t="inlineStr">
        <is>
          <t>Pass 32 substitute engine + cluster cleanup</t>
        </is>
      </c>
      <c r="DT132" t="inlineStr">
        <is>
          <t>no strong safe fallback found</t>
        </is>
      </c>
      <c r="DU132" t="inlineStr">
        <is>
          <t>Optional</t>
        </is>
      </c>
      <c r="DV132" t="inlineStr">
        <is>
          <t>Pass 33 fallback replacement engine</t>
        </is>
      </c>
      <c r="DY132" t="inlineStr">
        <is>
          <t>Pass 35 expanded fallback pool with second-pass candidate exploration</t>
        </is>
      </c>
      <c r="EA132" t="inlineStr">
        <is>
          <t>Circulation</t>
        </is>
      </c>
      <c r="EB132" t="inlineStr">
        <is>
          <t>nitric oxide signaling; unclassified; PDE5-related signaling</t>
        </is>
      </c>
      <c r="EC132" t="inlineStr">
        <is>
          <t>High</t>
        </is>
      </c>
      <c r="ED132" t="inlineStr">
        <is>
          <t>Pass 40 reinforced weak-category herb data</t>
        </is>
      </c>
      <c r="EE132" t="inlineStr">
        <is>
          <t>Pass 42 added real compounds for weak-category reinforcement</t>
        </is>
      </c>
      <c r="EF132" t="inlineStr">
        <is>
          <t>Pass 43 hardening</t>
        </is>
      </c>
      <c r="EG132" t="n">
        <v>19</v>
      </c>
      <c r="EH132" t="n">
        <v>3.17</v>
      </c>
      <c r="EI132" t="n">
        <v>0</v>
      </c>
      <c r="EJ132" t="n">
        <v>0</v>
      </c>
      <c r="EK132" t="n">
        <v>37</v>
      </c>
      <c r="EL132" t="n">
        <v>24</v>
      </c>
      <c r="EM132" t="inlineStr">
        <is>
          <t>Icariin; Epimedin A; Epimedin B; Epimedin C; Desmethylicaritin</t>
        </is>
      </c>
      <c r="EN132" t="inlineStr">
        <is>
          <t>Pass 48 rolled compound scores into herb-level scoring</t>
        </is>
      </c>
    </row>
    <row r="133">
      <c r="A133" s="68" t="inlineStr">
        <is>
          <t>Tongkat Ali</t>
        </is>
      </c>
      <c r="B133" s="68" t="inlineStr">
        <is>
          <t>tongkat-ali</t>
        </is>
      </c>
      <c r="C133" s="68" t="inlineStr">
        <is>
          <t>Eurycoma longifolia</t>
        </is>
      </c>
      <c r="D133" s="68" t="inlineStr">
        <is>
          <t>herb</t>
        </is>
      </c>
      <c r="E133" s="68" t="inlineStr">
        <is>
          <t>root</t>
        </is>
      </c>
      <c r="F133" s="68" t="inlineStr">
        <is>
          <t>root</t>
        </is>
      </c>
      <c r="G133" s="68" t="inlineStr">
        <is>
          <t>tongkat ali; longjack</t>
        </is>
      </c>
      <c r="H133" s="68" t="inlineStr">
        <is>
          <t>Southeast Asia</t>
        </is>
      </c>
      <c r="I133" s="68" t="inlineStr">
        <is>
          <t>Tongkat Ali is positioned for stress, drive, and male vitality support.</t>
        </is>
      </c>
      <c r="J133" s="68" t="inlineStr">
        <is>
          <t>It is best framed as a bitter root extract with endocrine and stimulation-related caution.</t>
        </is>
      </c>
      <c r="K133" s="68" t="inlineStr">
        <is>
          <t>eurycomanone; quassinoids</t>
        </is>
      </c>
      <c r="L133" s="68" t="inlineStr">
        <is>
          <t>eurycomanone</t>
        </is>
      </c>
      <c r="M133" s="68" t="inlineStr">
        <is>
          <t>Stress-axis and androgen-related positioning is commonly proposed.</t>
        </is>
      </c>
      <c r="N133" s="68" t="inlineStr">
        <is>
          <t>vitality support; stress support</t>
        </is>
      </c>
      <c r="O133" s="68" t="inlineStr">
        <is>
          <t>limited human + traditional use</t>
        </is>
      </c>
      <c r="P133" s="68" t="inlineStr">
        <is>
          <t>May be activating and is not ideal for anxiety-prone or sleep-fragile users.</t>
        </is>
      </c>
      <c r="Q133" s="68" t="inlineStr">
        <is>
          <t>Use caution with stimulants, glucose-lowering agents, and hormone-sensitive contexts.</t>
        </is>
      </c>
      <c r="R133" s="68" t="n"/>
      <c r="S133" s="68" t="n"/>
      <c r="T133" s="68" t="n"/>
      <c r="U133" s="68" t="n"/>
      <c r="V133" s="68" t="n"/>
      <c r="W133" s="68" t="inlineStr">
        <is>
          <t>Low</t>
        </is>
      </c>
      <c r="X133" s="68" t="inlineStr">
        <is>
          <t>validated</t>
        </is>
      </c>
      <c r="Y133" s="68" t="n"/>
      <c r="Z133" s="68" t="inlineStr">
        <is>
          <t>dataset-linked</t>
        </is>
      </c>
      <c r="AA133" s="68" t="inlineStr">
        <is>
          <t>Internal workbook cross-link</t>
        </is>
      </c>
      <c r="AB133" s="68" t="n"/>
      <c r="AC133" s="68" t="n"/>
      <c r="AD133" s="68" t="n"/>
      <c r="AE133" s="68" t="n"/>
      <c r="AF133" s="68" t="n"/>
      <c r="AG133" s="68" t="n">
        <v>1</v>
      </c>
      <c r="AH133" s="68" t="n">
        <v>1</v>
      </c>
      <c r="AI133" s="68" t="n">
        <v>1</v>
      </c>
      <c r="AJ133" s="68" t="n">
        <v>3</v>
      </c>
      <c r="AK133" s="68" t="inlineStr">
        <is>
          <t>High</t>
        </is>
      </c>
      <c r="AL133" s="68" t="n"/>
      <c r="AM133" s="68" t="inlineStr">
        <is>
          <t>Internal linked</t>
        </is>
      </c>
      <c r="AN133" s="68" t="n">
        <v>0.9</v>
      </c>
      <c r="AO133" s="68" t="inlineStr">
        <is>
          <t>Needs work</t>
        </is>
      </c>
      <c r="AP133" s="68" t="n"/>
      <c r="AQ133" s="68" t="n"/>
      <c r="AR133" s="68" t="inlineStr">
        <is>
          <t>Source review</t>
        </is>
      </c>
      <c r="AS133" s="68" t="inlineStr">
        <is>
          <t>Not started</t>
        </is>
      </c>
      <c r="AT133" s="68" t="n"/>
      <c r="AU133" s="68" t="n"/>
      <c r="AV133" s="68" t="n"/>
      <c r="AW133" s="68" t="n"/>
      <c r="AX133" s="68" t="n"/>
      <c r="AY133" s="68" t="n"/>
      <c r="AZ133" s="68" t="n"/>
      <c r="BA133" s="68" t="n"/>
      <c r="BB133" s="68" t="n"/>
      <c r="BC133" s="68" t="n"/>
      <c r="BD133" s="68" t="n"/>
      <c r="BE133" s="68" t="inlineStr">
        <is>
          <t>2026-04-10</t>
        </is>
      </c>
      <c r="BF133" s="68" t="inlineStr">
        <is>
          <t>Metadata normalized from internal workbook links</t>
        </is>
      </c>
      <c r="BG133" s="68" t="inlineStr">
        <is>
          <t>tongkat-ali|2026-04-10</t>
        </is>
      </c>
      <c r="BH133" s="68" t="inlineStr">
        <is>
          <t>2026-04-10:auto-normalized</t>
        </is>
      </c>
      <c r="BI133" t="inlineStr">
        <is>
          <t>tongkat-ali</t>
        </is>
      </c>
      <c r="BJ133" t="inlineStr">
        <is>
          <t>Tongkat Ali</t>
        </is>
      </c>
      <c r="BK133" t="n">
        <v>0</v>
      </c>
      <c r="BL133" t="n">
        <v>0</v>
      </c>
      <c r="BM133" t="n">
        <v>3</v>
      </c>
      <c r="BN133" t="n">
        <v>0</v>
      </c>
      <c r="BO133" t="n">
        <v>100</v>
      </c>
      <c r="BP133" t="n">
        <v>0</v>
      </c>
      <c r="BQ133" t="n">
        <v>0</v>
      </c>
      <c r="BR133" t="n">
        <v>0</v>
      </c>
      <c r="BS133" t="inlineStr">
        <is>
          <t>Tier 4</t>
        </is>
      </c>
      <c r="BT133" t="n">
        <v>0</v>
      </c>
      <c r="BU133" t="inlineStr">
        <is>
          <t>FALSE</t>
        </is>
      </c>
      <c r="BV133" t="inlineStr">
        <is>
          <t>tongkat-ali</t>
        </is>
      </c>
      <c r="BW133" t="inlineStr">
        <is>
          <t>FALSE</t>
        </is>
      </c>
      <c r="BX133" t="inlineStr">
        <is>
          <t>Pass 10 refreshed scoring from 0 mapped compounds | Pass 13 rescored from 0 mapped compounds</t>
        </is>
      </c>
      <c r="CA133" t="n">
        <v>0</v>
      </c>
      <c r="CB133" t="n">
        <v>0</v>
      </c>
      <c r="CC133" t="n">
        <v>0</v>
      </c>
      <c r="CE133" t="inlineStr">
        <is>
          <t>Pass 13 rescored after herb-name normalization and real top-herb compound sweep</t>
        </is>
      </c>
      <c r="CF133" t="inlineStr">
        <is>
          <t>General</t>
        </is>
      </c>
      <c r="CH133" s="68" t="inlineStr">
        <is>
          <t>Start low; usually evening or split use</t>
        </is>
      </c>
      <c r="CI133" s="68" t="inlineStr">
        <is>
          <t>Prefer evening or split dosing; avoid stacking with other sedative-heavy products by default.</t>
        </is>
      </c>
      <c r="CJ133" s="68" t="inlineStr">
        <is>
          <t>glucose-lowering; sedation-cns; thyroid-hormonal</t>
        </is>
      </c>
      <c r="CK133" s="68" t="str"/>
      <c r="CL133" s="68" t="inlineStr">
        <is>
          <t>Moderate</t>
        </is>
      </c>
      <c r="CM133" s="68" t="inlineStr">
        <is>
          <t>No</t>
        </is>
      </c>
      <c r="CN133" s="68" t="str"/>
      <c r="CO133" s="68" t="inlineStr">
        <is>
          <t>Pass 21 herb-level safety and dose framing</t>
        </is>
      </c>
      <c r="CP133" t="inlineStr">
        <is>
          <t>Moderate</t>
        </is>
      </c>
      <c r="CQ133" t="inlineStr">
        <is>
          <t>No</t>
        </is>
      </c>
      <c r="CS133" t="inlineStr">
        <is>
          <t>Pass 22 refined safety rule severity and reduced broad keyword over-flagging</t>
        </is>
      </c>
      <c r="CT133" t="inlineStr">
        <is>
          <t>General</t>
        </is>
      </c>
      <c r="CU133" t="inlineStr">
        <is>
          <t>stress support; vitality support</t>
        </is>
      </c>
      <c r="CV133" t="inlineStr">
        <is>
          <t>Human</t>
        </is>
      </c>
      <c r="CW133" t="inlineStr">
        <is>
          <t>Pass 26 normalization: categories, mechanisms, evidence tiers</t>
        </is>
      </c>
      <c r="CX133" t="inlineStr">
        <is>
          <t>Limited human</t>
        </is>
      </c>
      <c r="CY133" t="inlineStr">
        <is>
          <t>May be activating and is not ideal for anxiety-prone or sleep-fragile users.</t>
        </is>
      </c>
      <c r="CZ133" t="inlineStr">
        <is>
          <t>Use caution with stimulants, glucose-lowering agents, and hormone-sensitive contexts</t>
        </is>
      </c>
      <c r="DB133" t="inlineStr">
        <is>
          <t>Pass 28 normalized evidence and safety-related free text</t>
        </is>
      </c>
      <c r="DD133" t="inlineStr">
        <is>
          <t>No standardized dose established; use conservative, product-dependent ranges.</t>
        </is>
      </c>
      <c r="DE133" t="inlineStr">
        <is>
          <t>Common forms include extracts, powders, or teas depending on herb part.</t>
        </is>
      </c>
      <c r="DF133" t="inlineStr">
        <is>
          <t>Quality varies by extraction method, standardization, and contamination risk.</t>
        </is>
      </c>
      <c r="DG133" t="inlineStr">
        <is>
          <t>Moderate to high</t>
        </is>
      </c>
      <c r="DH133" t="inlineStr">
        <is>
          <t>Pass 29 completeness repair</t>
        </is>
      </c>
      <c r="DI133" t="n">
        <v>0</v>
      </c>
      <c r="DJ133" t="inlineStr">
        <is>
          <t>General</t>
        </is>
      </c>
      <c r="DL133" t="inlineStr">
        <is>
          <t>Acerola; Agarikon; Ajwain; Aloe Vera; American Ginseng</t>
        </is>
      </c>
      <c r="DM133" t="inlineStr">
        <is>
          <t>Pass 31 relationship intelligence: density, cluster, anchor class, nearest herbs</t>
        </is>
      </c>
      <c r="DP133" t="inlineStr">
        <is>
          <t>Generalist</t>
        </is>
      </c>
      <c r="DQ133" t="inlineStr">
        <is>
          <t>Pass 32 substitute engine + cluster cleanup</t>
        </is>
      </c>
      <c r="DT133" t="inlineStr">
        <is>
          <t>no strong safe fallback found</t>
        </is>
      </c>
      <c r="DU133" t="inlineStr">
        <is>
          <t>Optional</t>
        </is>
      </c>
      <c r="DV133" t="inlineStr">
        <is>
          <t>Pass 33 fallback replacement engine</t>
        </is>
      </c>
      <c r="DY133" t="inlineStr">
        <is>
          <t>Pass 35 expanded fallback pool with second-pass candidate exploration</t>
        </is>
      </c>
      <c r="EA133" t="inlineStr">
        <is>
          <t>General</t>
        </is>
      </c>
      <c r="EC133" t="inlineStr">
        <is>
          <t>Low</t>
        </is>
      </c>
      <c r="ED133" t="inlineStr">
        <is>
          <t>Pass 40 reinforced weak-category herb data</t>
        </is>
      </c>
      <c r="EG133" t="n">
        <v>0</v>
      </c>
      <c r="EH133" t="n">
        <v>0</v>
      </c>
      <c r="EI133" t="n">
        <v>0</v>
      </c>
      <c r="EJ133" t="n">
        <v>0</v>
      </c>
      <c r="EK133" t="n">
        <v>0</v>
      </c>
      <c r="EL133" t="n">
        <v>0</v>
      </c>
      <c r="EN133" t="inlineStr">
        <is>
          <t>Pass 48 rolled compound scores into herb-level scoring</t>
        </is>
      </c>
    </row>
    <row r="134">
      <c r="A134" s="68" t="inlineStr">
        <is>
          <t>Shatavari</t>
        </is>
      </c>
      <c r="B134" s="68" t="inlineStr">
        <is>
          <t>shatavari</t>
        </is>
      </c>
      <c r="C134" s="68" t="inlineStr">
        <is>
          <t>Asparagus racemosus</t>
        </is>
      </c>
      <c r="D134" s="68" t="inlineStr">
        <is>
          <t>herb</t>
        </is>
      </c>
      <c r="E134" s="68" t="inlineStr">
        <is>
          <t>root</t>
        </is>
      </c>
      <c r="F134" s="68" t="inlineStr">
        <is>
          <t>root</t>
        </is>
      </c>
      <c r="G134" s="68" t="inlineStr">
        <is>
          <t>shatavari</t>
        </is>
      </c>
      <c r="H134" s="68" t="inlineStr">
        <is>
          <t>India and South Asia</t>
        </is>
      </c>
      <c r="I134" s="68" t="inlineStr">
        <is>
          <t>Shatavari is positioned for soothing, women’s-health, and adaptogenic support.</t>
        </is>
      </c>
      <c r="J134" s="68" t="inlineStr">
        <is>
          <t>It is best framed around steroidal saponins with hormonal-context caution.</t>
        </is>
      </c>
      <c r="K134" s="68" t="inlineStr">
        <is>
          <t>shatavarins; saponins</t>
        </is>
      </c>
      <c r="L134" s="68" t="inlineStr">
        <is>
          <t>shatavarin IV</t>
        </is>
      </c>
      <c r="M134" s="68" t="inlineStr">
        <is>
          <t>Demulcent and endocrine-modulating relevance is commonly proposed.</t>
        </is>
      </c>
      <c r="N134" s="68" t="inlineStr">
        <is>
          <t>women's-health support; soothing support</t>
        </is>
      </c>
      <c r="O134" s="68" t="inlineStr">
        <is>
          <t>traditional use + limited human</t>
        </is>
      </c>
      <c r="P134" s="68" t="inlineStr">
        <is>
          <t>Use caution in hormone-sensitive conditions.</t>
        </is>
      </c>
      <c r="Q134" s="68" t="inlineStr">
        <is>
          <t>May interact with diuretics, hormone-modulating therapies, and glucose-lowering agents.</t>
        </is>
      </c>
      <c r="R134" s="68" t="n"/>
      <c r="S134" s="68" t="n"/>
      <c r="T134" s="68" t="n"/>
      <c r="U134" s="68" t="n"/>
      <c r="V134" s="68" t="n"/>
      <c r="W134" s="68" t="inlineStr">
        <is>
          <t>Low</t>
        </is>
      </c>
      <c r="X134" s="68" t="inlineStr">
        <is>
          <t>validated</t>
        </is>
      </c>
      <c r="Y134" s="68" t="n"/>
      <c r="Z134" s="68" t="inlineStr">
        <is>
          <t>dataset-linked</t>
        </is>
      </c>
      <c r="AA134" s="68" t="inlineStr">
        <is>
          <t>Internal workbook cross-link</t>
        </is>
      </c>
      <c r="AB134" s="68" t="n"/>
      <c r="AC134" s="68" t="n"/>
      <c r="AD134" s="68" t="n"/>
      <c r="AE134" s="68" t="n"/>
      <c r="AF134" s="68" t="n"/>
      <c r="AG134" s="68" t="n">
        <v>1</v>
      </c>
      <c r="AH134" s="68" t="n">
        <v>1</v>
      </c>
      <c r="AI134" s="68" t="n">
        <v>1</v>
      </c>
      <c r="AJ134" s="68" t="n">
        <v>3</v>
      </c>
      <c r="AK134" s="68" t="inlineStr">
        <is>
          <t>High</t>
        </is>
      </c>
      <c r="AL134" s="68" t="n"/>
      <c r="AM134" s="68" t="inlineStr">
        <is>
          <t>Internal linked</t>
        </is>
      </c>
      <c r="AN134" s="68" t="n">
        <v>0.9</v>
      </c>
      <c r="AO134" s="68" t="inlineStr">
        <is>
          <t>Needs work</t>
        </is>
      </c>
      <c r="AP134" s="68" t="n"/>
      <c r="AQ134" s="68" t="n"/>
      <c r="AR134" s="68" t="inlineStr">
        <is>
          <t>Source review</t>
        </is>
      </c>
      <c r="AS134" s="68" t="inlineStr">
        <is>
          <t>Not started</t>
        </is>
      </c>
      <c r="AT134" s="68" t="n"/>
      <c r="AU134" s="68" t="n"/>
      <c r="AV134" s="68" t="n"/>
      <c r="AW134" s="68" t="n"/>
      <c r="AX134" s="68" t="n"/>
      <c r="AY134" s="68" t="n"/>
      <c r="AZ134" s="68" t="n"/>
      <c r="BA134" s="68" t="n"/>
      <c r="BB134" s="68" t="n"/>
      <c r="BC134" s="68" t="n"/>
      <c r="BD134" s="68" t="n"/>
      <c r="BE134" s="68" t="inlineStr">
        <is>
          <t>2026-04-10</t>
        </is>
      </c>
      <c r="BF134" s="68" t="inlineStr">
        <is>
          <t>Metadata normalized from internal workbook links</t>
        </is>
      </c>
      <c r="BG134" s="68" t="inlineStr">
        <is>
          <t>shatavari|2026-04-10</t>
        </is>
      </c>
      <c r="BH134" s="68" t="inlineStr">
        <is>
          <t>2026-04-10:auto-normalized</t>
        </is>
      </c>
      <c r="BI134" t="inlineStr">
        <is>
          <t>shatavari</t>
        </is>
      </c>
      <c r="BJ134" t="inlineStr">
        <is>
          <t>Shatavari</t>
        </is>
      </c>
      <c r="BK134" t="n">
        <v>0</v>
      </c>
      <c r="BL134" t="n">
        <v>0</v>
      </c>
      <c r="BM134" t="n">
        <v>3</v>
      </c>
      <c r="BN134" t="n">
        <v>0</v>
      </c>
      <c r="BO134" t="n">
        <v>100</v>
      </c>
      <c r="BP134" t="n">
        <v>0</v>
      </c>
      <c r="BQ134" t="n">
        <v>0</v>
      </c>
      <c r="BR134" t="n">
        <v>0</v>
      </c>
      <c r="BS134" t="inlineStr">
        <is>
          <t>Tier 4</t>
        </is>
      </c>
      <c r="BT134" t="n">
        <v>0</v>
      </c>
      <c r="BU134" t="inlineStr">
        <is>
          <t>FALSE</t>
        </is>
      </c>
      <c r="BV134" t="inlineStr">
        <is>
          <t>shatavari</t>
        </is>
      </c>
      <c r="BW134" t="inlineStr">
        <is>
          <t>FALSE</t>
        </is>
      </c>
      <c r="BX134" t="inlineStr">
        <is>
          <t>Pass 10 refreshed scoring from 0 mapped compounds | Pass 13 rescored from 0 mapped compounds</t>
        </is>
      </c>
      <c r="CA134" t="n">
        <v>0</v>
      </c>
      <c r="CB134" t="n">
        <v>0</v>
      </c>
      <c r="CC134" t="n">
        <v>0</v>
      </c>
      <c r="CE134" t="inlineStr">
        <is>
          <t>Pass 13 rescored after herb-name normalization and real top-herb compound sweep</t>
        </is>
      </c>
      <c r="CF134" t="inlineStr">
        <is>
          <t>General</t>
        </is>
      </c>
      <c r="CH134" s="68" t="inlineStr">
        <is>
          <t>Start with low single-herb exposure and increase only if tolerated</t>
        </is>
      </c>
      <c r="CI134" s="68" t="inlineStr">
        <is>
          <t>Product-ideation framing only; not clinical dosing advice.</t>
        </is>
      </c>
      <c r="CJ134" s="68" t="inlineStr">
        <is>
          <t>glucose-lowering; thyroid-hormonal</t>
        </is>
      </c>
      <c r="CK134" s="68" t="str"/>
      <c r="CL134" s="68" t="inlineStr">
        <is>
          <t>Moderate</t>
        </is>
      </c>
      <c r="CM134" s="68" t="inlineStr">
        <is>
          <t>No</t>
        </is>
      </c>
      <c r="CN134" s="68" t="str"/>
      <c r="CO134" s="68" t="inlineStr">
        <is>
          <t>Pass 21 herb-level safety and dose framing</t>
        </is>
      </c>
      <c r="CP134" t="inlineStr">
        <is>
          <t>Moderate</t>
        </is>
      </c>
      <c r="CQ134" t="inlineStr">
        <is>
          <t>No</t>
        </is>
      </c>
      <c r="CS134" t="inlineStr">
        <is>
          <t>Pass 22 refined safety rule severity and reduced broad keyword over-flagging</t>
        </is>
      </c>
      <c r="CT134" t="inlineStr">
        <is>
          <t>General</t>
        </is>
      </c>
      <c r="CU134" t="inlineStr">
        <is>
          <t>soothing support; women's-health support</t>
        </is>
      </c>
      <c r="CV134" t="inlineStr">
        <is>
          <t>Human</t>
        </is>
      </c>
      <c r="CW134" t="inlineStr">
        <is>
          <t>Pass 26 normalization: categories, mechanisms, evidence tiers</t>
        </is>
      </c>
      <c r="CX134" t="inlineStr">
        <is>
          <t>Limited human</t>
        </is>
      </c>
      <c r="CY134" t="inlineStr">
        <is>
          <t>Use caution in hormone-sensitive conditions.</t>
        </is>
      </c>
      <c r="CZ134" t="inlineStr">
        <is>
          <t>May interact with diuretics, hormone-modulating therapies, and glucose-lowering agents</t>
        </is>
      </c>
      <c r="DB134" t="inlineStr">
        <is>
          <t>Pass 28 normalized evidence and safety-related free text</t>
        </is>
      </c>
      <c r="DD134" t="inlineStr">
        <is>
          <t>No standardized dose established; use conservative, product-dependent ranges.</t>
        </is>
      </c>
      <c r="DE134" t="inlineStr">
        <is>
          <t>Common forms include extracts, powders, or teas depending on herb part.</t>
        </is>
      </c>
      <c r="DF134" t="inlineStr">
        <is>
          <t>Quality varies by extraction method, standardization, and contamination risk.</t>
        </is>
      </c>
      <c r="DG134" t="inlineStr">
        <is>
          <t>Moderate to high</t>
        </is>
      </c>
      <c r="DH134" t="inlineStr">
        <is>
          <t>Pass 29 completeness repair</t>
        </is>
      </c>
      <c r="DI134" t="n">
        <v>0</v>
      </c>
      <c r="DJ134" t="inlineStr">
        <is>
          <t>General</t>
        </is>
      </c>
      <c r="DL134" t="inlineStr">
        <is>
          <t>Acerola; Agarikon; Ajwain; Aloe Vera; American Ginseng</t>
        </is>
      </c>
      <c r="DM134" t="inlineStr">
        <is>
          <t>Pass 31 relationship intelligence: density, cluster, anchor class, nearest herbs</t>
        </is>
      </c>
      <c r="DP134" t="inlineStr">
        <is>
          <t>Generalist</t>
        </is>
      </c>
      <c r="DQ134" t="inlineStr">
        <is>
          <t>Pass 32 substitute engine + cluster cleanup</t>
        </is>
      </c>
      <c r="DT134" t="inlineStr">
        <is>
          <t>no strong safe fallback found</t>
        </is>
      </c>
      <c r="DU134" t="inlineStr">
        <is>
          <t>Optional</t>
        </is>
      </c>
      <c r="DV134" t="inlineStr">
        <is>
          <t>Pass 33 fallback replacement engine</t>
        </is>
      </c>
      <c r="DY134" t="inlineStr">
        <is>
          <t>Pass 35 expanded fallback pool with second-pass candidate exploration</t>
        </is>
      </c>
      <c r="EA134" t="inlineStr">
        <is>
          <t>General</t>
        </is>
      </c>
      <c r="EC134" t="inlineStr">
        <is>
          <t>Low</t>
        </is>
      </c>
      <c r="ED134" t="inlineStr">
        <is>
          <t>Pass 40 reinforced weak-category herb data</t>
        </is>
      </c>
      <c r="EG134" t="n">
        <v>0</v>
      </c>
      <c r="EH134" t="n">
        <v>0</v>
      </c>
      <c r="EI134" t="n">
        <v>0</v>
      </c>
      <c r="EJ134" t="n">
        <v>0</v>
      </c>
      <c r="EK134" t="n">
        <v>0</v>
      </c>
      <c r="EL134" t="n">
        <v>0</v>
      </c>
      <c r="EN134" t="inlineStr">
        <is>
          <t>Pass 48 rolled compound scores into herb-level scoring</t>
        </is>
      </c>
    </row>
    <row r="135">
      <c r="A135" s="68" t="inlineStr">
        <is>
          <t>Pueraria Mirifica</t>
        </is>
      </c>
      <c r="B135" s="68" t="inlineStr">
        <is>
          <t>pueraria-mirifica</t>
        </is>
      </c>
      <c r="C135" s="68" t="inlineStr">
        <is>
          <t>Pueraria mirifica</t>
        </is>
      </c>
      <c r="D135" s="68" t="inlineStr">
        <is>
          <t>herb</t>
        </is>
      </c>
      <c r="E135" s="68" t="inlineStr">
        <is>
          <t>root</t>
        </is>
      </c>
      <c r="F135" s="68" t="inlineStr">
        <is>
          <t>root</t>
        </is>
      </c>
      <c r="G135" s="68" t="inlineStr">
        <is>
          <t>pueraria mirifica</t>
        </is>
      </c>
      <c r="H135" s="68" t="inlineStr">
        <is>
          <t>Thailand and Southeast Asia</t>
        </is>
      </c>
      <c r="I135" s="68" t="inlineStr">
        <is>
          <t>Pueraria mirifica is positioned for phytoestrogen-focused support.</t>
        </is>
      </c>
      <c r="J135" s="68" t="inlineStr">
        <is>
          <t>It is best framed very cautiously due to potent estrogenic positioning.</t>
        </is>
      </c>
      <c r="K135" s="68" t="inlineStr">
        <is>
          <t>miroestrol; deoxymiroestrol</t>
        </is>
      </c>
      <c r="L135" s="68" t="inlineStr">
        <is>
          <t>miroestrol</t>
        </is>
      </c>
      <c r="M135" s="68" t="inlineStr">
        <is>
          <t>Strong phytoestrogen relevance is the central positioning feature.</t>
        </is>
      </c>
      <c r="N135" s="68" t="inlineStr">
        <is>
          <t>phytoestrogen support; women's-health support</t>
        </is>
      </c>
      <c r="O135" s="68" t="inlineStr">
        <is>
          <t>limited human + traditional use</t>
        </is>
      </c>
      <c r="P135" s="68" t="inlineStr">
        <is>
          <t>Use caution or avoid in hormone-sensitive conditions, pregnancy, and breastfeeding.</t>
        </is>
      </c>
      <c r="Q135" s="68" t="inlineStr">
        <is>
          <t>May interact with hormonal therapies, contraceptives, and endocrine-active drugs.</t>
        </is>
      </c>
      <c r="R135" s="68" t="n"/>
      <c r="S135" s="68" t="n"/>
      <c r="T135" s="68" t="n"/>
      <c r="U135" s="68" t="n"/>
      <c r="V135" s="68" t="n"/>
      <c r="W135" s="68" t="inlineStr">
        <is>
          <t>Medium</t>
        </is>
      </c>
      <c r="X135" s="68" t="inlineStr">
        <is>
          <t>validated</t>
        </is>
      </c>
      <c r="Y135" s="68" t="n"/>
      <c r="Z135" s="68" t="inlineStr">
        <is>
          <t>dataset-linked</t>
        </is>
      </c>
      <c r="AA135" s="68" t="inlineStr">
        <is>
          <t>Internal workbook cross-link</t>
        </is>
      </c>
      <c r="AB135" s="68" t="n"/>
      <c r="AC135" s="68" t="n"/>
      <c r="AD135" s="68" t="n"/>
      <c r="AE135" s="68" t="n"/>
      <c r="AF135" s="68" t="n"/>
      <c r="AG135" s="68" t="n">
        <v>2</v>
      </c>
      <c r="AH135" s="68" t="n">
        <v>2</v>
      </c>
      <c r="AI135" s="68" t="n">
        <v>2</v>
      </c>
      <c r="AJ135" s="68" t="n">
        <v>6</v>
      </c>
      <c r="AK135" s="68" t="inlineStr">
        <is>
          <t>Medium</t>
        </is>
      </c>
      <c r="AL135" s="68" t="n"/>
      <c r="AM135" s="68" t="inlineStr">
        <is>
          <t>Internal linked</t>
        </is>
      </c>
      <c r="AN135" s="68" t="n">
        <v>0.9</v>
      </c>
      <c r="AO135" s="68" t="inlineStr">
        <is>
          <t>Near ready</t>
        </is>
      </c>
      <c r="AP135" s="68" t="n"/>
      <c r="AQ135" s="68" t="n"/>
      <c r="AR135" s="68" t="inlineStr">
        <is>
          <t>Editorial polish</t>
        </is>
      </c>
      <c r="AS135" s="68" t="inlineStr">
        <is>
          <t>Not started</t>
        </is>
      </c>
      <c r="AT135" s="68" t="n"/>
      <c r="AU135" s="68" t="n"/>
      <c r="AV135" s="68" t="n"/>
      <c r="AW135" s="68" t="n"/>
      <c r="AX135" s="68" t="n"/>
      <c r="AY135" s="68" t="n"/>
      <c r="AZ135" s="68" t="n"/>
      <c r="BA135" s="68" t="n"/>
      <c r="BB135" s="68" t="n"/>
      <c r="BC135" s="68" t="n"/>
      <c r="BD135" s="68" t="n"/>
      <c r="BE135" s="68" t="inlineStr">
        <is>
          <t>2026-04-10</t>
        </is>
      </c>
      <c r="BF135" s="68" t="inlineStr">
        <is>
          <t>Metadata normalized from internal workbook links</t>
        </is>
      </c>
      <c r="BG135" s="68" t="inlineStr">
        <is>
          <t>pueraria-mirifica|2026-04-10</t>
        </is>
      </c>
      <c r="BH135" s="68" t="inlineStr">
        <is>
          <t>2026-04-10:auto-normalized</t>
        </is>
      </c>
      <c r="BI135" t="inlineStr">
        <is>
          <t>pueraria-mirifica</t>
        </is>
      </c>
      <c r="BJ135" t="inlineStr">
        <is>
          <t>Pueraria Mirifica</t>
        </is>
      </c>
      <c r="BK135" t="n">
        <v>0</v>
      </c>
      <c r="BL135" t="n">
        <v>0</v>
      </c>
      <c r="BM135" t="n">
        <v>3</v>
      </c>
      <c r="BN135" t="n">
        <v>0</v>
      </c>
      <c r="BO135" t="n">
        <v>100</v>
      </c>
      <c r="BP135" t="n">
        <v>0</v>
      </c>
      <c r="BQ135" t="n">
        <v>0</v>
      </c>
      <c r="BR135" t="n">
        <v>0</v>
      </c>
      <c r="BS135" t="inlineStr">
        <is>
          <t>Tier 4</t>
        </is>
      </c>
      <c r="BT135" t="n">
        <v>0</v>
      </c>
      <c r="BU135" t="inlineStr">
        <is>
          <t>FALSE</t>
        </is>
      </c>
      <c r="BV135" t="inlineStr">
        <is>
          <t>pueraria-mirifica</t>
        </is>
      </c>
      <c r="BW135" t="inlineStr">
        <is>
          <t>FALSE</t>
        </is>
      </c>
      <c r="BX135" t="inlineStr">
        <is>
          <t>Pass 10 refreshed scoring from 0 mapped compounds | Pass 13 rescored from 0 mapped compounds</t>
        </is>
      </c>
      <c r="CA135" t="n">
        <v>0</v>
      </c>
      <c r="CB135" t="n">
        <v>0</v>
      </c>
      <c r="CC135" t="n">
        <v>0</v>
      </c>
      <c r="CE135" t="inlineStr">
        <is>
          <t>Pass 13 rescored after herb-name normalization and real top-herb compound sweep</t>
        </is>
      </c>
      <c r="CF135" t="inlineStr">
        <is>
          <t>General</t>
        </is>
      </c>
      <c r="CH135" s="68" t="inlineStr">
        <is>
          <t>Start with low single-herb exposure and increase only if tolerated</t>
        </is>
      </c>
      <c r="CI135" s="68" t="inlineStr">
        <is>
          <t>Product-ideation framing only; not clinical dosing advice.</t>
        </is>
      </c>
      <c r="CJ135" s="68" t="inlineStr">
        <is>
          <t>lactation; pregnancy; thyroid-hormonal</t>
        </is>
      </c>
      <c r="CK135" s="68" t="inlineStr">
        <is>
          <t>breastfeeding; pregnancy</t>
        </is>
      </c>
      <c r="CL135" s="68" t="inlineStr">
        <is>
          <t>Moderate</t>
        </is>
      </c>
      <c r="CM135" s="68" t="inlineStr">
        <is>
          <t>No</t>
        </is>
      </c>
      <c r="CN135" s="68" t="str"/>
      <c r="CO135" s="68" t="inlineStr">
        <is>
          <t>Pass 21 herb-level safety and dose framing</t>
        </is>
      </c>
      <c r="CP135" t="inlineStr">
        <is>
          <t>Moderate</t>
        </is>
      </c>
      <c r="CQ135" t="inlineStr">
        <is>
          <t>No</t>
        </is>
      </c>
      <c r="CS135" t="inlineStr">
        <is>
          <t>Pass 22 refined safety rule severity and reduced broad keyword over-flagging</t>
        </is>
      </c>
      <c r="CT135" t="inlineStr">
        <is>
          <t>General</t>
        </is>
      </c>
      <c r="CU135" t="inlineStr">
        <is>
          <t>phytoestrogen support; women's-health support</t>
        </is>
      </c>
      <c r="CV135" t="inlineStr">
        <is>
          <t>Human</t>
        </is>
      </c>
      <c r="CW135" t="inlineStr">
        <is>
          <t>Pass 26 normalization: categories, mechanisms, evidence tiers</t>
        </is>
      </c>
      <c r="CX135" t="inlineStr">
        <is>
          <t>Limited human</t>
        </is>
      </c>
      <c r="CY135" t="inlineStr">
        <is>
          <t>Use caution or avoid in hormone-sensitive conditions, pregnancy, and breastfeeding.</t>
        </is>
      </c>
      <c r="CZ135" t="inlineStr">
        <is>
          <t>May interact with hormonal therapies, contraceptives, and endocrine-active drugs</t>
        </is>
      </c>
      <c r="DB135" t="inlineStr">
        <is>
          <t>Pass 28 normalized evidence and safety-related free text</t>
        </is>
      </c>
      <c r="DD135" t="inlineStr">
        <is>
          <t>No standardized dose established; use conservative, product-dependent ranges.</t>
        </is>
      </c>
      <c r="DE135" t="inlineStr">
        <is>
          <t>Common forms include extracts, powders, or teas depending on herb part.</t>
        </is>
      </c>
      <c r="DF135" t="inlineStr">
        <is>
          <t>Quality varies by extraction method, standardization, and contamination risk.</t>
        </is>
      </c>
      <c r="DG135" t="inlineStr">
        <is>
          <t>Moderate to high</t>
        </is>
      </c>
      <c r="DH135" t="inlineStr">
        <is>
          <t>Pass 29 completeness repair</t>
        </is>
      </c>
      <c r="DI135" t="n">
        <v>0</v>
      </c>
      <c r="DJ135" t="inlineStr">
        <is>
          <t>General</t>
        </is>
      </c>
      <c r="DL135" t="inlineStr">
        <is>
          <t>Acerola; Agarikon; Ajwain; Aloe Vera; American Ginseng</t>
        </is>
      </c>
      <c r="DM135" t="inlineStr">
        <is>
          <t>Pass 31 relationship intelligence: density, cluster, anchor class, nearest herbs</t>
        </is>
      </c>
      <c r="DP135" t="inlineStr">
        <is>
          <t>Generalist</t>
        </is>
      </c>
      <c r="DQ135" t="inlineStr">
        <is>
          <t>Pass 32 substitute engine + cluster cleanup</t>
        </is>
      </c>
      <c r="DT135" t="inlineStr">
        <is>
          <t>no strong safe fallback found</t>
        </is>
      </c>
      <c r="DU135" t="inlineStr">
        <is>
          <t>Optional</t>
        </is>
      </c>
      <c r="DV135" t="inlineStr">
        <is>
          <t>Pass 33 fallback replacement engine</t>
        </is>
      </c>
      <c r="DY135" t="inlineStr">
        <is>
          <t>Pass 35 expanded fallback pool with second-pass candidate exploration</t>
        </is>
      </c>
      <c r="EA135" t="inlineStr">
        <is>
          <t>General</t>
        </is>
      </c>
      <c r="EC135" t="inlineStr">
        <is>
          <t>Medium</t>
        </is>
      </c>
      <c r="ED135" t="inlineStr">
        <is>
          <t>Pass 40 reinforced weak-category herb data</t>
        </is>
      </c>
      <c r="EG135" t="n">
        <v>0</v>
      </c>
      <c r="EH135" t="n">
        <v>0</v>
      </c>
      <c r="EI135" t="n">
        <v>0</v>
      </c>
      <c r="EJ135" t="n">
        <v>0</v>
      </c>
      <c r="EK135" t="n">
        <v>0</v>
      </c>
      <c r="EL135" t="n">
        <v>0</v>
      </c>
      <c r="EN135" t="inlineStr">
        <is>
          <t>Pass 48 rolled compound scores into herb-level scoring</t>
        </is>
      </c>
    </row>
    <row r="136">
      <c r="A136" s="68" t="inlineStr">
        <is>
          <t>Cacao</t>
        </is>
      </c>
      <c r="B136" s="68" t="inlineStr">
        <is>
          <t>cacao</t>
        </is>
      </c>
      <c r="C136" s="68" t="inlineStr">
        <is>
          <t>Theobroma cacao</t>
        </is>
      </c>
      <c r="D136" s="68" t="inlineStr">
        <is>
          <t>herb</t>
        </is>
      </c>
      <c r="E136" s="68" t="inlineStr">
        <is>
          <t>seed</t>
        </is>
      </c>
      <c r="F136" s="68" t="inlineStr">
        <is>
          <t>seed</t>
        </is>
      </c>
      <c r="G136" s="68" t="inlineStr">
        <is>
          <t>cacao; cocoa</t>
        </is>
      </c>
      <c r="H136" s="68" t="inlineStr">
        <is>
          <t>Tropical Americas; cultivated globally</t>
        </is>
      </c>
      <c r="I136" s="68" t="inlineStr">
        <is>
          <t>Cacao is positioned for mood, circulation, and polyphenol support.</t>
        </is>
      </c>
      <c r="J136" s="68" t="inlineStr">
        <is>
          <t>It is best framed around flavanols and methylxanthines with stimulant awareness.</t>
        </is>
      </c>
      <c r="K136" s="68" t="inlineStr">
        <is>
          <t>theobromine; flavanols; catechins</t>
        </is>
      </c>
      <c r="L136" s="68" t="inlineStr">
        <is>
          <t>theobromine</t>
        </is>
      </c>
      <c r="M136" s="68" t="inlineStr">
        <is>
          <t>Polyphenol and methylxanthine relevance supports vascular and mood positioning.</t>
        </is>
      </c>
      <c r="N136" s="68" t="inlineStr">
        <is>
          <t>mood support; circulation support</t>
        </is>
      </c>
      <c r="O136" s="68" t="inlineStr">
        <is>
          <t>food use + limited human</t>
        </is>
      </c>
      <c r="P136" s="68" t="inlineStr">
        <is>
          <t>Use caution in stimulant-sensitive users and with migraine triggers.</t>
        </is>
      </c>
      <c r="Q136" s="68" t="inlineStr">
        <is>
          <t>May interact with stimulants and can add to caffeine-like effects.</t>
        </is>
      </c>
      <c r="R136" s="68" t="n"/>
      <c r="S136" s="68" t="n"/>
      <c r="T136" s="68" t="n"/>
      <c r="U136" s="68" t="n"/>
      <c r="V136" s="68" t="n"/>
      <c r="W136" s="68" t="inlineStr">
        <is>
          <t>Low</t>
        </is>
      </c>
      <c r="X136" s="68" t="inlineStr">
        <is>
          <t>validated</t>
        </is>
      </c>
      <c r="Y136" s="68" t="n"/>
      <c r="Z136" s="68" t="inlineStr">
        <is>
          <t>dataset-linked</t>
        </is>
      </c>
      <c r="AA136" s="68" t="inlineStr">
        <is>
          <t>Internal workbook cross-link</t>
        </is>
      </c>
      <c r="AB136" s="68" t="n"/>
      <c r="AC136" s="68" t="n"/>
      <c r="AD136" s="68" t="n"/>
      <c r="AE136" s="68" t="n"/>
      <c r="AF136" s="68" t="n"/>
      <c r="AG136" s="68" t="n">
        <v>1</v>
      </c>
      <c r="AH136" s="68" t="n">
        <v>1</v>
      </c>
      <c r="AI136" s="68" t="n">
        <v>1</v>
      </c>
      <c r="AJ136" s="68" t="n">
        <v>3</v>
      </c>
      <c r="AK136" s="68" t="inlineStr">
        <is>
          <t>High</t>
        </is>
      </c>
      <c r="AL136" s="68" t="n"/>
      <c r="AM136" s="68" t="inlineStr">
        <is>
          <t>Internal linked</t>
        </is>
      </c>
      <c r="AN136" s="68" t="n">
        <v>0.9</v>
      </c>
      <c r="AO136" s="68" t="inlineStr">
        <is>
          <t>Needs work</t>
        </is>
      </c>
      <c r="AP136" s="68" t="n"/>
      <c r="AQ136" s="68" t="n"/>
      <c r="AR136" s="68" t="inlineStr">
        <is>
          <t>Source review</t>
        </is>
      </c>
      <c r="AS136" s="68" t="inlineStr">
        <is>
          <t>Not started</t>
        </is>
      </c>
      <c r="AT136" s="68" t="n"/>
      <c r="AU136" s="68" t="n"/>
      <c r="AV136" s="68" t="n"/>
      <c r="AW136" s="68" t="n"/>
      <c r="AX136" s="68" t="n"/>
      <c r="AY136" s="68" t="n"/>
      <c r="AZ136" s="68" t="n"/>
      <c r="BA136" s="68" t="n"/>
      <c r="BB136" s="68" t="n"/>
      <c r="BC136" s="68" t="n"/>
      <c r="BD136" s="68" t="n"/>
      <c r="BE136" s="68" t="inlineStr">
        <is>
          <t>2026-04-10</t>
        </is>
      </c>
      <c r="BF136" s="68" t="inlineStr">
        <is>
          <t>Metadata normalized from internal workbook links</t>
        </is>
      </c>
      <c r="BG136" s="68" t="inlineStr">
        <is>
          <t>cacao|2026-04-10</t>
        </is>
      </c>
      <c r="BH136" s="68" t="inlineStr">
        <is>
          <t>2026-04-10:auto-normalized</t>
        </is>
      </c>
      <c r="BI136" t="inlineStr">
        <is>
          <t>cacao</t>
        </is>
      </c>
      <c r="BJ136" t="inlineStr">
        <is>
          <t>Cacao</t>
        </is>
      </c>
      <c r="BK136" t="n">
        <v>0</v>
      </c>
      <c r="BL136" t="n">
        <v>0</v>
      </c>
      <c r="BM136" t="n">
        <v>3</v>
      </c>
      <c r="BN136" t="n">
        <v>0</v>
      </c>
      <c r="BO136" t="n">
        <v>100</v>
      </c>
      <c r="BP136" t="n">
        <v>0</v>
      </c>
      <c r="BQ136" t="n">
        <v>0</v>
      </c>
      <c r="BR136" t="n">
        <v>0</v>
      </c>
      <c r="BS136" t="inlineStr">
        <is>
          <t>Tier 4</t>
        </is>
      </c>
      <c r="BT136" t="n">
        <v>0</v>
      </c>
      <c r="BU136" t="inlineStr">
        <is>
          <t>FALSE</t>
        </is>
      </c>
      <c r="BV136" t="inlineStr">
        <is>
          <t>cacao</t>
        </is>
      </c>
      <c r="BW136" t="inlineStr">
        <is>
          <t>FALSE</t>
        </is>
      </c>
      <c r="BX136" t="inlineStr">
        <is>
          <t>Pass 10 refreshed scoring from 0 mapped compounds | Pass 13 rescored from 0 mapped compounds</t>
        </is>
      </c>
      <c r="CA136" t="n">
        <v>0</v>
      </c>
      <c r="CB136" t="n">
        <v>0</v>
      </c>
      <c r="CC136" t="n">
        <v>0</v>
      </c>
      <c r="CE136" t="inlineStr">
        <is>
          <t>Pass 13 rescored after herb-name normalization and real top-herb compound sweep</t>
        </is>
      </c>
      <c r="CF136" t="inlineStr">
        <is>
          <t>General</t>
        </is>
      </c>
      <c r="CH136" s="68" t="inlineStr">
        <is>
          <t>Start with low single-herb exposure and increase only if tolerated</t>
        </is>
      </c>
      <c r="CI136" s="68" t="inlineStr">
        <is>
          <t>Product-ideation framing only; not clinical dosing advice.</t>
        </is>
      </c>
      <c r="CJ136" s="68" t="str"/>
      <c r="CK136" s="68" t="str"/>
      <c r="CL136" s="68" t="inlineStr">
        <is>
          <t>Moderate</t>
        </is>
      </c>
      <c r="CM136" s="68" t="inlineStr">
        <is>
          <t>No</t>
        </is>
      </c>
      <c r="CN136" s="68" t="str"/>
      <c r="CO136" s="68" t="inlineStr">
        <is>
          <t>Pass 21 herb-level safety and dose framing</t>
        </is>
      </c>
      <c r="CP136" t="inlineStr">
        <is>
          <t>Baseline</t>
        </is>
      </c>
      <c r="CQ136" t="inlineStr">
        <is>
          <t>No</t>
        </is>
      </c>
      <c r="CS136" t="inlineStr">
        <is>
          <t>Pass 22 refined safety rule severity and reduced broad keyword over-flagging</t>
        </is>
      </c>
      <c r="CT136" t="inlineStr">
        <is>
          <t>General</t>
        </is>
      </c>
      <c r="CU136" t="inlineStr">
        <is>
          <t>circulation support; mood support</t>
        </is>
      </c>
      <c r="CV136" t="inlineStr">
        <is>
          <t>Human</t>
        </is>
      </c>
      <c r="CW136" t="inlineStr">
        <is>
          <t>Pass 26 normalization: categories, mechanisms, evidence tiers</t>
        </is>
      </c>
      <c r="CX136" t="inlineStr">
        <is>
          <t>Limited human</t>
        </is>
      </c>
      <c r="CY136" t="inlineStr">
        <is>
          <t>Use caution in stimulant-sensitive users and with migraine triggers.</t>
        </is>
      </c>
      <c r="CZ136" t="inlineStr">
        <is>
          <t>May interact with stimulants and can add to caffeine-like effects</t>
        </is>
      </c>
      <c r="DB136" t="inlineStr">
        <is>
          <t>Pass 28 normalized evidence and safety-related free text</t>
        </is>
      </c>
      <c r="DD136" t="inlineStr">
        <is>
          <t>No standardized dose established; use conservative, product-dependent ranges.</t>
        </is>
      </c>
      <c r="DE136" t="inlineStr">
        <is>
          <t>Common forms include extracts, powders, or teas depending on herb part.</t>
        </is>
      </c>
      <c r="DF136" t="inlineStr">
        <is>
          <t>Quality varies by extraction method, standardization, and contamination risk.</t>
        </is>
      </c>
      <c r="DG136" t="inlineStr">
        <is>
          <t>Moderate to high</t>
        </is>
      </c>
      <c r="DH136" t="inlineStr">
        <is>
          <t>Pass 29 completeness repair</t>
        </is>
      </c>
      <c r="DI136" t="n">
        <v>0</v>
      </c>
      <c r="DJ136" t="inlineStr">
        <is>
          <t>General</t>
        </is>
      </c>
      <c r="DL136" t="inlineStr">
        <is>
          <t>Acerola; Agarikon; Ajwain; Aloe Vera; American Ginseng</t>
        </is>
      </c>
      <c r="DM136" t="inlineStr">
        <is>
          <t>Pass 31 relationship intelligence: density, cluster, anchor class, nearest herbs</t>
        </is>
      </c>
      <c r="DP136" t="inlineStr">
        <is>
          <t>Generalist</t>
        </is>
      </c>
      <c r="DQ136" t="inlineStr">
        <is>
          <t>Pass 32 substitute engine + cluster cleanup</t>
        </is>
      </c>
      <c r="DT136" t="inlineStr">
        <is>
          <t>no strong safe fallback found</t>
        </is>
      </c>
      <c r="DU136" t="inlineStr">
        <is>
          <t>Not needed</t>
        </is>
      </c>
      <c r="DV136" t="inlineStr">
        <is>
          <t>Pass 33 fallback replacement engine</t>
        </is>
      </c>
      <c r="DY136" t="inlineStr">
        <is>
          <t>Pass 35 expanded fallback pool with second-pass candidate exploration</t>
        </is>
      </c>
      <c r="EA136" t="inlineStr">
        <is>
          <t>General</t>
        </is>
      </c>
      <c r="EC136" t="inlineStr">
        <is>
          <t>Low</t>
        </is>
      </c>
      <c r="ED136" t="inlineStr">
        <is>
          <t>Pass 40 reinforced weak-category herb data</t>
        </is>
      </c>
      <c r="EG136" t="n">
        <v>0</v>
      </c>
      <c r="EH136" t="n">
        <v>0</v>
      </c>
      <c r="EI136" t="n">
        <v>0</v>
      </c>
      <c r="EJ136" t="n">
        <v>0</v>
      </c>
      <c r="EK136" t="n">
        <v>0</v>
      </c>
      <c r="EL136" t="n">
        <v>0</v>
      </c>
      <c r="EN136" t="inlineStr">
        <is>
          <t>Pass 48 rolled compound scores into herb-level scoring</t>
        </is>
      </c>
    </row>
    <row r="137">
      <c r="A137" s="68" t="inlineStr">
        <is>
          <t>Rooibos</t>
        </is>
      </c>
      <c r="B137" s="68" t="inlineStr">
        <is>
          <t>rooibos</t>
        </is>
      </c>
      <c r="C137" s="68" t="inlineStr">
        <is>
          <t>Aspalathus linearis</t>
        </is>
      </c>
      <c r="D137" s="68" t="inlineStr">
        <is>
          <t>herb</t>
        </is>
      </c>
      <c r="E137" s="68" t="inlineStr">
        <is>
          <t>leaf</t>
        </is>
      </c>
      <c r="F137" s="68" t="inlineStr">
        <is>
          <t>leaf</t>
        </is>
      </c>
      <c r="G137" s="68" t="inlineStr">
        <is>
          <t>rooibos; red bush</t>
        </is>
      </c>
      <c r="H137" s="68" t="inlineStr">
        <is>
          <t>South Africa</t>
        </is>
      </c>
      <c r="I137" s="68" t="inlineStr">
        <is>
          <t>Rooibos is positioned for gentle antioxidant and soothing support.</t>
        </is>
      </c>
      <c r="J137" s="68" t="inlineStr">
        <is>
          <t>It is best framed as a mild tea herb with low-intensity wellness positioning.</t>
        </is>
      </c>
      <c r="K137" s="68" t="inlineStr">
        <is>
          <t>aspalathin; nothofagin; flavonoids</t>
        </is>
      </c>
      <c r="L137" s="68" t="inlineStr">
        <is>
          <t>aspalathin</t>
        </is>
      </c>
      <c r="M137" s="68" t="inlineStr">
        <is>
          <t>Polyphenol-linked antioxidant relevance supports mild positioning.</t>
        </is>
      </c>
      <c r="N137" s="68" t="inlineStr">
        <is>
          <t>antioxidant support; soothing support</t>
        </is>
      </c>
      <c r="O137" s="68" t="inlineStr">
        <is>
          <t>traditional food use + limited human</t>
        </is>
      </c>
      <c r="P137" s="68" t="inlineStr">
        <is>
          <t>Generally well tolerated.</t>
        </is>
      </c>
      <c r="Q137" s="68" t="inlineStr">
        <is>
          <t>No major interaction pattern is firmly established; use routine caution in polypharmacy.</t>
        </is>
      </c>
      <c r="R137" s="68" t="n"/>
      <c r="S137" s="68" t="n"/>
      <c r="T137" s="68" t="n"/>
      <c r="U137" s="68" t="n"/>
      <c r="V137" s="68" t="n"/>
      <c r="W137" s="68" t="inlineStr">
        <is>
          <t>Low</t>
        </is>
      </c>
      <c r="X137" s="68" t="inlineStr">
        <is>
          <t>validated</t>
        </is>
      </c>
      <c r="Y137" s="68" t="n"/>
      <c r="Z137" s="68" t="inlineStr">
        <is>
          <t>dataset-linked</t>
        </is>
      </c>
      <c r="AA137" s="68" t="inlineStr">
        <is>
          <t>Internal workbook cross-link</t>
        </is>
      </c>
      <c r="AB137" s="68" t="n"/>
      <c r="AC137" s="68" t="n"/>
      <c r="AD137" s="68" t="n"/>
      <c r="AE137" s="68" t="n"/>
      <c r="AF137" s="68" t="n"/>
      <c r="AG137" s="68" t="n">
        <v>1</v>
      </c>
      <c r="AH137" s="68" t="n">
        <v>1</v>
      </c>
      <c r="AI137" s="68" t="n">
        <v>1</v>
      </c>
      <c r="AJ137" s="68" t="n">
        <v>3</v>
      </c>
      <c r="AK137" s="68" t="inlineStr">
        <is>
          <t>High</t>
        </is>
      </c>
      <c r="AL137" s="68" t="n"/>
      <c r="AM137" s="68" t="inlineStr">
        <is>
          <t>Internal linked</t>
        </is>
      </c>
      <c r="AN137" s="68" t="n">
        <v>0.9</v>
      </c>
      <c r="AO137" s="68" t="inlineStr">
        <is>
          <t>Needs work</t>
        </is>
      </c>
      <c r="AP137" s="68" t="n"/>
      <c r="AQ137" s="68" t="n"/>
      <c r="AR137" s="68" t="inlineStr">
        <is>
          <t>Source review</t>
        </is>
      </c>
      <c r="AS137" s="68" t="inlineStr">
        <is>
          <t>Not started</t>
        </is>
      </c>
      <c r="AT137" s="68" t="n"/>
      <c r="AU137" s="68" t="n"/>
      <c r="AV137" s="68" t="n"/>
      <c r="AW137" s="68" t="n"/>
      <c r="AX137" s="68" t="n"/>
      <c r="AY137" s="68" t="n"/>
      <c r="AZ137" s="68" t="n"/>
      <c r="BA137" s="68" t="n"/>
      <c r="BB137" s="68" t="n"/>
      <c r="BC137" s="68" t="n"/>
      <c r="BD137" s="68" t="n"/>
      <c r="BE137" s="68" t="inlineStr">
        <is>
          <t>2026-04-10</t>
        </is>
      </c>
      <c r="BF137" s="68" t="inlineStr">
        <is>
          <t>Metadata normalized from internal workbook links</t>
        </is>
      </c>
      <c r="BG137" s="68" t="inlineStr">
        <is>
          <t>rooibos|2026-04-10</t>
        </is>
      </c>
      <c r="BH137" s="68" t="inlineStr">
        <is>
          <t>2026-04-10:auto-normalized</t>
        </is>
      </c>
      <c r="BI137" t="inlineStr">
        <is>
          <t>rooibos</t>
        </is>
      </c>
      <c r="BJ137" t="inlineStr">
        <is>
          <t>Rooibos</t>
        </is>
      </c>
      <c r="BK137" t="n">
        <v>0</v>
      </c>
      <c r="BL137" t="n">
        <v>0</v>
      </c>
      <c r="BM137" t="n">
        <v>3</v>
      </c>
      <c r="BN137" t="n">
        <v>0</v>
      </c>
      <c r="BO137" t="n">
        <v>100</v>
      </c>
      <c r="BP137" t="n">
        <v>0</v>
      </c>
      <c r="BQ137" t="n">
        <v>0</v>
      </c>
      <c r="BR137" t="n">
        <v>0</v>
      </c>
      <c r="BS137" t="inlineStr">
        <is>
          <t>Tier 4</t>
        </is>
      </c>
      <c r="BT137" t="n">
        <v>0</v>
      </c>
      <c r="BU137" t="inlineStr">
        <is>
          <t>FALSE</t>
        </is>
      </c>
      <c r="BV137" t="inlineStr">
        <is>
          <t>rooibos</t>
        </is>
      </c>
      <c r="BW137" t="inlineStr">
        <is>
          <t>FALSE</t>
        </is>
      </c>
      <c r="BX137" t="inlineStr">
        <is>
          <t>Pass 10 refreshed scoring from 0 mapped compounds | Pass 13 rescored from 0 mapped compounds</t>
        </is>
      </c>
      <c r="CA137" t="n">
        <v>0</v>
      </c>
      <c r="CB137" t="n">
        <v>0</v>
      </c>
      <c r="CC137" t="n">
        <v>0</v>
      </c>
      <c r="CE137" t="inlineStr">
        <is>
          <t>Pass 13 rescored after herb-name normalization and real top-herb compound sweep</t>
        </is>
      </c>
      <c r="CF137" t="inlineStr">
        <is>
          <t>General</t>
        </is>
      </c>
      <c r="CH137" s="68" t="inlineStr">
        <is>
          <t>Start with low single-herb exposure and increase only if tolerated</t>
        </is>
      </c>
      <c r="CI137" s="68" t="inlineStr">
        <is>
          <t>Product-ideation framing only; not clinical dosing advice.</t>
        </is>
      </c>
      <c r="CJ137" s="68" t="str"/>
      <c r="CK137" s="68" t="str"/>
      <c r="CL137" s="68" t="inlineStr">
        <is>
          <t>Moderate</t>
        </is>
      </c>
      <c r="CM137" s="68" t="inlineStr">
        <is>
          <t>No</t>
        </is>
      </c>
      <c r="CN137" s="68" t="str"/>
      <c r="CO137" s="68" t="inlineStr">
        <is>
          <t>Pass 21 herb-level safety and dose framing</t>
        </is>
      </c>
      <c r="CP137" t="inlineStr">
        <is>
          <t>Baseline</t>
        </is>
      </c>
      <c r="CQ137" t="inlineStr">
        <is>
          <t>No</t>
        </is>
      </c>
      <c r="CS137" t="inlineStr">
        <is>
          <t>Pass 22 refined safety rule severity and reduced broad keyword over-flagging</t>
        </is>
      </c>
      <c r="CT137" t="inlineStr">
        <is>
          <t>General</t>
        </is>
      </c>
      <c r="CU137" t="inlineStr">
        <is>
          <t>antioxidant support; soothing support</t>
        </is>
      </c>
      <c r="CV137" t="inlineStr">
        <is>
          <t>Human</t>
        </is>
      </c>
      <c r="CW137" t="inlineStr">
        <is>
          <t>Pass 26 normalization: categories, mechanisms, evidence tiers</t>
        </is>
      </c>
      <c r="CX137" t="inlineStr">
        <is>
          <t>Limited human</t>
        </is>
      </c>
      <c r="CY137" t="inlineStr">
        <is>
          <t>Generally well tolerated.</t>
        </is>
      </c>
      <c r="CZ137" t="inlineStr">
        <is>
          <t>No major interaction pattern is firmly established; Use routine caution in polypharmacy</t>
        </is>
      </c>
      <c r="DB137" t="inlineStr">
        <is>
          <t>Pass 28 normalized evidence and safety-related free text</t>
        </is>
      </c>
      <c r="DD137" t="inlineStr">
        <is>
          <t>No standardized dose established; use conservative, product-dependent ranges.</t>
        </is>
      </c>
      <c r="DE137" t="inlineStr">
        <is>
          <t>Common forms include extracts, powders, or teas depending on herb part.</t>
        </is>
      </c>
      <c r="DF137" t="inlineStr">
        <is>
          <t>Quality varies by extraction method, standardization, and contamination risk.</t>
        </is>
      </c>
      <c r="DG137" t="inlineStr">
        <is>
          <t>Moderate to high</t>
        </is>
      </c>
      <c r="DH137" t="inlineStr">
        <is>
          <t>Pass 29 completeness repair</t>
        </is>
      </c>
      <c r="DI137" t="n">
        <v>0</v>
      </c>
      <c r="DJ137" t="inlineStr">
        <is>
          <t>General</t>
        </is>
      </c>
      <c r="DL137" t="inlineStr">
        <is>
          <t>Acerola; Agarikon; Ajwain; Aloe Vera; American Ginseng</t>
        </is>
      </c>
      <c r="DM137" t="inlineStr">
        <is>
          <t>Pass 31 relationship intelligence: density, cluster, anchor class, nearest herbs</t>
        </is>
      </c>
      <c r="DP137" t="inlineStr">
        <is>
          <t>Generalist</t>
        </is>
      </c>
      <c r="DQ137" t="inlineStr">
        <is>
          <t>Pass 32 substitute engine + cluster cleanup</t>
        </is>
      </c>
      <c r="DT137" t="inlineStr">
        <is>
          <t>no strong safe fallback found</t>
        </is>
      </c>
      <c r="DU137" t="inlineStr">
        <is>
          <t>Not needed</t>
        </is>
      </c>
      <c r="DV137" t="inlineStr">
        <is>
          <t>Pass 33 fallback replacement engine</t>
        </is>
      </c>
      <c r="DY137" t="inlineStr">
        <is>
          <t>Pass 35 expanded fallback pool with second-pass candidate exploration</t>
        </is>
      </c>
      <c r="EA137" t="inlineStr">
        <is>
          <t>General</t>
        </is>
      </c>
      <c r="EC137" t="inlineStr">
        <is>
          <t>Low</t>
        </is>
      </c>
      <c r="ED137" t="inlineStr">
        <is>
          <t>Pass 40 reinforced weak-category herb data</t>
        </is>
      </c>
      <c r="EG137" t="n">
        <v>0</v>
      </c>
      <c r="EH137" t="n">
        <v>0</v>
      </c>
      <c r="EI137" t="n">
        <v>0</v>
      </c>
      <c r="EJ137" t="n">
        <v>0</v>
      </c>
      <c r="EK137" t="n">
        <v>0</v>
      </c>
      <c r="EL137" t="n">
        <v>0</v>
      </c>
      <c r="EN137" t="inlineStr">
        <is>
          <t>Pass 48 rolled compound scores into herb-level scoring</t>
        </is>
      </c>
    </row>
    <row r="138">
      <c r="A138" s="68" t="inlineStr">
        <is>
          <t>Cat's Claw</t>
        </is>
      </c>
      <c r="B138" s="68" t="inlineStr">
        <is>
          <t>cats-claw</t>
        </is>
      </c>
      <c r="C138" s="68" t="inlineStr">
        <is>
          <t>Uncaria tomentosa</t>
        </is>
      </c>
      <c r="D138" s="68" t="inlineStr">
        <is>
          <t>herb</t>
        </is>
      </c>
      <c r="E138" s="68" t="inlineStr">
        <is>
          <t>bark</t>
        </is>
      </c>
      <c r="F138" s="68" t="inlineStr">
        <is>
          <t>bark; vine</t>
        </is>
      </c>
      <c r="G138" s="68" t="inlineStr">
        <is>
          <t>cat's claw; una de gato</t>
        </is>
      </c>
      <c r="H138" s="68" t="inlineStr">
        <is>
          <t>Amazon basin and South America</t>
        </is>
      </c>
      <c r="I138" s="68" t="inlineStr">
        <is>
          <t>Cat's Claw is positioned for immune and inflammatory support.</t>
        </is>
      </c>
      <c r="J138" s="68" t="inlineStr">
        <is>
          <t>It is best framed around oxindole alkaloids with autoimmune and transplant-related caution.</t>
        </is>
      </c>
      <c r="K138" s="68" t="inlineStr">
        <is>
          <t>oxindole alkaloids; quinovic acid glycosides</t>
        </is>
      </c>
      <c r="L138" s="68" t="inlineStr">
        <is>
          <t>mitraphylline</t>
        </is>
      </c>
      <c r="M138" s="68" t="inlineStr">
        <is>
          <t>Immune and inflammatory pathway relevance is commonly proposed.</t>
        </is>
      </c>
      <c r="N138" s="68" t="inlineStr">
        <is>
          <t>immune support; inflammatory support</t>
        </is>
      </c>
      <c r="O138" s="68" t="inlineStr">
        <is>
          <t>traditional use + limited human</t>
        </is>
      </c>
      <c r="P138" s="68" t="inlineStr">
        <is>
          <t>Use caution or avoid in autoimmune disease, transplant settings, pregnancy, and breastfeeding.</t>
        </is>
      </c>
      <c r="Q138" s="68" t="inlineStr">
        <is>
          <t>May interact with immunosuppressants, anticoagulants, and antihypertensive drugs.</t>
        </is>
      </c>
      <c r="R138" s="68" t="n"/>
      <c r="S138" s="68" t="n"/>
      <c r="T138" s="68" t="n"/>
      <c r="U138" s="68" t="n"/>
      <c r="V138" s="68" t="n"/>
      <c r="W138" s="68" t="inlineStr">
        <is>
          <t>Low</t>
        </is>
      </c>
      <c r="X138" s="68" t="inlineStr">
        <is>
          <t>validated</t>
        </is>
      </c>
      <c r="Y138" s="68" t="n"/>
      <c r="Z138" s="68" t="inlineStr">
        <is>
          <t>dataset-linked</t>
        </is>
      </c>
      <c r="AA138" s="68" t="inlineStr">
        <is>
          <t>Internal workbook cross-link</t>
        </is>
      </c>
      <c r="AB138" s="68" t="n"/>
      <c r="AC138" s="68" t="n"/>
      <c r="AD138" s="68" t="n"/>
      <c r="AE138" s="68" t="n"/>
      <c r="AF138" s="68" t="n"/>
      <c r="AG138" s="68" t="n">
        <v>1</v>
      </c>
      <c r="AH138" s="68" t="n">
        <v>1</v>
      </c>
      <c r="AI138" s="68" t="n">
        <v>1</v>
      </c>
      <c r="AJ138" s="68" t="n">
        <v>3</v>
      </c>
      <c r="AK138" s="68" t="inlineStr">
        <is>
          <t>High</t>
        </is>
      </c>
      <c r="AL138" s="68" t="n"/>
      <c r="AM138" s="68" t="inlineStr">
        <is>
          <t>Internal linked</t>
        </is>
      </c>
      <c r="AN138" s="68" t="n">
        <v>0.9</v>
      </c>
      <c r="AO138" s="68" t="inlineStr">
        <is>
          <t>Needs work</t>
        </is>
      </c>
      <c r="AP138" s="68" t="n"/>
      <c r="AQ138" s="68" t="n"/>
      <c r="AR138" s="68" t="inlineStr">
        <is>
          <t>Source review</t>
        </is>
      </c>
      <c r="AS138" s="68" t="inlineStr">
        <is>
          <t>Not started</t>
        </is>
      </c>
      <c r="AT138" s="68" t="n"/>
      <c r="AU138" s="68" t="n"/>
      <c r="AV138" s="68" t="n"/>
      <c r="AW138" s="68" t="n"/>
      <c r="AX138" s="68" t="n"/>
      <c r="AY138" s="68" t="n"/>
      <c r="AZ138" s="68" t="n"/>
      <c r="BA138" s="68" t="n"/>
      <c r="BB138" s="68" t="n"/>
      <c r="BC138" s="68" t="n"/>
      <c r="BD138" s="68" t="n"/>
      <c r="BE138" s="68" t="inlineStr">
        <is>
          <t>2026-04-10</t>
        </is>
      </c>
      <c r="BF138" s="68" t="inlineStr">
        <is>
          <t>Metadata normalized from internal workbook links</t>
        </is>
      </c>
      <c r="BG138" s="68" t="inlineStr">
        <is>
          <t>cats-claw|2026-04-10</t>
        </is>
      </c>
      <c r="BH138" s="68" t="inlineStr">
        <is>
          <t>2026-04-10:auto-normalized</t>
        </is>
      </c>
      <c r="BI138" t="inlineStr">
        <is>
          <t>cats-claw</t>
        </is>
      </c>
      <c r="BJ138" t="inlineStr">
        <is>
          <t>Cat's Claw</t>
        </is>
      </c>
      <c r="BK138" t="n">
        <v>0</v>
      </c>
      <c r="BL138" t="n">
        <v>0</v>
      </c>
      <c r="BM138" t="n">
        <v>3</v>
      </c>
      <c r="BN138" t="n">
        <v>0</v>
      </c>
      <c r="BO138" t="n">
        <v>100</v>
      </c>
      <c r="BP138" t="n">
        <v>0</v>
      </c>
      <c r="BQ138" t="n">
        <v>0</v>
      </c>
      <c r="BR138" t="n">
        <v>0</v>
      </c>
      <c r="BS138" t="inlineStr">
        <is>
          <t>Tier 4</t>
        </is>
      </c>
      <c r="BT138" t="n">
        <v>0</v>
      </c>
      <c r="BU138" t="inlineStr">
        <is>
          <t>FALSE</t>
        </is>
      </c>
      <c r="BV138" t="inlineStr">
        <is>
          <t>cats-claw</t>
        </is>
      </c>
      <c r="BW138" t="inlineStr">
        <is>
          <t>FALSE</t>
        </is>
      </c>
      <c r="BX138" t="inlineStr">
        <is>
          <t>Pass 10 refreshed scoring from 0 mapped compounds | Pass 13 rescored from 0 mapped compounds</t>
        </is>
      </c>
      <c r="CA138" t="n">
        <v>0</v>
      </c>
      <c r="CB138" t="n">
        <v>0</v>
      </c>
      <c r="CC138" t="n">
        <v>0</v>
      </c>
      <c r="CE138" t="inlineStr">
        <is>
          <t>Pass 13 rescored after herb-name normalization and real top-herb compound sweep</t>
        </is>
      </c>
      <c r="CF138" t="inlineStr">
        <is>
          <t>General</t>
        </is>
      </c>
      <c r="CH138" s="68" t="inlineStr">
        <is>
          <t>Start low; usually daytime use</t>
        </is>
      </c>
      <c r="CI138" s="68" t="inlineStr">
        <is>
          <t>Keep conservative around surgery, anticoagulants, or antiplatelet use.</t>
        </is>
      </c>
      <c r="CJ138" s="68" t="inlineStr">
        <is>
          <t>bleeding-risk; blood-pressure; immune-caution; lactation; pregnancy</t>
        </is>
      </c>
      <c r="CK138" s="68" t="inlineStr">
        <is>
          <t>breastfeeding; pregnancy</t>
        </is>
      </c>
      <c r="CL138" s="68" t="inlineStr">
        <is>
          <t>Moderate</t>
        </is>
      </c>
      <c r="CM138" s="68" t="inlineStr">
        <is>
          <t>No</t>
        </is>
      </c>
      <c r="CN138" s="68" t="str"/>
      <c r="CO138" s="68" t="inlineStr">
        <is>
          <t>Pass 21 herb-level safety and dose framing</t>
        </is>
      </c>
      <c r="CP138" t="inlineStr">
        <is>
          <t>Elevated</t>
        </is>
      </c>
      <c r="CQ138" t="inlineStr">
        <is>
          <t>Review</t>
        </is>
      </c>
      <c r="CR138" t="inlineStr">
        <is>
          <t>Needs manual safety review before default stack inclusion</t>
        </is>
      </c>
      <c r="CS138" t="inlineStr">
        <is>
          <t>Pass 22 refined safety rule severity and reduced broad keyword over-flagging</t>
        </is>
      </c>
      <c r="CT138" t="inlineStr">
        <is>
          <t>General</t>
        </is>
      </c>
      <c r="CU138" t="inlineStr">
        <is>
          <t>immune support; inflammatory support</t>
        </is>
      </c>
      <c r="CV138" t="inlineStr">
        <is>
          <t>Human</t>
        </is>
      </c>
      <c r="CW138" t="inlineStr">
        <is>
          <t>Pass 26 normalization: categories, mechanisms, evidence tiers</t>
        </is>
      </c>
      <c r="CX138" t="inlineStr">
        <is>
          <t>Limited human</t>
        </is>
      </c>
      <c r="CY138" t="inlineStr">
        <is>
          <t>Use caution or avoid in autoimmune disease, transplant settings, pregnancy, and breastfeeding.</t>
        </is>
      </c>
      <c r="CZ138" t="inlineStr">
        <is>
          <t>May interact with immunosuppressants, anticoagulants, and antihypertensive drugs</t>
        </is>
      </c>
      <c r="DB138" t="inlineStr">
        <is>
          <t>Pass 28 normalized evidence and safety-related free text</t>
        </is>
      </c>
      <c r="DD138" t="inlineStr">
        <is>
          <t>No standardized dose established; use conservative, product-dependent ranges.</t>
        </is>
      </c>
      <c r="DE138" t="inlineStr">
        <is>
          <t>Common forms include extracts, powders, or teas depending on herb part.</t>
        </is>
      </c>
      <c r="DF138" t="inlineStr">
        <is>
          <t>Quality varies by extraction method, standardization, and contamination risk.</t>
        </is>
      </c>
      <c r="DG138" t="inlineStr">
        <is>
          <t>Moderate to high</t>
        </is>
      </c>
      <c r="DH138" t="inlineStr">
        <is>
          <t>Pass 29 completeness repair</t>
        </is>
      </c>
      <c r="DI138" t="n">
        <v>0</v>
      </c>
      <c r="DJ138" t="inlineStr">
        <is>
          <t>General</t>
        </is>
      </c>
      <c r="DL138" t="inlineStr">
        <is>
          <t>Acerola; Agarikon; Ajwain; Aloe Vera; American Ginseng</t>
        </is>
      </c>
      <c r="DM138" t="inlineStr">
        <is>
          <t>Pass 31 relationship intelligence: density, cluster, anchor class, nearest herbs</t>
        </is>
      </c>
      <c r="DP138" t="inlineStr">
        <is>
          <t>Generalist</t>
        </is>
      </c>
      <c r="DQ138" t="inlineStr">
        <is>
          <t>Pass 32 substitute engine + cluster cleanup</t>
        </is>
      </c>
      <c r="DT138" t="inlineStr">
        <is>
          <t>no strong safe fallback found</t>
        </is>
      </c>
      <c r="DU138" t="inlineStr">
        <is>
          <t>Recommended</t>
        </is>
      </c>
      <c r="DV138" t="inlineStr">
        <is>
          <t>Pass 33 fallback replacement engine</t>
        </is>
      </c>
      <c r="DY138" t="inlineStr">
        <is>
          <t>Pass 35 expanded fallback pool with second-pass candidate exploration</t>
        </is>
      </c>
      <c r="EA138" t="inlineStr">
        <is>
          <t>General</t>
        </is>
      </c>
      <c r="EC138" t="inlineStr">
        <is>
          <t>Low</t>
        </is>
      </c>
      <c r="ED138" t="inlineStr">
        <is>
          <t>Pass 40 reinforced weak-category herb data</t>
        </is>
      </c>
      <c r="EG138" t="n">
        <v>0</v>
      </c>
      <c r="EH138" t="n">
        <v>0</v>
      </c>
      <c r="EI138" t="n">
        <v>0</v>
      </c>
      <c r="EJ138" t="n">
        <v>0</v>
      </c>
      <c r="EK138" t="n">
        <v>0</v>
      </c>
      <c r="EL138" t="n">
        <v>0</v>
      </c>
      <c r="EN138" t="inlineStr">
        <is>
          <t>Pass 48 rolled compound scores into herb-level scoring</t>
        </is>
      </c>
    </row>
    <row r="139">
      <c r="A139" s="68" t="inlineStr">
        <is>
          <t>Lavender</t>
        </is>
      </c>
      <c r="B139" s="68" t="inlineStr">
        <is>
          <t>lavender</t>
        </is>
      </c>
      <c r="C139" s="68" t="inlineStr">
        <is>
          <t>Lavandula angustifolia</t>
        </is>
      </c>
      <c r="D139" s="68" t="inlineStr">
        <is>
          <t>herb</t>
        </is>
      </c>
      <c r="E139" s="68" t="inlineStr">
        <is>
          <t>flower</t>
        </is>
      </c>
      <c r="F139" s="68" t="inlineStr">
        <is>
          <t>flower</t>
        </is>
      </c>
      <c r="G139" s="68" t="inlineStr">
        <is>
          <t>lavender</t>
        </is>
      </c>
      <c r="H139" s="68" t="inlineStr">
        <is>
          <t>Mediterranean and cultivated globally</t>
        </is>
      </c>
      <c r="I139" s="68" t="inlineStr">
        <is>
          <t>Lavender is positioned for calming and tension support.</t>
        </is>
      </c>
      <c r="J139" s="68" t="inlineStr">
        <is>
          <t>It is best framed around volatile oils with sedation-aware positioning.</t>
        </is>
      </c>
      <c r="K139" s="68" t="inlineStr">
        <is>
          <t>linalool; linalyl acetate</t>
        </is>
      </c>
      <c r="L139" s="68" t="inlineStr">
        <is>
          <t>linalool</t>
        </is>
      </c>
      <c r="M139" s="68" t="inlineStr">
        <is>
          <t>GABAergic and calming relevance is commonly proposed for aroma and oral extract use.</t>
        </is>
      </c>
      <c r="N139" s="68" t="inlineStr">
        <is>
          <t>calming support; tension support</t>
        </is>
      </c>
      <c r="O139" s="68" t="inlineStr">
        <is>
          <t>limited human + traditional use</t>
        </is>
      </c>
      <c r="P139" s="68" t="inlineStr">
        <is>
          <t>Can be sedating in some users.</t>
        </is>
      </c>
      <c r="Q139" s="68" t="inlineStr">
        <is>
          <t>May add to sedative effects from CNS depressants.</t>
        </is>
      </c>
      <c r="R139" s="68" t="n"/>
      <c r="S139" s="68" t="n"/>
      <c r="T139" s="68" t="n"/>
      <c r="U139" s="68" t="n"/>
      <c r="V139" s="68" t="n"/>
      <c r="W139" s="68" t="inlineStr">
        <is>
          <t>Medium</t>
        </is>
      </c>
      <c r="X139" s="68" t="inlineStr">
        <is>
          <t>validated</t>
        </is>
      </c>
      <c r="Y139" s="68" t="n"/>
      <c r="Z139" s="68" t="inlineStr">
        <is>
          <t>dataset-linked</t>
        </is>
      </c>
      <c r="AA139" s="68" t="inlineStr">
        <is>
          <t>Internal workbook cross-link</t>
        </is>
      </c>
      <c r="AB139" s="68" t="n"/>
      <c r="AC139" s="68" t="n"/>
      <c r="AD139" s="68" t="n"/>
      <c r="AE139" s="68" t="n"/>
      <c r="AF139" s="68" t="n"/>
      <c r="AG139" s="68" t="n">
        <v>2</v>
      </c>
      <c r="AH139" s="68" t="n">
        <v>2</v>
      </c>
      <c r="AI139" s="68" t="n">
        <v>2</v>
      </c>
      <c r="AJ139" s="68" t="n">
        <v>6</v>
      </c>
      <c r="AK139" s="68" t="inlineStr">
        <is>
          <t>Medium</t>
        </is>
      </c>
      <c r="AL139" s="68" t="n"/>
      <c r="AM139" s="68" t="inlineStr">
        <is>
          <t>Internal linked</t>
        </is>
      </c>
      <c r="AN139" s="68" t="n">
        <v>0.9</v>
      </c>
      <c r="AO139" s="68" t="inlineStr">
        <is>
          <t>Near ready</t>
        </is>
      </c>
      <c r="AP139" s="68" t="n"/>
      <c r="AQ139" s="68" t="n"/>
      <c r="AR139" s="68" t="inlineStr">
        <is>
          <t>Editorial polish</t>
        </is>
      </c>
      <c r="AS139" s="68" t="inlineStr">
        <is>
          <t>Not started</t>
        </is>
      </c>
      <c r="AT139" s="68" t="n"/>
      <c r="AU139" s="68" t="n"/>
      <c r="AV139" s="68" t="n"/>
      <c r="AW139" s="68" t="n"/>
      <c r="AX139" s="68" t="n"/>
      <c r="AY139" s="68" t="n"/>
      <c r="AZ139" s="68" t="n"/>
      <c r="BA139" s="68" t="n"/>
      <c r="BB139" s="68" t="n"/>
      <c r="BC139" s="68" t="n"/>
      <c r="BD139" s="68" t="n"/>
      <c r="BE139" s="68" t="inlineStr">
        <is>
          <t>2026-04-10</t>
        </is>
      </c>
      <c r="BF139" s="68" t="inlineStr">
        <is>
          <t>Metadata normalized from internal workbook links</t>
        </is>
      </c>
      <c r="BG139" s="68" t="inlineStr">
        <is>
          <t>lavender|2026-04-10</t>
        </is>
      </c>
      <c r="BH139" s="68" t="inlineStr">
        <is>
          <t>2026-04-10:auto-normalized</t>
        </is>
      </c>
      <c r="BI139" t="inlineStr">
        <is>
          <t>lavender</t>
        </is>
      </c>
      <c r="BJ139" t="inlineStr">
        <is>
          <t>Lavender</t>
        </is>
      </c>
      <c r="BK139" t="n">
        <v>0</v>
      </c>
      <c r="BL139" t="n">
        <v>0</v>
      </c>
      <c r="BM139" t="n">
        <v>3</v>
      </c>
      <c r="BN139" t="n">
        <v>0</v>
      </c>
      <c r="BO139" t="n">
        <v>100</v>
      </c>
      <c r="BP139" t="n">
        <v>0</v>
      </c>
      <c r="BQ139" t="n">
        <v>0</v>
      </c>
      <c r="BR139" t="n">
        <v>0</v>
      </c>
      <c r="BS139" t="inlineStr">
        <is>
          <t>Tier 4</t>
        </is>
      </c>
      <c r="BT139" t="n">
        <v>0</v>
      </c>
      <c r="BU139" t="inlineStr">
        <is>
          <t>FALSE</t>
        </is>
      </c>
      <c r="BV139" t="inlineStr">
        <is>
          <t>lavender</t>
        </is>
      </c>
      <c r="BW139" t="inlineStr">
        <is>
          <t>FALSE</t>
        </is>
      </c>
      <c r="BX139" t="inlineStr">
        <is>
          <t>Pass 10 refreshed scoring from 0 mapped compounds | Pass 13 rescored from 0 mapped compounds</t>
        </is>
      </c>
      <c r="CA139" t="n">
        <v>0</v>
      </c>
      <c r="CB139" t="n">
        <v>0</v>
      </c>
      <c r="CC139" t="n">
        <v>0</v>
      </c>
      <c r="CE139" t="inlineStr">
        <is>
          <t>Pass 13 rescored after herb-name normalization and real top-herb compound sweep</t>
        </is>
      </c>
      <c r="CF139" t="inlineStr">
        <is>
          <t>General</t>
        </is>
      </c>
      <c r="CH139" s="68" t="inlineStr">
        <is>
          <t>Start low; usually evening or split use</t>
        </is>
      </c>
      <c r="CI139" s="68" t="inlineStr">
        <is>
          <t>Prefer evening or split dosing; avoid stacking with other sedative-heavy products by default.</t>
        </is>
      </c>
      <c r="CJ139" s="68" t="inlineStr">
        <is>
          <t>sedation-cns</t>
        </is>
      </c>
      <c r="CK139" s="68" t="str"/>
      <c r="CL139" s="68" t="inlineStr">
        <is>
          <t>Moderate</t>
        </is>
      </c>
      <c r="CM139" s="68" t="inlineStr">
        <is>
          <t>No</t>
        </is>
      </c>
      <c r="CN139" s="68" t="str"/>
      <c r="CO139" s="68" t="inlineStr">
        <is>
          <t>Pass 21 herb-level safety and dose framing</t>
        </is>
      </c>
      <c r="CP139" t="inlineStr">
        <is>
          <t>Baseline</t>
        </is>
      </c>
      <c r="CQ139" t="inlineStr">
        <is>
          <t>No</t>
        </is>
      </c>
      <c r="CS139" t="inlineStr">
        <is>
          <t>Pass 22 refined safety rule severity and reduced broad keyword over-flagging</t>
        </is>
      </c>
      <c r="CT139" t="inlineStr">
        <is>
          <t>General</t>
        </is>
      </c>
      <c r="CU139" t="inlineStr">
        <is>
          <t>calming support; tension support</t>
        </is>
      </c>
      <c r="CV139" t="inlineStr">
        <is>
          <t>Human</t>
        </is>
      </c>
      <c r="CW139" t="inlineStr">
        <is>
          <t>Pass 26 normalization: categories, mechanisms, evidence tiers</t>
        </is>
      </c>
      <c r="CX139" t="inlineStr">
        <is>
          <t>Limited human</t>
        </is>
      </c>
      <c r="CY139" t="inlineStr">
        <is>
          <t>Can be sedating in some users.</t>
        </is>
      </c>
      <c r="CZ139" t="inlineStr">
        <is>
          <t>May add to sedative effects from CNS depressants</t>
        </is>
      </c>
      <c r="DB139" t="inlineStr">
        <is>
          <t>Pass 28 normalized evidence and safety-related free text</t>
        </is>
      </c>
      <c r="DD139" t="inlineStr">
        <is>
          <t>No standardized dose established; use conservative, product-dependent ranges.</t>
        </is>
      </c>
      <c r="DE139" t="inlineStr">
        <is>
          <t>Common forms include extracts, powders, or teas depending on herb part.</t>
        </is>
      </c>
      <c r="DF139" t="inlineStr">
        <is>
          <t>Quality varies by extraction method, standardization, and contamination risk.</t>
        </is>
      </c>
      <c r="DG139" t="inlineStr">
        <is>
          <t>Moderate to high</t>
        </is>
      </c>
      <c r="DH139" t="inlineStr">
        <is>
          <t>Pass 29 completeness repair</t>
        </is>
      </c>
      <c r="DI139" t="n">
        <v>0</v>
      </c>
      <c r="DJ139" t="inlineStr">
        <is>
          <t>General</t>
        </is>
      </c>
      <c r="DL139" t="inlineStr">
        <is>
          <t>Acerola; Agarikon; Ajwain; Aloe Vera; American Ginseng</t>
        </is>
      </c>
      <c r="DM139" t="inlineStr">
        <is>
          <t>Pass 31 relationship intelligence: density, cluster, anchor class, nearest herbs</t>
        </is>
      </c>
      <c r="DP139" t="inlineStr">
        <is>
          <t>Generalist</t>
        </is>
      </c>
      <c r="DQ139" t="inlineStr">
        <is>
          <t>Pass 32 substitute engine + cluster cleanup</t>
        </is>
      </c>
      <c r="DT139" t="inlineStr">
        <is>
          <t>no strong safe fallback found</t>
        </is>
      </c>
      <c r="DU139" t="inlineStr">
        <is>
          <t>Not needed</t>
        </is>
      </c>
      <c r="DV139" t="inlineStr">
        <is>
          <t>Pass 33 fallback replacement engine</t>
        </is>
      </c>
      <c r="DY139" t="inlineStr">
        <is>
          <t>Pass 35 expanded fallback pool with second-pass candidate exploration</t>
        </is>
      </c>
      <c r="EA139" t="inlineStr">
        <is>
          <t>General</t>
        </is>
      </c>
      <c r="EC139" t="inlineStr">
        <is>
          <t>Medium</t>
        </is>
      </c>
      <c r="ED139" t="inlineStr">
        <is>
          <t>Pass 40 reinforced weak-category herb data</t>
        </is>
      </c>
      <c r="EG139" t="n">
        <v>0</v>
      </c>
      <c r="EH139" t="n">
        <v>0</v>
      </c>
      <c r="EI139" t="n">
        <v>0</v>
      </c>
      <c r="EJ139" t="n">
        <v>0</v>
      </c>
      <c r="EK139" t="n">
        <v>0</v>
      </c>
      <c r="EL139" t="n">
        <v>0</v>
      </c>
      <c r="EN139" t="inlineStr">
        <is>
          <t>Pass 48 rolled compound scores into herb-level scoring</t>
        </is>
      </c>
    </row>
    <row r="140">
      <c r="A140" s="68" t="inlineStr">
        <is>
          <t>Berberis</t>
        </is>
      </c>
      <c r="B140" s="68" t="inlineStr">
        <is>
          <t>berberis</t>
        </is>
      </c>
      <c r="C140" s="68" t="inlineStr">
        <is>
          <t>Berberis vulgaris</t>
        </is>
      </c>
      <c r="D140" s="68" t="inlineStr">
        <is>
          <t>herb</t>
        </is>
      </c>
      <c r="E140" s="68" t="inlineStr">
        <is>
          <t>root; bark</t>
        </is>
      </c>
      <c r="F140" s="68" t="inlineStr">
        <is>
          <t>root bark</t>
        </is>
      </c>
      <c r="G140" s="68" t="inlineStr">
        <is>
          <t>barberry; berberis</t>
        </is>
      </c>
      <c r="H140" s="68" t="inlineStr">
        <is>
          <t>Europe, North Africa, West Asia</t>
        </is>
      </c>
      <c r="I140" s="68" t="inlineStr">
        <is>
          <t>Berberis is positioned for metabolic and antimicrobial support.</t>
        </is>
      </c>
      <c r="J140" s="68" t="inlineStr">
        <is>
          <t>It is best framed around berberine-bearing root bark with GI and medication-interaction caution.</t>
        </is>
      </c>
      <c r="K140" s="68" t="inlineStr">
        <is>
          <t>berberine; berbamine</t>
        </is>
      </c>
      <c r="L140" s="68" t="inlineStr">
        <is>
          <t>berberine</t>
        </is>
      </c>
      <c r="M140" s="68" t="inlineStr">
        <is>
          <t>AMPK and antimicrobial relevance are commonly cited positioning anchors.</t>
        </is>
      </c>
      <c r="N140" s="68" t="inlineStr">
        <is>
          <t>metabolic support; antimicrobial support</t>
        </is>
      </c>
      <c r="O140" s="68" t="inlineStr">
        <is>
          <t>limited human + traditional use</t>
        </is>
      </c>
      <c r="P140" s="68" t="inlineStr">
        <is>
          <t>Use caution in pregnancy, breastfeeding, and in those prone to GI upset.</t>
        </is>
      </c>
      <c r="Q140" s="68" t="inlineStr">
        <is>
          <t>May interact with cytochrome-metabolized drugs, glucose-lowering agents, and anticoagulants.</t>
        </is>
      </c>
      <c r="R140" s="68" t="n"/>
      <c r="S140" s="68" t="n"/>
      <c r="T140" s="68" t="n"/>
      <c r="U140" s="68" t="n"/>
      <c r="V140" s="68" t="n"/>
      <c r="W140" s="68" t="inlineStr">
        <is>
          <t>Low</t>
        </is>
      </c>
      <c r="X140" s="68" t="inlineStr">
        <is>
          <t>validated</t>
        </is>
      </c>
      <c r="Y140" s="68" t="n"/>
      <c r="Z140" s="68" t="inlineStr">
        <is>
          <t>dataset-linked</t>
        </is>
      </c>
      <c r="AA140" s="68" t="inlineStr">
        <is>
          <t>Internal workbook cross-link</t>
        </is>
      </c>
      <c r="AB140" s="68" t="n"/>
      <c r="AC140" s="68" t="n"/>
      <c r="AD140" s="68" t="n"/>
      <c r="AE140" s="68" t="n"/>
      <c r="AF140" s="68" t="n"/>
      <c r="AG140" s="68" t="n">
        <v>1</v>
      </c>
      <c r="AH140" s="68" t="n">
        <v>1</v>
      </c>
      <c r="AI140" s="68" t="n">
        <v>1</v>
      </c>
      <c r="AJ140" s="68" t="n">
        <v>3</v>
      </c>
      <c r="AK140" s="68" t="inlineStr">
        <is>
          <t>High</t>
        </is>
      </c>
      <c r="AL140" s="68" t="n"/>
      <c r="AM140" s="68" t="inlineStr">
        <is>
          <t>Internal linked</t>
        </is>
      </c>
      <c r="AN140" s="68" t="n">
        <v>0.9</v>
      </c>
      <c r="AO140" s="68" t="inlineStr">
        <is>
          <t>Needs work</t>
        </is>
      </c>
      <c r="AP140" s="68" t="n"/>
      <c r="AQ140" s="68" t="n"/>
      <c r="AR140" s="68" t="inlineStr">
        <is>
          <t>Source review</t>
        </is>
      </c>
      <c r="AS140" s="68" t="inlineStr">
        <is>
          <t>Not started</t>
        </is>
      </c>
      <c r="AT140" s="68" t="n"/>
      <c r="AU140" s="68" t="n"/>
      <c r="AV140" s="68" t="n"/>
      <c r="AW140" s="68" t="n"/>
      <c r="AX140" s="68" t="n"/>
      <c r="AY140" s="68" t="n"/>
      <c r="AZ140" s="68" t="n"/>
      <c r="BA140" s="68" t="n"/>
      <c r="BB140" s="68" t="n"/>
      <c r="BC140" s="68" t="n"/>
      <c r="BD140" s="68" t="n"/>
      <c r="BE140" s="68" t="inlineStr">
        <is>
          <t>2026-04-10</t>
        </is>
      </c>
      <c r="BF140" s="68" t="inlineStr">
        <is>
          <t>Metadata normalized from internal workbook links</t>
        </is>
      </c>
      <c r="BG140" s="68" t="inlineStr">
        <is>
          <t>berberis|2026-04-10</t>
        </is>
      </c>
      <c r="BH140" s="68" t="inlineStr">
        <is>
          <t>2026-04-10:auto-normalized</t>
        </is>
      </c>
      <c r="BI140" t="inlineStr">
        <is>
          <t>berberis</t>
        </is>
      </c>
      <c r="BJ140" t="inlineStr">
        <is>
          <t>Berberis</t>
        </is>
      </c>
      <c r="BK140" t="n">
        <v>0</v>
      </c>
      <c r="BL140" t="n">
        <v>0</v>
      </c>
      <c r="BM140" t="n">
        <v>3</v>
      </c>
      <c r="BN140" t="n">
        <v>0</v>
      </c>
      <c r="BO140" t="n">
        <v>100</v>
      </c>
      <c r="BP140" t="n">
        <v>0</v>
      </c>
      <c r="BQ140" t="n">
        <v>0</v>
      </c>
      <c r="BR140" t="n">
        <v>0</v>
      </c>
      <c r="BS140" t="inlineStr">
        <is>
          <t>Tier 4</t>
        </is>
      </c>
      <c r="BT140" t="n">
        <v>0</v>
      </c>
      <c r="BU140" t="inlineStr">
        <is>
          <t>FALSE</t>
        </is>
      </c>
      <c r="BV140" t="inlineStr">
        <is>
          <t>berberis</t>
        </is>
      </c>
      <c r="BW140" t="inlineStr">
        <is>
          <t>FALSE</t>
        </is>
      </c>
      <c r="BX140" t="inlineStr">
        <is>
          <t>Pass 10 refreshed scoring from 0 mapped compounds | Pass 13 rescored from 0 mapped compounds</t>
        </is>
      </c>
      <c r="CA140" t="n">
        <v>0</v>
      </c>
      <c r="CB140" t="n">
        <v>0</v>
      </c>
      <c r="CC140" t="n">
        <v>0</v>
      </c>
      <c r="CE140" t="inlineStr">
        <is>
          <t>Pass 13 rescored after herb-name normalization and real top-herb compound sweep</t>
        </is>
      </c>
      <c r="CF140" t="inlineStr">
        <is>
          <t>General</t>
        </is>
      </c>
      <c r="CH140" s="68" t="inlineStr">
        <is>
          <t>Start with low single-herb exposure and increase only if tolerated</t>
        </is>
      </c>
      <c r="CI140" s="68" t="inlineStr">
        <is>
          <t>Keep conservative around surgery, anticoagulants, or antiplatelet use.</t>
        </is>
      </c>
      <c r="CJ140" s="68" t="inlineStr">
        <is>
          <t>bleeding-risk; glucose-lowering; lactation; pregnancy</t>
        </is>
      </c>
      <c r="CK140" s="68" t="inlineStr">
        <is>
          <t>breastfeeding; pregnancy</t>
        </is>
      </c>
      <c r="CL140" s="68" t="inlineStr">
        <is>
          <t>Moderate</t>
        </is>
      </c>
      <c r="CM140" s="68" t="inlineStr">
        <is>
          <t>No</t>
        </is>
      </c>
      <c r="CN140" s="68" t="str"/>
      <c r="CO140" s="68" t="inlineStr">
        <is>
          <t>Pass 21 herb-level safety and dose framing</t>
        </is>
      </c>
      <c r="CP140" t="inlineStr">
        <is>
          <t>Moderate</t>
        </is>
      </c>
      <c r="CQ140" t="inlineStr">
        <is>
          <t>No</t>
        </is>
      </c>
      <c r="CS140" t="inlineStr">
        <is>
          <t>Pass 22 refined safety rule severity and reduced broad keyword over-flagging</t>
        </is>
      </c>
      <c r="CT140" t="inlineStr">
        <is>
          <t>Metabolic Support</t>
        </is>
      </c>
      <c r="CU140" t="inlineStr">
        <is>
          <t>antimicrobial support; metabolic support</t>
        </is>
      </c>
      <c r="CV140" t="inlineStr">
        <is>
          <t>Human</t>
        </is>
      </c>
      <c r="CW140" t="inlineStr">
        <is>
          <t>Pass 26 normalization: categories, mechanisms, evidence tiers</t>
        </is>
      </c>
      <c r="CX140" t="inlineStr">
        <is>
          <t>Limited human</t>
        </is>
      </c>
      <c r="CY140" t="inlineStr">
        <is>
          <t>Use caution in pregnancy, breastfeeding, and in those prone to GI upset.</t>
        </is>
      </c>
      <c r="CZ140" t="inlineStr">
        <is>
          <t>May interact with cytochrome-metabolized drugs, glucose-lowering agents, and anticoagulants</t>
        </is>
      </c>
      <c r="DB140" t="inlineStr">
        <is>
          <t>Pass 28 normalized evidence and safety-related free text</t>
        </is>
      </c>
      <c r="DD140" t="inlineStr">
        <is>
          <t>No standardized dose established; use conservative, product-dependent ranges.</t>
        </is>
      </c>
      <c r="DE140" t="inlineStr">
        <is>
          <t>Common forms include extracts, powders, or teas depending on herb part.</t>
        </is>
      </c>
      <c r="DF140" t="inlineStr">
        <is>
          <t>Quality varies by extraction method, standardization, and contamination risk.</t>
        </is>
      </c>
      <c r="DG140" t="inlineStr">
        <is>
          <t>Moderate to high</t>
        </is>
      </c>
      <c r="DH140" t="inlineStr">
        <is>
          <t>Pass 29 completeness repair</t>
        </is>
      </c>
      <c r="DI140" t="n">
        <v>0</v>
      </c>
      <c r="DJ140" t="inlineStr">
        <is>
          <t>Metabolic</t>
        </is>
      </c>
      <c r="DL140" t="inlineStr">
        <is>
          <t>Ashitaba; Banaba; Bitter Melon; Black Pepper; Carob</t>
        </is>
      </c>
      <c r="DM140" t="inlineStr">
        <is>
          <t>Pass 31 relationship intelligence: density, cluster, anchor class, nearest herbs</t>
        </is>
      </c>
      <c r="DP140" t="inlineStr">
        <is>
          <t>Metabolic</t>
        </is>
      </c>
      <c r="DQ140" t="inlineStr">
        <is>
          <t>Pass 32 substitute engine + cluster cleanup</t>
        </is>
      </c>
      <c r="DT140" t="inlineStr">
        <is>
          <t>no strong safe fallback found</t>
        </is>
      </c>
      <c r="DU140" t="inlineStr">
        <is>
          <t>Optional</t>
        </is>
      </c>
      <c r="DV140" t="inlineStr">
        <is>
          <t>Pass 33 fallback replacement engine</t>
        </is>
      </c>
      <c r="DY140" t="inlineStr">
        <is>
          <t>Pass 35 expanded fallback pool with second-pass candidate exploration</t>
        </is>
      </c>
      <c r="EG140" t="n">
        <v>0</v>
      </c>
      <c r="EH140" t="n">
        <v>0</v>
      </c>
      <c r="EI140" t="n">
        <v>0</v>
      </c>
      <c r="EJ140" t="n">
        <v>0</v>
      </c>
      <c r="EK140" t="n">
        <v>0</v>
      </c>
      <c r="EL140" t="n">
        <v>0</v>
      </c>
      <c r="EN140" t="inlineStr">
        <is>
          <t>Pass 48 rolled compound scores into herb-level scoring</t>
        </is>
      </c>
    </row>
    <row r="141">
      <c r="A141" s="68" t="inlineStr">
        <is>
          <t>Bitter Melon</t>
        </is>
      </c>
      <c r="B141" s="68" t="inlineStr">
        <is>
          <t>bitter-melon</t>
        </is>
      </c>
      <c r="C141" s="68" t="inlineStr">
        <is>
          <t>Momordica charantia</t>
        </is>
      </c>
      <c r="D141" s="68" t="inlineStr">
        <is>
          <t>herb</t>
        </is>
      </c>
      <c r="E141" s="68" t="inlineStr">
        <is>
          <t>fruit</t>
        </is>
      </c>
      <c r="F141" s="68" t="inlineStr">
        <is>
          <t>fruit</t>
        </is>
      </c>
      <c r="G141" s="68" t="inlineStr">
        <is>
          <t>bitter melon; bitter gourd</t>
        </is>
      </c>
      <c r="H141" s="68" t="inlineStr">
        <is>
          <t>Asia, Africa, Caribbean, tropics</t>
        </is>
      </c>
      <c r="I141" s="68" t="inlineStr">
        <is>
          <t>Bitter melon is positioned for glucose and metabolic support.</t>
        </is>
      </c>
      <c r="J141" s="68" t="inlineStr">
        <is>
          <t>It is best framed as a food-medicine with hypoglycemia-aware caution.</t>
        </is>
      </c>
      <c r="K141" s="68" t="inlineStr">
        <is>
          <t>charantin; polypeptide-p; cucurbitanes</t>
        </is>
      </c>
      <c r="L141" s="68" t="inlineStr">
        <is>
          <t>charantin</t>
        </is>
      </c>
      <c r="M141" s="68" t="inlineStr">
        <is>
          <t>Glucose-handling relevance is the core positioning feature.</t>
        </is>
      </c>
      <c r="N141" s="68" t="inlineStr">
        <is>
          <t>glucose support; metabolic support</t>
        </is>
      </c>
      <c r="O141" s="68" t="inlineStr">
        <is>
          <t>food use + limited human</t>
        </is>
      </c>
      <c r="P141" s="68" t="inlineStr">
        <is>
          <t>Use caution in people prone to low blood sugar and during pregnancy.</t>
        </is>
      </c>
      <c r="Q141" s="68" t="inlineStr">
        <is>
          <t>May add to glucose-lowering drugs and should be used cautiously with diabetes medications.</t>
        </is>
      </c>
      <c r="R141" s="68" t="n"/>
      <c r="S141" s="68" t="n"/>
      <c r="T141" s="68" t="n"/>
      <c r="U141" s="68" t="n"/>
      <c r="V141" s="68" t="n"/>
      <c r="W141" s="68" t="inlineStr">
        <is>
          <t>Low</t>
        </is>
      </c>
      <c r="X141" s="68" t="inlineStr">
        <is>
          <t>validated</t>
        </is>
      </c>
      <c r="Y141" s="68" t="n"/>
      <c r="Z141" s="68" t="inlineStr">
        <is>
          <t>dataset-linked</t>
        </is>
      </c>
      <c r="AA141" s="68" t="inlineStr">
        <is>
          <t>Internal workbook cross-link</t>
        </is>
      </c>
      <c r="AB141" s="68" t="n"/>
      <c r="AC141" s="68" t="n"/>
      <c r="AD141" s="68" t="n"/>
      <c r="AE141" s="68" t="n"/>
      <c r="AF141" s="68" t="n"/>
      <c r="AG141" s="68" t="n">
        <v>1</v>
      </c>
      <c r="AH141" s="68" t="n">
        <v>1</v>
      </c>
      <c r="AI141" s="68" t="n">
        <v>1</v>
      </c>
      <c r="AJ141" s="68" t="n">
        <v>3</v>
      </c>
      <c r="AK141" s="68" t="inlineStr">
        <is>
          <t>High</t>
        </is>
      </c>
      <c r="AL141" s="68" t="n"/>
      <c r="AM141" s="68" t="inlineStr">
        <is>
          <t>Internal linked</t>
        </is>
      </c>
      <c r="AN141" s="68" t="n">
        <v>0.9</v>
      </c>
      <c r="AO141" s="68" t="inlineStr">
        <is>
          <t>Needs work</t>
        </is>
      </c>
      <c r="AP141" s="68" t="n"/>
      <c r="AQ141" s="68" t="n"/>
      <c r="AR141" s="68" t="inlineStr">
        <is>
          <t>Source review</t>
        </is>
      </c>
      <c r="AS141" s="68" t="inlineStr">
        <is>
          <t>Not started</t>
        </is>
      </c>
      <c r="AT141" s="68" t="n"/>
      <c r="AU141" s="68" t="n"/>
      <c r="AV141" s="68" t="n"/>
      <c r="AW141" s="68" t="n"/>
      <c r="AX141" s="68" t="n"/>
      <c r="AY141" s="68" t="n"/>
      <c r="AZ141" s="68" t="n"/>
      <c r="BA141" s="68" t="n"/>
      <c r="BB141" s="68" t="n"/>
      <c r="BC141" s="68" t="n"/>
      <c r="BD141" s="68" t="n"/>
      <c r="BE141" s="68" t="inlineStr">
        <is>
          <t>2026-04-10</t>
        </is>
      </c>
      <c r="BF141" s="68" t="inlineStr">
        <is>
          <t>Metadata normalized from internal workbook links</t>
        </is>
      </c>
      <c r="BG141" s="68" t="inlineStr">
        <is>
          <t>bitter-melon|2026-04-10</t>
        </is>
      </c>
      <c r="BH141" s="68" t="inlineStr">
        <is>
          <t>2026-04-10:auto-normalized</t>
        </is>
      </c>
      <c r="BI141" t="inlineStr">
        <is>
          <t>bitter-melon</t>
        </is>
      </c>
      <c r="BJ141" t="inlineStr">
        <is>
          <t>Bitter Melon</t>
        </is>
      </c>
      <c r="BK141" t="n">
        <v>0</v>
      </c>
      <c r="BL141" t="n">
        <v>0</v>
      </c>
      <c r="BM141" t="n">
        <v>3</v>
      </c>
      <c r="BN141" t="n">
        <v>0</v>
      </c>
      <c r="BO141" t="n">
        <v>100</v>
      </c>
      <c r="BP141" t="n">
        <v>0</v>
      </c>
      <c r="BQ141" t="n">
        <v>0</v>
      </c>
      <c r="BR141" t="n">
        <v>0</v>
      </c>
      <c r="BS141" t="inlineStr">
        <is>
          <t>Tier 4</t>
        </is>
      </c>
      <c r="BT141" t="n">
        <v>0</v>
      </c>
      <c r="BU141" t="inlineStr">
        <is>
          <t>FALSE</t>
        </is>
      </c>
      <c r="BV141" t="inlineStr">
        <is>
          <t>bitter-melon</t>
        </is>
      </c>
      <c r="BW141" t="inlineStr">
        <is>
          <t>FALSE</t>
        </is>
      </c>
      <c r="BX141" t="inlineStr">
        <is>
          <t>Pass 10 refreshed scoring from 0 mapped compounds | Pass 13 rescored from 0 mapped compounds</t>
        </is>
      </c>
      <c r="CA141" t="n">
        <v>0</v>
      </c>
      <c r="CB141" t="n">
        <v>0</v>
      </c>
      <c r="CC141" t="n">
        <v>0</v>
      </c>
      <c r="CE141" t="inlineStr">
        <is>
          <t>Pass 13 rescored after herb-name normalization and real top-herb compound sweep</t>
        </is>
      </c>
      <c r="CF141" t="inlineStr">
        <is>
          <t>General</t>
        </is>
      </c>
      <c r="CH141" s="68" t="inlineStr">
        <is>
          <t>Start with low single-herb exposure and increase only if tolerated</t>
        </is>
      </c>
      <c r="CI141" s="68" t="inlineStr">
        <is>
          <t>Product-ideation framing only; not clinical dosing advice.</t>
        </is>
      </c>
      <c r="CJ141" s="68" t="inlineStr">
        <is>
          <t>glucose-lowering; pregnancy</t>
        </is>
      </c>
      <c r="CK141" s="68" t="inlineStr">
        <is>
          <t>pregnancy</t>
        </is>
      </c>
      <c r="CL141" s="68" t="inlineStr">
        <is>
          <t>Moderate</t>
        </is>
      </c>
      <c r="CM141" s="68" t="inlineStr">
        <is>
          <t>No</t>
        </is>
      </c>
      <c r="CN141" s="68" t="str"/>
      <c r="CO141" s="68" t="inlineStr">
        <is>
          <t>Pass 21 herb-level safety and dose framing</t>
        </is>
      </c>
      <c r="CP141" t="inlineStr">
        <is>
          <t>Moderate</t>
        </is>
      </c>
      <c r="CQ141" t="inlineStr">
        <is>
          <t>No</t>
        </is>
      </c>
      <c r="CS141" t="inlineStr">
        <is>
          <t>Pass 22 refined safety rule severity and reduced broad keyword over-flagging</t>
        </is>
      </c>
      <c r="CT141" t="inlineStr">
        <is>
          <t>Metabolic Support</t>
        </is>
      </c>
      <c r="CU141" t="inlineStr">
        <is>
          <t>glucose support; metabolic support</t>
        </is>
      </c>
      <c r="CV141" t="inlineStr">
        <is>
          <t>Human</t>
        </is>
      </c>
      <c r="CW141" t="inlineStr">
        <is>
          <t>Pass 26 normalization: categories, mechanisms, evidence tiers</t>
        </is>
      </c>
      <c r="CX141" t="inlineStr">
        <is>
          <t>Limited human</t>
        </is>
      </c>
      <c r="CY141" t="inlineStr">
        <is>
          <t>Use caution in people prone to low blood sugar and during pregnancy.</t>
        </is>
      </c>
      <c r="CZ141" t="inlineStr">
        <is>
          <t>May add to glucose-lowering drugs and should be used cautiously with diabetes medications</t>
        </is>
      </c>
      <c r="DB141" t="inlineStr">
        <is>
          <t>Pass 28 normalized evidence and safety-related free text</t>
        </is>
      </c>
      <c r="DD141" t="inlineStr">
        <is>
          <t>No standardized dose established; use conservative, product-dependent ranges.</t>
        </is>
      </c>
      <c r="DE141" t="inlineStr">
        <is>
          <t>Common forms include extracts, powders, or teas depending on herb part.</t>
        </is>
      </c>
      <c r="DF141" t="inlineStr">
        <is>
          <t>Quality varies by extraction method, standardization, and contamination risk.</t>
        </is>
      </c>
      <c r="DG141" t="inlineStr">
        <is>
          <t>Moderate to high</t>
        </is>
      </c>
      <c r="DH141" t="inlineStr">
        <is>
          <t>Pass 29 completeness repair</t>
        </is>
      </c>
      <c r="DI141" t="n">
        <v>0</v>
      </c>
      <c r="DJ141" t="inlineStr">
        <is>
          <t>Metabolic</t>
        </is>
      </c>
      <c r="DL141" t="inlineStr">
        <is>
          <t>Ashitaba; Banaba; Berberis; Black Pepper; Carob</t>
        </is>
      </c>
      <c r="DM141" t="inlineStr">
        <is>
          <t>Pass 31 relationship intelligence: density, cluster, anchor class, nearest herbs</t>
        </is>
      </c>
      <c r="DP141" t="inlineStr">
        <is>
          <t>Metabolic</t>
        </is>
      </c>
      <c r="DQ141" t="inlineStr">
        <is>
          <t>Pass 32 substitute engine + cluster cleanup</t>
        </is>
      </c>
      <c r="DT141" t="inlineStr">
        <is>
          <t>no strong safe fallback found</t>
        </is>
      </c>
      <c r="DU141" t="inlineStr">
        <is>
          <t>Optional</t>
        </is>
      </c>
      <c r="DV141" t="inlineStr">
        <is>
          <t>Pass 33 fallback replacement engine</t>
        </is>
      </c>
      <c r="DY141" t="inlineStr">
        <is>
          <t>Pass 35 expanded fallback pool with second-pass candidate exploration</t>
        </is>
      </c>
      <c r="EG141" t="n">
        <v>0</v>
      </c>
      <c r="EH141" t="n">
        <v>0</v>
      </c>
      <c r="EI141" t="n">
        <v>0</v>
      </c>
      <c r="EJ141" t="n">
        <v>0</v>
      </c>
      <c r="EK141" t="n">
        <v>0</v>
      </c>
      <c r="EL141" t="n">
        <v>0</v>
      </c>
      <c r="EN141" t="inlineStr">
        <is>
          <t>Pass 48 rolled compound scores into herb-level scoring</t>
        </is>
      </c>
    </row>
    <row r="142">
      <c r="A142" s="68" t="inlineStr">
        <is>
          <t>Coleus Forskohlii</t>
        </is>
      </c>
      <c r="B142" s="68" t="inlineStr">
        <is>
          <t>coleus-forskohlii</t>
        </is>
      </c>
      <c r="C142" s="68" t="inlineStr">
        <is>
          <t>Coleus forskohlii</t>
        </is>
      </c>
      <c r="D142" s="68" t="inlineStr">
        <is>
          <t>herb</t>
        </is>
      </c>
      <c r="E142" s="68" t="inlineStr">
        <is>
          <t>root</t>
        </is>
      </c>
      <c r="F142" s="68" t="inlineStr">
        <is>
          <t>root</t>
        </is>
      </c>
      <c r="G142" s="68" t="inlineStr">
        <is>
          <t>coleus forskohlii; forskolin</t>
        </is>
      </c>
      <c r="H142" s="68" t="inlineStr">
        <is>
          <t>India and subtropical regions</t>
        </is>
      </c>
      <c r="I142" s="68" t="inlineStr">
        <is>
          <t>Coleus forskohlii is positioned for cAMP-linked metabolic and vascular support.</t>
        </is>
      </c>
      <c r="J142" s="68" t="inlineStr">
        <is>
          <t>It is best framed around forskolin with blood-pressure and stimulant-stack caution.</t>
        </is>
      </c>
      <c r="K142" s="68" t="inlineStr">
        <is>
          <t>forskolin</t>
        </is>
      </c>
      <c r="L142" s="68" t="inlineStr">
        <is>
          <t>forskolin</t>
        </is>
      </c>
      <c r="M142" s="68" t="inlineStr">
        <is>
          <t>Direct adenylate cyclase activation is the core proposed mechanism.</t>
        </is>
      </c>
      <c r="N142" s="68" t="inlineStr">
        <is>
          <t>metabolic support; vascular support</t>
        </is>
      </c>
      <c r="O142" s="68" t="inlineStr">
        <is>
          <t>limited human + traditional use</t>
        </is>
      </c>
      <c r="P142" s="68" t="inlineStr">
        <is>
          <t>Use caution with low blood pressure, bleeding risk, and GI sensitivity.</t>
        </is>
      </c>
      <c r="Q142" s="68" t="inlineStr">
        <is>
          <t>May interact with antihypertensives, anticoagulants, bronchodilators, and stimulant stacks.</t>
        </is>
      </c>
      <c r="R142" s="68" t="n"/>
      <c r="S142" s="68" t="n"/>
      <c r="T142" s="68" t="n"/>
      <c r="U142" s="68" t="n"/>
      <c r="V142" s="68" t="n"/>
      <c r="W142" s="68" t="inlineStr">
        <is>
          <t>Low</t>
        </is>
      </c>
      <c r="X142" s="68" t="inlineStr">
        <is>
          <t>partial</t>
        </is>
      </c>
      <c r="Y142" s="68" t="n"/>
      <c r="Z142" s="68" t="inlineStr">
        <is>
          <t>dataset-linked</t>
        </is>
      </c>
      <c r="AA142" s="68" t="inlineStr">
        <is>
          <t>Internal workbook cross-link</t>
        </is>
      </c>
      <c r="AB142" s="68" t="n"/>
      <c r="AC142" s="68" t="n"/>
      <c r="AD142" s="68" t="n"/>
      <c r="AE142" s="68" t="n"/>
      <c r="AF142" s="68" t="n"/>
      <c r="AG142" s="68" t="n">
        <v>1</v>
      </c>
      <c r="AH142" s="68" t="n">
        <v>1</v>
      </c>
      <c r="AI142" s="68" t="n">
        <v>1</v>
      </c>
      <c r="AJ142" s="68" t="n">
        <v>3</v>
      </c>
      <c r="AK142" s="68" t="inlineStr">
        <is>
          <t>High</t>
        </is>
      </c>
      <c r="AL142" s="68" t="n"/>
      <c r="AM142" s="68" t="inlineStr">
        <is>
          <t>Internal linked</t>
        </is>
      </c>
      <c r="AN142" s="68" t="n">
        <v>0.9</v>
      </c>
      <c r="AO142" s="68" t="inlineStr">
        <is>
          <t>Needs work</t>
        </is>
      </c>
      <c r="AP142" s="68" t="n"/>
      <c r="AQ142" s="68" t="n"/>
      <c r="AR142" s="68" t="inlineStr">
        <is>
          <t>Source review</t>
        </is>
      </c>
      <c r="AS142" s="68" t="inlineStr">
        <is>
          <t>Not started</t>
        </is>
      </c>
      <c r="AT142" s="68" t="n"/>
      <c r="AU142" s="68" t="n"/>
      <c r="AV142" s="68" t="n"/>
      <c r="AW142" s="68" t="n"/>
      <c r="AX142" s="68" t="n"/>
      <c r="AY142" s="68" t="n"/>
      <c r="AZ142" s="68" t="n"/>
      <c r="BA142" s="68" t="n"/>
      <c r="BB142" s="68" t="n"/>
      <c r="BC142" s="68" t="n"/>
      <c r="BD142" s="68" t="n"/>
      <c r="BE142" s="68" t="inlineStr">
        <is>
          <t>2026-04-10</t>
        </is>
      </c>
      <c r="BF142" s="68" t="inlineStr">
        <is>
          <t>Metadata normalized from internal workbook links</t>
        </is>
      </c>
      <c r="BG142" s="68" t="inlineStr">
        <is>
          <t>coleus-forskohlii|2026-04-10</t>
        </is>
      </c>
      <c r="BH142" s="68" t="inlineStr">
        <is>
          <t>2026-04-10:auto-normalized</t>
        </is>
      </c>
      <c r="BI142" t="inlineStr">
        <is>
          <t>coleus-forskohlii</t>
        </is>
      </c>
      <c r="BJ142" t="inlineStr">
        <is>
          <t>Coleus Forskohlii</t>
        </is>
      </c>
      <c r="BK142" t="n">
        <v>0</v>
      </c>
      <c r="BL142" t="n">
        <v>0</v>
      </c>
      <c r="BM142" t="n">
        <v>3</v>
      </c>
      <c r="BN142" t="n">
        <v>0</v>
      </c>
      <c r="BO142" t="n">
        <v>100</v>
      </c>
      <c r="BP142" t="n">
        <v>0</v>
      </c>
      <c r="BQ142" t="n">
        <v>0</v>
      </c>
      <c r="BR142" t="n">
        <v>0</v>
      </c>
      <c r="BS142" t="inlineStr">
        <is>
          <t>Tier 4</t>
        </is>
      </c>
      <c r="BT142" t="n">
        <v>0</v>
      </c>
      <c r="BU142" t="inlineStr">
        <is>
          <t>FALSE</t>
        </is>
      </c>
      <c r="BV142" t="inlineStr">
        <is>
          <t>coleus-forskohlii</t>
        </is>
      </c>
      <c r="BW142" t="inlineStr">
        <is>
          <t>FALSE</t>
        </is>
      </c>
      <c r="BX142" t="inlineStr">
        <is>
          <t>Pass 10 refreshed scoring from 0 mapped compounds | Pass 13 rescored from 0 mapped compounds</t>
        </is>
      </c>
      <c r="CA142" t="n">
        <v>0</v>
      </c>
      <c r="CB142" t="n">
        <v>0</v>
      </c>
      <c r="CC142" t="n">
        <v>0</v>
      </c>
      <c r="CE142" t="inlineStr">
        <is>
          <t>Pass 13 rescored after herb-name normalization and real top-herb compound sweep</t>
        </is>
      </c>
      <c r="CF142" t="inlineStr">
        <is>
          <t>General</t>
        </is>
      </c>
      <c r="CH142" s="68" t="inlineStr">
        <is>
          <t>Start low; usually daytime use</t>
        </is>
      </c>
      <c r="CI142" s="68" t="inlineStr">
        <is>
          <t>Keep conservative around surgery, anticoagulants, or antiplatelet use.</t>
        </is>
      </c>
      <c r="CJ142" s="68" t="inlineStr">
        <is>
          <t>bleeding-risk; blood-pressure</t>
        </is>
      </c>
      <c r="CK142" s="68" t="str"/>
      <c r="CL142" s="68" t="inlineStr">
        <is>
          <t>Moderate</t>
        </is>
      </c>
      <c r="CM142" s="68" t="inlineStr">
        <is>
          <t>No</t>
        </is>
      </c>
      <c r="CN142" s="68" t="str"/>
      <c r="CO142" s="68" t="inlineStr">
        <is>
          <t>Pass 21 herb-level safety and dose framing</t>
        </is>
      </c>
      <c r="CP142" t="inlineStr">
        <is>
          <t>Moderate</t>
        </is>
      </c>
      <c r="CQ142" t="inlineStr">
        <is>
          <t>No</t>
        </is>
      </c>
      <c r="CS142" t="inlineStr">
        <is>
          <t>Pass 22 refined safety rule severity and reduced broad keyword over-flagging</t>
        </is>
      </c>
      <c r="CT142" t="inlineStr">
        <is>
          <t>Metabolic Support</t>
        </is>
      </c>
      <c r="CU142" t="inlineStr">
        <is>
          <t>metabolic support; vascular support</t>
        </is>
      </c>
      <c r="CV142" t="inlineStr">
        <is>
          <t>Human</t>
        </is>
      </c>
      <c r="CW142" t="inlineStr">
        <is>
          <t>Pass 26 normalization: categories, mechanisms, evidence tiers</t>
        </is>
      </c>
      <c r="CX142" t="inlineStr">
        <is>
          <t>Limited human</t>
        </is>
      </c>
      <c r="CY142" t="inlineStr">
        <is>
          <t>Use caution with low blood pressure, bleeding risk, and GI sensitivity.</t>
        </is>
      </c>
      <c r="CZ142" t="inlineStr">
        <is>
          <t>May interact with antihypertensives, anticoagulants, bronchodilators, and stimulant stacks</t>
        </is>
      </c>
      <c r="DB142" t="inlineStr">
        <is>
          <t>Pass 28 normalized evidence and safety-related free text</t>
        </is>
      </c>
      <c r="DD142" t="inlineStr">
        <is>
          <t>No standardized dose established; use conservative, product-dependent ranges.</t>
        </is>
      </c>
      <c r="DE142" t="inlineStr">
        <is>
          <t>Common forms include extracts, powders, or teas depending on herb part.</t>
        </is>
      </c>
      <c r="DF142" t="inlineStr">
        <is>
          <t>Quality varies by extraction method, standardization, and contamination risk.</t>
        </is>
      </c>
      <c r="DG142" t="inlineStr">
        <is>
          <t>Moderate to high</t>
        </is>
      </c>
      <c r="DH142" t="inlineStr">
        <is>
          <t>Pass 29 completeness repair</t>
        </is>
      </c>
      <c r="DI142" t="n">
        <v>0</v>
      </c>
      <c r="DJ142" t="inlineStr">
        <is>
          <t>Metabolic</t>
        </is>
      </c>
      <c r="DL142" t="inlineStr">
        <is>
          <t>Ashitaba; Banaba; Berberis; Bitter Melon; Black Pepper</t>
        </is>
      </c>
      <c r="DM142" t="inlineStr">
        <is>
          <t>Pass 31 relationship intelligence: density, cluster, anchor class, nearest herbs</t>
        </is>
      </c>
      <c r="DP142" t="inlineStr">
        <is>
          <t>Metabolic</t>
        </is>
      </c>
      <c r="DQ142" t="inlineStr">
        <is>
          <t>Pass 32 substitute engine + cluster cleanup</t>
        </is>
      </c>
      <c r="DT142" t="inlineStr">
        <is>
          <t>no strong safe fallback found</t>
        </is>
      </c>
      <c r="DU142" t="inlineStr">
        <is>
          <t>Optional</t>
        </is>
      </c>
      <c r="DV142" t="inlineStr">
        <is>
          <t>Pass 33 fallback replacement engine</t>
        </is>
      </c>
      <c r="DY142" t="inlineStr">
        <is>
          <t>Pass 35 expanded fallback pool with second-pass candidate exploration</t>
        </is>
      </c>
      <c r="EG142" t="n">
        <v>0</v>
      </c>
      <c r="EH142" t="n">
        <v>0</v>
      </c>
      <c r="EI142" t="n">
        <v>0</v>
      </c>
      <c r="EJ142" t="n">
        <v>0</v>
      </c>
      <c r="EK142" t="n">
        <v>0</v>
      </c>
      <c r="EL142" t="n">
        <v>0</v>
      </c>
      <c r="EN142" t="inlineStr">
        <is>
          <t>Pass 48 rolled compound scores into herb-level scoring</t>
        </is>
      </c>
    </row>
    <row r="143">
      <c r="A143" s="68" t="inlineStr">
        <is>
          <t>Aloe Vera</t>
        </is>
      </c>
      <c r="B143" s="68" t="inlineStr">
        <is>
          <t>aloe-vera</t>
        </is>
      </c>
      <c r="C143" s="68" t="inlineStr">
        <is>
          <t>Aloe vera</t>
        </is>
      </c>
      <c r="D143" s="68" t="inlineStr">
        <is>
          <t>herb</t>
        </is>
      </c>
      <c r="E143" s="68" t="inlineStr">
        <is>
          <t>botanical</t>
        </is>
      </c>
      <c r="F143" s="68" t="inlineStr">
        <is>
          <t>varies</t>
        </is>
      </c>
      <c r="G143" s="68" t="inlineStr">
        <is>
          <t>aloe vera</t>
        </is>
      </c>
      <c r="H143" s="68" t="n"/>
      <c r="I143" s="68" t="inlineStr">
        <is>
          <t>Aloe Vera is an intake-stage monograph candidate linked to 1 internal compound records in the current workbook.</t>
        </is>
      </c>
      <c r="J143" s="68" t="inlineStr">
        <is>
          <t>Internal cross-linking supports Aloe Vera through compounds such as aloin.</t>
        </is>
      </c>
      <c r="K143" s="68" t="inlineStr">
        <is>
          <t>acemannan; aloe-emodin; aloin</t>
        </is>
      </c>
      <c r="L143" s="68" t="inlineStr">
        <is>
          <t>acemannan; aloe-emodin</t>
        </is>
      </c>
      <c r="M143" s="68" t="inlineStr">
        <is>
          <t>Current internal mapping is compound-linked, with pathway resolution still limited.</t>
        </is>
      </c>
      <c r="N143" s="68" t="inlineStr">
        <is>
          <t>demulcent; digestive support; anti-inflammatory</t>
        </is>
      </c>
      <c r="O143" s="68" t="inlineStr">
        <is>
          <t>mixed human-preclinical</t>
        </is>
      </c>
      <c r="P143" s="68" t="inlineStr">
        <is>
          <t>General use caution; distinguish inner gel from latex-rich stimulant-laxative fractions</t>
        </is>
      </c>
      <c r="Q143" s="68" t="inlineStr">
        <is>
          <t>May amplify laxative-heavy or glucose-lowering contexts</t>
        </is>
      </c>
      <c r="R143" s="68" t="inlineStr">
        <is>
          <t>Use caution with diarrhea-prone or pregnancy-sensitive contexts when latex fractions are relevant</t>
        </is>
      </c>
      <c r="S143" s="68" t="n"/>
      <c r="T143" s="68" t="n"/>
      <c r="U143" s="68" t="n"/>
      <c r="V143" s="68" t="n"/>
      <c r="W143" s="68" t="inlineStr">
        <is>
          <t>medium</t>
        </is>
      </c>
      <c r="X143" s="68" t="inlineStr">
        <is>
          <t>validated</t>
        </is>
      </c>
      <c r="Y143" s="68" t="n"/>
      <c r="Z143" s="68" t="inlineStr">
        <is>
          <t>dataset-linked</t>
        </is>
      </c>
      <c r="AA143" s="68" t="inlineStr">
        <is>
          <t>Internal workbook cross-link</t>
        </is>
      </c>
      <c r="AB143" s="68" t="n"/>
      <c r="AC143" s="68" t="n"/>
      <c r="AD143" s="68" t="n"/>
      <c r="AE143" s="68" t="n"/>
      <c r="AF143" s="68" t="n"/>
      <c r="AG143" s="68" t="n">
        <v>1</v>
      </c>
      <c r="AH143" s="68" t="n">
        <v>1</v>
      </c>
      <c r="AI143" s="68" t="n">
        <v>2</v>
      </c>
      <c r="AJ143" s="68" t="n">
        <v>4</v>
      </c>
      <c r="AK143" s="68" t="inlineStr">
        <is>
          <t>High</t>
        </is>
      </c>
      <c r="AL143" s="68" t="inlineStr">
        <is>
          <t>Needs source review</t>
        </is>
      </c>
      <c r="AM143" s="68" t="inlineStr">
        <is>
          <t>Internal linked</t>
        </is>
      </c>
      <c r="AN143" s="68" t="n">
        <v>0.95</v>
      </c>
      <c r="AO143" s="68" t="inlineStr">
        <is>
          <t>Needs work</t>
        </is>
      </c>
      <c r="AP143" s="68" t="n"/>
      <c r="AQ143" s="68" t="n"/>
      <c r="AR143" s="68" t="inlineStr">
        <is>
          <t>Source review</t>
        </is>
      </c>
      <c r="AS143" s="68" t="inlineStr">
        <is>
          <t>Not started</t>
        </is>
      </c>
      <c r="AT143" s="68" t="inlineStr">
        <is>
          <t>No</t>
        </is>
      </c>
      <c r="AU143" s="68" t="inlineStr">
        <is>
          <t>No</t>
        </is>
      </c>
      <c r="AV143" s="68" t="inlineStr">
        <is>
          <t>No</t>
        </is>
      </c>
      <c r="AW143" s="68" t="inlineStr">
        <is>
          <t>Needs editorial sourcing</t>
        </is>
      </c>
      <c r="AX143" s="68" t="n">
        <v>0</v>
      </c>
      <c r="AY143" s="68" t="n"/>
      <c r="AZ143" s="68" t="n"/>
      <c r="BA143" s="68" t="inlineStr">
        <is>
          <t>Intake</t>
        </is>
      </c>
      <c r="BB143" s="68" t="inlineStr">
        <is>
          <t>Pending</t>
        </is>
      </c>
      <c r="BC143" s="68" t="inlineStr">
        <is>
          <t>Generated from pathway/cross-link support only.</t>
        </is>
      </c>
      <c r="BD143" s="68" t="n"/>
      <c r="BE143" s="68" t="inlineStr">
        <is>
          <t>2026-04-10</t>
        </is>
      </c>
      <c r="BF143" s="68" t="inlineStr">
        <is>
          <t>Added from internal pathway-linked herb gap audit</t>
        </is>
      </c>
      <c r="BG143" s="68" t="inlineStr">
        <is>
          <t>aloe-vera|2026-04-10</t>
        </is>
      </c>
      <c r="BH143" s="68" t="inlineStr">
        <is>
          <t>2026-04-10:added as intake_stub from pathway cross-links</t>
        </is>
      </c>
      <c r="BI143" t="inlineStr">
        <is>
          <t>aloe-vera</t>
        </is>
      </c>
      <c r="BJ143" t="inlineStr">
        <is>
          <t>Aloe Vera</t>
        </is>
      </c>
      <c r="BK143" t="n">
        <v>0</v>
      </c>
      <c r="BL143" t="n">
        <v>0</v>
      </c>
      <c r="BM143" t="n">
        <v>3</v>
      </c>
      <c r="BN143" t="n">
        <v>0</v>
      </c>
      <c r="BO143" t="n">
        <v>100</v>
      </c>
      <c r="BP143" t="n">
        <v>0</v>
      </c>
      <c r="BQ143" t="n">
        <v>0</v>
      </c>
      <c r="BR143" t="n">
        <v>0</v>
      </c>
      <c r="BS143" t="inlineStr">
        <is>
          <t>Tier 4</t>
        </is>
      </c>
      <c r="BT143" t="n">
        <v>0</v>
      </c>
      <c r="BU143" t="inlineStr">
        <is>
          <t>FALSE</t>
        </is>
      </c>
      <c r="BV143" t="inlineStr">
        <is>
          <t>aloe-vera</t>
        </is>
      </c>
      <c r="BW143" t="inlineStr">
        <is>
          <t>FALSE</t>
        </is>
      </c>
      <c r="BX143" t="inlineStr">
        <is>
          <t>Pass 10 refreshed scoring from 0 mapped compounds | Pass 13 rescored from 0 mapped compounds</t>
        </is>
      </c>
      <c r="CA143" t="n">
        <v>0</v>
      </c>
      <c r="CB143" t="n">
        <v>0</v>
      </c>
      <c r="CC143" t="n">
        <v>0</v>
      </c>
      <c r="CE143" t="inlineStr">
        <is>
          <t>Pass 13 rescored after herb-name normalization and real top-herb compound sweep</t>
        </is>
      </c>
      <c r="CF143" t="inlineStr">
        <is>
          <t>General</t>
        </is>
      </c>
      <c r="CH143" s="68" t="inlineStr">
        <is>
          <t>Start with low single-herb exposure and increase only if tolerated</t>
        </is>
      </c>
      <c r="CI143" s="68" t="inlineStr">
        <is>
          <t>Product-ideation framing only; not clinical dosing advice.</t>
        </is>
      </c>
      <c r="CJ143" s="68" t="inlineStr">
        <is>
          <t>glucose-lowering; pregnancy</t>
        </is>
      </c>
      <c r="CK143" s="68" t="inlineStr">
        <is>
          <t>pregnancy</t>
        </is>
      </c>
      <c r="CL143" s="68" t="inlineStr">
        <is>
          <t>Baseline</t>
        </is>
      </c>
      <c r="CM143" s="68" t="inlineStr">
        <is>
          <t>No</t>
        </is>
      </c>
      <c r="CN143" s="68" t="str"/>
      <c r="CO143" s="68" t="inlineStr">
        <is>
          <t>Pass 21 herb-level safety and dose framing</t>
        </is>
      </c>
      <c r="CP143" t="inlineStr">
        <is>
          <t>Moderate</t>
        </is>
      </c>
      <c r="CQ143" t="inlineStr">
        <is>
          <t>No</t>
        </is>
      </c>
      <c r="CS143" t="inlineStr">
        <is>
          <t>Pass 22 refined safety rule severity and reduced broad keyword over-flagging</t>
        </is>
      </c>
      <c r="CT143" t="inlineStr">
        <is>
          <t>General</t>
        </is>
      </c>
      <c r="CU143" t="inlineStr">
        <is>
          <t>anti-inflammatory; demulcent; digestive support</t>
        </is>
      </c>
      <c r="CV143" t="inlineStr">
        <is>
          <t>Human</t>
        </is>
      </c>
      <c r="CW143" t="inlineStr">
        <is>
          <t>Pass 26 normalization: categories, mechanisms, evidence tiers</t>
        </is>
      </c>
      <c r="CX143" t="inlineStr">
        <is>
          <t>Human + preclinical</t>
        </is>
      </c>
      <c r="CY143" t="inlineStr">
        <is>
          <t>General use caution; distinguish inner gel from latex-rich stimulant-laxative fractions</t>
        </is>
      </c>
      <c r="CZ143" t="inlineStr">
        <is>
          <t>May amplify laxative-heavy or glucose-lowering contexts</t>
        </is>
      </c>
      <c r="DA143" t="inlineStr">
        <is>
          <t>Use caution with diarrhea-prone or pregnancy-sensitive contexts when latex fractions are relevant</t>
        </is>
      </c>
      <c r="DB143" t="inlineStr">
        <is>
          <t>Pass 28 normalized evidence and safety-related free text</t>
        </is>
      </c>
      <c r="DD143" t="inlineStr">
        <is>
          <t>No standardized dose established; use conservative, product-dependent ranges.</t>
        </is>
      </c>
      <c r="DE143" t="inlineStr">
        <is>
          <t>Common forms include extracts, powders, or teas depending on herb part.</t>
        </is>
      </c>
      <c r="DF143" t="inlineStr">
        <is>
          <t>Quality varies by extraction method, standardization, and contamination risk.</t>
        </is>
      </c>
      <c r="DG143" t="inlineStr">
        <is>
          <t>Moderate to high</t>
        </is>
      </c>
      <c r="DH143" t="inlineStr">
        <is>
          <t>Pass 29 completeness repair</t>
        </is>
      </c>
      <c r="DI143" t="n">
        <v>0</v>
      </c>
      <c r="DJ143" t="inlineStr">
        <is>
          <t>General</t>
        </is>
      </c>
      <c r="DL143" t="inlineStr">
        <is>
          <t>Acerola; Agarikon; Ajwain; American Ginseng; American Yellow Lotus</t>
        </is>
      </c>
      <c r="DM143" t="inlineStr">
        <is>
          <t>Pass 31 relationship intelligence: density, cluster, anchor class, nearest herbs</t>
        </is>
      </c>
      <c r="DP143" t="inlineStr">
        <is>
          <t>Generalist</t>
        </is>
      </c>
      <c r="DQ143" t="inlineStr">
        <is>
          <t>Pass 32 substitute engine + cluster cleanup</t>
        </is>
      </c>
      <c r="DT143" t="inlineStr">
        <is>
          <t>no strong safe fallback found</t>
        </is>
      </c>
      <c r="DU143" t="inlineStr">
        <is>
          <t>Optional</t>
        </is>
      </c>
      <c r="DV143" t="inlineStr">
        <is>
          <t>Pass 33 fallback replacement engine</t>
        </is>
      </c>
      <c r="DY143" t="inlineStr">
        <is>
          <t>Pass 35 expanded fallback pool with second-pass candidate exploration</t>
        </is>
      </c>
      <c r="EA143" t="inlineStr">
        <is>
          <t>General</t>
        </is>
      </c>
      <c r="EC143" t="inlineStr">
        <is>
          <t>medium</t>
        </is>
      </c>
      <c r="ED143" t="inlineStr">
        <is>
          <t>Pass 40 reinforced weak-category herb data</t>
        </is>
      </c>
      <c r="EG143" t="n">
        <v>0</v>
      </c>
      <c r="EH143" t="n">
        <v>0</v>
      </c>
      <c r="EI143" t="n">
        <v>0</v>
      </c>
      <c r="EJ143" t="n">
        <v>0</v>
      </c>
      <c r="EK143" t="n">
        <v>0</v>
      </c>
      <c r="EL143" t="n">
        <v>0</v>
      </c>
      <c r="EN143" t="inlineStr">
        <is>
          <t>Pass 48 rolled compound scores into herb-level scoring</t>
        </is>
      </c>
    </row>
    <row r="144">
      <c r="A144" s="68" t="inlineStr">
        <is>
          <t>American Ginseng</t>
        </is>
      </c>
      <c r="B144" s="68" t="inlineStr">
        <is>
          <t>american-ginseng</t>
        </is>
      </c>
      <c r="C144" s="68" t="inlineStr">
        <is>
          <t>Panax quinquefolius</t>
        </is>
      </c>
      <c r="D144" s="68" t="inlineStr">
        <is>
          <t>herb</t>
        </is>
      </c>
      <c r="E144" s="68" t="inlineStr">
        <is>
          <t>botanical</t>
        </is>
      </c>
      <c r="F144" s="68" t="inlineStr">
        <is>
          <t>varies</t>
        </is>
      </c>
      <c r="G144" s="68" t="inlineStr">
        <is>
          <t>american ginseng</t>
        </is>
      </c>
      <c r="H144" s="68" t="n"/>
      <c r="I144" s="68" t="inlineStr">
        <is>
          <t>American Ginseng is an intake-stage monograph candidate linked to 3 internal compound records and pathway tags including gabaergic_modulation, inflammatory_pathway_modulation.</t>
        </is>
      </c>
      <c r="J144" s="68" t="inlineStr">
        <is>
          <t>Internal cross-linking supports American Ginseng through compounds such as ginsenosides (including rb1, rg1), rb2.</t>
        </is>
      </c>
      <c r="K144" s="68" t="inlineStr">
        <is>
          <t>ginsenosides (including rb1; rg1); rb2</t>
        </is>
      </c>
      <c r="L144" s="68" t="inlineStr">
        <is>
          <t>ginsenosides (including rb1</t>
        </is>
      </c>
      <c r="M144" s="68" t="inlineStr">
        <is>
          <t>Internal workbook mapping currently connects this herb to gabaergic_modulation, inflammatory_pathway_modulation.</t>
        </is>
      </c>
      <c r="N144" s="68" t="inlineStr">
        <is>
          <t>gabaergic_modulation; inflammatory_pathway_modulation</t>
        </is>
      </c>
      <c r="O144" s="68" t="inlineStr">
        <is>
          <t>mapped</t>
        </is>
      </c>
      <c r="P144" s="68" t="inlineStr">
        <is>
          <t>Safety review required before publication.</t>
        </is>
      </c>
      <c r="Q144" s="68" t="inlineStr">
        <is>
          <t>Interaction review required before publication.</t>
        </is>
      </c>
      <c r="R144" s="68" t="n"/>
      <c r="S144" s="68" t="n"/>
      <c r="T144" s="68" t="n"/>
      <c r="U144" s="68" t="n"/>
      <c r="V144" s="68" t="n"/>
      <c r="W144" s="68" t="inlineStr">
        <is>
          <t>Medium</t>
        </is>
      </c>
      <c r="X144" s="68" t="inlineStr">
        <is>
          <t>partial</t>
        </is>
      </c>
      <c r="Y144" s="68" t="n"/>
      <c r="Z144" s="68" t="inlineStr">
        <is>
          <t>dataset-linked</t>
        </is>
      </c>
      <c r="AA144" s="68" t="inlineStr">
        <is>
          <t>Internal workbook cross-link</t>
        </is>
      </c>
      <c r="AB144" s="68" t="n"/>
      <c r="AC144" s="68" t="n"/>
      <c r="AD144" s="68" t="n"/>
      <c r="AE144" s="68" t="n"/>
      <c r="AF144" s="68" t="n"/>
      <c r="AG144" s="68" t="n">
        <v>2</v>
      </c>
      <c r="AH144" s="68" t="n">
        <v>2</v>
      </c>
      <c r="AI144" s="68" t="n">
        <v>2</v>
      </c>
      <c r="AJ144" s="68" t="n">
        <v>6</v>
      </c>
      <c r="AK144" s="68" t="inlineStr">
        <is>
          <t>High</t>
        </is>
      </c>
      <c r="AL144" s="68" t="inlineStr">
        <is>
          <t>Needs source review</t>
        </is>
      </c>
      <c r="AM144" s="68" t="inlineStr">
        <is>
          <t>Internal linked</t>
        </is>
      </c>
      <c r="AN144" s="68" t="n">
        <v>0.95</v>
      </c>
      <c r="AO144" s="68" t="inlineStr">
        <is>
          <t>Near ready</t>
        </is>
      </c>
      <c r="AP144" s="68" t="n"/>
      <c r="AQ144" s="68" t="n"/>
      <c r="AR144" s="68" t="inlineStr">
        <is>
          <t>Editorial polish</t>
        </is>
      </c>
      <c r="AS144" s="68" t="inlineStr">
        <is>
          <t>Not started</t>
        </is>
      </c>
      <c r="AT144" s="68" t="inlineStr">
        <is>
          <t>No</t>
        </is>
      </c>
      <c r="AU144" s="68" t="inlineStr">
        <is>
          <t>No</t>
        </is>
      </c>
      <c r="AV144" s="68" t="inlineStr">
        <is>
          <t>No</t>
        </is>
      </c>
      <c r="AW144" s="68" t="inlineStr">
        <is>
          <t>Needs editorial sourcing</t>
        </is>
      </c>
      <c r="AX144" s="68" t="n">
        <v>0</v>
      </c>
      <c r="AY144" s="68" t="n"/>
      <c r="AZ144" s="68" t="n"/>
      <c r="BA144" s="68" t="inlineStr">
        <is>
          <t>Intake</t>
        </is>
      </c>
      <c r="BB144" s="68" t="inlineStr">
        <is>
          <t>Pending</t>
        </is>
      </c>
      <c r="BC144" s="68" t="inlineStr">
        <is>
          <t>Generated from pathway/cross-link support only.</t>
        </is>
      </c>
      <c r="BD144" s="68" t="n"/>
      <c r="BE144" s="68" t="inlineStr">
        <is>
          <t>2026-04-10</t>
        </is>
      </c>
      <c r="BF144" s="68" t="inlineStr">
        <is>
          <t>Added from internal pathway-linked herb gap audit</t>
        </is>
      </c>
      <c r="BG144" s="68" t="inlineStr">
        <is>
          <t>american-ginseng|2026-04-10</t>
        </is>
      </c>
      <c r="BH144" s="68" t="inlineStr">
        <is>
          <t>2026-04-10:added as intake_stub from pathway cross-links</t>
        </is>
      </c>
      <c r="BI144" t="inlineStr">
        <is>
          <t>american-ginseng</t>
        </is>
      </c>
      <c r="BJ144" t="inlineStr">
        <is>
          <t>American Ginseng</t>
        </is>
      </c>
      <c r="BK144" t="n">
        <v>0</v>
      </c>
      <c r="BL144" t="n">
        <v>0</v>
      </c>
      <c r="BM144" t="n">
        <v>1</v>
      </c>
      <c r="BN144" t="n">
        <v>0</v>
      </c>
      <c r="BO144" t="n">
        <v>100</v>
      </c>
      <c r="BP144" t="n">
        <v>0</v>
      </c>
      <c r="BQ144" t="n">
        <v>0</v>
      </c>
      <c r="BR144" t="n">
        <v>0</v>
      </c>
      <c r="BS144" t="inlineStr">
        <is>
          <t>Tier 4</t>
        </is>
      </c>
      <c r="BT144" t="n">
        <v>0</v>
      </c>
      <c r="BU144" t="inlineStr">
        <is>
          <t>FALSE</t>
        </is>
      </c>
      <c r="BV144" t="inlineStr">
        <is>
          <t>american-ginseng</t>
        </is>
      </c>
      <c r="BW144" t="inlineStr">
        <is>
          <t>FALSE</t>
        </is>
      </c>
      <c r="BX144" t="inlineStr">
        <is>
          <t>Pass 10 refreshed scoring from 0 mapped compounds | Pass 13 rescored from 0 mapped compounds</t>
        </is>
      </c>
      <c r="CA144" t="n">
        <v>0</v>
      </c>
      <c r="CB144" t="n">
        <v>0</v>
      </c>
      <c r="CC144" t="n">
        <v>0</v>
      </c>
      <c r="CE144" t="inlineStr">
        <is>
          <t>Pass 13 rescored after herb-name normalization and real top-herb compound sweep</t>
        </is>
      </c>
      <c r="CF144" t="inlineStr">
        <is>
          <t>General</t>
        </is>
      </c>
      <c r="CH144" s="68" t="inlineStr">
        <is>
          <t>Start low; usually evening or split use</t>
        </is>
      </c>
      <c r="CI144" s="68" t="inlineStr">
        <is>
          <t>Prefer evening or split dosing; avoid stacking with other sedative-heavy products by default.</t>
        </is>
      </c>
      <c r="CJ144" s="68" t="inlineStr">
        <is>
          <t>sedation-cns</t>
        </is>
      </c>
      <c r="CK144" s="68" t="str"/>
      <c r="CL144" s="68" t="inlineStr">
        <is>
          <t>Baseline</t>
        </is>
      </c>
      <c r="CM144" s="68" t="inlineStr">
        <is>
          <t>No</t>
        </is>
      </c>
      <c r="CN144" s="68" t="str"/>
      <c r="CO144" s="68" t="inlineStr">
        <is>
          <t>Pass 21 herb-level safety and dose framing</t>
        </is>
      </c>
      <c r="CP144" t="inlineStr">
        <is>
          <t>Baseline</t>
        </is>
      </c>
      <c r="CQ144" t="inlineStr">
        <is>
          <t>No</t>
        </is>
      </c>
      <c r="CS144" t="inlineStr">
        <is>
          <t>Pass 22 refined safety rule severity and reduced broad keyword over-flagging</t>
        </is>
      </c>
      <c r="CT144" t="inlineStr">
        <is>
          <t>General</t>
        </is>
      </c>
      <c r="CU144" t="inlineStr">
        <is>
          <t>gabaergic_modulation; inflammatory_pathway_modulation</t>
        </is>
      </c>
      <c r="CV144" t="inlineStr">
        <is>
          <t>Unknown</t>
        </is>
      </c>
      <c r="CW144" t="inlineStr">
        <is>
          <t>Pass 26 normalization: categories, mechanisms, evidence tiers</t>
        </is>
      </c>
      <c r="CX144" t="inlineStr">
        <is>
          <t>Mapped</t>
        </is>
      </c>
      <c r="CY144" t="inlineStr">
        <is>
          <t>Safety review required before publication.</t>
        </is>
      </c>
      <c r="CZ144" t="inlineStr">
        <is>
          <t>Interaction review required before publication</t>
        </is>
      </c>
      <c r="DB144" t="inlineStr">
        <is>
          <t>Pass 28 normalized evidence and safety-related free text</t>
        </is>
      </c>
      <c r="DD144" t="inlineStr">
        <is>
          <t>No standardized dose established; use conservative, product-dependent ranges.</t>
        </is>
      </c>
      <c r="DE144" t="inlineStr">
        <is>
          <t>Common forms include extracts, powders, or teas depending on herb part.</t>
        </is>
      </c>
      <c r="DF144" t="inlineStr">
        <is>
          <t>Quality varies by extraction method, standardization, and contamination risk.</t>
        </is>
      </c>
      <c r="DG144" t="inlineStr">
        <is>
          <t>Low</t>
        </is>
      </c>
      <c r="DH144" t="inlineStr">
        <is>
          <t>Pass 29 completeness repair</t>
        </is>
      </c>
      <c r="DI144" t="n">
        <v>0</v>
      </c>
      <c r="DJ144" t="inlineStr">
        <is>
          <t>General</t>
        </is>
      </c>
      <c r="DL144" t="inlineStr">
        <is>
          <t>Acerola; Agarikon; Ajwain; Aloe Vera; American Yellow Lotus</t>
        </is>
      </c>
      <c r="DM144" t="inlineStr">
        <is>
          <t>Pass 31 relationship intelligence: density, cluster, anchor class, nearest herbs</t>
        </is>
      </c>
      <c r="DP144" t="inlineStr">
        <is>
          <t>Generalist</t>
        </is>
      </c>
      <c r="DQ144" t="inlineStr">
        <is>
          <t>Pass 32 substitute engine + cluster cleanup</t>
        </is>
      </c>
      <c r="DT144" t="inlineStr">
        <is>
          <t>no strong safe fallback found</t>
        </is>
      </c>
      <c r="DU144" t="inlineStr">
        <is>
          <t>Not needed</t>
        </is>
      </c>
      <c r="DV144" t="inlineStr">
        <is>
          <t>Pass 33 fallback replacement engine</t>
        </is>
      </c>
      <c r="DY144" t="inlineStr">
        <is>
          <t>Pass 35 expanded fallback pool with second-pass candidate exploration</t>
        </is>
      </c>
      <c r="EA144" t="inlineStr">
        <is>
          <t>General</t>
        </is>
      </c>
      <c r="EC144" t="inlineStr">
        <is>
          <t>Medium</t>
        </is>
      </c>
      <c r="ED144" t="inlineStr">
        <is>
          <t>Pass 40 reinforced weak-category herb data</t>
        </is>
      </c>
      <c r="EG144" t="n">
        <v>0</v>
      </c>
      <c r="EH144" t="n">
        <v>0</v>
      </c>
      <c r="EI144" t="n">
        <v>0</v>
      </c>
      <c r="EJ144" t="n">
        <v>0</v>
      </c>
      <c r="EK144" t="n">
        <v>0</v>
      </c>
      <c r="EL144" t="n">
        <v>0</v>
      </c>
      <c r="EN144" t="inlineStr">
        <is>
          <t>Pass 48 rolled compound scores into herb-level scoring</t>
        </is>
      </c>
    </row>
    <row r="145">
      <c r="A145" s="68" t="inlineStr">
        <is>
          <t>Artemisia Annua</t>
        </is>
      </c>
      <c r="B145" s="68" t="inlineStr">
        <is>
          <t>artemisia-annua</t>
        </is>
      </c>
      <c r="C145" s="68" t="inlineStr">
        <is>
          <t>Artemisia annua</t>
        </is>
      </c>
      <c r="D145" s="68" t="inlineStr">
        <is>
          <t>herb</t>
        </is>
      </c>
      <c r="E145" s="68" t="inlineStr">
        <is>
          <t>botanical</t>
        </is>
      </c>
      <c r="F145" s="68" t="inlineStr">
        <is>
          <t>varies</t>
        </is>
      </c>
      <c r="G145" s="68" t="inlineStr">
        <is>
          <t>artemisia annua</t>
        </is>
      </c>
      <c r="H145" s="68" t="n"/>
      <c r="I145" s="68" t="inlineStr">
        <is>
          <t>Artemisia Annua is an intake-stage monograph candidate linked to 1 internal compound records in the current workbook.</t>
        </is>
      </c>
      <c r="J145" s="68" t="inlineStr">
        <is>
          <t>Internal cross-linking supports Artemisia Annua through compounds such as artemisinin.</t>
        </is>
      </c>
      <c r="K145" s="68" t="inlineStr">
        <is>
          <t>artemisinin; arteannuin B; chrysosplenetin</t>
        </is>
      </c>
      <c r="L145" s="68" t="inlineStr">
        <is>
          <t>artemisinin; arteannuin B</t>
        </is>
      </c>
      <c r="M145" s="68" t="inlineStr">
        <is>
          <t>Current internal mapping is compound-linked, with pathway resolution still limited.</t>
        </is>
      </c>
      <c r="N145" s="68" t="inlineStr">
        <is>
          <t>immune support; antimicrobial; oxidative stress modulation</t>
        </is>
      </c>
      <c r="O145" s="68" t="inlineStr">
        <is>
          <t>mixed preclinical-human</t>
        </is>
      </c>
      <c r="P145" s="68" t="inlineStr">
        <is>
          <t>Review interactions and contraindications</t>
        </is>
      </c>
      <c r="Q145" s="68" t="inlineStr">
        <is>
          <t>May interact with liver-metabolized stacks and intensive antimicrobial protocols</t>
        </is>
      </c>
      <c r="R145" s="68" t="inlineStr">
        <is>
          <t>Avoid pregnancy-sensitive contexts without stronger review</t>
        </is>
      </c>
      <c r="S145" s="68" t="n"/>
      <c r="T145" s="68" t="n"/>
      <c r="U145" s="68" t="n"/>
      <c r="V145" s="68" t="n"/>
      <c r="W145" s="68" t="inlineStr">
        <is>
          <t>medium</t>
        </is>
      </c>
      <c r="X145" s="68" t="inlineStr">
        <is>
          <t>partial</t>
        </is>
      </c>
      <c r="Y145" s="68" t="n"/>
      <c r="Z145" s="68" t="inlineStr">
        <is>
          <t>dataset-linked</t>
        </is>
      </c>
      <c r="AA145" s="68" t="inlineStr">
        <is>
          <t>Internal workbook cross-link</t>
        </is>
      </c>
      <c r="AB145" s="68" t="n"/>
      <c r="AC145" s="68" t="n"/>
      <c r="AD145" s="68" t="n"/>
      <c r="AE145" s="68" t="n"/>
      <c r="AF145" s="68" t="n"/>
      <c r="AG145" s="68" t="n">
        <v>1</v>
      </c>
      <c r="AH145" s="68" t="n">
        <v>1</v>
      </c>
      <c r="AI145" s="68" t="n">
        <v>2</v>
      </c>
      <c r="AJ145" s="68" t="n">
        <v>4</v>
      </c>
      <c r="AK145" s="68" t="inlineStr">
        <is>
          <t>High</t>
        </is>
      </c>
      <c r="AL145" s="68" t="inlineStr">
        <is>
          <t>Needs source review</t>
        </is>
      </c>
      <c r="AM145" s="68" t="inlineStr">
        <is>
          <t>Internal linked</t>
        </is>
      </c>
      <c r="AN145" s="68" t="n">
        <v>0.95</v>
      </c>
      <c r="AO145" s="68" t="inlineStr">
        <is>
          <t>Needs work</t>
        </is>
      </c>
      <c r="AP145" s="68" t="n"/>
      <c r="AQ145" s="68" t="n"/>
      <c r="AR145" s="68" t="inlineStr">
        <is>
          <t>Source review</t>
        </is>
      </c>
      <c r="AS145" s="68" t="inlineStr">
        <is>
          <t>Not started</t>
        </is>
      </c>
      <c r="AT145" s="68" t="inlineStr">
        <is>
          <t>No</t>
        </is>
      </c>
      <c r="AU145" s="68" t="inlineStr">
        <is>
          <t>No</t>
        </is>
      </c>
      <c r="AV145" s="68" t="inlineStr">
        <is>
          <t>No</t>
        </is>
      </c>
      <c r="AW145" s="68" t="inlineStr">
        <is>
          <t>Needs editorial sourcing</t>
        </is>
      </c>
      <c r="AX145" s="68" t="n">
        <v>0</v>
      </c>
      <c r="AY145" s="68" t="n"/>
      <c r="AZ145" s="68" t="n"/>
      <c r="BA145" s="68" t="inlineStr">
        <is>
          <t>Intake</t>
        </is>
      </c>
      <c r="BB145" s="68" t="inlineStr">
        <is>
          <t>Pending</t>
        </is>
      </c>
      <c r="BC145" s="68" t="inlineStr">
        <is>
          <t>Generated from pathway/cross-link support only.</t>
        </is>
      </c>
      <c r="BD145" s="68" t="n"/>
      <c r="BE145" s="68" t="inlineStr">
        <is>
          <t>2026-04-10</t>
        </is>
      </c>
      <c r="BF145" s="68" t="inlineStr">
        <is>
          <t>Added from internal pathway-linked herb gap audit</t>
        </is>
      </c>
      <c r="BG145" s="68" t="inlineStr">
        <is>
          <t>artemisia-annua|2026-04-10</t>
        </is>
      </c>
      <c r="BH145" s="68" t="inlineStr">
        <is>
          <t>2026-04-10:added as intake_stub from pathway cross-links</t>
        </is>
      </c>
      <c r="BI145" t="inlineStr">
        <is>
          <t>artemisia-annua</t>
        </is>
      </c>
      <c r="BJ145" t="inlineStr">
        <is>
          <t>Artemisia Annua</t>
        </is>
      </c>
      <c r="BK145" t="n">
        <v>0</v>
      </c>
      <c r="BL145" t="n">
        <v>0</v>
      </c>
      <c r="BM145" t="n">
        <v>3</v>
      </c>
      <c r="BN145" t="n">
        <v>0</v>
      </c>
      <c r="BO145" t="n">
        <v>100</v>
      </c>
      <c r="BP145" t="n">
        <v>0</v>
      </c>
      <c r="BQ145" t="n">
        <v>0</v>
      </c>
      <c r="BR145" t="n">
        <v>0</v>
      </c>
      <c r="BS145" t="inlineStr">
        <is>
          <t>Tier 4</t>
        </is>
      </c>
      <c r="BT145" t="n">
        <v>0</v>
      </c>
      <c r="BU145" t="inlineStr">
        <is>
          <t>FALSE</t>
        </is>
      </c>
      <c r="BV145" t="inlineStr">
        <is>
          <t>artemisia-annua</t>
        </is>
      </c>
      <c r="BW145" t="inlineStr">
        <is>
          <t>FALSE</t>
        </is>
      </c>
      <c r="BX145" t="inlineStr">
        <is>
          <t>Pass 10 refreshed scoring from 0 mapped compounds | Pass 13 rescored from 0 mapped compounds</t>
        </is>
      </c>
      <c r="CA145" t="n">
        <v>0</v>
      </c>
      <c r="CB145" t="n">
        <v>0</v>
      </c>
      <c r="CC145" t="n">
        <v>0</v>
      </c>
      <c r="CE145" t="inlineStr">
        <is>
          <t>Pass 13 rescored after herb-name normalization and real top-herb compound sweep</t>
        </is>
      </c>
      <c r="CF145" t="inlineStr">
        <is>
          <t>General</t>
        </is>
      </c>
      <c r="CH145" s="68" t="inlineStr">
        <is>
          <t>Start with low single-herb exposure and increase only if tolerated</t>
        </is>
      </c>
      <c r="CI145" s="68" t="inlineStr">
        <is>
          <t>Prefer conservative use and avoid default inclusion in liver-sensitive audiences.</t>
        </is>
      </c>
      <c r="CJ145" s="68" t="inlineStr">
        <is>
          <t>hepatic-caution; immune-caution; pregnancy</t>
        </is>
      </c>
      <c r="CK145" s="68" t="inlineStr">
        <is>
          <t>pregnancy</t>
        </is>
      </c>
      <c r="CL145" s="68" t="inlineStr">
        <is>
          <t>Moderate</t>
        </is>
      </c>
      <c r="CM145" s="68" t="inlineStr">
        <is>
          <t>No</t>
        </is>
      </c>
      <c r="CN145" s="68" t="str"/>
      <c r="CO145" s="68" t="inlineStr">
        <is>
          <t>Pass 21 herb-level safety and dose framing</t>
        </is>
      </c>
      <c r="CP145" t="inlineStr">
        <is>
          <t>Elevated</t>
        </is>
      </c>
      <c r="CQ145" t="inlineStr">
        <is>
          <t>Review</t>
        </is>
      </c>
      <c r="CR145" t="inlineStr">
        <is>
          <t>Needs manual safety review before default stack inclusion</t>
        </is>
      </c>
      <c r="CS145" t="inlineStr">
        <is>
          <t>Pass 22 refined safety rule severity and reduced broad keyword over-flagging</t>
        </is>
      </c>
      <c r="CT145" t="inlineStr">
        <is>
          <t>Stress</t>
        </is>
      </c>
      <c r="CU145" t="inlineStr">
        <is>
          <t>antimicrobial; immune support; oxidative stress modulation</t>
        </is>
      </c>
      <c r="CV145" t="inlineStr">
        <is>
          <t>Human</t>
        </is>
      </c>
      <c r="CW145" t="inlineStr">
        <is>
          <t>Pass 26 normalization: categories, mechanisms, evidence tiers</t>
        </is>
      </c>
      <c r="CX145" t="inlineStr">
        <is>
          <t>Human + preclinical</t>
        </is>
      </c>
      <c r="CY145" t="inlineStr">
        <is>
          <t>Review interactions and contraindications</t>
        </is>
      </c>
      <c r="CZ145" t="inlineStr">
        <is>
          <t>May interact with liver-metabolized stacks and intensive antimicrobial protocols</t>
        </is>
      </c>
      <c r="DA145" t="inlineStr">
        <is>
          <t>Avoid pregnancy-sensitive contexts without stronger review</t>
        </is>
      </c>
      <c r="DB145" t="inlineStr">
        <is>
          <t>Pass 28 normalized evidence and safety-related free text</t>
        </is>
      </c>
      <c r="DD145" t="inlineStr">
        <is>
          <t>No standardized dose established; use conservative, product-dependent ranges.</t>
        </is>
      </c>
      <c r="DE145" t="inlineStr">
        <is>
          <t>Common forms include extracts, powders, or teas depending on herb part.</t>
        </is>
      </c>
      <c r="DF145" t="inlineStr">
        <is>
          <t>Quality varies by extraction method, standardization, and contamination risk.</t>
        </is>
      </c>
      <c r="DG145" t="inlineStr">
        <is>
          <t>Moderate to high</t>
        </is>
      </c>
      <c r="DH145" t="inlineStr">
        <is>
          <t>Pass 29 completeness repair</t>
        </is>
      </c>
      <c r="DI145" t="n">
        <v>0</v>
      </c>
      <c r="DJ145" t="inlineStr">
        <is>
          <t>Adaptogenic</t>
        </is>
      </c>
      <c r="DL145" t="inlineStr">
        <is>
          <t>Holy Basil; Holy Basil Purple; Maca; Maral Root; Rhodiola</t>
        </is>
      </c>
      <c r="DM145" t="inlineStr">
        <is>
          <t>Pass 31 relationship intelligence: density, cluster, anchor class, nearest herbs</t>
        </is>
      </c>
      <c r="DP145" t="inlineStr">
        <is>
          <t>Stress / Adaptogenic</t>
        </is>
      </c>
      <c r="DQ145" t="inlineStr">
        <is>
          <t>Pass 32 substitute engine + cluster cleanup</t>
        </is>
      </c>
      <c r="DT145" t="inlineStr">
        <is>
          <t>no strong safe fallback found</t>
        </is>
      </c>
      <c r="DU145" t="inlineStr">
        <is>
          <t>Recommended</t>
        </is>
      </c>
      <c r="DV145" t="inlineStr">
        <is>
          <t>Pass 33 fallback replacement engine</t>
        </is>
      </c>
      <c r="DY145" t="inlineStr">
        <is>
          <t>Pass 35 expanded fallback pool with second-pass candidate exploration</t>
        </is>
      </c>
      <c r="EA145" t="inlineStr">
        <is>
          <t>Stress</t>
        </is>
      </c>
      <c r="EB145" t="inlineStr">
        <is>
          <t>cortisol modulation; HPA axis</t>
        </is>
      </c>
      <c r="EC145" t="inlineStr">
        <is>
          <t>medium</t>
        </is>
      </c>
      <c r="ED145" t="inlineStr">
        <is>
          <t>Pass 40 reinforced weak-category herb data</t>
        </is>
      </c>
      <c r="EG145" t="n">
        <v>0</v>
      </c>
      <c r="EH145" t="n">
        <v>0</v>
      </c>
      <c r="EI145" t="n">
        <v>0</v>
      </c>
      <c r="EJ145" t="n">
        <v>0</v>
      </c>
      <c r="EK145" t="n">
        <v>0</v>
      </c>
      <c r="EL145" t="n">
        <v>0</v>
      </c>
      <c r="EN145" t="inlineStr">
        <is>
          <t>Pass 48 rolled compound scores into herb-level scoring</t>
        </is>
      </c>
    </row>
    <row r="146">
      <c r="A146" s="68" t="inlineStr">
        <is>
          <t>Celastrus Paniculatus</t>
        </is>
      </c>
      <c r="B146" s="68" t="inlineStr">
        <is>
          <t>celastrus-paniculatus</t>
        </is>
      </c>
      <c r="C146" s="68" t="inlineStr">
        <is>
          <t>Celastrus paniculatus</t>
        </is>
      </c>
      <c r="D146" s="68" t="inlineStr">
        <is>
          <t>herb</t>
        </is>
      </c>
      <c r="E146" s="68" t="inlineStr">
        <is>
          <t>botanical</t>
        </is>
      </c>
      <c r="F146" s="68" t="inlineStr">
        <is>
          <t>varies</t>
        </is>
      </c>
      <c r="G146" s="68" t="inlineStr">
        <is>
          <t>celastrus paniculatus</t>
        </is>
      </c>
      <c r="H146" s="68" t="n"/>
      <c r="I146" s="68" t="inlineStr">
        <is>
          <t>Celastrus Paniculatus is an intake-stage monograph candidate linked to 4 internal compound records in the current workbook.</t>
        </is>
      </c>
      <c r="J146" s="68" t="inlineStr">
        <is>
          <t>Internal cross-linking supports Celastrus Paniculatus through compounds such as beta-amyrin, celastrine, lupeol.</t>
        </is>
      </c>
      <c r="K146" s="68" t="inlineStr">
        <is>
          <t>beta-amyrin; celastrine; lupeol; celapanin</t>
        </is>
      </c>
      <c r="L146" s="68" t="inlineStr">
        <is>
          <t>beta-amyrin</t>
        </is>
      </c>
      <c r="M146" s="68" t="inlineStr">
        <is>
          <t>Current internal mapping is compound-linked, with pathway resolution still limited.</t>
        </is>
      </c>
      <c r="N146" s="68" t="inlineStr">
        <is>
          <t>general or unknown targets</t>
        </is>
      </c>
      <c r="O146" s="68" t="inlineStr">
        <is>
          <t>mapped</t>
        </is>
      </c>
      <c r="P146" s="68" t="inlineStr">
        <is>
          <t>Safety review required before publication.</t>
        </is>
      </c>
      <c r="Q146" s="68" t="inlineStr">
        <is>
          <t>Interaction review required before publication.</t>
        </is>
      </c>
      <c r="R146" s="68" t="n"/>
      <c r="S146" s="68" t="n"/>
      <c r="T146" s="68" t="n"/>
      <c r="U146" s="68" t="n"/>
      <c r="V146" s="68" t="n"/>
      <c r="W146" s="68" t="inlineStr">
        <is>
          <t>High</t>
        </is>
      </c>
      <c r="X146" s="68" t="inlineStr">
        <is>
          <t>partial</t>
        </is>
      </c>
      <c r="Y146" s="68" t="n"/>
      <c r="Z146" s="68" t="inlineStr">
        <is>
          <t>dataset-linked</t>
        </is>
      </c>
      <c r="AA146" s="68" t="inlineStr">
        <is>
          <t>Internal workbook cross-link</t>
        </is>
      </c>
      <c r="AB146" s="68" t="n"/>
      <c r="AC146" s="68" t="n"/>
      <c r="AD146" s="68" t="n"/>
      <c r="AE146" s="68" t="n"/>
      <c r="AF146" s="68" t="n"/>
      <c r="AG146" s="68" t="n">
        <v>3</v>
      </c>
      <c r="AH146" s="68" t="n">
        <v>2</v>
      </c>
      <c r="AI146" s="68" t="n">
        <v>2</v>
      </c>
      <c r="AJ146" s="68" t="n">
        <v>7</v>
      </c>
      <c r="AK146" s="68" t="inlineStr">
        <is>
          <t>High</t>
        </is>
      </c>
      <c r="AL146" s="68" t="inlineStr">
        <is>
          <t>Needs source review</t>
        </is>
      </c>
      <c r="AM146" s="68" t="inlineStr">
        <is>
          <t>Internal linked</t>
        </is>
      </c>
      <c r="AN146" s="68" t="n">
        <v>0.95</v>
      </c>
      <c r="AO146" s="68" t="inlineStr">
        <is>
          <t>Near ready</t>
        </is>
      </c>
      <c r="AP146" s="68" t="n"/>
      <c r="AQ146" s="68" t="n"/>
      <c r="AR146" s="68" t="inlineStr">
        <is>
          <t>Editorial polish</t>
        </is>
      </c>
      <c r="AS146" s="68" t="inlineStr">
        <is>
          <t>Not started</t>
        </is>
      </c>
      <c r="AT146" s="68" t="inlineStr">
        <is>
          <t>No</t>
        </is>
      </c>
      <c r="AU146" s="68" t="inlineStr">
        <is>
          <t>No</t>
        </is>
      </c>
      <c r="AV146" s="68" t="inlineStr">
        <is>
          <t>No</t>
        </is>
      </c>
      <c r="AW146" s="68" t="inlineStr">
        <is>
          <t>Needs editorial sourcing</t>
        </is>
      </c>
      <c r="AX146" s="68" t="n">
        <v>0</v>
      </c>
      <c r="AY146" s="68" t="n"/>
      <c r="AZ146" s="68" t="n"/>
      <c r="BA146" s="68" t="inlineStr">
        <is>
          <t>Intake</t>
        </is>
      </c>
      <c r="BB146" s="68" t="inlineStr">
        <is>
          <t>Pending</t>
        </is>
      </c>
      <c r="BC146" s="68" t="inlineStr">
        <is>
          <t>Generated from pathway/cross-link support only.</t>
        </is>
      </c>
      <c r="BD146" s="68" t="n"/>
      <c r="BE146" s="68" t="inlineStr">
        <is>
          <t>2026-04-10</t>
        </is>
      </c>
      <c r="BF146" s="68" t="inlineStr">
        <is>
          <t>Added from internal pathway-linked herb gap audit</t>
        </is>
      </c>
      <c r="BG146" s="68" t="inlineStr">
        <is>
          <t>celastrus-paniculatus|2026-04-10</t>
        </is>
      </c>
      <c r="BH146" s="68" t="inlineStr">
        <is>
          <t>2026-04-10:added as intake_stub from pathway cross-links</t>
        </is>
      </c>
      <c r="BI146" t="inlineStr">
        <is>
          <t>celastrus-paniculatus</t>
        </is>
      </c>
      <c r="BJ146" t="inlineStr">
        <is>
          <t>Celastrus Paniculatus</t>
        </is>
      </c>
      <c r="BK146" t="n">
        <v>1</v>
      </c>
      <c r="BL146" t="n">
        <v>1</v>
      </c>
      <c r="BM146" t="n">
        <v>1</v>
      </c>
      <c r="BN146" t="n">
        <v>7</v>
      </c>
      <c r="BO146" t="n">
        <v>100</v>
      </c>
      <c r="BP146" t="n">
        <v>8</v>
      </c>
      <c r="BQ146" t="n">
        <v>10</v>
      </c>
      <c r="BR146" t="n">
        <v>5</v>
      </c>
      <c r="BS146" t="inlineStr">
        <is>
          <t>Tier 1</t>
        </is>
      </c>
      <c r="BT146" t="n">
        <v>5</v>
      </c>
      <c r="BU146" t="inlineStr">
        <is>
          <t>FALSE</t>
        </is>
      </c>
      <c r="BV146" t="inlineStr">
        <is>
          <t>celastrus-paniculatus</t>
        </is>
      </c>
      <c r="BW146" t="inlineStr">
        <is>
          <t>TRUE</t>
        </is>
      </c>
      <c r="BX146" t="inlineStr">
        <is>
          <t>Pass 10 refreshed scoring from 1 mapped compounds | Pass 13 rescored from 1 mapped compounds</t>
        </is>
      </c>
      <c r="BY146" t="inlineStr">
        <is>
          <t>unclassified</t>
        </is>
      </c>
      <c r="CA146" t="n">
        <v>2</v>
      </c>
      <c r="CB146" t="n">
        <v>0</v>
      </c>
      <c r="CC146" t="n">
        <v>0</v>
      </c>
      <c r="CD146" t="inlineStr">
        <is>
          <t>Alkaloid; unclassified</t>
        </is>
      </c>
      <c r="CE146" t="inlineStr">
        <is>
          <t>Pass 13 rescored after herb-name normalization and real top-herb compound sweep</t>
        </is>
      </c>
      <c r="CF146" t="inlineStr">
        <is>
          <t>General</t>
        </is>
      </c>
      <c r="CH146" s="68" t="inlineStr">
        <is>
          <t>Start with low single-herb exposure and increase only if tolerated</t>
        </is>
      </c>
      <c r="CI146" s="68" t="inlineStr">
        <is>
          <t>Product-ideation framing only; not clinical dosing advice.</t>
        </is>
      </c>
      <c r="CJ146" s="68" t="str"/>
      <c r="CK146" s="68" t="str"/>
      <c r="CL146" s="68" t="inlineStr">
        <is>
          <t>Baseline</t>
        </is>
      </c>
      <c r="CM146" s="68" t="inlineStr">
        <is>
          <t>No</t>
        </is>
      </c>
      <c r="CN146" s="68" t="str"/>
      <c r="CO146" s="68" t="inlineStr">
        <is>
          <t>Pass 21 herb-level safety and dose framing</t>
        </is>
      </c>
      <c r="CP146" t="inlineStr">
        <is>
          <t>Baseline</t>
        </is>
      </c>
      <c r="CQ146" t="inlineStr">
        <is>
          <t>No</t>
        </is>
      </c>
      <c r="CS146" t="inlineStr">
        <is>
          <t>Pass 22 refined safety rule severity and reduced broad keyword over-flagging</t>
        </is>
      </c>
      <c r="CT146" t="inlineStr">
        <is>
          <t>General</t>
        </is>
      </c>
      <c r="CU146" t="inlineStr">
        <is>
          <t>general or unknown targets</t>
        </is>
      </c>
      <c r="CV146" t="inlineStr">
        <is>
          <t>Unknown</t>
        </is>
      </c>
      <c r="CW146" t="inlineStr">
        <is>
          <t>Pass 26 normalization: categories, mechanisms, evidence tiers</t>
        </is>
      </c>
      <c r="CX146" t="inlineStr">
        <is>
          <t>Mapped</t>
        </is>
      </c>
      <c r="CY146" t="inlineStr">
        <is>
          <t>Safety review required before publication.</t>
        </is>
      </c>
      <c r="CZ146" t="inlineStr">
        <is>
          <t>Interaction review required before publication</t>
        </is>
      </c>
      <c r="DB146" t="inlineStr">
        <is>
          <t>Pass 28 normalized evidence and safety-related free text</t>
        </is>
      </c>
      <c r="DD146" t="inlineStr">
        <is>
          <t>No standardized dose established; use conservative, product-dependent ranges.</t>
        </is>
      </c>
      <c r="DE146" t="inlineStr">
        <is>
          <t>Common forms include extracts, powders, or teas depending on herb part.</t>
        </is>
      </c>
      <c r="DF146" t="inlineStr">
        <is>
          <t>Quality varies by extraction method, standardization, and contamination risk.</t>
        </is>
      </c>
      <c r="DG146" t="inlineStr">
        <is>
          <t>Low</t>
        </is>
      </c>
      <c r="DH146" t="inlineStr">
        <is>
          <t>Pass 29 completeness repair</t>
        </is>
      </c>
      <c r="DI146" t="n">
        <v>9</v>
      </c>
      <c r="DJ146" t="inlineStr">
        <is>
          <t>General</t>
        </is>
      </c>
      <c r="DK146" t="inlineStr">
        <is>
          <t>Alkaloid</t>
        </is>
      </c>
      <c r="DL146" t="inlineStr">
        <is>
          <t>Agarikon; Ajwain; Angelica Root; Artichoke; Ashoka</t>
        </is>
      </c>
      <c r="DM146" t="inlineStr">
        <is>
          <t>Pass 31 relationship intelligence: density, cluster, anchor class, nearest herbs</t>
        </is>
      </c>
      <c r="DN146" t="inlineStr">
        <is>
          <t>Agarikon; Ajwain; Angelica Root; Artichoke; Ashoka</t>
        </is>
      </c>
      <c r="DO146" t="inlineStr">
        <is>
          <t>Agarikon (1 shared pathways) | Ajwain (1 shared pathways) | Angelica Root (1 shared pathways)</t>
        </is>
      </c>
      <c r="DP146" t="inlineStr">
        <is>
          <t>Generalist</t>
        </is>
      </c>
      <c r="DQ146" t="inlineStr">
        <is>
          <t>Pass 32 substitute engine + cluster cleanup</t>
        </is>
      </c>
      <c r="DR146" t="inlineStr">
        <is>
          <t>Agarikon</t>
        </is>
      </c>
      <c r="DS146" t="inlineStr">
        <is>
          <t>Ajwain</t>
        </is>
      </c>
      <c r="DT146" t="inlineStr">
        <is>
          <t>same cluster; lower safety burden; similarity-backed</t>
        </is>
      </c>
      <c r="DU146" t="inlineStr">
        <is>
          <t>Not needed</t>
        </is>
      </c>
      <c r="DV146" t="inlineStr">
        <is>
          <t>Pass 33 fallback replacement engine</t>
        </is>
      </c>
      <c r="DW146" t="inlineStr">
        <is>
          <t>Angelica Root</t>
        </is>
      </c>
      <c r="DX146" t="inlineStr">
        <is>
          <t>Agarikon; Ajwain; Angelica Root; Ashoka; Blue Lotus; Artichoke; Rosemary; Sage</t>
        </is>
      </c>
      <c r="DY146" t="inlineStr">
        <is>
          <t>Pass 35 expanded fallback pool with second-pass candidate exploration</t>
        </is>
      </c>
      <c r="EA146" t="inlineStr">
        <is>
          <t>General</t>
        </is>
      </c>
      <c r="EB146" t="inlineStr">
        <is>
          <t>unclassified</t>
        </is>
      </c>
      <c r="EC146" t="inlineStr">
        <is>
          <t>High</t>
        </is>
      </c>
      <c r="ED146" t="inlineStr">
        <is>
          <t>Pass 40 reinforced weak-category herb data</t>
        </is>
      </c>
      <c r="EG146" t="n">
        <v>3</v>
      </c>
      <c r="EH146" t="n">
        <v>3</v>
      </c>
      <c r="EI146" t="n">
        <v>0</v>
      </c>
      <c r="EJ146" t="n">
        <v>0</v>
      </c>
      <c r="EK146" t="n">
        <v>11</v>
      </c>
      <c r="EL146" t="n">
        <v>7</v>
      </c>
      <c r="EM146" t="inlineStr">
        <is>
          <t>Celastrine</t>
        </is>
      </c>
      <c r="EN146" t="inlineStr">
        <is>
          <t>Pass 48 rolled compound scores into herb-level scoring</t>
        </is>
      </c>
    </row>
    <row r="147">
      <c r="A147" s="68" t="inlineStr">
        <is>
          <t>Calamus</t>
        </is>
      </c>
      <c r="B147" s="68" t="inlineStr">
        <is>
          <t>acorus-calamus</t>
        </is>
      </c>
      <c r="C147" s="68" t="inlineStr">
        <is>
          <t>Acorus calamus</t>
        </is>
      </c>
      <c r="D147" s="68" t="inlineStr">
        <is>
          <t>herb</t>
        </is>
      </c>
      <c r="E147" s="68" t="inlineStr">
        <is>
          <t>botanical</t>
        </is>
      </c>
      <c r="F147" s="68" t="inlineStr">
        <is>
          <t>varies</t>
        </is>
      </c>
      <c r="G147" s="68" t="inlineStr">
        <is>
          <t>calamus</t>
        </is>
      </c>
      <c r="H147" s="68" t="n"/>
      <c r="I147" s="68" t="inlineStr">
        <is>
          <t>Calamus is an intake-stage monograph candidate linked to 3 internal compound records and pathway tags including gabaergic_modulation, NF-kB pathway inhibition.</t>
        </is>
      </c>
      <c r="J147" s="68" t="inlineStr">
        <is>
          <t>Internal cross-linking supports Calamus through compounds such as eugenol, alpha-asarone, beta-asarone.</t>
        </is>
      </c>
      <c r="K147" s="68" t="inlineStr">
        <is>
          <t>eugenol; alpha-asarone; beta-asarone</t>
        </is>
      </c>
      <c r="L147" s="68" t="inlineStr">
        <is>
          <t>eugenol</t>
        </is>
      </c>
      <c r="M147" s="68" t="inlineStr">
        <is>
          <t>Internal workbook mapping currently connects this herb to gabaergic_modulation, NF-kB pathway inhibition, PLCγ2-PKC pathway inhibition.</t>
        </is>
      </c>
      <c r="N147" s="68" t="inlineStr">
        <is>
          <t>gabaergic_modulation; NF-kB pathway inhibition; PLCγ2-PKC pathway inhibition</t>
        </is>
      </c>
      <c r="O147" s="68" t="inlineStr">
        <is>
          <t>mapped</t>
        </is>
      </c>
      <c r="P147" s="68" t="inlineStr">
        <is>
          <t>Safety review required before publication.</t>
        </is>
      </c>
      <c r="Q147" s="68" t="inlineStr">
        <is>
          <t>Interaction review required before publication.</t>
        </is>
      </c>
      <c r="R147" s="68" t="n"/>
      <c r="S147" s="68" t="n"/>
      <c r="T147" s="68" t="n"/>
      <c r="U147" s="68" t="n"/>
      <c r="V147" s="68" t="n"/>
      <c r="W147" s="68" t="inlineStr">
        <is>
          <t>Medium</t>
        </is>
      </c>
      <c r="X147" s="68" t="inlineStr">
        <is>
          <t>partial</t>
        </is>
      </c>
      <c r="Y147" s="68" t="n"/>
      <c r="Z147" s="68" t="inlineStr">
        <is>
          <t>dataset-linked</t>
        </is>
      </c>
      <c r="AA147" s="68" t="inlineStr">
        <is>
          <t>Internal workbook cross-link</t>
        </is>
      </c>
      <c r="AB147" s="68" t="n"/>
      <c r="AC147" s="68" t="n"/>
      <c r="AD147" s="68" t="n"/>
      <c r="AE147" s="68" t="n"/>
      <c r="AF147" s="68" t="n"/>
      <c r="AG147" s="68" t="n">
        <v>2</v>
      </c>
      <c r="AH147" s="68" t="n">
        <v>3</v>
      </c>
      <c r="AI147" s="68" t="n">
        <v>2</v>
      </c>
      <c r="AJ147" s="68" t="n">
        <v>7</v>
      </c>
      <c r="AK147" s="68" t="inlineStr">
        <is>
          <t>High</t>
        </is>
      </c>
      <c r="AL147" s="68" t="inlineStr">
        <is>
          <t>Needs source review</t>
        </is>
      </c>
      <c r="AM147" s="68" t="inlineStr">
        <is>
          <t>Internal linked</t>
        </is>
      </c>
      <c r="AN147" s="68" t="n">
        <v>0.95</v>
      </c>
      <c r="AO147" s="68" t="inlineStr">
        <is>
          <t>Near ready</t>
        </is>
      </c>
      <c r="AP147" s="68" t="n"/>
      <c r="AQ147" s="68" t="n"/>
      <c r="AR147" s="68" t="inlineStr">
        <is>
          <t>Editorial polish</t>
        </is>
      </c>
      <c r="AS147" s="68" t="inlineStr">
        <is>
          <t>Not started</t>
        </is>
      </c>
      <c r="AT147" s="68" t="inlineStr">
        <is>
          <t>No</t>
        </is>
      </c>
      <c r="AU147" s="68" t="inlineStr">
        <is>
          <t>No</t>
        </is>
      </c>
      <c r="AV147" s="68" t="inlineStr">
        <is>
          <t>No</t>
        </is>
      </c>
      <c r="AW147" s="68" t="inlineStr">
        <is>
          <t>Needs editorial sourcing</t>
        </is>
      </c>
      <c r="AX147" s="68" t="n">
        <v>0</v>
      </c>
      <c r="AY147" s="68" t="n"/>
      <c r="AZ147" s="68" t="n"/>
      <c r="BA147" s="68" t="inlineStr">
        <is>
          <t>Intake</t>
        </is>
      </c>
      <c r="BB147" s="68" t="inlineStr">
        <is>
          <t>Pending</t>
        </is>
      </c>
      <c r="BC147" s="68" t="inlineStr">
        <is>
          <t>Generated from pathway/cross-link support only.</t>
        </is>
      </c>
      <c r="BD147" s="68" t="n"/>
      <c r="BE147" s="68" t="inlineStr">
        <is>
          <t>2026-04-10</t>
        </is>
      </c>
      <c r="BF147" s="68" t="inlineStr">
        <is>
          <t>Added from internal pathway-linked herb gap audit</t>
        </is>
      </c>
      <c r="BG147" s="68" t="inlineStr">
        <is>
          <t>acorus-calamus|2026-04-10</t>
        </is>
      </c>
      <c r="BH147" s="68" t="inlineStr">
        <is>
          <t>2026-04-10:added as intake_stub from pathway cross-links</t>
        </is>
      </c>
      <c r="BI147" t="inlineStr">
        <is>
          <t>acorus-calamus</t>
        </is>
      </c>
      <c r="BJ147" t="inlineStr">
        <is>
          <t>Calamus</t>
        </is>
      </c>
      <c r="BK147" t="n">
        <v>0</v>
      </c>
      <c r="BL147" t="n">
        <v>0</v>
      </c>
      <c r="BM147" t="n">
        <v>1</v>
      </c>
      <c r="BN147" t="n">
        <v>0</v>
      </c>
      <c r="BO147" t="n">
        <v>100</v>
      </c>
      <c r="BP147" t="n">
        <v>0</v>
      </c>
      <c r="BQ147" t="n">
        <v>0</v>
      </c>
      <c r="BR147" t="n">
        <v>0</v>
      </c>
      <c r="BS147" t="inlineStr">
        <is>
          <t>Tier 4</t>
        </is>
      </c>
      <c r="BT147" t="n">
        <v>0</v>
      </c>
      <c r="BU147" t="inlineStr">
        <is>
          <t>FALSE</t>
        </is>
      </c>
      <c r="BV147" t="inlineStr">
        <is>
          <t>acorus-calamus</t>
        </is>
      </c>
      <c r="BW147" t="inlineStr">
        <is>
          <t>FALSE</t>
        </is>
      </c>
      <c r="BX147" t="inlineStr">
        <is>
          <t>Pass 10 refreshed scoring from 0 mapped compounds | Pass 13 rescored from 0 mapped compounds</t>
        </is>
      </c>
      <c r="CA147" t="n">
        <v>0</v>
      </c>
      <c r="CB147" t="n">
        <v>0</v>
      </c>
      <c r="CC147" t="n">
        <v>0</v>
      </c>
      <c r="CE147" t="inlineStr">
        <is>
          <t>Pass 13 rescored after herb-name normalization and real top-herb compound sweep</t>
        </is>
      </c>
      <c r="CF147" t="inlineStr">
        <is>
          <t>General</t>
        </is>
      </c>
      <c r="CH147" s="68" t="inlineStr">
        <is>
          <t>Start low; usually evening or split use</t>
        </is>
      </c>
      <c r="CI147" s="68" t="inlineStr">
        <is>
          <t>Prefer evening or split dosing; avoid stacking with other sedative-heavy products by default.</t>
        </is>
      </c>
      <c r="CJ147" s="68" t="inlineStr">
        <is>
          <t>sedation-cns</t>
        </is>
      </c>
      <c r="CK147" s="68" t="str"/>
      <c r="CL147" s="68" t="inlineStr">
        <is>
          <t>Baseline</t>
        </is>
      </c>
      <c r="CM147" s="68" t="inlineStr">
        <is>
          <t>No</t>
        </is>
      </c>
      <c r="CN147" s="68" t="str"/>
      <c r="CO147" s="68" t="inlineStr">
        <is>
          <t>Pass 21 herb-level safety and dose framing</t>
        </is>
      </c>
      <c r="CP147" t="inlineStr">
        <is>
          <t>Baseline</t>
        </is>
      </c>
      <c r="CQ147" t="inlineStr">
        <is>
          <t>No</t>
        </is>
      </c>
      <c r="CS147" t="inlineStr">
        <is>
          <t>Pass 22 refined safety rule severity and reduced broad keyword over-flagging</t>
        </is>
      </c>
      <c r="CT147" t="inlineStr">
        <is>
          <t>General</t>
        </is>
      </c>
      <c r="CU147" t="inlineStr">
        <is>
          <t>gabaergic_modulation; nf-kb pathway inhibition; plcγ2-pkc pathway inhibition</t>
        </is>
      </c>
      <c r="CV147" t="inlineStr">
        <is>
          <t>Unknown</t>
        </is>
      </c>
      <c r="CW147" t="inlineStr">
        <is>
          <t>Pass 26 normalization: categories, mechanisms, evidence tiers</t>
        </is>
      </c>
      <c r="CX147" t="inlineStr">
        <is>
          <t>Mapped</t>
        </is>
      </c>
      <c r="CY147" t="inlineStr">
        <is>
          <t>Safety review required before publication.</t>
        </is>
      </c>
      <c r="CZ147" t="inlineStr">
        <is>
          <t>Interaction review required before publication</t>
        </is>
      </c>
      <c r="DB147" t="inlineStr">
        <is>
          <t>Pass 28 normalized evidence and safety-related free text</t>
        </is>
      </c>
      <c r="DD147" t="inlineStr">
        <is>
          <t>No standardized dose established; use conservative, product-dependent ranges.</t>
        </is>
      </c>
      <c r="DE147" t="inlineStr">
        <is>
          <t>Common forms include extracts, powders, or teas depending on herb part.</t>
        </is>
      </c>
      <c r="DF147" t="inlineStr">
        <is>
          <t>Quality varies by extraction method, standardization, and contamination risk.</t>
        </is>
      </c>
      <c r="DG147" t="inlineStr">
        <is>
          <t>Low</t>
        </is>
      </c>
      <c r="DH147" t="inlineStr">
        <is>
          <t>Pass 29 completeness repair</t>
        </is>
      </c>
      <c r="DI147" t="n">
        <v>0</v>
      </c>
      <c r="DJ147" t="inlineStr">
        <is>
          <t>General</t>
        </is>
      </c>
      <c r="DL147" t="inlineStr">
        <is>
          <t>Acerola; Agarikon; Ajwain; Aloe Vera; American Ginseng</t>
        </is>
      </c>
      <c r="DM147" t="inlineStr">
        <is>
          <t>Pass 31 relationship intelligence: density, cluster, anchor class, nearest herbs</t>
        </is>
      </c>
      <c r="DP147" t="inlineStr">
        <is>
          <t>Generalist</t>
        </is>
      </c>
      <c r="DQ147" t="inlineStr">
        <is>
          <t>Pass 32 substitute engine + cluster cleanup</t>
        </is>
      </c>
      <c r="DT147" t="inlineStr">
        <is>
          <t>no strong safe fallback found</t>
        </is>
      </c>
      <c r="DU147" t="inlineStr">
        <is>
          <t>Not needed</t>
        </is>
      </c>
      <c r="DV147" t="inlineStr">
        <is>
          <t>Pass 33 fallback replacement engine</t>
        </is>
      </c>
      <c r="DY147" t="inlineStr">
        <is>
          <t>Pass 35 expanded fallback pool with second-pass candidate exploration</t>
        </is>
      </c>
      <c r="EA147" t="inlineStr">
        <is>
          <t>General</t>
        </is>
      </c>
      <c r="EC147" t="inlineStr">
        <is>
          <t>Medium</t>
        </is>
      </c>
      <c r="ED147" t="inlineStr">
        <is>
          <t>Pass 40 reinforced weak-category herb data</t>
        </is>
      </c>
      <c r="EG147" t="n">
        <v>0</v>
      </c>
      <c r="EH147" t="n">
        <v>0</v>
      </c>
      <c r="EI147" t="n">
        <v>0</v>
      </c>
      <c r="EJ147" t="n">
        <v>0</v>
      </c>
      <c r="EK147" t="n">
        <v>0</v>
      </c>
      <c r="EL147" t="n">
        <v>0</v>
      </c>
      <c r="EN147" t="inlineStr">
        <is>
          <t>Pass 48 rolled compound scores into herb-level scoring</t>
        </is>
      </c>
    </row>
    <row r="148">
      <c r="A148" s="68" t="inlineStr">
        <is>
          <t>Cayenne</t>
        </is>
      </c>
      <c r="B148" s="68" t="inlineStr">
        <is>
          <t>capsicum-annuum</t>
        </is>
      </c>
      <c r="C148" s="68" t="inlineStr">
        <is>
          <t>Capsicum annuum</t>
        </is>
      </c>
      <c r="D148" s="68" t="inlineStr">
        <is>
          <t>herb</t>
        </is>
      </c>
      <c r="E148" s="68" t="inlineStr">
        <is>
          <t>botanical</t>
        </is>
      </c>
      <c r="F148" s="68" t="inlineStr">
        <is>
          <t>varies</t>
        </is>
      </c>
      <c r="G148" s="68" t="inlineStr">
        <is>
          <t>cayenne</t>
        </is>
      </c>
      <c r="H148" s="68" t="n"/>
      <c r="I148" s="68" t="inlineStr">
        <is>
          <t>Cayenne is an intake-stage monograph candidate linked to 4 internal compound records and pathway tags including TRPV1 activation.</t>
        </is>
      </c>
      <c r="J148" s="68" t="inlineStr">
        <is>
          <t>Internal cross-linking supports Cayenne through compounds such as capsaicin, capsorubin, dihydrocapsaicin.</t>
        </is>
      </c>
      <c r="K148" s="68" t="inlineStr">
        <is>
          <t>capsaicin; capsorubin; dihydrocapsaicin; capsanthin</t>
        </is>
      </c>
      <c r="L148" s="68" t="inlineStr">
        <is>
          <t>capsaicin</t>
        </is>
      </c>
      <c r="M148" s="68" t="inlineStr">
        <is>
          <t>Internal workbook mapping currently connects this herb to TRPV1 activation.</t>
        </is>
      </c>
      <c r="N148" s="68" t="inlineStr">
        <is>
          <t>TRPV1 activation</t>
        </is>
      </c>
      <c r="O148" s="68" t="inlineStr">
        <is>
          <t>mapped</t>
        </is>
      </c>
      <c r="P148" s="68" t="inlineStr">
        <is>
          <t>Safety review required before publication.</t>
        </is>
      </c>
      <c r="Q148" s="68" t="inlineStr">
        <is>
          <t>Interaction review required before publication.</t>
        </is>
      </c>
      <c r="R148" s="68" t="n"/>
      <c r="S148" s="68" t="n"/>
      <c r="T148" s="68" t="n"/>
      <c r="U148" s="68" t="n"/>
      <c r="V148" s="68" t="n"/>
      <c r="W148" s="68" t="inlineStr">
        <is>
          <t>High</t>
        </is>
      </c>
      <c r="X148" s="68" t="inlineStr">
        <is>
          <t>partial</t>
        </is>
      </c>
      <c r="Y148" s="68" t="n"/>
      <c r="Z148" s="68" t="inlineStr">
        <is>
          <t>dataset-linked</t>
        </is>
      </c>
      <c r="AA148" s="68" t="inlineStr">
        <is>
          <t>Internal workbook cross-link</t>
        </is>
      </c>
      <c r="AB148" s="68" t="n"/>
      <c r="AC148" s="68" t="n"/>
      <c r="AD148" s="68" t="n"/>
      <c r="AE148" s="68" t="n"/>
      <c r="AF148" s="68" t="n"/>
      <c r="AG148" s="68" t="n">
        <v>3</v>
      </c>
      <c r="AH148" s="68" t="n">
        <v>2</v>
      </c>
      <c r="AI148" s="68" t="n">
        <v>2</v>
      </c>
      <c r="AJ148" s="68" t="n">
        <v>7</v>
      </c>
      <c r="AK148" s="68" t="inlineStr">
        <is>
          <t>High</t>
        </is>
      </c>
      <c r="AL148" s="68" t="inlineStr">
        <is>
          <t>Needs source review</t>
        </is>
      </c>
      <c r="AM148" s="68" t="inlineStr">
        <is>
          <t>Internal linked</t>
        </is>
      </c>
      <c r="AN148" s="68" t="n">
        <v>0.95</v>
      </c>
      <c r="AO148" s="68" t="inlineStr">
        <is>
          <t>Near ready</t>
        </is>
      </c>
      <c r="AP148" s="68" t="n"/>
      <c r="AQ148" s="68" t="n"/>
      <c r="AR148" s="68" t="inlineStr">
        <is>
          <t>Editorial polish</t>
        </is>
      </c>
      <c r="AS148" s="68" t="inlineStr">
        <is>
          <t>Not started</t>
        </is>
      </c>
      <c r="AT148" s="68" t="inlineStr">
        <is>
          <t>No</t>
        </is>
      </c>
      <c r="AU148" s="68" t="inlineStr">
        <is>
          <t>No</t>
        </is>
      </c>
      <c r="AV148" s="68" t="inlineStr">
        <is>
          <t>No</t>
        </is>
      </c>
      <c r="AW148" s="68" t="inlineStr">
        <is>
          <t>Needs editorial sourcing</t>
        </is>
      </c>
      <c r="AX148" s="68" t="n">
        <v>0</v>
      </c>
      <c r="AY148" s="68" t="n"/>
      <c r="AZ148" s="68" t="n"/>
      <c r="BA148" s="68" t="inlineStr">
        <is>
          <t>Intake</t>
        </is>
      </c>
      <c r="BB148" s="68" t="inlineStr">
        <is>
          <t>Pending</t>
        </is>
      </c>
      <c r="BC148" s="68" t="inlineStr">
        <is>
          <t>Generated from pathway/cross-link support only.</t>
        </is>
      </c>
      <c r="BD148" s="68" t="n"/>
      <c r="BE148" s="68" t="inlineStr">
        <is>
          <t>2026-04-10</t>
        </is>
      </c>
      <c r="BF148" s="68" t="inlineStr">
        <is>
          <t>Added from internal pathway-linked herb gap audit</t>
        </is>
      </c>
      <c r="BG148" s="68" t="inlineStr">
        <is>
          <t>capsicum-annuum|2026-04-10</t>
        </is>
      </c>
      <c r="BH148" s="68" t="inlineStr">
        <is>
          <t>2026-04-10:added as intake_stub from pathway cross-links</t>
        </is>
      </c>
      <c r="BI148" t="inlineStr">
        <is>
          <t>capsicum-annuum</t>
        </is>
      </c>
      <c r="BJ148" t="inlineStr">
        <is>
          <t>Cayenne</t>
        </is>
      </c>
      <c r="BK148" t="n">
        <v>0</v>
      </c>
      <c r="BL148" t="n">
        <v>0</v>
      </c>
      <c r="BM148" t="n">
        <v>1</v>
      </c>
      <c r="BN148" t="n">
        <v>0</v>
      </c>
      <c r="BO148" t="n">
        <v>100</v>
      </c>
      <c r="BP148" t="n">
        <v>0</v>
      </c>
      <c r="BQ148" t="n">
        <v>0</v>
      </c>
      <c r="BR148" t="n">
        <v>0</v>
      </c>
      <c r="BS148" t="inlineStr">
        <is>
          <t>Tier 4</t>
        </is>
      </c>
      <c r="BT148" t="n">
        <v>0</v>
      </c>
      <c r="BU148" t="inlineStr">
        <is>
          <t>FALSE</t>
        </is>
      </c>
      <c r="BV148" t="inlineStr">
        <is>
          <t>capsicum-annuum</t>
        </is>
      </c>
      <c r="BW148" t="inlineStr">
        <is>
          <t>FALSE</t>
        </is>
      </c>
      <c r="BX148" t="inlineStr">
        <is>
          <t>Pass 10 refreshed scoring from 0 mapped compounds | Pass 13 rescored from 0 mapped compounds</t>
        </is>
      </c>
      <c r="CA148" t="n">
        <v>0</v>
      </c>
      <c r="CB148" t="n">
        <v>0</v>
      </c>
      <c r="CC148" t="n">
        <v>0</v>
      </c>
      <c r="CE148" t="inlineStr">
        <is>
          <t>Pass 13 rescored after herb-name normalization and real top-herb compound sweep</t>
        </is>
      </c>
      <c r="CF148" t="inlineStr">
        <is>
          <t>General</t>
        </is>
      </c>
      <c r="CH148" s="68" t="inlineStr">
        <is>
          <t>Start with low single-herb exposure and increase only if tolerated</t>
        </is>
      </c>
      <c r="CI148" s="68" t="inlineStr">
        <is>
          <t>Product-ideation framing only; not clinical dosing advice.</t>
        </is>
      </c>
      <c r="CJ148" s="68" t="str"/>
      <c r="CK148" s="68" t="str"/>
      <c r="CL148" s="68" t="inlineStr">
        <is>
          <t>Baseline</t>
        </is>
      </c>
      <c r="CM148" s="68" t="inlineStr">
        <is>
          <t>No</t>
        </is>
      </c>
      <c r="CN148" s="68" t="str"/>
      <c r="CO148" s="68" t="inlineStr">
        <is>
          <t>Pass 21 herb-level safety and dose framing</t>
        </is>
      </c>
      <c r="CP148" t="inlineStr">
        <is>
          <t>Baseline</t>
        </is>
      </c>
      <c r="CQ148" t="inlineStr">
        <is>
          <t>No</t>
        </is>
      </c>
      <c r="CS148" t="inlineStr">
        <is>
          <t>Pass 22 refined safety rule severity and reduced broad keyword over-flagging</t>
        </is>
      </c>
      <c r="CT148" t="inlineStr">
        <is>
          <t>General</t>
        </is>
      </c>
      <c r="CU148" t="inlineStr">
        <is>
          <t>trpv1 activation</t>
        </is>
      </c>
      <c r="CV148" t="inlineStr">
        <is>
          <t>Unknown</t>
        </is>
      </c>
      <c r="CW148" t="inlineStr">
        <is>
          <t>Pass 26 normalization: categories, mechanisms, evidence tiers</t>
        </is>
      </c>
      <c r="CX148" t="inlineStr">
        <is>
          <t>Mapped</t>
        </is>
      </c>
      <c r="CY148" t="inlineStr">
        <is>
          <t>Safety review required before publication.</t>
        </is>
      </c>
      <c r="CZ148" t="inlineStr">
        <is>
          <t>Interaction review required before publication</t>
        </is>
      </c>
      <c r="DB148" t="inlineStr">
        <is>
          <t>Pass 28 normalized evidence and safety-related free text</t>
        </is>
      </c>
      <c r="DD148" t="inlineStr">
        <is>
          <t>No standardized dose established; use conservative, product-dependent ranges.</t>
        </is>
      </c>
      <c r="DE148" t="inlineStr">
        <is>
          <t>Common forms include extracts, powders, or teas depending on herb part.</t>
        </is>
      </c>
      <c r="DF148" t="inlineStr">
        <is>
          <t>Quality varies by extraction method, standardization, and contamination risk.</t>
        </is>
      </c>
      <c r="DG148" t="inlineStr">
        <is>
          <t>Low</t>
        </is>
      </c>
      <c r="DH148" t="inlineStr">
        <is>
          <t>Pass 29 completeness repair</t>
        </is>
      </c>
      <c r="DI148" t="n">
        <v>0</v>
      </c>
      <c r="DJ148" t="inlineStr">
        <is>
          <t>General</t>
        </is>
      </c>
      <c r="DL148" t="inlineStr">
        <is>
          <t>Acerola; Agarikon; Ajwain; Aloe Vera; American Ginseng</t>
        </is>
      </c>
      <c r="DM148" t="inlineStr">
        <is>
          <t>Pass 31 relationship intelligence: density, cluster, anchor class, nearest herbs</t>
        </is>
      </c>
      <c r="DP148" t="inlineStr">
        <is>
          <t>Generalist</t>
        </is>
      </c>
      <c r="DQ148" t="inlineStr">
        <is>
          <t>Pass 32 substitute engine + cluster cleanup</t>
        </is>
      </c>
      <c r="DT148" t="inlineStr">
        <is>
          <t>no strong safe fallback found</t>
        </is>
      </c>
      <c r="DU148" t="inlineStr">
        <is>
          <t>Not needed</t>
        </is>
      </c>
      <c r="DV148" t="inlineStr">
        <is>
          <t>Pass 33 fallback replacement engine</t>
        </is>
      </c>
      <c r="DY148" t="inlineStr">
        <is>
          <t>Pass 35 expanded fallback pool with second-pass candidate exploration</t>
        </is>
      </c>
      <c r="EA148" t="inlineStr">
        <is>
          <t>General</t>
        </is>
      </c>
      <c r="EC148" t="inlineStr">
        <is>
          <t>High</t>
        </is>
      </c>
      <c r="ED148" t="inlineStr">
        <is>
          <t>Pass 40 reinforced weak-category herb data</t>
        </is>
      </c>
      <c r="EG148" t="n">
        <v>0</v>
      </c>
      <c r="EH148" t="n">
        <v>0</v>
      </c>
      <c r="EI148" t="n">
        <v>0</v>
      </c>
      <c r="EJ148" t="n">
        <v>0</v>
      </c>
      <c r="EK148" t="n">
        <v>0</v>
      </c>
      <c r="EL148" t="n">
        <v>0</v>
      </c>
      <c r="EN148" t="inlineStr">
        <is>
          <t>Pass 48 rolled compound scores into herb-level scoring</t>
        </is>
      </c>
    </row>
    <row r="149">
      <c r="A149" s="68" t="inlineStr">
        <is>
          <t>Corydalis</t>
        </is>
      </c>
      <c r="B149" s="68" t="inlineStr">
        <is>
          <t>corydalis-yanhusuo</t>
        </is>
      </c>
      <c r="C149" s="68" t="inlineStr">
        <is>
          <t>Corydalis yanhusuo</t>
        </is>
      </c>
      <c r="D149" s="68" t="inlineStr">
        <is>
          <t>herb</t>
        </is>
      </c>
      <c r="E149" s="68" t="inlineStr">
        <is>
          <t>botanical</t>
        </is>
      </c>
      <c r="F149" s="68" t="inlineStr">
        <is>
          <t>varies</t>
        </is>
      </c>
      <c r="G149" s="68" t="inlineStr">
        <is>
          <t>corydalis</t>
        </is>
      </c>
      <c r="H149" s="68" t="n"/>
      <c r="I149" s="68" t="inlineStr">
        <is>
          <t>Corydalis is an intake-stage monograph candidate linked to 4 internal compound records and pathway tags including dopaminergic_modulation.</t>
        </is>
      </c>
      <c r="J149" s="68" t="inlineStr">
        <is>
          <t>Internal cross-linking supports Corydalis through compounds such as corydaline, isocorypalmine, dehydrocorybulbine.</t>
        </is>
      </c>
      <c r="K149" s="68" t="inlineStr">
        <is>
          <t>corydaline; isocorypalmine; dehydrocorybulbine; tetrahydropalmatine</t>
        </is>
      </c>
      <c r="L149" s="68" t="inlineStr">
        <is>
          <t>corydaline</t>
        </is>
      </c>
      <c r="M149" s="68" t="inlineStr">
        <is>
          <t>Internal workbook mapping currently connects this herb to dopaminergic_modulation.</t>
        </is>
      </c>
      <c r="N149" s="68" t="inlineStr">
        <is>
          <t>dopaminergic_modulation</t>
        </is>
      </c>
      <c r="O149" s="68" t="inlineStr">
        <is>
          <t>mapped</t>
        </is>
      </c>
      <c r="P149" s="68" t="inlineStr">
        <is>
          <t>Safety review required before publication.</t>
        </is>
      </c>
      <c r="Q149" s="68" t="inlineStr">
        <is>
          <t>Interaction review required before publication.</t>
        </is>
      </c>
      <c r="R149" s="68" t="n"/>
      <c r="S149" s="68" t="n"/>
      <c r="T149" s="68" t="n"/>
      <c r="U149" s="68" t="n"/>
      <c r="V149" s="68" t="n"/>
      <c r="W149" s="68" t="inlineStr">
        <is>
          <t>Medium</t>
        </is>
      </c>
      <c r="X149" s="68" t="inlineStr">
        <is>
          <t>partial</t>
        </is>
      </c>
      <c r="Y149" s="68" t="n"/>
      <c r="Z149" s="68" t="inlineStr">
        <is>
          <t>dataset-linked</t>
        </is>
      </c>
      <c r="AA149" s="68" t="inlineStr">
        <is>
          <t>Internal workbook cross-link</t>
        </is>
      </c>
      <c r="AB149" s="68" t="n"/>
      <c r="AC149" s="68" t="n"/>
      <c r="AD149" s="68" t="n"/>
      <c r="AE149" s="68" t="n"/>
      <c r="AF149" s="68" t="n"/>
      <c r="AG149" s="68" t="n">
        <v>2</v>
      </c>
      <c r="AH149" s="68" t="n">
        <v>2</v>
      </c>
      <c r="AI149" s="68" t="n">
        <v>2</v>
      </c>
      <c r="AJ149" s="68" t="n">
        <v>6</v>
      </c>
      <c r="AK149" s="68" t="inlineStr">
        <is>
          <t>High</t>
        </is>
      </c>
      <c r="AL149" s="68" t="inlineStr">
        <is>
          <t>Needs source review</t>
        </is>
      </c>
      <c r="AM149" s="68" t="inlineStr">
        <is>
          <t>Internal linked</t>
        </is>
      </c>
      <c r="AN149" s="68" t="n">
        <v>0.95</v>
      </c>
      <c r="AO149" s="68" t="inlineStr">
        <is>
          <t>Near ready</t>
        </is>
      </c>
      <c r="AP149" s="68" t="n"/>
      <c r="AQ149" s="68" t="n"/>
      <c r="AR149" s="68" t="inlineStr">
        <is>
          <t>Editorial polish</t>
        </is>
      </c>
      <c r="AS149" s="68" t="inlineStr">
        <is>
          <t>Not started</t>
        </is>
      </c>
      <c r="AT149" s="68" t="inlineStr">
        <is>
          <t>No</t>
        </is>
      </c>
      <c r="AU149" s="68" t="inlineStr">
        <is>
          <t>No</t>
        </is>
      </c>
      <c r="AV149" s="68" t="inlineStr">
        <is>
          <t>No</t>
        </is>
      </c>
      <c r="AW149" s="68" t="inlineStr">
        <is>
          <t>Needs editorial sourcing</t>
        </is>
      </c>
      <c r="AX149" s="68" t="n">
        <v>0</v>
      </c>
      <c r="AY149" s="68" t="n"/>
      <c r="AZ149" s="68" t="n"/>
      <c r="BA149" s="68" t="inlineStr">
        <is>
          <t>Intake</t>
        </is>
      </c>
      <c r="BB149" s="68" t="inlineStr">
        <is>
          <t>Pending</t>
        </is>
      </c>
      <c r="BC149" s="68" t="inlineStr">
        <is>
          <t>Generated from pathway/cross-link support only.</t>
        </is>
      </c>
      <c r="BD149" s="68" t="n"/>
      <c r="BE149" s="68" t="inlineStr">
        <is>
          <t>2026-04-10</t>
        </is>
      </c>
      <c r="BF149" s="68" t="inlineStr">
        <is>
          <t>Added from internal pathway-linked herb gap audit</t>
        </is>
      </c>
      <c r="BG149" s="68" t="inlineStr">
        <is>
          <t>corydalis-yanhusuo|2026-04-10</t>
        </is>
      </c>
      <c r="BH149" s="68" t="inlineStr">
        <is>
          <t>2026-04-10:added as intake_stub from pathway cross-links</t>
        </is>
      </c>
      <c r="BI149" t="inlineStr">
        <is>
          <t>corydalis-yanhusuo</t>
        </is>
      </c>
      <c r="BJ149" t="inlineStr">
        <is>
          <t>Corydalis</t>
        </is>
      </c>
      <c r="BK149" t="n">
        <v>2</v>
      </c>
      <c r="BL149" t="n">
        <v>3</v>
      </c>
      <c r="BM149" t="n">
        <v>1</v>
      </c>
      <c r="BN149" t="n">
        <v>17</v>
      </c>
      <c r="BO149" t="n">
        <v>100</v>
      </c>
      <c r="BP149" t="n">
        <v>17</v>
      </c>
      <c r="BQ149" t="n">
        <v>30</v>
      </c>
      <c r="BR149" t="n">
        <v>15</v>
      </c>
      <c r="BS149" t="inlineStr">
        <is>
          <t>Tier 1</t>
        </is>
      </c>
      <c r="BT149" t="n">
        <v>13</v>
      </c>
      <c r="BU149" t="inlineStr">
        <is>
          <t>FALSE</t>
        </is>
      </c>
      <c r="BV149" t="inlineStr">
        <is>
          <t>corydalis-yanhusuo</t>
        </is>
      </c>
      <c r="BW149" t="inlineStr">
        <is>
          <t>TRUE</t>
        </is>
      </c>
      <c r="BX149" t="inlineStr">
        <is>
          <t>Pass 10 refreshed scoring from 1 mapped compounds | Pass 13 rescored from 2 mapped compounds</t>
        </is>
      </c>
      <c r="BY149" t="inlineStr">
        <is>
          <t>analgesic signaling; dopamine signaling; unclassified</t>
        </is>
      </c>
      <c r="BZ149" t="inlineStr">
        <is>
          <t>dopaminergic modulation</t>
        </is>
      </c>
      <c r="CA149" t="n">
        <v>6</v>
      </c>
      <c r="CB149" t="n">
        <v>0</v>
      </c>
      <c r="CC149" t="n">
        <v>0</v>
      </c>
      <c r="CD149" t="inlineStr">
        <is>
          <t>Alkaloid; dehydrocorybulbine; analgesic signaling; dopamine signaling; unclassified</t>
        </is>
      </c>
      <c r="CE149" t="inlineStr">
        <is>
          <t>Pass 13 rescored after herb-name normalization and real top-herb compound sweep</t>
        </is>
      </c>
      <c r="CF149" t="inlineStr">
        <is>
          <t>Focus</t>
        </is>
      </c>
      <c r="CH149" s="68" t="inlineStr">
        <is>
          <t>Start low; usually daytime use</t>
        </is>
      </c>
      <c r="CI149" s="68" t="inlineStr">
        <is>
          <t>Product-ideation framing only; not clinical dosing advice.</t>
        </is>
      </c>
      <c r="CJ149" s="68" t="str"/>
      <c r="CK149" s="68" t="str"/>
      <c r="CL149" s="68" t="inlineStr">
        <is>
          <t>Baseline</t>
        </is>
      </c>
      <c r="CM149" s="68" t="inlineStr">
        <is>
          <t>No</t>
        </is>
      </c>
      <c r="CN149" s="68" t="str"/>
      <c r="CO149" s="68" t="inlineStr">
        <is>
          <t>Pass 21 herb-level safety and dose framing</t>
        </is>
      </c>
      <c r="CP149" t="inlineStr">
        <is>
          <t>Baseline</t>
        </is>
      </c>
      <c r="CQ149" t="inlineStr">
        <is>
          <t>No</t>
        </is>
      </c>
      <c r="CS149" t="inlineStr">
        <is>
          <t>Pass 22 refined safety rule severity and reduced broad keyword over-flagging</t>
        </is>
      </c>
      <c r="CT149" t="inlineStr">
        <is>
          <t>Focus</t>
        </is>
      </c>
      <c r="CU149" t="inlineStr">
        <is>
          <t>dopaminergic_modulation</t>
        </is>
      </c>
      <c r="CV149" t="inlineStr">
        <is>
          <t>Unknown</t>
        </is>
      </c>
      <c r="CW149" t="inlineStr">
        <is>
          <t>Pass 26 normalization: categories, mechanisms, evidence tiers</t>
        </is>
      </c>
      <c r="CX149" t="inlineStr">
        <is>
          <t>Mapped</t>
        </is>
      </c>
      <c r="CY149" t="inlineStr">
        <is>
          <t>Safety review required before publication.</t>
        </is>
      </c>
      <c r="CZ149" t="inlineStr">
        <is>
          <t>Interaction review required before publication</t>
        </is>
      </c>
      <c r="DB149" t="inlineStr">
        <is>
          <t>Pass 28 normalized evidence and safety-related free text</t>
        </is>
      </c>
      <c r="DD149" t="inlineStr">
        <is>
          <t>No standardized dose established; use conservative, product-dependent ranges.</t>
        </is>
      </c>
      <c r="DE149" t="inlineStr">
        <is>
          <t>Common forms include extracts, powders, or teas depending on herb part.</t>
        </is>
      </c>
      <c r="DF149" t="inlineStr">
        <is>
          <t>Quality varies by extraction method, standardization, and contamination risk.</t>
        </is>
      </c>
      <c r="DG149" t="inlineStr">
        <is>
          <t>Low</t>
        </is>
      </c>
      <c r="DH149" t="inlineStr">
        <is>
          <t>Pass 29 completeness repair</t>
        </is>
      </c>
      <c r="DI149" t="n">
        <v>11</v>
      </c>
      <c r="DJ149" t="inlineStr">
        <is>
          <t>Neurocognitive</t>
        </is>
      </c>
      <c r="DL149" t="inlineStr">
        <is>
          <t>Polygala; Shankhpushpi; Panax Ginseng; Bacopa; Chinese Skullcap</t>
        </is>
      </c>
      <c r="DM149" t="inlineStr">
        <is>
          <t>Pass 31 relationship intelligence: density, cluster, anchor class, nearest herbs</t>
        </is>
      </c>
      <c r="DP149" t="inlineStr">
        <is>
          <t>Neuro / Cognitive</t>
        </is>
      </c>
      <c r="DQ149" t="inlineStr">
        <is>
          <t>Pass 32 substitute engine + cluster cleanup</t>
        </is>
      </c>
      <c r="DT149" t="inlineStr">
        <is>
          <t>no strong safe fallback found</t>
        </is>
      </c>
      <c r="DU149" t="inlineStr">
        <is>
          <t>Not needed</t>
        </is>
      </c>
      <c r="DV149" t="inlineStr">
        <is>
          <t>Pass 33 fallback replacement engine</t>
        </is>
      </c>
      <c r="DY149" t="inlineStr">
        <is>
          <t>Pass 35 expanded fallback pool with second-pass candidate exploration</t>
        </is>
      </c>
      <c r="EG149" t="n">
        <v>0</v>
      </c>
      <c r="EH149" t="n">
        <v>0</v>
      </c>
      <c r="EI149" t="n">
        <v>0</v>
      </c>
      <c r="EJ149" t="n">
        <v>0</v>
      </c>
      <c r="EK149" t="n">
        <v>0</v>
      </c>
      <c r="EL149" t="n">
        <v>0</v>
      </c>
      <c r="EN149" t="inlineStr">
        <is>
          <t>Pass 48 rolled compound scores into herb-level scoring</t>
        </is>
      </c>
    </row>
    <row r="150">
      <c r="A150" s="68" t="inlineStr">
        <is>
          <t>Chinese Skullcap</t>
        </is>
      </c>
      <c r="B150" s="68" t="inlineStr">
        <is>
          <t>scutellaria-baicalensis</t>
        </is>
      </c>
      <c r="C150" s="68" t="inlineStr">
        <is>
          <t>Scutellaria baicalensis</t>
        </is>
      </c>
      <c r="D150" s="68" t="inlineStr">
        <is>
          <t>herb</t>
        </is>
      </c>
      <c r="E150" s="68" t="inlineStr">
        <is>
          <t>botanical</t>
        </is>
      </c>
      <c r="F150" s="68" t="inlineStr">
        <is>
          <t>varies</t>
        </is>
      </c>
      <c r="G150" s="68" t="inlineStr">
        <is>
          <t>chinese skullcap</t>
        </is>
      </c>
      <c r="H150" s="68" t="n"/>
      <c r="I150" s="68" t="inlineStr">
        <is>
          <t>Chinese Skullcap is an intake-stage monograph candidate linked to 3 internal compound records and pathway tags including gabaergic_modulation, LOX inhibition.</t>
        </is>
      </c>
      <c r="J150" s="68" t="inlineStr">
        <is>
          <t>Internal cross-linking supports Chinese Skullcap through compounds such as baicalein, baicalin, wogonin.</t>
        </is>
      </c>
      <c r="K150" s="68" t="inlineStr">
        <is>
          <t>baicalein; baicalin; wogonin</t>
        </is>
      </c>
      <c r="L150" s="68" t="inlineStr">
        <is>
          <t>baicalein</t>
        </is>
      </c>
      <c r="M150" s="68" t="inlineStr">
        <is>
          <t>Internal workbook mapping currently connects this herb to gabaergic_modulation, LOX inhibition, NF-kB inhibition.</t>
        </is>
      </c>
      <c r="N150" s="68" t="inlineStr">
        <is>
          <t>gabaergic_modulation; LOX inhibition; NF-kB inhibition</t>
        </is>
      </c>
      <c r="O150" s="68" t="inlineStr">
        <is>
          <t>mapped</t>
        </is>
      </c>
      <c r="P150" s="68" t="inlineStr">
        <is>
          <t>Safety review required before publication.</t>
        </is>
      </c>
      <c r="Q150" s="68" t="inlineStr">
        <is>
          <t>Interaction review required before publication.</t>
        </is>
      </c>
      <c r="R150" s="68" t="n"/>
      <c r="S150" s="68" t="n"/>
      <c r="T150" s="68" t="n"/>
      <c r="U150" s="68" t="n"/>
      <c r="V150" s="68" t="n"/>
      <c r="W150" s="68" t="inlineStr">
        <is>
          <t>Medium</t>
        </is>
      </c>
      <c r="X150" s="68" t="inlineStr">
        <is>
          <t>partial</t>
        </is>
      </c>
      <c r="Y150" s="68" t="n"/>
      <c r="Z150" s="68" t="inlineStr">
        <is>
          <t>dataset-linked</t>
        </is>
      </c>
      <c r="AA150" s="68" t="inlineStr">
        <is>
          <t>Internal workbook cross-link</t>
        </is>
      </c>
      <c r="AB150" s="68" t="n"/>
      <c r="AC150" s="68" t="n"/>
      <c r="AD150" s="68" t="n"/>
      <c r="AE150" s="68" t="n"/>
      <c r="AF150" s="68" t="n"/>
      <c r="AG150" s="68" t="n">
        <v>2</v>
      </c>
      <c r="AH150" s="68" t="n">
        <v>2</v>
      </c>
      <c r="AI150" s="68" t="n">
        <v>2</v>
      </c>
      <c r="AJ150" s="68" t="n">
        <v>6</v>
      </c>
      <c r="AK150" s="68" t="inlineStr">
        <is>
          <t>High</t>
        </is>
      </c>
      <c r="AL150" s="68" t="inlineStr">
        <is>
          <t>Needs source review</t>
        </is>
      </c>
      <c r="AM150" s="68" t="inlineStr">
        <is>
          <t>Internal linked</t>
        </is>
      </c>
      <c r="AN150" s="68" t="n">
        <v>0.95</v>
      </c>
      <c r="AO150" s="68" t="inlineStr">
        <is>
          <t>Near ready</t>
        </is>
      </c>
      <c r="AP150" s="68" t="n"/>
      <c r="AQ150" s="68" t="n"/>
      <c r="AR150" s="68" t="inlineStr">
        <is>
          <t>Editorial polish</t>
        </is>
      </c>
      <c r="AS150" s="68" t="inlineStr">
        <is>
          <t>Not started</t>
        </is>
      </c>
      <c r="AT150" s="68" t="inlineStr">
        <is>
          <t>No</t>
        </is>
      </c>
      <c r="AU150" s="68" t="inlineStr">
        <is>
          <t>No</t>
        </is>
      </c>
      <c r="AV150" s="68" t="inlineStr">
        <is>
          <t>No</t>
        </is>
      </c>
      <c r="AW150" s="68" t="inlineStr">
        <is>
          <t>Needs editorial sourcing</t>
        </is>
      </c>
      <c r="AX150" s="68" t="n">
        <v>0</v>
      </c>
      <c r="AY150" s="68" t="n"/>
      <c r="AZ150" s="68" t="n"/>
      <c r="BA150" s="68" t="inlineStr">
        <is>
          <t>Intake</t>
        </is>
      </c>
      <c r="BB150" s="68" t="inlineStr">
        <is>
          <t>Pending</t>
        </is>
      </c>
      <c r="BC150" s="68" t="inlineStr">
        <is>
          <t>Generated from pathway/cross-link support only.</t>
        </is>
      </c>
      <c r="BD150" s="68" t="n"/>
      <c r="BE150" s="68" t="inlineStr">
        <is>
          <t>2026-04-10</t>
        </is>
      </c>
      <c r="BF150" s="68" t="inlineStr">
        <is>
          <t>Added from internal pathway-linked herb gap audit</t>
        </is>
      </c>
      <c r="BG150" s="68" t="inlineStr">
        <is>
          <t>scutellaria-baicalensis|2026-04-10</t>
        </is>
      </c>
      <c r="BH150" s="68" t="inlineStr">
        <is>
          <t>2026-04-10:added as intake_stub from pathway cross-links</t>
        </is>
      </c>
      <c r="BI150" t="inlineStr">
        <is>
          <t>scutellaria-baicalensis</t>
        </is>
      </c>
      <c r="BJ150" t="inlineStr">
        <is>
          <t>Chinese Skullcap</t>
        </is>
      </c>
      <c r="BK150" t="n">
        <v>5</v>
      </c>
      <c r="BL150" t="n">
        <v>3</v>
      </c>
      <c r="BM150" t="n">
        <v>1</v>
      </c>
      <c r="BN150" t="n">
        <v>27</v>
      </c>
      <c r="BO150" t="n">
        <v>100</v>
      </c>
      <c r="BP150" t="n">
        <v>42</v>
      </c>
      <c r="BQ150" t="n">
        <v>30</v>
      </c>
      <c r="BR150" t="n">
        <v>38</v>
      </c>
      <c r="BS150" t="inlineStr">
        <is>
          <t>Tier 1</t>
        </is>
      </c>
      <c r="BT150" t="n">
        <v>27</v>
      </c>
      <c r="BU150" t="inlineStr">
        <is>
          <t>FALSE</t>
        </is>
      </c>
      <c r="BV150" t="inlineStr">
        <is>
          <t>scutellaria-baicalensis</t>
        </is>
      </c>
      <c r="BW150" t="inlineStr">
        <is>
          <t>TRUE</t>
        </is>
      </c>
      <c r="BX150" t="inlineStr">
        <is>
          <t>Pass 10 refreshed scoring from 2 mapped compounds | Pass 13 rescored from 5 mapped compounds</t>
        </is>
      </c>
      <c r="BY150" t="inlineStr">
        <is>
          <t>NF-kB inhibition; neuroprotective signaling; unclassified</t>
        </is>
      </c>
      <c r="BZ150" t="inlineStr">
        <is>
          <t>anti-inflammatory and neuroprotective signaling; anti-inflammatory signaling</t>
        </is>
      </c>
      <c r="CA150" t="n">
        <v>15</v>
      </c>
      <c r="CB150" t="n">
        <v>0</v>
      </c>
      <c r="CC150" t="n">
        <v>0</v>
      </c>
      <c r="CD150" t="inlineStr">
        <is>
          <t>Flavonoid; wogonin; NF-kB inhibition; neuroprotective signaling; unclassified</t>
        </is>
      </c>
      <c r="CE150" t="inlineStr">
        <is>
          <t>Pass 13 rescored after herb-name normalization and real top-herb compound sweep</t>
        </is>
      </c>
      <c r="CF150" t="inlineStr">
        <is>
          <t>General</t>
        </is>
      </c>
      <c r="CG150" t="inlineStr">
        <is>
          <t>Focus</t>
        </is>
      </c>
      <c r="CH150" s="68" t="inlineStr">
        <is>
          <t>Start low; usually evening or split use</t>
        </is>
      </c>
      <c r="CI150" s="68" t="inlineStr">
        <is>
          <t>Prefer evening or split dosing; avoid stacking with other sedative-heavy products by default.</t>
        </is>
      </c>
      <c r="CJ150" s="68" t="inlineStr">
        <is>
          <t>sedation-cns</t>
        </is>
      </c>
      <c r="CK150" s="68" t="str"/>
      <c r="CL150" s="68" t="inlineStr">
        <is>
          <t>Baseline</t>
        </is>
      </c>
      <c r="CM150" s="68" t="inlineStr">
        <is>
          <t>No</t>
        </is>
      </c>
      <c r="CN150" s="68" t="str"/>
      <c r="CO150" s="68" t="inlineStr">
        <is>
          <t>Pass 21 herb-level safety and dose framing</t>
        </is>
      </c>
      <c r="CP150" t="inlineStr">
        <is>
          <t>Baseline</t>
        </is>
      </c>
      <c r="CQ150" t="inlineStr">
        <is>
          <t>No</t>
        </is>
      </c>
      <c r="CS150" t="inlineStr">
        <is>
          <t>Pass 22 refined safety rule severity and reduced broad keyword over-flagging</t>
        </is>
      </c>
      <c r="CT150" t="inlineStr">
        <is>
          <t>General</t>
        </is>
      </c>
      <c r="CU150" t="inlineStr">
        <is>
          <t>gabaergic_modulation; lox inhibition; nf-kb inhibition</t>
        </is>
      </c>
      <c r="CV150" t="inlineStr">
        <is>
          <t>Unknown</t>
        </is>
      </c>
      <c r="CW150" t="inlineStr">
        <is>
          <t>Pass 26 normalization: categories, mechanisms, evidence tiers</t>
        </is>
      </c>
      <c r="CX150" t="inlineStr">
        <is>
          <t>Mapped</t>
        </is>
      </c>
      <c r="CY150" t="inlineStr">
        <is>
          <t>Safety review required before publication.</t>
        </is>
      </c>
      <c r="CZ150" t="inlineStr">
        <is>
          <t>Interaction review required before publication</t>
        </is>
      </c>
      <c r="DB150" t="inlineStr">
        <is>
          <t>Pass 28 normalized evidence and safety-related free text</t>
        </is>
      </c>
      <c r="DD150" t="inlineStr">
        <is>
          <t>No standardized dose established; use conservative, product-dependent ranges.</t>
        </is>
      </c>
      <c r="DE150" t="inlineStr">
        <is>
          <t>Common forms include extracts, powders, or teas depending on herb part.</t>
        </is>
      </c>
      <c r="DF150" t="inlineStr">
        <is>
          <t>Quality varies by extraction method, standardization, and contamination risk.</t>
        </is>
      </c>
      <c r="DG150" t="inlineStr">
        <is>
          <t>Low</t>
        </is>
      </c>
      <c r="DH150" t="inlineStr">
        <is>
          <t>Pass 29 completeness repair</t>
        </is>
      </c>
      <c r="DI150" t="n">
        <v>48</v>
      </c>
      <c r="DJ150" t="inlineStr">
        <is>
          <t>Neurocognitive</t>
        </is>
      </c>
      <c r="DK150" t="inlineStr">
        <is>
          <t>Flavonoid</t>
        </is>
      </c>
      <c r="DL150" t="inlineStr">
        <is>
          <t>Ginkgo Biloba; Ashwagandha; Black Cohosh; Chamomile; Polygala</t>
        </is>
      </c>
      <c r="DM150" t="inlineStr">
        <is>
          <t>Pass 31 relationship intelligence: density, cluster, anchor class, nearest herbs</t>
        </is>
      </c>
      <c r="DP150" t="inlineStr">
        <is>
          <t>Neuro / Cognitive</t>
        </is>
      </c>
      <c r="DQ150" t="inlineStr">
        <is>
          <t>Pass 32 substitute engine + cluster cleanup</t>
        </is>
      </c>
      <c r="DT150" t="inlineStr">
        <is>
          <t>no strong safe fallback found</t>
        </is>
      </c>
      <c r="DU150" t="inlineStr">
        <is>
          <t>Not needed</t>
        </is>
      </c>
      <c r="DV150" t="inlineStr">
        <is>
          <t>Pass 33 fallback replacement engine</t>
        </is>
      </c>
      <c r="DY150" t="inlineStr">
        <is>
          <t>Pass 35 expanded fallback pool with second-pass candidate exploration</t>
        </is>
      </c>
      <c r="EA150" t="inlineStr">
        <is>
          <t>Focus</t>
        </is>
      </c>
      <c r="EB150" t="inlineStr">
        <is>
          <t>NF-kB inhibition; neuroprotective signaling; unclassified</t>
        </is>
      </c>
      <c r="EC150" t="inlineStr">
        <is>
          <t>Medium</t>
        </is>
      </c>
      <c r="ED150" t="inlineStr">
        <is>
          <t>Pass 40 reinforced weak-category herb data</t>
        </is>
      </c>
      <c r="EG150" t="n">
        <v>26</v>
      </c>
      <c r="EH150" t="n">
        <v>6.5</v>
      </c>
      <c r="EI150" t="n">
        <v>0</v>
      </c>
      <c r="EJ150" t="n">
        <v>2</v>
      </c>
      <c r="EK150" t="n">
        <v>47</v>
      </c>
      <c r="EL150" t="n">
        <v>39</v>
      </c>
      <c r="EM150" t="inlineStr">
        <is>
          <t>Baicalein; Baicalin; wogonin; Wogonoside</t>
        </is>
      </c>
      <c r="EN150" t="inlineStr">
        <is>
          <t>Pass 48 rolled compound scores into herb-level scoring</t>
        </is>
      </c>
    </row>
    <row r="151">
      <c r="A151" s="68" t="inlineStr">
        <is>
          <t>Phellodendron</t>
        </is>
      </c>
      <c r="B151" s="68" t="inlineStr">
        <is>
          <t>phellodendron-amurense</t>
        </is>
      </c>
      <c r="C151" s="68" t="inlineStr">
        <is>
          <t>Phellodendron amurense</t>
        </is>
      </c>
      <c r="D151" s="68" t="inlineStr">
        <is>
          <t>herb</t>
        </is>
      </c>
      <c r="E151" s="68" t="inlineStr">
        <is>
          <t>botanical</t>
        </is>
      </c>
      <c r="F151" s="68" t="inlineStr">
        <is>
          <t>varies</t>
        </is>
      </c>
      <c r="G151" s="68" t="inlineStr">
        <is>
          <t>phellodendron</t>
        </is>
      </c>
      <c r="H151" s="68" t="n"/>
      <c r="I151" s="68" t="inlineStr">
        <is>
          <t>Phellodendron is an intake-stage monograph candidate linked to 3 internal compound records and pathway tags including AMPK activation, NF-kB pathway inhibition.</t>
        </is>
      </c>
      <c r="J151" s="68" t="inlineStr">
        <is>
          <t>Internal cross-linking supports Phellodendron through compounds such as berberine, jatrorrhizine, palmatine.</t>
        </is>
      </c>
      <c r="K151" s="68" t="inlineStr">
        <is>
          <t>berberine; jatrorrhizine; palmatine</t>
        </is>
      </c>
      <c r="L151" s="68" t="inlineStr">
        <is>
          <t>berberine</t>
        </is>
      </c>
      <c r="M151" s="68" t="inlineStr">
        <is>
          <t>Internal workbook mapping currently connects this herb to AMPK activation, NF-kB pathway inhibition, mitochondrial complex I inhibition.</t>
        </is>
      </c>
      <c r="N151" s="68" t="inlineStr">
        <is>
          <t>AMPK activation; NF-kB pathway inhibition; mitochondrial complex I inhibition</t>
        </is>
      </c>
      <c r="O151" s="68" t="inlineStr">
        <is>
          <t>mapped</t>
        </is>
      </c>
      <c r="P151" s="68" t="inlineStr">
        <is>
          <t>Safety review required before publication.</t>
        </is>
      </c>
      <c r="Q151" s="68" t="inlineStr">
        <is>
          <t>Interaction review required before publication.</t>
        </is>
      </c>
      <c r="R151" s="68" t="n"/>
      <c r="S151" s="68" t="n"/>
      <c r="T151" s="68" t="n"/>
      <c r="U151" s="68" t="n"/>
      <c r="V151" s="68" t="n"/>
      <c r="W151" s="68" t="inlineStr">
        <is>
          <t>Medium</t>
        </is>
      </c>
      <c r="X151" s="68" t="inlineStr">
        <is>
          <t>partial</t>
        </is>
      </c>
      <c r="Y151" s="68" t="n"/>
      <c r="Z151" s="68" t="inlineStr">
        <is>
          <t>dataset-linked</t>
        </is>
      </c>
      <c r="AA151" s="68" t="inlineStr">
        <is>
          <t>Internal workbook cross-link</t>
        </is>
      </c>
      <c r="AB151" s="68" t="n"/>
      <c r="AC151" s="68" t="n"/>
      <c r="AD151" s="68" t="n"/>
      <c r="AE151" s="68" t="n"/>
      <c r="AF151" s="68" t="n"/>
      <c r="AG151" s="68" t="n">
        <v>2</v>
      </c>
      <c r="AH151" s="68" t="n">
        <v>2</v>
      </c>
      <c r="AI151" s="68" t="n">
        <v>2</v>
      </c>
      <c r="AJ151" s="68" t="n">
        <v>6</v>
      </c>
      <c r="AK151" s="68" t="inlineStr">
        <is>
          <t>High</t>
        </is>
      </c>
      <c r="AL151" s="68" t="inlineStr">
        <is>
          <t>Needs source review</t>
        </is>
      </c>
      <c r="AM151" s="68" t="inlineStr">
        <is>
          <t>Internal linked</t>
        </is>
      </c>
      <c r="AN151" s="68" t="n">
        <v>0.95</v>
      </c>
      <c r="AO151" s="68" t="inlineStr">
        <is>
          <t>Near ready</t>
        </is>
      </c>
      <c r="AP151" s="68" t="n"/>
      <c r="AQ151" s="68" t="n"/>
      <c r="AR151" s="68" t="inlineStr">
        <is>
          <t>Editorial polish</t>
        </is>
      </c>
      <c r="AS151" s="68" t="inlineStr">
        <is>
          <t>Not started</t>
        </is>
      </c>
      <c r="AT151" s="68" t="inlineStr">
        <is>
          <t>No</t>
        </is>
      </c>
      <c r="AU151" s="68" t="inlineStr">
        <is>
          <t>No</t>
        </is>
      </c>
      <c r="AV151" s="68" t="inlineStr">
        <is>
          <t>No</t>
        </is>
      </c>
      <c r="AW151" s="68" t="inlineStr">
        <is>
          <t>Needs editorial sourcing</t>
        </is>
      </c>
      <c r="AX151" s="68" t="n">
        <v>0</v>
      </c>
      <c r="AY151" s="68" t="n"/>
      <c r="AZ151" s="68" t="n"/>
      <c r="BA151" s="68" t="inlineStr">
        <is>
          <t>Intake</t>
        </is>
      </c>
      <c r="BB151" s="68" t="inlineStr">
        <is>
          <t>Pending</t>
        </is>
      </c>
      <c r="BC151" s="68" t="inlineStr">
        <is>
          <t>Generated from pathway/cross-link support only.</t>
        </is>
      </c>
      <c r="BD151" s="68" t="n"/>
      <c r="BE151" s="68" t="inlineStr">
        <is>
          <t>2026-04-10</t>
        </is>
      </c>
      <c r="BF151" s="68" t="inlineStr">
        <is>
          <t>Added from internal pathway-linked herb gap audit</t>
        </is>
      </c>
      <c r="BG151" s="68" t="inlineStr">
        <is>
          <t>phellodendron-amurense|2026-04-10</t>
        </is>
      </c>
      <c r="BH151" s="68" t="inlineStr">
        <is>
          <t>2026-04-10:added as intake_stub from pathway cross-links</t>
        </is>
      </c>
      <c r="BI151" t="inlineStr">
        <is>
          <t>phellodendron-amurense</t>
        </is>
      </c>
      <c r="BJ151" t="inlineStr">
        <is>
          <t>Phellodendron</t>
        </is>
      </c>
      <c r="BK151" t="n">
        <v>0</v>
      </c>
      <c r="BL151" t="n">
        <v>0</v>
      </c>
      <c r="BM151" t="n">
        <v>1</v>
      </c>
      <c r="BN151" t="n">
        <v>0</v>
      </c>
      <c r="BO151" t="n">
        <v>100</v>
      </c>
      <c r="BP151" t="n">
        <v>0</v>
      </c>
      <c r="BQ151" t="n">
        <v>0</v>
      </c>
      <c r="BR151" t="n">
        <v>0</v>
      </c>
      <c r="BS151" t="inlineStr">
        <is>
          <t>Tier 4</t>
        </is>
      </c>
      <c r="BT151" t="n">
        <v>0</v>
      </c>
      <c r="BU151" t="inlineStr">
        <is>
          <t>FALSE</t>
        </is>
      </c>
      <c r="BV151" t="inlineStr">
        <is>
          <t>phellodendron-amurense</t>
        </is>
      </c>
      <c r="BW151" t="inlineStr">
        <is>
          <t>FALSE</t>
        </is>
      </c>
      <c r="BX151" t="inlineStr">
        <is>
          <t>Pass 10 refreshed scoring from 0 mapped compounds | Pass 13 rescored from 0 mapped compounds</t>
        </is>
      </c>
      <c r="CA151" t="n">
        <v>0</v>
      </c>
      <c r="CB151" t="n">
        <v>0</v>
      </c>
      <c r="CC151" t="n">
        <v>0</v>
      </c>
      <c r="CE151" t="inlineStr">
        <is>
          <t>Pass 13 rescored after herb-name normalization and real top-herb compound sweep</t>
        </is>
      </c>
      <c r="CF151" t="inlineStr">
        <is>
          <t>General</t>
        </is>
      </c>
      <c r="CH151" s="68" t="inlineStr">
        <is>
          <t>Start with low single-herb exposure and increase only if tolerated</t>
        </is>
      </c>
      <c r="CI151" s="68" t="inlineStr">
        <is>
          <t>Product-ideation framing only; not clinical dosing advice.</t>
        </is>
      </c>
      <c r="CJ151" s="68" t="str"/>
      <c r="CK151" s="68" t="str"/>
      <c r="CL151" s="68" t="inlineStr">
        <is>
          <t>Baseline</t>
        </is>
      </c>
      <c r="CM151" s="68" t="inlineStr">
        <is>
          <t>No</t>
        </is>
      </c>
      <c r="CN151" s="68" t="str"/>
      <c r="CO151" s="68" t="inlineStr">
        <is>
          <t>Pass 21 herb-level safety and dose framing</t>
        </is>
      </c>
      <c r="CP151" t="inlineStr">
        <is>
          <t>Baseline</t>
        </is>
      </c>
      <c r="CQ151" t="inlineStr">
        <is>
          <t>No</t>
        </is>
      </c>
      <c r="CS151" t="inlineStr">
        <is>
          <t>Pass 22 refined safety rule severity and reduced broad keyword over-flagging</t>
        </is>
      </c>
      <c r="CT151" t="inlineStr">
        <is>
          <t>General</t>
        </is>
      </c>
      <c r="CU151" t="inlineStr">
        <is>
          <t>ampk activation; mitochondrial complex i inhibition; nf-kb pathway inhibition</t>
        </is>
      </c>
      <c r="CV151" t="inlineStr">
        <is>
          <t>Unknown</t>
        </is>
      </c>
      <c r="CW151" t="inlineStr">
        <is>
          <t>Pass 26 normalization: categories, mechanisms, evidence tiers</t>
        </is>
      </c>
      <c r="CX151" t="inlineStr">
        <is>
          <t>Mapped</t>
        </is>
      </c>
      <c r="CY151" t="inlineStr">
        <is>
          <t>Safety review required before publication.</t>
        </is>
      </c>
      <c r="CZ151" t="inlineStr">
        <is>
          <t>Interaction review required before publication</t>
        </is>
      </c>
      <c r="DB151" t="inlineStr">
        <is>
          <t>Pass 28 normalized evidence and safety-related free text</t>
        </is>
      </c>
      <c r="DD151" t="inlineStr">
        <is>
          <t>No standardized dose established; use conservative, product-dependent ranges.</t>
        </is>
      </c>
      <c r="DE151" t="inlineStr">
        <is>
          <t>Common forms include extracts, powders, or teas depending on herb part.</t>
        </is>
      </c>
      <c r="DF151" t="inlineStr">
        <is>
          <t>Quality varies by extraction method, standardization, and contamination risk.</t>
        </is>
      </c>
      <c r="DG151" t="inlineStr">
        <is>
          <t>Low</t>
        </is>
      </c>
      <c r="DH151" t="inlineStr">
        <is>
          <t>Pass 29 completeness repair</t>
        </is>
      </c>
      <c r="DI151" t="n">
        <v>0</v>
      </c>
      <c r="DJ151" t="inlineStr">
        <is>
          <t>General</t>
        </is>
      </c>
      <c r="DL151" t="inlineStr">
        <is>
          <t>Acerola; Agarikon; Ajwain; Aloe Vera; American Ginseng</t>
        </is>
      </c>
      <c r="DM151" t="inlineStr">
        <is>
          <t>Pass 31 relationship intelligence: density, cluster, anchor class, nearest herbs</t>
        </is>
      </c>
      <c r="DP151" t="inlineStr">
        <is>
          <t>Generalist</t>
        </is>
      </c>
      <c r="DQ151" t="inlineStr">
        <is>
          <t>Pass 32 substitute engine + cluster cleanup</t>
        </is>
      </c>
      <c r="DT151" t="inlineStr">
        <is>
          <t>no strong safe fallback found</t>
        </is>
      </c>
      <c r="DU151" t="inlineStr">
        <is>
          <t>Not needed</t>
        </is>
      </c>
      <c r="DV151" t="inlineStr">
        <is>
          <t>Pass 33 fallback replacement engine</t>
        </is>
      </c>
      <c r="DY151" t="inlineStr">
        <is>
          <t>Pass 35 expanded fallback pool with second-pass candidate exploration</t>
        </is>
      </c>
      <c r="EA151" t="inlineStr">
        <is>
          <t>General</t>
        </is>
      </c>
      <c r="EC151" t="inlineStr">
        <is>
          <t>Medium</t>
        </is>
      </c>
      <c r="ED151" t="inlineStr">
        <is>
          <t>Pass 40 reinforced weak-category herb data</t>
        </is>
      </c>
      <c r="EG151" t="n">
        <v>0</v>
      </c>
      <c r="EH151" t="n">
        <v>0</v>
      </c>
      <c r="EI151" t="n">
        <v>0</v>
      </c>
      <c r="EJ151" t="n">
        <v>0</v>
      </c>
      <c r="EK151" t="n">
        <v>0</v>
      </c>
      <c r="EL151" t="n">
        <v>0</v>
      </c>
      <c r="EN151" t="inlineStr">
        <is>
          <t>Pass 48 rolled compound scores into herb-level scoring</t>
        </is>
      </c>
    </row>
    <row r="152">
      <c r="A152" s="68" t="inlineStr">
        <is>
          <t>Coptis</t>
        </is>
      </c>
      <c r="B152" s="68" t="inlineStr">
        <is>
          <t>coptis-chinensis</t>
        </is>
      </c>
      <c r="C152" s="68" t="inlineStr">
        <is>
          <t>Coptis chinensis</t>
        </is>
      </c>
      <c r="D152" s="68" t="inlineStr">
        <is>
          <t>herb</t>
        </is>
      </c>
      <c r="E152" s="68" t="inlineStr">
        <is>
          <t>botanical</t>
        </is>
      </c>
      <c r="F152" s="68" t="inlineStr">
        <is>
          <t>varies</t>
        </is>
      </c>
      <c r="G152" s="68" t="inlineStr">
        <is>
          <t>coptis</t>
        </is>
      </c>
      <c r="H152" s="68" t="n"/>
      <c r="I152" s="68" t="inlineStr">
        <is>
          <t>Coptis is an intake-stage monograph candidate linked to 3 internal compound records and pathway tags including AMPK activation, NF-kB pathway inhibition.</t>
        </is>
      </c>
      <c r="J152" s="68" t="inlineStr">
        <is>
          <t>Internal cross-linking supports Coptis through compounds such as berberine, palmatine, coptisine.</t>
        </is>
      </c>
      <c r="K152" s="68" t="inlineStr">
        <is>
          <t>berberine; palmatine; coptisine</t>
        </is>
      </c>
      <c r="L152" s="68" t="inlineStr">
        <is>
          <t>berberine</t>
        </is>
      </c>
      <c r="M152" s="68" t="inlineStr">
        <is>
          <t>Internal workbook mapping currently connects this herb to AMPK activation, NF-kB pathway inhibition, mitochondrial complex I inhibition.</t>
        </is>
      </c>
      <c r="N152" s="68" t="inlineStr">
        <is>
          <t>AMPK activation; NF-kB pathway inhibition; mitochondrial complex I inhibition</t>
        </is>
      </c>
      <c r="O152" s="68" t="inlineStr">
        <is>
          <t>mapped</t>
        </is>
      </c>
      <c r="P152" s="68" t="inlineStr">
        <is>
          <t>Safety review required before publication.</t>
        </is>
      </c>
      <c r="Q152" s="68" t="inlineStr">
        <is>
          <t>Interaction review required before publication.</t>
        </is>
      </c>
      <c r="R152" s="68" t="n"/>
      <c r="S152" s="68" t="n"/>
      <c r="T152" s="68" t="n"/>
      <c r="U152" s="68" t="n"/>
      <c r="V152" s="68" t="n"/>
      <c r="W152" s="68" t="inlineStr">
        <is>
          <t>Medium</t>
        </is>
      </c>
      <c r="X152" s="68" t="inlineStr">
        <is>
          <t>partial</t>
        </is>
      </c>
      <c r="Y152" s="68" t="n"/>
      <c r="Z152" s="68" t="inlineStr">
        <is>
          <t>dataset-linked</t>
        </is>
      </c>
      <c r="AA152" s="68" t="inlineStr">
        <is>
          <t>Internal workbook cross-link</t>
        </is>
      </c>
      <c r="AB152" s="68" t="n"/>
      <c r="AC152" s="68" t="n"/>
      <c r="AD152" s="68" t="n"/>
      <c r="AE152" s="68" t="n"/>
      <c r="AF152" s="68" t="n"/>
      <c r="AG152" s="68" t="n">
        <v>2</v>
      </c>
      <c r="AH152" s="68" t="n">
        <v>2</v>
      </c>
      <c r="AI152" s="68" t="n">
        <v>2</v>
      </c>
      <c r="AJ152" s="68" t="n">
        <v>6</v>
      </c>
      <c r="AK152" s="68" t="inlineStr">
        <is>
          <t>High</t>
        </is>
      </c>
      <c r="AL152" s="68" t="inlineStr">
        <is>
          <t>Needs source review</t>
        </is>
      </c>
      <c r="AM152" s="68" t="inlineStr">
        <is>
          <t>Internal linked</t>
        </is>
      </c>
      <c r="AN152" s="68" t="n">
        <v>0.95</v>
      </c>
      <c r="AO152" s="68" t="inlineStr">
        <is>
          <t>Near ready</t>
        </is>
      </c>
      <c r="AP152" s="68" t="n"/>
      <c r="AQ152" s="68" t="n"/>
      <c r="AR152" s="68" t="inlineStr">
        <is>
          <t>Editorial polish</t>
        </is>
      </c>
      <c r="AS152" s="68" t="inlineStr">
        <is>
          <t>Not started</t>
        </is>
      </c>
      <c r="AT152" s="68" t="inlineStr">
        <is>
          <t>No</t>
        </is>
      </c>
      <c r="AU152" s="68" t="inlineStr">
        <is>
          <t>No</t>
        </is>
      </c>
      <c r="AV152" s="68" t="inlineStr">
        <is>
          <t>No</t>
        </is>
      </c>
      <c r="AW152" s="68" t="inlineStr">
        <is>
          <t>Needs editorial sourcing</t>
        </is>
      </c>
      <c r="AX152" s="68" t="n">
        <v>0</v>
      </c>
      <c r="AY152" s="68" t="n"/>
      <c r="AZ152" s="68" t="n"/>
      <c r="BA152" s="68" t="inlineStr">
        <is>
          <t>Intake</t>
        </is>
      </c>
      <c r="BB152" s="68" t="inlineStr">
        <is>
          <t>Pending</t>
        </is>
      </c>
      <c r="BC152" s="68" t="inlineStr">
        <is>
          <t>Generated from pathway/cross-link support only.</t>
        </is>
      </c>
      <c r="BD152" s="68" t="n"/>
      <c r="BE152" s="68" t="inlineStr">
        <is>
          <t>2026-04-10</t>
        </is>
      </c>
      <c r="BF152" s="68" t="inlineStr">
        <is>
          <t>Added from internal pathway-linked herb gap audit</t>
        </is>
      </c>
      <c r="BG152" s="68" t="inlineStr">
        <is>
          <t>coptis-chinensis|2026-04-10</t>
        </is>
      </c>
      <c r="BH152" s="68" t="inlineStr">
        <is>
          <t>2026-04-10:added as intake_stub from pathway cross-links</t>
        </is>
      </c>
      <c r="BI152" t="inlineStr">
        <is>
          <t>coptis-chinensis</t>
        </is>
      </c>
      <c r="BJ152" t="inlineStr">
        <is>
          <t>Coptis</t>
        </is>
      </c>
      <c r="BK152" t="n">
        <v>0</v>
      </c>
      <c r="BL152" t="n">
        <v>0</v>
      </c>
      <c r="BM152" t="n">
        <v>1</v>
      </c>
      <c r="BN152" t="n">
        <v>0</v>
      </c>
      <c r="BO152" t="n">
        <v>100</v>
      </c>
      <c r="BP152" t="n">
        <v>0</v>
      </c>
      <c r="BQ152" t="n">
        <v>0</v>
      </c>
      <c r="BR152" t="n">
        <v>0</v>
      </c>
      <c r="BS152" t="inlineStr">
        <is>
          <t>Tier 4</t>
        </is>
      </c>
      <c r="BT152" t="n">
        <v>0</v>
      </c>
      <c r="BU152" t="inlineStr">
        <is>
          <t>FALSE</t>
        </is>
      </c>
      <c r="BV152" t="inlineStr">
        <is>
          <t>coptis-chinensis</t>
        </is>
      </c>
      <c r="BW152" t="inlineStr">
        <is>
          <t>FALSE</t>
        </is>
      </c>
      <c r="BX152" t="inlineStr">
        <is>
          <t>Pass 10 refreshed scoring from 0 mapped compounds | Pass 13 rescored from 0 mapped compounds</t>
        </is>
      </c>
      <c r="CA152" t="n">
        <v>0</v>
      </c>
      <c r="CB152" t="n">
        <v>0</v>
      </c>
      <c r="CC152" t="n">
        <v>0</v>
      </c>
      <c r="CE152" t="inlineStr">
        <is>
          <t>Pass 13 rescored after herb-name normalization and real top-herb compound sweep</t>
        </is>
      </c>
      <c r="CF152" t="inlineStr">
        <is>
          <t>General</t>
        </is>
      </c>
      <c r="CH152" s="68" t="inlineStr">
        <is>
          <t>Start with low single-herb exposure and increase only if tolerated</t>
        </is>
      </c>
      <c r="CI152" s="68" t="inlineStr">
        <is>
          <t>Product-ideation framing only; not clinical dosing advice.</t>
        </is>
      </c>
      <c r="CJ152" s="68" t="str"/>
      <c r="CK152" s="68" t="str"/>
      <c r="CL152" s="68" t="inlineStr">
        <is>
          <t>Baseline</t>
        </is>
      </c>
      <c r="CM152" s="68" t="inlineStr">
        <is>
          <t>No</t>
        </is>
      </c>
      <c r="CN152" s="68" t="str"/>
      <c r="CO152" s="68" t="inlineStr">
        <is>
          <t>Pass 21 herb-level safety and dose framing</t>
        </is>
      </c>
      <c r="CP152" t="inlineStr">
        <is>
          <t>Baseline</t>
        </is>
      </c>
      <c r="CQ152" t="inlineStr">
        <is>
          <t>No</t>
        </is>
      </c>
      <c r="CS152" t="inlineStr">
        <is>
          <t>Pass 22 refined safety rule severity and reduced broad keyword over-flagging</t>
        </is>
      </c>
      <c r="CT152" t="inlineStr">
        <is>
          <t>General</t>
        </is>
      </c>
      <c r="CU152" t="inlineStr">
        <is>
          <t>ampk activation; mitochondrial complex i inhibition; nf-kb pathway inhibition</t>
        </is>
      </c>
      <c r="CV152" t="inlineStr">
        <is>
          <t>Unknown</t>
        </is>
      </c>
      <c r="CW152" t="inlineStr">
        <is>
          <t>Pass 26 normalization: categories, mechanisms, evidence tiers</t>
        </is>
      </c>
      <c r="CX152" t="inlineStr">
        <is>
          <t>Mapped</t>
        </is>
      </c>
      <c r="CY152" t="inlineStr">
        <is>
          <t>Safety review required before publication.</t>
        </is>
      </c>
      <c r="CZ152" t="inlineStr">
        <is>
          <t>Interaction review required before publication</t>
        </is>
      </c>
      <c r="DB152" t="inlineStr">
        <is>
          <t>Pass 28 normalized evidence and safety-related free text</t>
        </is>
      </c>
      <c r="DD152" t="inlineStr">
        <is>
          <t>No standardized dose established; use conservative, product-dependent ranges.</t>
        </is>
      </c>
      <c r="DE152" t="inlineStr">
        <is>
          <t>Common forms include extracts, powders, or teas depending on herb part.</t>
        </is>
      </c>
      <c r="DF152" t="inlineStr">
        <is>
          <t>Quality varies by extraction method, standardization, and contamination risk.</t>
        </is>
      </c>
      <c r="DG152" t="inlineStr">
        <is>
          <t>Low</t>
        </is>
      </c>
      <c r="DH152" t="inlineStr">
        <is>
          <t>Pass 29 completeness repair</t>
        </is>
      </c>
      <c r="DI152" t="n">
        <v>0</v>
      </c>
      <c r="DJ152" t="inlineStr">
        <is>
          <t>General</t>
        </is>
      </c>
      <c r="DL152" t="inlineStr">
        <is>
          <t>Acerola; Agarikon; Ajwain; Aloe Vera; American Ginseng</t>
        </is>
      </c>
      <c r="DM152" t="inlineStr">
        <is>
          <t>Pass 31 relationship intelligence: density, cluster, anchor class, nearest herbs</t>
        </is>
      </c>
      <c r="DP152" t="inlineStr">
        <is>
          <t>Generalist</t>
        </is>
      </c>
      <c r="DQ152" t="inlineStr">
        <is>
          <t>Pass 32 substitute engine + cluster cleanup</t>
        </is>
      </c>
      <c r="DT152" t="inlineStr">
        <is>
          <t>no strong safe fallback found</t>
        </is>
      </c>
      <c r="DU152" t="inlineStr">
        <is>
          <t>Not needed</t>
        </is>
      </c>
      <c r="DV152" t="inlineStr">
        <is>
          <t>Pass 33 fallback replacement engine</t>
        </is>
      </c>
      <c r="DY152" t="inlineStr">
        <is>
          <t>Pass 35 expanded fallback pool with second-pass candidate exploration</t>
        </is>
      </c>
      <c r="EA152" t="inlineStr">
        <is>
          <t>General</t>
        </is>
      </c>
      <c r="EC152" t="inlineStr">
        <is>
          <t>Medium</t>
        </is>
      </c>
      <c r="ED152" t="inlineStr">
        <is>
          <t>Pass 40 reinforced weak-category herb data</t>
        </is>
      </c>
      <c r="EG152" t="n">
        <v>0</v>
      </c>
      <c r="EH152" t="n">
        <v>0</v>
      </c>
      <c r="EI152" t="n">
        <v>0</v>
      </c>
      <c r="EJ152" t="n">
        <v>0</v>
      </c>
      <c r="EK152" t="n">
        <v>0</v>
      </c>
      <c r="EL152" t="n">
        <v>0</v>
      </c>
      <c r="EN152" t="inlineStr">
        <is>
          <t>Pass 48 rolled compound scores into herb-level scoring</t>
        </is>
      </c>
    </row>
    <row r="153">
      <c r="A153" s="68" t="inlineStr">
        <is>
          <t>Saffron</t>
        </is>
      </c>
      <c r="B153" s="68" t="inlineStr">
        <is>
          <t>crocus-sativus</t>
        </is>
      </c>
      <c r="C153" s="68" t="inlineStr">
        <is>
          <t>Crocus sativus</t>
        </is>
      </c>
      <c r="D153" s="68" t="inlineStr">
        <is>
          <t>herb</t>
        </is>
      </c>
      <c r="E153" s="68" t="inlineStr">
        <is>
          <t>botanical</t>
        </is>
      </c>
      <c r="F153" s="68" t="inlineStr">
        <is>
          <t>varies</t>
        </is>
      </c>
      <c r="G153" s="68" t="inlineStr">
        <is>
          <t>saffron</t>
        </is>
      </c>
      <c r="H153" s="68" t="n"/>
      <c r="I153" s="68" t="inlineStr">
        <is>
          <t>Saffron is an intake-stage monograph candidate linked to 4 internal compound records in the current workbook.</t>
        </is>
      </c>
      <c r="J153" s="68" t="inlineStr">
        <is>
          <t>Internal cross-linking supports Saffron through compounds such as picrocrocin, crocin, safranal.</t>
        </is>
      </c>
      <c r="K153" s="68" t="inlineStr">
        <is>
          <t>picrocrocin; crocin; safranal; crocetin</t>
        </is>
      </c>
      <c r="L153" s="68" t="inlineStr">
        <is>
          <t>picrocrocin</t>
        </is>
      </c>
      <c r="M153" s="68" t="inlineStr">
        <is>
          <t>Current internal mapping is compound-linked, with pathway resolution still limited.</t>
        </is>
      </c>
      <c r="N153" s="68" t="inlineStr">
        <is>
          <t>general or unknown targets</t>
        </is>
      </c>
      <c r="O153" s="68" t="inlineStr">
        <is>
          <t>mapped</t>
        </is>
      </c>
      <c r="P153" s="68" t="inlineStr">
        <is>
          <t>Safety review required before publication.</t>
        </is>
      </c>
      <c r="Q153" s="68" t="inlineStr">
        <is>
          <t>Interaction review required before publication.</t>
        </is>
      </c>
      <c r="R153" s="68" t="n"/>
      <c r="S153" s="68" t="n"/>
      <c r="T153" s="68" t="n"/>
      <c r="U153" s="68" t="n"/>
      <c r="V153" s="68" t="n"/>
      <c r="W153" s="68" t="inlineStr">
        <is>
          <t>Medium</t>
        </is>
      </c>
      <c r="X153" s="68" t="inlineStr">
        <is>
          <t>partial</t>
        </is>
      </c>
      <c r="Y153" s="68" t="n"/>
      <c r="Z153" s="68" t="inlineStr">
        <is>
          <t>dataset-linked</t>
        </is>
      </c>
      <c r="AA153" s="68" t="inlineStr">
        <is>
          <t>Internal workbook cross-link</t>
        </is>
      </c>
      <c r="AB153" s="68" t="n"/>
      <c r="AC153" s="68" t="n"/>
      <c r="AD153" s="68" t="n"/>
      <c r="AE153" s="68" t="n"/>
      <c r="AF153" s="68" t="n"/>
      <c r="AG153" s="68" t="n">
        <v>2</v>
      </c>
      <c r="AH153" s="68" t="n">
        <v>2</v>
      </c>
      <c r="AI153" s="68" t="n">
        <v>2</v>
      </c>
      <c r="AJ153" s="68" t="n">
        <v>6</v>
      </c>
      <c r="AK153" s="68" t="inlineStr">
        <is>
          <t>High</t>
        </is>
      </c>
      <c r="AL153" s="68" t="inlineStr">
        <is>
          <t>Needs source review</t>
        </is>
      </c>
      <c r="AM153" s="68" t="inlineStr">
        <is>
          <t>Internal linked</t>
        </is>
      </c>
      <c r="AN153" s="68" t="n">
        <v>0.95</v>
      </c>
      <c r="AO153" s="68" t="inlineStr">
        <is>
          <t>Near ready</t>
        </is>
      </c>
      <c r="AP153" s="68" t="n"/>
      <c r="AQ153" s="68" t="n"/>
      <c r="AR153" s="68" t="inlineStr">
        <is>
          <t>Editorial polish</t>
        </is>
      </c>
      <c r="AS153" s="68" t="inlineStr">
        <is>
          <t>Not started</t>
        </is>
      </c>
      <c r="AT153" s="68" t="inlineStr">
        <is>
          <t>No</t>
        </is>
      </c>
      <c r="AU153" s="68" t="inlineStr">
        <is>
          <t>No</t>
        </is>
      </c>
      <c r="AV153" s="68" t="inlineStr">
        <is>
          <t>No</t>
        </is>
      </c>
      <c r="AW153" s="68" t="inlineStr">
        <is>
          <t>Needs editorial sourcing</t>
        </is>
      </c>
      <c r="AX153" s="68" t="n">
        <v>0</v>
      </c>
      <c r="AY153" s="68" t="n"/>
      <c r="AZ153" s="68" t="n"/>
      <c r="BA153" s="68" t="inlineStr">
        <is>
          <t>Intake</t>
        </is>
      </c>
      <c r="BB153" s="68" t="inlineStr">
        <is>
          <t>Pending</t>
        </is>
      </c>
      <c r="BC153" s="68" t="inlineStr">
        <is>
          <t>Generated from pathway/cross-link support only.</t>
        </is>
      </c>
      <c r="BD153" s="68" t="n"/>
      <c r="BE153" s="68" t="inlineStr">
        <is>
          <t>2026-04-10</t>
        </is>
      </c>
      <c r="BF153" s="68" t="inlineStr">
        <is>
          <t>Added from internal pathway-linked herb gap audit</t>
        </is>
      </c>
      <c r="BG153" s="68" t="inlineStr">
        <is>
          <t>crocus-sativus|2026-04-10</t>
        </is>
      </c>
      <c r="BH153" s="68" t="inlineStr">
        <is>
          <t>2026-04-10:added as intake_stub from pathway cross-links</t>
        </is>
      </c>
      <c r="BI153" t="inlineStr">
        <is>
          <t>crocus-sativus</t>
        </is>
      </c>
      <c r="BJ153" t="inlineStr">
        <is>
          <t>Saffron</t>
        </is>
      </c>
      <c r="BK153" t="n">
        <v>0</v>
      </c>
      <c r="BL153" t="n">
        <v>0</v>
      </c>
      <c r="BM153" t="n">
        <v>1</v>
      </c>
      <c r="BN153" t="n">
        <v>0</v>
      </c>
      <c r="BO153" t="n">
        <v>100</v>
      </c>
      <c r="BP153" t="n">
        <v>0</v>
      </c>
      <c r="BQ153" t="n">
        <v>0</v>
      </c>
      <c r="BR153" t="n">
        <v>0</v>
      </c>
      <c r="BS153" t="inlineStr">
        <is>
          <t>Tier 4</t>
        </is>
      </c>
      <c r="BT153" t="n">
        <v>0</v>
      </c>
      <c r="BU153" t="inlineStr">
        <is>
          <t>FALSE</t>
        </is>
      </c>
      <c r="BV153" t="inlineStr">
        <is>
          <t>crocus-sativus</t>
        </is>
      </c>
      <c r="BW153" t="inlineStr">
        <is>
          <t>FALSE</t>
        </is>
      </c>
      <c r="BX153" t="inlineStr">
        <is>
          <t>Pass 10 refreshed scoring from 0 mapped compounds | Pass 13 rescored from 0 mapped compounds</t>
        </is>
      </c>
      <c r="CA153" t="n">
        <v>0</v>
      </c>
      <c r="CB153" t="n">
        <v>0</v>
      </c>
      <c r="CC153" t="n">
        <v>0</v>
      </c>
      <c r="CE153" t="inlineStr">
        <is>
          <t>Pass 13 rescored after herb-name normalization and real top-herb compound sweep</t>
        </is>
      </c>
      <c r="CF153" t="inlineStr">
        <is>
          <t>General</t>
        </is>
      </c>
      <c r="CH153" s="68" t="inlineStr">
        <is>
          <t>Start with low single-herb exposure and increase only if tolerated</t>
        </is>
      </c>
      <c r="CI153" s="68" t="inlineStr">
        <is>
          <t>Product-ideation framing only; not clinical dosing advice.</t>
        </is>
      </c>
      <c r="CJ153" s="68" t="str"/>
      <c r="CK153" s="68" t="str"/>
      <c r="CL153" s="68" t="inlineStr">
        <is>
          <t>Baseline</t>
        </is>
      </c>
      <c r="CM153" s="68" t="inlineStr">
        <is>
          <t>No</t>
        </is>
      </c>
      <c r="CN153" s="68" t="str"/>
      <c r="CO153" s="68" t="inlineStr">
        <is>
          <t>Pass 21 herb-level safety and dose framing</t>
        </is>
      </c>
      <c r="CP153" t="inlineStr">
        <is>
          <t>Baseline</t>
        </is>
      </c>
      <c r="CQ153" t="inlineStr">
        <is>
          <t>No</t>
        </is>
      </c>
      <c r="CS153" t="inlineStr">
        <is>
          <t>Pass 22 refined safety rule severity and reduced broad keyword over-flagging</t>
        </is>
      </c>
      <c r="CT153" t="inlineStr">
        <is>
          <t>General</t>
        </is>
      </c>
      <c r="CU153" t="inlineStr">
        <is>
          <t>general or unknown targets</t>
        </is>
      </c>
      <c r="CV153" t="inlineStr">
        <is>
          <t>Unknown</t>
        </is>
      </c>
      <c r="CW153" t="inlineStr">
        <is>
          <t>Pass 26 normalization: categories, mechanisms, evidence tiers</t>
        </is>
      </c>
      <c r="CX153" t="inlineStr">
        <is>
          <t>Mapped</t>
        </is>
      </c>
      <c r="CY153" t="inlineStr">
        <is>
          <t>Safety review required before publication.</t>
        </is>
      </c>
      <c r="CZ153" t="inlineStr">
        <is>
          <t>Interaction review required before publication</t>
        </is>
      </c>
      <c r="DB153" t="inlineStr">
        <is>
          <t>Pass 28 normalized evidence and safety-related free text</t>
        </is>
      </c>
      <c r="DD153" t="inlineStr">
        <is>
          <t>No standardized dose established; use conservative, product-dependent ranges.</t>
        </is>
      </c>
      <c r="DE153" t="inlineStr">
        <is>
          <t>Common forms include extracts, powders, or teas depending on herb part.</t>
        </is>
      </c>
      <c r="DF153" t="inlineStr">
        <is>
          <t>Quality varies by extraction method, standardization, and contamination risk.</t>
        </is>
      </c>
      <c r="DG153" t="inlineStr">
        <is>
          <t>Low</t>
        </is>
      </c>
      <c r="DH153" t="inlineStr">
        <is>
          <t>Pass 29 completeness repair</t>
        </is>
      </c>
      <c r="DI153" t="n">
        <v>0</v>
      </c>
      <c r="DJ153" t="inlineStr">
        <is>
          <t>General</t>
        </is>
      </c>
      <c r="DL153" t="inlineStr">
        <is>
          <t>Acerola; Agarikon; Ajwain; Aloe Vera; American Ginseng</t>
        </is>
      </c>
      <c r="DM153" t="inlineStr">
        <is>
          <t>Pass 31 relationship intelligence: density, cluster, anchor class, nearest herbs</t>
        </is>
      </c>
      <c r="DP153" t="inlineStr">
        <is>
          <t>Generalist</t>
        </is>
      </c>
      <c r="DQ153" t="inlineStr">
        <is>
          <t>Pass 32 substitute engine + cluster cleanup</t>
        </is>
      </c>
      <c r="DT153" t="inlineStr">
        <is>
          <t>no strong safe fallback found</t>
        </is>
      </c>
      <c r="DU153" t="inlineStr">
        <is>
          <t>Not needed</t>
        </is>
      </c>
      <c r="DV153" t="inlineStr">
        <is>
          <t>Pass 33 fallback replacement engine</t>
        </is>
      </c>
      <c r="DY153" t="inlineStr">
        <is>
          <t>Pass 35 expanded fallback pool with second-pass candidate exploration</t>
        </is>
      </c>
      <c r="EA153" t="inlineStr">
        <is>
          <t>General</t>
        </is>
      </c>
      <c r="EC153" t="inlineStr">
        <is>
          <t>Medium</t>
        </is>
      </c>
      <c r="ED153" t="inlineStr">
        <is>
          <t>Pass 40 reinforced weak-category herb data</t>
        </is>
      </c>
      <c r="EG153" t="n">
        <v>0</v>
      </c>
      <c r="EH153" t="n">
        <v>0</v>
      </c>
      <c r="EI153" t="n">
        <v>0</v>
      </c>
      <c r="EJ153" t="n">
        <v>0</v>
      </c>
      <c r="EK153" t="n">
        <v>0</v>
      </c>
      <c r="EL153" t="n">
        <v>0</v>
      </c>
      <c r="EN153" t="inlineStr">
        <is>
          <t>Pass 48 rolled compound scores into herb-level scoring</t>
        </is>
      </c>
    </row>
    <row r="154">
      <c r="A154" s="68" t="inlineStr">
        <is>
          <t>Papaya Leaf</t>
        </is>
      </c>
      <c r="B154" s="68" t="inlineStr">
        <is>
          <t>carica-papaya</t>
        </is>
      </c>
      <c r="C154" s="68" t="inlineStr">
        <is>
          <t>Carica papaya</t>
        </is>
      </c>
      <c r="D154" s="68" t="inlineStr">
        <is>
          <t>herb</t>
        </is>
      </c>
      <c r="E154" s="68" t="inlineStr">
        <is>
          <t>botanical</t>
        </is>
      </c>
      <c r="F154" s="68" t="inlineStr">
        <is>
          <t>varies</t>
        </is>
      </c>
      <c r="G154" s="68" t="inlineStr">
        <is>
          <t>papaya leaf</t>
        </is>
      </c>
      <c r="H154" s="68" t="n"/>
      <c r="I154" s="68" t="inlineStr">
        <is>
          <t>Papaya Leaf is an intake-stage monograph candidate linked to 4 internal compound records in the current workbook.</t>
        </is>
      </c>
      <c r="J154" s="68" t="inlineStr">
        <is>
          <t>Internal cross-linking supports Papaya Leaf through compounds such as carpaine, papain, benzyl isothiocyanate.</t>
        </is>
      </c>
      <c r="K154" s="68" t="inlineStr">
        <is>
          <t>carpaine; papain; benzyl isothiocyanate; chymopapain</t>
        </is>
      </c>
      <c r="L154" s="68" t="inlineStr">
        <is>
          <t>carpaine</t>
        </is>
      </c>
      <c r="M154" s="68" t="inlineStr">
        <is>
          <t>Current internal mapping is compound-linked, with pathway resolution still limited.</t>
        </is>
      </c>
      <c r="N154" s="68" t="inlineStr">
        <is>
          <t>general or unknown targets</t>
        </is>
      </c>
      <c r="O154" s="68" t="inlineStr">
        <is>
          <t>mapped</t>
        </is>
      </c>
      <c r="P154" s="68" t="inlineStr">
        <is>
          <t>Safety review required before publication.</t>
        </is>
      </c>
      <c r="Q154" s="68" t="inlineStr">
        <is>
          <t>Interaction review required before publication.</t>
        </is>
      </c>
      <c r="R154" s="68" t="n"/>
      <c r="S154" s="68" t="n"/>
      <c r="T154" s="68" t="n"/>
      <c r="U154" s="68" t="n"/>
      <c r="V154" s="68" t="n"/>
      <c r="W154" s="68" t="inlineStr">
        <is>
          <t>Medium</t>
        </is>
      </c>
      <c r="X154" s="68" t="inlineStr">
        <is>
          <t>partial</t>
        </is>
      </c>
      <c r="Y154" s="68" t="n"/>
      <c r="Z154" s="68" t="inlineStr">
        <is>
          <t>dataset-linked</t>
        </is>
      </c>
      <c r="AA154" s="68" t="inlineStr">
        <is>
          <t>Internal workbook cross-link</t>
        </is>
      </c>
      <c r="AB154" s="68" t="n"/>
      <c r="AC154" s="68" t="n"/>
      <c r="AD154" s="68" t="n"/>
      <c r="AE154" s="68" t="n"/>
      <c r="AF154" s="68" t="n"/>
      <c r="AG154" s="68" t="n">
        <v>2</v>
      </c>
      <c r="AH154" s="68" t="n">
        <v>2</v>
      </c>
      <c r="AI154" s="68" t="n">
        <v>2</v>
      </c>
      <c r="AJ154" s="68" t="n">
        <v>6</v>
      </c>
      <c r="AK154" s="68" t="inlineStr">
        <is>
          <t>High</t>
        </is>
      </c>
      <c r="AL154" s="68" t="inlineStr">
        <is>
          <t>Needs source review</t>
        </is>
      </c>
      <c r="AM154" s="68" t="inlineStr">
        <is>
          <t>Internal linked</t>
        </is>
      </c>
      <c r="AN154" s="68" t="n">
        <v>0.95</v>
      </c>
      <c r="AO154" s="68" t="inlineStr">
        <is>
          <t>Near ready</t>
        </is>
      </c>
      <c r="AP154" s="68" t="n"/>
      <c r="AQ154" s="68" t="n"/>
      <c r="AR154" s="68" t="inlineStr">
        <is>
          <t>Editorial polish</t>
        </is>
      </c>
      <c r="AS154" s="68" t="inlineStr">
        <is>
          <t>Not started</t>
        </is>
      </c>
      <c r="AT154" s="68" t="inlineStr">
        <is>
          <t>No</t>
        </is>
      </c>
      <c r="AU154" s="68" t="inlineStr">
        <is>
          <t>No</t>
        </is>
      </c>
      <c r="AV154" s="68" t="inlineStr">
        <is>
          <t>No</t>
        </is>
      </c>
      <c r="AW154" s="68" t="inlineStr">
        <is>
          <t>Needs editorial sourcing</t>
        </is>
      </c>
      <c r="AX154" s="68" t="n">
        <v>0</v>
      </c>
      <c r="AY154" s="68" t="n"/>
      <c r="AZ154" s="68" t="n"/>
      <c r="BA154" s="68" t="inlineStr">
        <is>
          <t>Intake</t>
        </is>
      </c>
      <c r="BB154" s="68" t="inlineStr">
        <is>
          <t>Pending</t>
        </is>
      </c>
      <c r="BC154" s="68" t="inlineStr">
        <is>
          <t>Generated from pathway/cross-link support only.</t>
        </is>
      </c>
      <c r="BD154" s="68" t="n"/>
      <c r="BE154" s="68" t="inlineStr">
        <is>
          <t>2026-04-10</t>
        </is>
      </c>
      <c r="BF154" s="68" t="inlineStr">
        <is>
          <t>Added from internal pathway-linked herb gap audit</t>
        </is>
      </c>
      <c r="BG154" s="68" t="inlineStr">
        <is>
          <t>carica-papaya|2026-04-10</t>
        </is>
      </c>
      <c r="BH154" s="68" t="inlineStr">
        <is>
          <t>2026-04-10:added as intake_stub from pathway cross-links</t>
        </is>
      </c>
      <c r="BI154" t="inlineStr">
        <is>
          <t>carica-papaya</t>
        </is>
      </c>
      <c r="BJ154" t="inlineStr">
        <is>
          <t>Papaya Leaf</t>
        </is>
      </c>
      <c r="BK154" t="n">
        <v>0</v>
      </c>
      <c r="BL154" t="n">
        <v>0</v>
      </c>
      <c r="BM154" t="n">
        <v>1</v>
      </c>
      <c r="BN154" t="n">
        <v>0</v>
      </c>
      <c r="BO154" t="n">
        <v>100</v>
      </c>
      <c r="BP154" t="n">
        <v>0</v>
      </c>
      <c r="BQ154" t="n">
        <v>0</v>
      </c>
      <c r="BR154" t="n">
        <v>0</v>
      </c>
      <c r="BS154" t="inlineStr">
        <is>
          <t>Tier 4</t>
        </is>
      </c>
      <c r="BT154" t="n">
        <v>0</v>
      </c>
      <c r="BU154" t="inlineStr">
        <is>
          <t>FALSE</t>
        </is>
      </c>
      <c r="BV154" t="inlineStr">
        <is>
          <t>carica-papaya</t>
        </is>
      </c>
      <c r="BW154" t="inlineStr">
        <is>
          <t>FALSE</t>
        </is>
      </c>
      <c r="BX154" t="inlineStr">
        <is>
          <t>Pass 10 refreshed scoring from 0 mapped compounds | Pass 13 rescored from 0 mapped compounds</t>
        </is>
      </c>
      <c r="CA154" t="n">
        <v>0</v>
      </c>
      <c r="CB154" t="n">
        <v>0</v>
      </c>
      <c r="CC154" t="n">
        <v>0</v>
      </c>
      <c r="CE154" t="inlineStr">
        <is>
          <t>Pass 13 rescored after herb-name normalization and real top-herb compound sweep</t>
        </is>
      </c>
      <c r="CF154" t="inlineStr">
        <is>
          <t>General</t>
        </is>
      </c>
      <c r="CH154" s="68" t="inlineStr">
        <is>
          <t>Start with low single-herb exposure and increase only if tolerated</t>
        </is>
      </c>
      <c r="CI154" s="68" t="inlineStr">
        <is>
          <t>Product-ideation framing only; not clinical dosing advice.</t>
        </is>
      </c>
      <c r="CJ154" s="68" t="str"/>
      <c r="CK154" s="68" t="str"/>
      <c r="CL154" s="68" t="inlineStr">
        <is>
          <t>Baseline</t>
        </is>
      </c>
      <c r="CM154" s="68" t="inlineStr">
        <is>
          <t>No</t>
        </is>
      </c>
      <c r="CN154" s="68" t="str"/>
      <c r="CO154" s="68" t="inlineStr">
        <is>
          <t>Pass 21 herb-level safety and dose framing</t>
        </is>
      </c>
      <c r="CP154" t="inlineStr">
        <is>
          <t>Baseline</t>
        </is>
      </c>
      <c r="CQ154" t="inlineStr">
        <is>
          <t>No</t>
        </is>
      </c>
      <c r="CS154" t="inlineStr">
        <is>
          <t>Pass 22 refined safety rule severity and reduced broad keyword over-flagging</t>
        </is>
      </c>
      <c r="CT154" t="inlineStr">
        <is>
          <t>General</t>
        </is>
      </c>
      <c r="CU154" t="inlineStr">
        <is>
          <t>general or unknown targets</t>
        </is>
      </c>
      <c r="CV154" t="inlineStr">
        <is>
          <t>Unknown</t>
        </is>
      </c>
      <c r="CW154" t="inlineStr">
        <is>
          <t>Pass 26 normalization: categories, mechanisms, evidence tiers</t>
        </is>
      </c>
      <c r="CX154" t="inlineStr">
        <is>
          <t>Mapped</t>
        </is>
      </c>
      <c r="CY154" t="inlineStr">
        <is>
          <t>Safety review required before publication.</t>
        </is>
      </c>
      <c r="CZ154" t="inlineStr">
        <is>
          <t>Interaction review required before publication</t>
        </is>
      </c>
      <c r="DB154" t="inlineStr">
        <is>
          <t>Pass 28 normalized evidence and safety-related free text</t>
        </is>
      </c>
      <c r="DD154" t="inlineStr">
        <is>
          <t>No standardized dose established; use conservative, product-dependent ranges.</t>
        </is>
      </c>
      <c r="DE154" t="inlineStr">
        <is>
          <t>Common forms include extracts, powders, or teas depending on herb part.</t>
        </is>
      </c>
      <c r="DF154" t="inlineStr">
        <is>
          <t>Quality varies by extraction method, standardization, and contamination risk.</t>
        </is>
      </c>
      <c r="DG154" t="inlineStr">
        <is>
          <t>Low</t>
        </is>
      </c>
      <c r="DH154" t="inlineStr">
        <is>
          <t>Pass 29 completeness repair</t>
        </is>
      </c>
      <c r="DI154" t="n">
        <v>0</v>
      </c>
      <c r="DJ154" t="inlineStr">
        <is>
          <t>General</t>
        </is>
      </c>
      <c r="DL154" t="inlineStr">
        <is>
          <t>Acerola; Agarikon; Ajwain; Aloe Vera; American Ginseng</t>
        </is>
      </c>
      <c r="DM154" t="inlineStr">
        <is>
          <t>Pass 31 relationship intelligence: density, cluster, anchor class, nearest herbs</t>
        </is>
      </c>
      <c r="DP154" t="inlineStr">
        <is>
          <t>Generalist</t>
        </is>
      </c>
      <c r="DQ154" t="inlineStr">
        <is>
          <t>Pass 32 substitute engine + cluster cleanup</t>
        </is>
      </c>
      <c r="DT154" t="inlineStr">
        <is>
          <t>no strong safe fallback found</t>
        </is>
      </c>
      <c r="DU154" t="inlineStr">
        <is>
          <t>Not needed</t>
        </is>
      </c>
      <c r="DV154" t="inlineStr">
        <is>
          <t>Pass 33 fallback replacement engine</t>
        </is>
      </c>
      <c r="DY154" t="inlineStr">
        <is>
          <t>Pass 35 expanded fallback pool with second-pass candidate exploration</t>
        </is>
      </c>
      <c r="EA154" t="inlineStr">
        <is>
          <t>General</t>
        </is>
      </c>
      <c r="EC154" t="inlineStr">
        <is>
          <t>Medium</t>
        </is>
      </c>
      <c r="ED154" t="inlineStr">
        <is>
          <t>Pass 40 reinforced weak-category herb data</t>
        </is>
      </c>
      <c r="EG154" t="n">
        <v>0</v>
      </c>
      <c r="EH154" t="n">
        <v>0</v>
      </c>
      <c r="EI154" t="n">
        <v>0</v>
      </c>
      <c r="EJ154" t="n">
        <v>0</v>
      </c>
      <c r="EK154" t="n">
        <v>0</v>
      </c>
      <c r="EL154" t="n">
        <v>0</v>
      </c>
      <c r="EN154" t="inlineStr">
        <is>
          <t>Pass 48 rolled compound scores into herb-level scoring</t>
        </is>
      </c>
    </row>
    <row r="155">
      <c r="A155" s="68" t="inlineStr">
        <is>
          <t>Kanna</t>
        </is>
      </c>
      <c r="B155" s="68" t="inlineStr">
        <is>
          <t>sceletium-tortuosum</t>
        </is>
      </c>
      <c r="C155" s="68" t="inlineStr">
        <is>
          <t>Sceletium tortuosum</t>
        </is>
      </c>
      <c r="D155" s="68" t="inlineStr">
        <is>
          <t>herb</t>
        </is>
      </c>
      <c r="E155" s="68" t="inlineStr">
        <is>
          <t>botanical</t>
        </is>
      </c>
      <c r="F155" s="68" t="inlineStr">
        <is>
          <t>varies</t>
        </is>
      </c>
      <c r="G155" s="68" t="inlineStr">
        <is>
          <t>kanna</t>
        </is>
      </c>
      <c r="H155" s="68" t="n"/>
      <c r="I155" s="68" t="inlineStr">
        <is>
          <t>Kanna is an intake-stage monograph candidate linked to 4 internal compound records in the current workbook.</t>
        </is>
      </c>
      <c r="J155" s="68" t="inlineStr">
        <is>
          <t>Internal cross-linking supports Kanna through compounds such as mesembrenone, mesembranol, mesembrine.</t>
        </is>
      </c>
      <c r="K155" s="68" t="inlineStr">
        <is>
          <t>mesembrenone; mesembranol; mesembrine; mesembrenol</t>
        </is>
      </c>
      <c r="L155" s="68" t="inlineStr">
        <is>
          <t>mesembrenone</t>
        </is>
      </c>
      <c r="M155" s="68" t="inlineStr">
        <is>
          <t>Current internal mapping is compound-linked, with pathway resolution still limited.</t>
        </is>
      </c>
      <c r="N155" s="68" t="inlineStr">
        <is>
          <t>general or unknown targets</t>
        </is>
      </c>
      <c r="O155" s="68" t="inlineStr">
        <is>
          <t>mapped</t>
        </is>
      </c>
      <c r="P155" s="68" t="inlineStr">
        <is>
          <t>Safety review required before publication.</t>
        </is>
      </c>
      <c r="Q155" s="68" t="inlineStr">
        <is>
          <t>Interaction review required before publication.</t>
        </is>
      </c>
      <c r="R155" s="68" t="n"/>
      <c r="S155" s="68" t="n"/>
      <c r="T155" s="68" t="n"/>
      <c r="U155" s="68" t="n"/>
      <c r="V155" s="68" t="n"/>
      <c r="W155" s="68" t="inlineStr">
        <is>
          <t>Medium</t>
        </is>
      </c>
      <c r="X155" s="68" t="inlineStr">
        <is>
          <t>partial</t>
        </is>
      </c>
      <c r="Y155" s="68" t="n"/>
      <c r="Z155" s="68" t="inlineStr">
        <is>
          <t>dataset-linked</t>
        </is>
      </c>
      <c r="AA155" s="68" t="inlineStr">
        <is>
          <t>Internal workbook cross-link</t>
        </is>
      </c>
      <c r="AB155" s="68" t="n"/>
      <c r="AC155" s="68" t="n"/>
      <c r="AD155" s="68" t="n"/>
      <c r="AE155" s="68" t="n"/>
      <c r="AF155" s="68" t="n"/>
      <c r="AG155" s="68" t="n">
        <v>2</v>
      </c>
      <c r="AH155" s="68" t="n">
        <v>2</v>
      </c>
      <c r="AI155" s="68" t="n">
        <v>2</v>
      </c>
      <c r="AJ155" s="68" t="n">
        <v>6</v>
      </c>
      <c r="AK155" s="68" t="inlineStr">
        <is>
          <t>High</t>
        </is>
      </c>
      <c r="AL155" s="68" t="inlineStr">
        <is>
          <t>Needs source review</t>
        </is>
      </c>
      <c r="AM155" s="68" t="inlineStr">
        <is>
          <t>Internal linked</t>
        </is>
      </c>
      <c r="AN155" s="68" t="n">
        <v>0.95</v>
      </c>
      <c r="AO155" s="68" t="inlineStr">
        <is>
          <t>Near ready</t>
        </is>
      </c>
      <c r="AP155" s="68" t="n"/>
      <c r="AQ155" s="68" t="n"/>
      <c r="AR155" s="68" t="inlineStr">
        <is>
          <t>Editorial polish</t>
        </is>
      </c>
      <c r="AS155" s="68" t="inlineStr">
        <is>
          <t>Not started</t>
        </is>
      </c>
      <c r="AT155" s="68" t="inlineStr">
        <is>
          <t>No</t>
        </is>
      </c>
      <c r="AU155" s="68" t="inlineStr">
        <is>
          <t>No</t>
        </is>
      </c>
      <c r="AV155" s="68" t="inlineStr">
        <is>
          <t>No</t>
        </is>
      </c>
      <c r="AW155" s="68" t="inlineStr">
        <is>
          <t>Needs editorial sourcing</t>
        </is>
      </c>
      <c r="AX155" s="68" t="n">
        <v>0</v>
      </c>
      <c r="AY155" s="68" t="n"/>
      <c r="AZ155" s="68" t="n"/>
      <c r="BA155" s="68" t="inlineStr">
        <is>
          <t>Intake</t>
        </is>
      </c>
      <c r="BB155" s="68" t="inlineStr">
        <is>
          <t>Pending</t>
        </is>
      </c>
      <c r="BC155" s="68" t="inlineStr">
        <is>
          <t>Generated from pathway/cross-link support only.</t>
        </is>
      </c>
      <c r="BD155" s="68" t="n"/>
      <c r="BE155" s="68" t="inlineStr">
        <is>
          <t>2026-04-10</t>
        </is>
      </c>
      <c r="BF155" s="68" t="inlineStr">
        <is>
          <t>Added from internal pathway-linked herb gap audit</t>
        </is>
      </c>
      <c r="BG155" s="68" t="inlineStr">
        <is>
          <t>sceletium-tortuosum|2026-04-10</t>
        </is>
      </c>
      <c r="BH155" s="68" t="inlineStr">
        <is>
          <t>2026-04-10:added as intake_stub from pathway cross-links</t>
        </is>
      </c>
      <c r="BI155" t="inlineStr">
        <is>
          <t>sceletium-tortuosum</t>
        </is>
      </c>
      <c r="BJ155" t="inlineStr">
        <is>
          <t>Kanna</t>
        </is>
      </c>
      <c r="BK155" t="n">
        <v>0</v>
      </c>
      <c r="BL155" t="n">
        <v>0</v>
      </c>
      <c r="BM155" t="n">
        <v>1</v>
      </c>
      <c r="BN155" t="n">
        <v>0</v>
      </c>
      <c r="BO155" t="n">
        <v>100</v>
      </c>
      <c r="BP155" t="n">
        <v>0</v>
      </c>
      <c r="BQ155" t="n">
        <v>0</v>
      </c>
      <c r="BR155" t="n">
        <v>0</v>
      </c>
      <c r="BS155" t="inlineStr">
        <is>
          <t>Tier 4</t>
        </is>
      </c>
      <c r="BT155" t="n">
        <v>0</v>
      </c>
      <c r="BU155" t="inlineStr">
        <is>
          <t>FALSE</t>
        </is>
      </c>
      <c r="BV155" t="inlineStr">
        <is>
          <t>sceletium-tortuosum</t>
        </is>
      </c>
      <c r="BW155" t="inlineStr">
        <is>
          <t>FALSE</t>
        </is>
      </c>
      <c r="BX155" t="inlineStr">
        <is>
          <t>Pass 10 refreshed scoring from 0 mapped compounds | Pass 13 rescored from 0 mapped compounds</t>
        </is>
      </c>
      <c r="CA155" t="n">
        <v>0</v>
      </c>
      <c r="CB155" t="n">
        <v>0</v>
      </c>
      <c r="CC155" t="n">
        <v>0</v>
      </c>
      <c r="CE155" t="inlineStr">
        <is>
          <t>Pass 13 rescored after herb-name normalization and real top-herb compound sweep</t>
        </is>
      </c>
      <c r="CF155" t="inlineStr">
        <is>
          <t>General</t>
        </is>
      </c>
      <c r="CH155" s="68" t="inlineStr">
        <is>
          <t>Start with low single-herb exposure and increase only if tolerated</t>
        </is>
      </c>
      <c r="CI155" s="68" t="inlineStr">
        <is>
          <t>Product-ideation framing only; not clinical dosing advice.</t>
        </is>
      </c>
      <c r="CJ155" s="68" t="str"/>
      <c r="CK155" s="68" t="str"/>
      <c r="CL155" s="68" t="inlineStr">
        <is>
          <t>Baseline</t>
        </is>
      </c>
      <c r="CM155" s="68" t="inlineStr">
        <is>
          <t>No</t>
        </is>
      </c>
      <c r="CN155" s="68" t="str"/>
      <c r="CO155" s="68" t="inlineStr">
        <is>
          <t>Pass 21 herb-level safety and dose framing</t>
        </is>
      </c>
      <c r="CP155" t="inlineStr">
        <is>
          <t>Baseline</t>
        </is>
      </c>
      <c r="CQ155" t="inlineStr">
        <is>
          <t>No</t>
        </is>
      </c>
      <c r="CS155" t="inlineStr">
        <is>
          <t>Pass 22 refined safety rule severity and reduced broad keyword over-flagging</t>
        </is>
      </c>
      <c r="CT155" t="inlineStr">
        <is>
          <t>General</t>
        </is>
      </c>
      <c r="CU155" t="inlineStr">
        <is>
          <t>general or unknown targets</t>
        </is>
      </c>
      <c r="CV155" t="inlineStr">
        <is>
          <t>Unknown</t>
        </is>
      </c>
      <c r="CW155" t="inlineStr">
        <is>
          <t>Pass 26 normalization: categories, mechanisms, evidence tiers</t>
        </is>
      </c>
      <c r="CX155" t="inlineStr">
        <is>
          <t>Mapped</t>
        </is>
      </c>
      <c r="CY155" t="inlineStr">
        <is>
          <t>Safety review required before publication.</t>
        </is>
      </c>
      <c r="CZ155" t="inlineStr">
        <is>
          <t>Interaction review required before publication</t>
        </is>
      </c>
      <c r="DB155" t="inlineStr">
        <is>
          <t>Pass 28 normalized evidence and safety-related free text</t>
        </is>
      </c>
      <c r="DD155" t="inlineStr">
        <is>
          <t>No standardized dose established; use conservative, product-dependent ranges.</t>
        </is>
      </c>
      <c r="DE155" t="inlineStr">
        <is>
          <t>Common forms include extracts, powders, or teas depending on herb part.</t>
        </is>
      </c>
      <c r="DF155" t="inlineStr">
        <is>
          <t>Quality varies by extraction method, standardization, and contamination risk.</t>
        </is>
      </c>
      <c r="DG155" t="inlineStr">
        <is>
          <t>Low</t>
        </is>
      </c>
      <c r="DH155" t="inlineStr">
        <is>
          <t>Pass 29 completeness repair</t>
        </is>
      </c>
      <c r="DI155" t="n">
        <v>0</v>
      </c>
      <c r="DJ155" t="inlineStr">
        <is>
          <t>General</t>
        </is>
      </c>
      <c r="DL155" t="inlineStr">
        <is>
          <t>Acerola; Agarikon; Ajwain; Aloe Vera; American Ginseng</t>
        </is>
      </c>
      <c r="DM155" t="inlineStr">
        <is>
          <t>Pass 31 relationship intelligence: density, cluster, anchor class, nearest herbs</t>
        </is>
      </c>
      <c r="DP155" t="inlineStr">
        <is>
          <t>Generalist</t>
        </is>
      </c>
      <c r="DQ155" t="inlineStr">
        <is>
          <t>Pass 32 substitute engine + cluster cleanup</t>
        </is>
      </c>
      <c r="DT155" t="inlineStr">
        <is>
          <t>no strong safe fallback found</t>
        </is>
      </c>
      <c r="DU155" t="inlineStr">
        <is>
          <t>Not needed</t>
        </is>
      </c>
      <c r="DV155" t="inlineStr">
        <is>
          <t>Pass 33 fallback replacement engine</t>
        </is>
      </c>
      <c r="DY155" t="inlineStr">
        <is>
          <t>Pass 35 expanded fallback pool with second-pass candidate exploration</t>
        </is>
      </c>
      <c r="EA155" t="inlineStr">
        <is>
          <t>General</t>
        </is>
      </c>
      <c r="EC155" t="inlineStr">
        <is>
          <t>Medium</t>
        </is>
      </c>
      <c r="ED155" t="inlineStr">
        <is>
          <t>Pass 40 reinforced weak-category herb data</t>
        </is>
      </c>
      <c r="EG155" t="n">
        <v>0</v>
      </c>
      <c r="EH155" t="n">
        <v>0</v>
      </c>
      <c r="EI155" t="n">
        <v>0</v>
      </c>
      <c r="EJ155" t="n">
        <v>0</v>
      </c>
      <c r="EK155" t="n">
        <v>0</v>
      </c>
      <c r="EL155" t="n">
        <v>0</v>
      </c>
      <c r="EN155" t="inlineStr">
        <is>
          <t>Pass 48 rolled compound scores into herb-level scoring</t>
        </is>
      </c>
    </row>
    <row r="156">
      <c r="A156" s="68" t="inlineStr">
        <is>
          <t>Green Tea</t>
        </is>
      </c>
      <c r="B156" s="68" t="inlineStr">
        <is>
          <t>camellia-sinensis</t>
        </is>
      </c>
      <c r="C156" s="68" t="inlineStr">
        <is>
          <t>Camellia sinensis</t>
        </is>
      </c>
      <c r="D156" s="68" t="inlineStr">
        <is>
          <t>herb</t>
        </is>
      </c>
      <c r="E156" s="68" t="inlineStr">
        <is>
          <t>botanical</t>
        </is>
      </c>
      <c r="F156" s="68" t="inlineStr">
        <is>
          <t>varies</t>
        </is>
      </c>
      <c r="G156" s="68" t="inlineStr">
        <is>
          <t>green tea</t>
        </is>
      </c>
      <c r="H156" s="68" t="n"/>
      <c r="I156" s="68" t="inlineStr">
        <is>
          <t>Green Tea is an intake-stage monograph candidate linked to 3 internal compound records and pathway tags including adenosine_antagonism, ADORA1, ADORA2A (adenosine receptors).</t>
        </is>
      </c>
      <c r="J156" s="68" t="inlineStr">
        <is>
          <t>Internal cross-linking supports Green Tea through compounds such as caffeine, theanine, catechins (egcg).</t>
        </is>
      </c>
      <c r="K156" s="68" t="inlineStr">
        <is>
          <t>caffeine; theanine; catechins (egcg)</t>
        </is>
      </c>
      <c r="L156" s="68" t="inlineStr">
        <is>
          <t>caffeine</t>
        </is>
      </c>
      <c r="M156" s="68" t="inlineStr">
        <is>
          <t>Internal workbook mapping currently connects this herb to adenosine_antagonism, ADORA1, ADORA2A (adenosine receptors), dopaminergic_modulation.</t>
        </is>
      </c>
      <c r="N156" s="68" t="inlineStr">
        <is>
          <t>adenosine_antagonism; ADORA1, ADORA2A (adenosine receptors); dopaminergic_modulation</t>
        </is>
      </c>
      <c r="O156" s="68" t="inlineStr">
        <is>
          <t>mapped</t>
        </is>
      </c>
      <c r="P156" s="68" t="inlineStr">
        <is>
          <t>Safety review required before publication.</t>
        </is>
      </c>
      <c r="Q156" s="68" t="inlineStr">
        <is>
          <t>Interaction review required before publication.</t>
        </is>
      </c>
      <c r="R156" s="68" t="n"/>
      <c r="S156" s="68" t="n"/>
      <c r="T156" s="68" t="n"/>
      <c r="U156" s="68" t="n"/>
      <c r="V156" s="68" t="n"/>
      <c r="W156" s="68" t="inlineStr">
        <is>
          <t>Medium</t>
        </is>
      </c>
      <c r="X156" s="68" t="inlineStr">
        <is>
          <t>partial</t>
        </is>
      </c>
      <c r="Y156" s="68" t="n"/>
      <c r="Z156" s="68" t="inlineStr">
        <is>
          <t>dataset-linked</t>
        </is>
      </c>
      <c r="AA156" s="68" t="inlineStr">
        <is>
          <t>Internal workbook cross-link</t>
        </is>
      </c>
      <c r="AB156" s="68" t="n"/>
      <c r="AC156" s="68" t="n"/>
      <c r="AD156" s="68" t="n"/>
      <c r="AE156" s="68" t="n"/>
      <c r="AF156" s="68" t="n"/>
      <c r="AG156" s="68" t="n">
        <v>2</v>
      </c>
      <c r="AH156" s="68" t="n">
        <v>2</v>
      </c>
      <c r="AI156" s="68" t="n">
        <v>2</v>
      </c>
      <c r="AJ156" s="68" t="n">
        <v>6</v>
      </c>
      <c r="AK156" s="68" t="inlineStr">
        <is>
          <t>High</t>
        </is>
      </c>
      <c r="AL156" s="68" t="inlineStr">
        <is>
          <t>Needs source review</t>
        </is>
      </c>
      <c r="AM156" s="68" t="inlineStr">
        <is>
          <t>Internal linked</t>
        </is>
      </c>
      <c r="AN156" s="68" t="n">
        <v>0.95</v>
      </c>
      <c r="AO156" s="68" t="inlineStr">
        <is>
          <t>Near ready</t>
        </is>
      </c>
      <c r="AP156" s="68" t="n"/>
      <c r="AQ156" s="68" t="n"/>
      <c r="AR156" s="68" t="inlineStr">
        <is>
          <t>Editorial polish</t>
        </is>
      </c>
      <c r="AS156" s="68" t="inlineStr">
        <is>
          <t>Not started</t>
        </is>
      </c>
      <c r="AT156" s="68" t="inlineStr">
        <is>
          <t>No</t>
        </is>
      </c>
      <c r="AU156" s="68" t="inlineStr">
        <is>
          <t>No</t>
        </is>
      </c>
      <c r="AV156" s="68" t="inlineStr">
        <is>
          <t>No</t>
        </is>
      </c>
      <c r="AW156" s="68" t="inlineStr">
        <is>
          <t>Needs editorial sourcing</t>
        </is>
      </c>
      <c r="AX156" s="68" t="n">
        <v>0</v>
      </c>
      <c r="AY156" s="68" t="n"/>
      <c r="AZ156" s="68" t="n"/>
      <c r="BA156" s="68" t="inlineStr">
        <is>
          <t>Intake</t>
        </is>
      </c>
      <c r="BB156" s="68" t="inlineStr">
        <is>
          <t>Pending</t>
        </is>
      </c>
      <c r="BC156" s="68" t="inlineStr">
        <is>
          <t>Generated from pathway/cross-link support only.</t>
        </is>
      </c>
      <c r="BD156" s="68" t="n"/>
      <c r="BE156" s="68" t="inlineStr">
        <is>
          <t>2026-04-10</t>
        </is>
      </c>
      <c r="BF156" s="68" t="inlineStr">
        <is>
          <t>Added from internal pathway-linked herb gap audit</t>
        </is>
      </c>
      <c r="BG156" s="68" t="inlineStr">
        <is>
          <t>camellia-sinensis|2026-04-10</t>
        </is>
      </c>
      <c r="BH156" s="68" t="inlineStr">
        <is>
          <t>2026-04-10:added as intake_stub from pathway cross-links</t>
        </is>
      </c>
      <c r="BI156" t="inlineStr">
        <is>
          <t>camellia-sinensis</t>
        </is>
      </c>
      <c r="BJ156" t="inlineStr">
        <is>
          <t>Green Tea</t>
        </is>
      </c>
      <c r="BK156" t="n">
        <v>5</v>
      </c>
      <c r="BL156" t="n">
        <v>9</v>
      </c>
      <c r="BM156" t="n">
        <v>1</v>
      </c>
      <c r="BN156" t="n">
        <v>51</v>
      </c>
      <c r="BO156" t="n">
        <v>100</v>
      </c>
      <c r="BP156" t="n">
        <v>42</v>
      </c>
      <c r="BQ156" t="n">
        <v>90</v>
      </c>
      <c r="BR156" t="n">
        <v>48</v>
      </c>
      <c r="BS156" t="inlineStr">
        <is>
          <t>Tier 1</t>
        </is>
      </c>
      <c r="BT156" t="n">
        <v>39</v>
      </c>
      <c r="BU156" t="inlineStr">
        <is>
          <t>FALSE</t>
        </is>
      </c>
      <c r="BV156" t="inlineStr">
        <is>
          <t>camellia-sinensis</t>
        </is>
      </c>
      <c r="BW156" t="inlineStr">
        <is>
          <t>TRUE</t>
        </is>
      </c>
      <c r="BX156" t="inlineStr">
        <is>
          <t>Pass 10 refreshed scoring from 2 mapped compounds | Pass 13 rescored from 5 mapped compounds</t>
        </is>
      </c>
      <c r="BY156" t="inlineStr">
        <is>
          <t>oxidative stress reduction; adenosine A1 antagonism; adenosine A2A antagonism; stimulant CNS signaling; unclassified; AMPK activation</t>
        </is>
      </c>
      <c r="BZ156" t="inlineStr">
        <is>
          <t>antioxidant signaling; A1 antagonist; A2A antagonist; antioxidant and metabolic signaling</t>
        </is>
      </c>
      <c r="CA156" t="n">
        <v>19</v>
      </c>
      <c r="CB156" t="n">
        <v>1</v>
      </c>
      <c r="CC156" t="n">
        <v>0</v>
      </c>
      <c r="CD156" t="inlineStr">
        <is>
          <t>Polyphenol; Alkaloid; Amino Acid; oxidative stress reduction; adenosine A1 antagonism; adenosine A2A antagonism</t>
        </is>
      </c>
      <c r="CE156" t="inlineStr">
        <is>
          <t>Pass 13 rescored after herb-name normalization and real top-herb compound sweep</t>
        </is>
      </c>
      <c r="CF156" t="inlineStr">
        <is>
          <t>Metabolic Support</t>
        </is>
      </c>
      <c r="CG156" t="inlineStr">
        <is>
          <t>Recovery, Stress</t>
        </is>
      </c>
      <c r="CH156" s="68" t="inlineStr">
        <is>
          <t>Start low; usually evening or split use</t>
        </is>
      </c>
      <c r="CI156" s="68" t="inlineStr">
        <is>
          <t>Product-ideation framing only; not clinical dosing advice.</t>
        </is>
      </c>
      <c r="CJ156" s="68" t="str"/>
      <c r="CK156" s="68" t="str"/>
      <c r="CL156" s="68" t="inlineStr">
        <is>
          <t>Baseline</t>
        </is>
      </c>
      <c r="CM156" s="68" t="inlineStr">
        <is>
          <t>No</t>
        </is>
      </c>
      <c r="CN156" s="68" t="str"/>
      <c r="CO156" s="68" t="inlineStr">
        <is>
          <t>Pass 21 herb-level safety and dose framing</t>
        </is>
      </c>
      <c r="CP156" t="inlineStr">
        <is>
          <t>Baseline</t>
        </is>
      </c>
      <c r="CQ156" t="inlineStr">
        <is>
          <t>No</t>
        </is>
      </c>
      <c r="CS156" t="inlineStr">
        <is>
          <t>Pass 22 refined safety rule severity and reduced broad keyword over-flagging</t>
        </is>
      </c>
      <c r="CT156" t="inlineStr">
        <is>
          <t>Metabolic Support</t>
        </is>
      </c>
      <c r="CU156" t="inlineStr">
        <is>
          <t>adenosine_antagonism; adora1; adora2a (adenosine receptors); dopaminergic_modulation</t>
        </is>
      </c>
      <c r="CV156" t="inlineStr">
        <is>
          <t>Unknown</t>
        </is>
      </c>
      <c r="CW156" t="inlineStr">
        <is>
          <t>Pass 26 normalization: categories, mechanisms, evidence tiers</t>
        </is>
      </c>
      <c r="CX156" t="inlineStr">
        <is>
          <t>Mapped</t>
        </is>
      </c>
      <c r="CY156" t="inlineStr">
        <is>
          <t>Safety review required before publication.</t>
        </is>
      </c>
      <c r="CZ156" t="inlineStr">
        <is>
          <t>Interaction review required before publication</t>
        </is>
      </c>
      <c r="DB156" t="inlineStr">
        <is>
          <t>Pass 28 normalized evidence and safety-related free text</t>
        </is>
      </c>
      <c r="DD156" t="inlineStr">
        <is>
          <t>No standardized dose established; use conservative, product-dependent ranges.</t>
        </is>
      </c>
      <c r="DE156" t="inlineStr">
        <is>
          <t>Common forms include extracts, powders, or teas depending on herb part.</t>
        </is>
      </c>
      <c r="DF156" t="inlineStr">
        <is>
          <t>Quality varies by extraction method, standardization, and contamination risk.</t>
        </is>
      </c>
      <c r="DG156" t="inlineStr">
        <is>
          <t>Low</t>
        </is>
      </c>
      <c r="DH156" t="inlineStr">
        <is>
          <t>Pass 29 completeness repair</t>
        </is>
      </c>
      <c r="DI156" t="n">
        <v>84</v>
      </c>
      <c r="DJ156" t="inlineStr">
        <is>
          <t>Adaptogenic</t>
        </is>
      </c>
      <c r="DK156" t="inlineStr">
        <is>
          <t>Polyphenol</t>
        </is>
      </c>
      <c r="DL156" t="inlineStr">
        <is>
          <t>Guarana; Holy Basil; Holy Basil Purple; Maca; Maral Root</t>
        </is>
      </c>
      <c r="DM156" t="inlineStr">
        <is>
          <t>Pass 31 relationship intelligence: density, cluster, anchor class, nearest herbs</t>
        </is>
      </c>
      <c r="DP156" t="inlineStr">
        <is>
          <t>Stress / Adaptogenic</t>
        </is>
      </c>
      <c r="DQ156" t="inlineStr">
        <is>
          <t>Pass 32 substitute engine + cluster cleanup</t>
        </is>
      </c>
      <c r="DT156" t="inlineStr">
        <is>
          <t>no strong safe fallback found</t>
        </is>
      </c>
      <c r="DU156" t="inlineStr">
        <is>
          <t>Not needed</t>
        </is>
      </c>
      <c r="DV156" t="inlineStr">
        <is>
          <t>Pass 33 fallback replacement engine</t>
        </is>
      </c>
      <c r="DY156" t="inlineStr">
        <is>
          <t>Pass 35 expanded fallback pool with second-pass candidate exploration</t>
        </is>
      </c>
      <c r="EG156" t="n">
        <v>44</v>
      </c>
      <c r="EH156" t="n">
        <v>6.29</v>
      </c>
      <c r="EI156" t="n">
        <v>0</v>
      </c>
      <c r="EJ156" t="n">
        <v>3</v>
      </c>
      <c r="EK156" t="n">
        <v>71</v>
      </c>
      <c r="EL156" t="n">
        <v>58</v>
      </c>
      <c r="EM156" t="inlineStr">
        <is>
          <t>EGCG; Catechin; ECG; Caffeine; Quercetin</t>
        </is>
      </c>
      <c r="EN156" t="inlineStr">
        <is>
          <t>Pass 48 rolled compound scores into herb-level scoring</t>
        </is>
      </c>
    </row>
    <row r="157">
      <c r="A157" s="68" t="inlineStr">
        <is>
          <t>Goldenseal</t>
        </is>
      </c>
      <c r="B157" s="68" t="inlineStr">
        <is>
          <t>hydrastis-canadensis</t>
        </is>
      </c>
      <c r="C157" s="68" t="inlineStr">
        <is>
          <t>Hydrastis canadensis</t>
        </is>
      </c>
      <c r="D157" s="68" t="inlineStr">
        <is>
          <t>herb</t>
        </is>
      </c>
      <c r="E157" s="68" t="inlineStr">
        <is>
          <t>botanical</t>
        </is>
      </c>
      <c r="F157" s="68" t="inlineStr">
        <is>
          <t>varies</t>
        </is>
      </c>
      <c r="G157" s="68" t="inlineStr">
        <is>
          <t>goldenseal</t>
        </is>
      </c>
      <c r="H157" s="68" t="n"/>
      <c r="I157" s="68" t="inlineStr">
        <is>
          <t>Goldenseal is an intake-stage monograph candidate linked to 2 internal compound records and pathway tags including AMPK activation, NF-kB pathway inhibition.</t>
        </is>
      </c>
      <c r="J157" s="68" t="inlineStr">
        <is>
          <t>Internal cross-linking supports Goldenseal through compounds such as berberine, hydrastine.</t>
        </is>
      </c>
      <c r="K157" s="68" t="inlineStr">
        <is>
          <t>berberine; hydrastine</t>
        </is>
      </c>
      <c r="L157" s="68" t="inlineStr">
        <is>
          <t>berberine</t>
        </is>
      </c>
      <c r="M157" s="68" t="inlineStr">
        <is>
          <t>Internal workbook mapping currently connects this herb to AMPK activation, NF-kB pathway inhibition, mitochondrial complex I inhibition.</t>
        </is>
      </c>
      <c r="N157" s="68" t="inlineStr">
        <is>
          <t>AMPK activation; NF-kB pathway inhibition; mitochondrial complex I inhibition</t>
        </is>
      </c>
      <c r="O157" s="68" t="inlineStr">
        <is>
          <t>mapped</t>
        </is>
      </c>
      <c r="P157" s="68" t="inlineStr">
        <is>
          <t>Safety review required before publication.</t>
        </is>
      </c>
      <c r="Q157" s="68" t="inlineStr">
        <is>
          <t>Interaction review required before publication.</t>
        </is>
      </c>
      <c r="R157" s="68" t="n"/>
      <c r="S157" s="68" t="n"/>
      <c r="T157" s="68" t="n"/>
      <c r="U157" s="68" t="n"/>
      <c r="V157" s="68" t="n"/>
      <c r="W157" s="68" t="inlineStr">
        <is>
          <t>Medium</t>
        </is>
      </c>
      <c r="X157" s="68" t="inlineStr">
        <is>
          <t>partial</t>
        </is>
      </c>
      <c r="Y157" s="68" t="n"/>
      <c r="Z157" s="68" t="inlineStr">
        <is>
          <t>dataset-linked</t>
        </is>
      </c>
      <c r="AA157" s="68" t="inlineStr">
        <is>
          <t>Internal workbook cross-link</t>
        </is>
      </c>
      <c r="AB157" s="68" t="n"/>
      <c r="AC157" s="68" t="n"/>
      <c r="AD157" s="68" t="n"/>
      <c r="AE157" s="68" t="n"/>
      <c r="AF157" s="68" t="n"/>
      <c r="AG157" s="68" t="n">
        <v>2</v>
      </c>
      <c r="AH157" s="68" t="n">
        <v>2</v>
      </c>
      <c r="AI157" s="68" t="n">
        <v>2</v>
      </c>
      <c r="AJ157" s="68" t="n">
        <v>6</v>
      </c>
      <c r="AK157" s="68" t="inlineStr">
        <is>
          <t>High</t>
        </is>
      </c>
      <c r="AL157" s="68" t="inlineStr">
        <is>
          <t>Needs source review</t>
        </is>
      </c>
      <c r="AM157" s="68" t="inlineStr">
        <is>
          <t>Internal linked</t>
        </is>
      </c>
      <c r="AN157" s="68" t="n">
        <v>0.95</v>
      </c>
      <c r="AO157" s="68" t="inlineStr">
        <is>
          <t>Near ready</t>
        </is>
      </c>
      <c r="AP157" s="68" t="n"/>
      <c r="AQ157" s="68" t="n"/>
      <c r="AR157" s="68" t="inlineStr">
        <is>
          <t>Editorial polish</t>
        </is>
      </c>
      <c r="AS157" s="68" t="inlineStr">
        <is>
          <t>Not started</t>
        </is>
      </c>
      <c r="AT157" s="68" t="inlineStr">
        <is>
          <t>No</t>
        </is>
      </c>
      <c r="AU157" s="68" t="inlineStr">
        <is>
          <t>No</t>
        </is>
      </c>
      <c r="AV157" s="68" t="inlineStr">
        <is>
          <t>No</t>
        </is>
      </c>
      <c r="AW157" s="68" t="inlineStr">
        <is>
          <t>Needs editorial sourcing</t>
        </is>
      </c>
      <c r="AX157" s="68" t="n">
        <v>0</v>
      </c>
      <c r="AY157" s="68" t="n"/>
      <c r="AZ157" s="68" t="n"/>
      <c r="BA157" s="68" t="inlineStr">
        <is>
          <t>Intake</t>
        </is>
      </c>
      <c r="BB157" s="68" t="inlineStr">
        <is>
          <t>Pending</t>
        </is>
      </c>
      <c r="BC157" s="68" t="inlineStr">
        <is>
          <t>Generated from pathway/cross-link support only.</t>
        </is>
      </c>
      <c r="BD157" s="68" t="n"/>
      <c r="BE157" s="68" t="inlineStr">
        <is>
          <t>2026-04-10</t>
        </is>
      </c>
      <c r="BF157" s="68" t="inlineStr">
        <is>
          <t>Added from internal pathway-linked herb gap audit</t>
        </is>
      </c>
      <c r="BG157" s="68" t="inlineStr">
        <is>
          <t>hydrastis-canadensis|2026-04-10</t>
        </is>
      </c>
      <c r="BH157" s="68" t="inlineStr">
        <is>
          <t>2026-04-10:added as intake_stub from pathway cross-links</t>
        </is>
      </c>
      <c r="BI157" t="inlineStr">
        <is>
          <t>hydrastis-canadensis</t>
        </is>
      </c>
      <c r="BJ157" t="inlineStr">
        <is>
          <t>Goldenseal</t>
        </is>
      </c>
      <c r="BK157" t="n">
        <v>0</v>
      </c>
      <c r="BL157" t="n">
        <v>0</v>
      </c>
      <c r="BM157" t="n">
        <v>1</v>
      </c>
      <c r="BN157" t="n">
        <v>0</v>
      </c>
      <c r="BO157" t="n">
        <v>100</v>
      </c>
      <c r="BP157" t="n">
        <v>0</v>
      </c>
      <c r="BQ157" t="n">
        <v>0</v>
      </c>
      <c r="BR157" t="n">
        <v>0</v>
      </c>
      <c r="BS157" t="inlineStr">
        <is>
          <t>Tier 4</t>
        </is>
      </c>
      <c r="BT157" t="n">
        <v>0</v>
      </c>
      <c r="BU157" t="inlineStr">
        <is>
          <t>FALSE</t>
        </is>
      </c>
      <c r="BV157" t="inlineStr">
        <is>
          <t>hydrastis-canadensis</t>
        </is>
      </c>
      <c r="BW157" t="inlineStr">
        <is>
          <t>FALSE</t>
        </is>
      </c>
      <c r="BX157" t="inlineStr">
        <is>
          <t>Pass 10 refreshed scoring from 0 mapped compounds | Pass 13 rescored from 0 mapped compounds</t>
        </is>
      </c>
      <c r="CA157" t="n">
        <v>0</v>
      </c>
      <c r="CB157" t="n">
        <v>0</v>
      </c>
      <c r="CC157" t="n">
        <v>0</v>
      </c>
      <c r="CE157" t="inlineStr">
        <is>
          <t>Pass 13 rescored after herb-name normalization and real top-herb compound sweep</t>
        </is>
      </c>
      <c r="CF157" t="inlineStr">
        <is>
          <t>General</t>
        </is>
      </c>
      <c r="CH157" s="68" t="inlineStr">
        <is>
          <t>Start with low single-herb exposure and increase only if tolerated</t>
        </is>
      </c>
      <c r="CI157" s="68" t="inlineStr">
        <is>
          <t>Product-ideation framing only; not clinical dosing advice.</t>
        </is>
      </c>
      <c r="CJ157" s="68" t="str"/>
      <c r="CK157" s="68" t="str"/>
      <c r="CL157" s="68" t="inlineStr">
        <is>
          <t>Baseline</t>
        </is>
      </c>
      <c r="CM157" s="68" t="inlineStr">
        <is>
          <t>No</t>
        </is>
      </c>
      <c r="CN157" s="68" t="str"/>
      <c r="CO157" s="68" t="inlineStr">
        <is>
          <t>Pass 21 herb-level safety and dose framing</t>
        </is>
      </c>
      <c r="CP157" t="inlineStr">
        <is>
          <t>Baseline</t>
        </is>
      </c>
      <c r="CQ157" t="inlineStr">
        <is>
          <t>No</t>
        </is>
      </c>
      <c r="CS157" t="inlineStr">
        <is>
          <t>Pass 22 refined safety rule severity and reduced broad keyword over-flagging</t>
        </is>
      </c>
      <c r="CT157" t="inlineStr">
        <is>
          <t>General</t>
        </is>
      </c>
      <c r="CU157" t="inlineStr">
        <is>
          <t>ampk activation; mitochondrial complex i inhibition; nf-kb pathway inhibition</t>
        </is>
      </c>
      <c r="CV157" t="inlineStr">
        <is>
          <t>Unknown</t>
        </is>
      </c>
      <c r="CW157" t="inlineStr">
        <is>
          <t>Pass 26 normalization: categories, mechanisms, evidence tiers</t>
        </is>
      </c>
      <c r="CX157" t="inlineStr">
        <is>
          <t>Mapped</t>
        </is>
      </c>
      <c r="CY157" t="inlineStr">
        <is>
          <t>Safety review required before publication.</t>
        </is>
      </c>
      <c r="CZ157" t="inlineStr">
        <is>
          <t>Interaction review required before publication</t>
        </is>
      </c>
      <c r="DB157" t="inlineStr">
        <is>
          <t>Pass 28 normalized evidence and safety-related free text</t>
        </is>
      </c>
      <c r="DD157" t="inlineStr">
        <is>
          <t>No standardized dose established; use conservative, product-dependent ranges.</t>
        </is>
      </c>
      <c r="DE157" t="inlineStr">
        <is>
          <t>Common forms include extracts, powders, or teas depending on herb part.</t>
        </is>
      </c>
      <c r="DF157" t="inlineStr">
        <is>
          <t>Quality varies by extraction method, standardization, and contamination risk.</t>
        </is>
      </c>
      <c r="DG157" t="inlineStr">
        <is>
          <t>Low</t>
        </is>
      </c>
      <c r="DH157" t="inlineStr">
        <is>
          <t>Pass 29 completeness repair</t>
        </is>
      </c>
      <c r="DI157" t="n">
        <v>0</v>
      </c>
      <c r="DJ157" t="inlineStr">
        <is>
          <t>General</t>
        </is>
      </c>
      <c r="DL157" t="inlineStr">
        <is>
          <t>Acerola; Agarikon; Ajwain; Aloe Vera; American Ginseng</t>
        </is>
      </c>
      <c r="DM157" t="inlineStr">
        <is>
          <t>Pass 31 relationship intelligence: density, cluster, anchor class, nearest herbs</t>
        </is>
      </c>
      <c r="DP157" t="inlineStr">
        <is>
          <t>Generalist</t>
        </is>
      </c>
      <c r="DQ157" t="inlineStr">
        <is>
          <t>Pass 32 substitute engine + cluster cleanup</t>
        </is>
      </c>
      <c r="DT157" t="inlineStr">
        <is>
          <t>no strong safe fallback found</t>
        </is>
      </c>
      <c r="DU157" t="inlineStr">
        <is>
          <t>Not needed</t>
        </is>
      </c>
      <c r="DV157" t="inlineStr">
        <is>
          <t>Pass 33 fallback replacement engine</t>
        </is>
      </c>
      <c r="DY157" t="inlineStr">
        <is>
          <t>Pass 35 expanded fallback pool with second-pass candidate exploration</t>
        </is>
      </c>
      <c r="EA157" t="inlineStr">
        <is>
          <t>General</t>
        </is>
      </c>
      <c r="EC157" t="inlineStr">
        <is>
          <t>Medium</t>
        </is>
      </c>
      <c r="ED157" t="inlineStr">
        <is>
          <t>Pass 40 reinforced weak-category herb data</t>
        </is>
      </c>
      <c r="EG157" t="n">
        <v>0</v>
      </c>
      <c r="EH157" t="n">
        <v>0</v>
      </c>
      <c r="EI157" t="n">
        <v>0</v>
      </c>
      <c r="EJ157" t="n">
        <v>0</v>
      </c>
      <c r="EK157" t="n">
        <v>0</v>
      </c>
      <c r="EL157" t="n">
        <v>0</v>
      </c>
      <c r="EN157" t="inlineStr">
        <is>
          <t>Pass 48 rolled compound scores into herb-level scoring</t>
        </is>
      </c>
    </row>
    <row r="158">
      <c r="A158" s="68" t="inlineStr">
        <is>
          <t>Salacia</t>
        </is>
      </c>
      <c r="B158" s="68" t="inlineStr">
        <is>
          <t>salacia-reticulata</t>
        </is>
      </c>
      <c r="C158" s="68" t="inlineStr">
        <is>
          <t>Salacia reticulata</t>
        </is>
      </c>
      <c r="D158" s="68" t="inlineStr">
        <is>
          <t>herb</t>
        </is>
      </c>
      <c r="E158" s="68" t="inlineStr">
        <is>
          <t>botanical</t>
        </is>
      </c>
      <c r="F158" s="68" t="inlineStr">
        <is>
          <t>varies</t>
        </is>
      </c>
      <c r="G158" s="68" t="inlineStr">
        <is>
          <t>salacia</t>
        </is>
      </c>
      <c r="H158" s="68" t="n"/>
      <c r="I158" s="68" t="inlineStr">
        <is>
          <t>Salacia is an intake-stage monograph candidate linked to 3 internal compound records in the current workbook.</t>
        </is>
      </c>
      <c r="J158" s="68" t="inlineStr">
        <is>
          <t>Internal cross-linking supports Salacia through compounds such as mangiferin, kotalanol, salacinol.</t>
        </is>
      </c>
      <c r="K158" s="68" t="inlineStr">
        <is>
          <t>mangiferin; kotalanol; salacinol</t>
        </is>
      </c>
      <c r="L158" s="68" t="inlineStr">
        <is>
          <t>mangiferin</t>
        </is>
      </c>
      <c r="M158" s="68" t="inlineStr">
        <is>
          <t>Current internal mapping is compound-linked, with pathway resolution still limited.</t>
        </is>
      </c>
      <c r="N158" s="68" t="inlineStr">
        <is>
          <t>general or unknown targets</t>
        </is>
      </c>
      <c r="O158" s="68" t="inlineStr">
        <is>
          <t>mapped</t>
        </is>
      </c>
      <c r="P158" s="68" t="inlineStr">
        <is>
          <t>Safety review required before publication.</t>
        </is>
      </c>
      <c r="Q158" s="68" t="inlineStr">
        <is>
          <t>Interaction review required before publication.</t>
        </is>
      </c>
      <c r="R158" s="68" t="n"/>
      <c r="S158" s="68" t="n"/>
      <c r="T158" s="68" t="n"/>
      <c r="U158" s="68" t="n"/>
      <c r="V158" s="68" t="n"/>
      <c r="W158" s="68" t="inlineStr">
        <is>
          <t>Medium</t>
        </is>
      </c>
      <c r="X158" s="68" t="inlineStr">
        <is>
          <t>partial</t>
        </is>
      </c>
      <c r="Y158" s="68" t="n"/>
      <c r="Z158" s="68" t="inlineStr">
        <is>
          <t>dataset-linked</t>
        </is>
      </c>
      <c r="AA158" s="68" t="inlineStr">
        <is>
          <t>Internal workbook cross-link</t>
        </is>
      </c>
      <c r="AB158" s="68" t="n"/>
      <c r="AC158" s="68" t="n"/>
      <c r="AD158" s="68" t="n"/>
      <c r="AE158" s="68" t="n"/>
      <c r="AF158" s="68" t="n"/>
      <c r="AG158" s="68" t="n">
        <v>2</v>
      </c>
      <c r="AH158" s="68" t="n">
        <v>2</v>
      </c>
      <c r="AI158" s="68" t="n">
        <v>2</v>
      </c>
      <c r="AJ158" s="68" t="n">
        <v>6</v>
      </c>
      <c r="AK158" s="68" t="inlineStr">
        <is>
          <t>High</t>
        </is>
      </c>
      <c r="AL158" s="68" t="inlineStr">
        <is>
          <t>Needs source review</t>
        </is>
      </c>
      <c r="AM158" s="68" t="inlineStr">
        <is>
          <t>Internal linked</t>
        </is>
      </c>
      <c r="AN158" s="68" t="n">
        <v>0.95</v>
      </c>
      <c r="AO158" s="68" t="inlineStr">
        <is>
          <t>Near ready</t>
        </is>
      </c>
      <c r="AP158" s="68" t="n"/>
      <c r="AQ158" s="68" t="n"/>
      <c r="AR158" s="68" t="inlineStr">
        <is>
          <t>Editorial polish</t>
        </is>
      </c>
      <c r="AS158" s="68" t="inlineStr">
        <is>
          <t>Not started</t>
        </is>
      </c>
      <c r="AT158" s="68" t="inlineStr">
        <is>
          <t>No</t>
        </is>
      </c>
      <c r="AU158" s="68" t="inlineStr">
        <is>
          <t>No</t>
        </is>
      </c>
      <c r="AV158" s="68" t="inlineStr">
        <is>
          <t>No</t>
        </is>
      </c>
      <c r="AW158" s="68" t="inlineStr">
        <is>
          <t>Needs editorial sourcing</t>
        </is>
      </c>
      <c r="AX158" s="68" t="n">
        <v>0</v>
      </c>
      <c r="AY158" s="68" t="n"/>
      <c r="AZ158" s="68" t="n"/>
      <c r="BA158" s="68" t="inlineStr">
        <is>
          <t>Intake</t>
        </is>
      </c>
      <c r="BB158" s="68" t="inlineStr">
        <is>
          <t>Pending</t>
        </is>
      </c>
      <c r="BC158" s="68" t="inlineStr">
        <is>
          <t>Generated from pathway/cross-link support only.</t>
        </is>
      </c>
      <c r="BD158" s="68" t="n"/>
      <c r="BE158" s="68" t="inlineStr">
        <is>
          <t>2026-04-10</t>
        </is>
      </c>
      <c r="BF158" s="68" t="inlineStr">
        <is>
          <t>Added from internal pathway-linked herb gap audit</t>
        </is>
      </c>
      <c r="BG158" s="68" t="inlineStr">
        <is>
          <t>salacia-reticulata|2026-04-10</t>
        </is>
      </c>
      <c r="BH158" s="68" t="inlineStr">
        <is>
          <t>2026-04-10:added as intake_stub from pathway cross-links</t>
        </is>
      </c>
      <c r="BI158" t="inlineStr">
        <is>
          <t>salacia-reticulata</t>
        </is>
      </c>
      <c r="BJ158" t="inlineStr">
        <is>
          <t>Salacia</t>
        </is>
      </c>
      <c r="BK158" t="n">
        <v>0</v>
      </c>
      <c r="BL158" t="n">
        <v>0</v>
      </c>
      <c r="BM158" t="n">
        <v>1</v>
      </c>
      <c r="BN158" t="n">
        <v>0</v>
      </c>
      <c r="BO158" t="n">
        <v>100</v>
      </c>
      <c r="BP158" t="n">
        <v>0</v>
      </c>
      <c r="BQ158" t="n">
        <v>0</v>
      </c>
      <c r="BR158" t="n">
        <v>0</v>
      </c>
      <c r="BS158" t="inlineStr">
        <is>
          <t>Tier 4</t>
        </is>
      </c>
      <c r="BT158" t="n">
        <v>0</v>
      </c>
      <c r="BU158" t="inlineStr">
        <is>
          <t>FALSE</t>
        </is>
      </c>
      <c r="BV158" t="inlineStr">
        <is>
          <t>salacia-reticulata</t>
        </is>
      </c>
      <c r="BW158" t="inlineStr">
        <is>
          <t>FALSE</t>
        </is>
      </c>
      <c r="BX158" t="inlineStr">
        <is>
          <t>Pass 10 refreshed scoring from 0 mapped compounds | Pass 13 rescored from 0 mapped compounds</t>
        </is>
      </c>
      <c r="CA158" t="n">
        <v>0</v>
      </c>
      <c r="CB158" t="n">
        <v>0</v>
      </c>
      <c r="CC158" t="n">
        <v>0</v>
      </c>
      <c r="CE158" t="inlineStr">
        <is>
          <t>Pass 13 rescored after herb-name normalization and real top-herb compound sweep</t>
        </is>
      </c>
      <c r="CF158" t="inlineStr">
        <is>
          <t>General</t>
        </is>
      </c>
      <c r="CH158" s="68" t="inlineStr">
        <is>
          <t>Start with low single-herb exposure and increase only if tolerated</t>
        </is>
      </c>
      <c r="CI158" s="68" t="inlineStr">
        <is>
          <t>Product-ideation framing only; not clinical dosing advice.</t>
        </is>
      </c>
      <c r="CJ158" s="68" t="str"/>
      <c r="CK158" s="68" t="str"/>
      <c r="CL158" s="68" t="inlineStr">
        <is>
          <t>Baseline</t>
        </is>
      </c>
      <c r="CM158" s="68" t="inlineStr">
        <is>
          <t>No</t>
        </is>
      </c>
      <c r="CN158" s="68" t="str"/>
      <c r="CO158" s="68" t="inlineStr">
        <is>
          <t>Pass 21 herb-level safety and dose framing</t>
        </is>
      </c>
      <c r="CP158" t="inlineStr">
        <is>
          <t>Baseline</t>
        </is>
      </c>
      <c r="CQ158" t="inlineStr">
        <is>
          <t>No</t>
        </is>
      </c>
      <c r="CS158" t="inlineStr">
        <is>
          <t>Pass 22 refined safety rule severity and reduced broad keyword over-flagging</t>
        </is>
      </c>
      <c r="CT158" t="inlineStr">
        <is>
          <t>General</t>
        </is>
      </c>
      <c r="CU158" t="inlineStr">
        <is>
          <t>general or unknown targets</t>
        </is>
      </c>
      <c r="CV158" t="inlineStr">
        <is>
          <t>Unknown</t>
        </is>
      </c>
      <c r="CW158" t="inlineStr">
        <is>
          <t>Pass 26 normalization: categories, mechanisms, evidence tiers</t>
        </is>
      </c>
      <c r="CX158" t="inlineStr">
        <is>
          <t>Mapped</t>
        </is>
      </c>
      <c r="CY158" t="inlineStr">
        <is>
          <t>Safety review required before publication.</t>
        </is>
      </c>
      <c r="CZ158" t="inlineStr">
        <is>
          <t>Interaction review required before publication</t>
        </is>
      </c>
      <c r="DB158" t="inlineStr">
        <is>
          <t>Pass 28 normalized evidence and safety-related free text</t>
        </is>
      </c>
      <c r="DD158" t="inlineStr">
        <is>
          <t>No standardized dose established; use conservative, product-dependent ranges.</t>
        </is>
      </c>
      <c r="DE158" t="inlineStr">
        <is>
          <t>Common forms include extracts, powders, or teas depending on herb part.</t>
        </is>
      </c>
      <c r="DF158" t="inlineStr">
        <is>
          <t>Quality varies by extraction method, standardization, and contamination risk.</t>
        </is>
      </c>
      <c r="DG158" t="inlineStr">
        <is>
          <t>Low</t>
        </is>
      </c>
      <c r="DH158" t="inlineStr">
        <is>
          <t>Pass 29 completeness repair</t>
        </is>
      </c>
      <c r="DI158" t="n">
        <v>0</v>
      </c>
      <c r="DJ158" t="inlineStr">
        <is>
          <t>General</t>
        </is>
      </c>
      <c r="DL158" t="inlineStr">
        <is>
          <t>Acerola; Agarikon; Ajwain; Aloe Vera; American Ginseng</t>
        </is>
      </c>
      <c r="DM158" t="inlineStr">
        <is>
          <t>Pass 31 relationship intelligence: density, cluster, anchor class, nearest herbs</t>
        </is>
      </c>
      <c r="DP158" t="inlineStr">
        <is>
          <t>Generalist</t>
        </is>
      </c>
      <c r="DQ158" t="inlineStr">
        <is>
          <t>Pass 32 substitute engine + cluster cleanup</t>
        </is>
      </c>
      <c r="DT158" t="inlineStr">
        <is>
          <t>no strong safe fallback found</t>
        </is>
      </c>
      <c r="DU158" t="inlineStr">
        <is>
          <t>Not needed</t>
        </is>
      </c>
      <c r="DV158" t="inlineStr">
        <is>
          <t>Pass 33 fallback replacement engine</t>
        </is>
      </c>
      <c r="DY158" t="inlineStr">
        <is>
          <t>Pass 35 expanded fallback pool with second-pass candidate exploration</t>
        </is>
      </c>
      <c r="EA158" t="inlineStr">
        <is>
          <t>General</t>
        </is>
      </c>
      <c r="EC158" t="inlineStr">
        <is>
          <t>Medium</t>
        </is>
      </c>
      <c r="ED158" t="inlineStr">
        <is>
          <t>Pass 40 reinforced weak-category herb data</t>
        </is>
      </c>
      <c r="EG158" t="n">
        <v>0</v>
      </c>
      <c r="EH158" t="n">
        <v>0</v>
      </c>
      <c r="EI158" t="n">
        <v>0</v>
      </c>
      <c r="EJ158" t="n">
        <v>0</v>
      </c>
      <c r="EK158" t="n">
        <v>0</v>
      </c>
      <c r="EL158" t="n">
        <v>0</v>
      </c>
      <c r="EN158" t="inlineStr">
        <is>
          <t>Pass 48 rolled compound scores into herb-level scoring</t>
        </is>
      </c>
    </row>
    <row r="159">
      <c r="A159" s="68" t="inlineStr">
        <is>
          <t>Chuanxiong</t>
        </is>
      </c>
      <c r="B159" s="68" t="inlineStr">
        <is>
          <t>ligusticum-chuanxiong</t>
        </is>
      </c>
      <c r="C159" s="68" t="inlineStr">
        <is>
          <t>Ligusticum chuanxiong</t>
        </is>
      </c>
      <c r="D159" s="68" t="inlineStr">
        <is>
          <t>herb</t>
        </is>
      </c>
      <c r="E159" s="68" t="inlineStr">
        <is>
          <t>botanical</t>
        </is>
      </c>
      <c r="F159" s="68" t="inlineStr">
        <is>
          <t>varies</t>
        </is>
      </c>
      <c r="G159" s="68" t="inlineStr">
        <is>
          <t>chuanxiong</t>
        </is>
      </c>
      <c r="H159" s="68" t="n"/>
      <c r="I159" s="68" t="inlineStr">
        <is>
          <t>Chuanxiong is an intake-stage monograph candidate linked to 3 internal compound records in the current workbook.</t>
        </is>
      </c>
      <c r="J159" s="68" t="inlineStr">
        <is>
          <t>Internal cross-linking supports Chuanxiong through compounds such as ligustilide, ferulic acid, tetramethylpyrazine.</t>
        </is>
      </c>
      <c r="K159" s="68" t="inlineStr">
        <is>
          <t>ligustilide; ferulic acid; senkyunolide</t>
        </is>
      </c>
      <c r="L159" s="68" t="inlineStr">
        <is>
          <t>ligustilide; ferulic acid</t>
        </is>
      </c>
      <c r="M159" s="68" t="inlineStr">
        <is>
          <t>Current internal mapping is compound-linked, with pathway resolution still limited.</t>
        </is>
      </c>
      <c r="N159" s="68" t="inlineStr">
        <is>
          <t>circulatory support; cardiovascular support; headache support</t>
        </is>
      </c>
      <c r="O159" s="68" t="inlineStr">
        <is>
          <t>traditional-preclinical</t>
        </is>
      </c>
      <c r="P159" s="68" t="inlineStr">
        <is>
          <t>Review interactions and contraindications</t>
        </is>
      </c>
      <c r="Q159" s="68" t="inlineStr">
        <is>
          <t>May interact with anticoagulant-sensitive stacks</t>
        </is>
      </c>
      <c r="R159" s="68" t="inlineStr">
        <is>
          <t>Use caution in pregnancy-sensitive or bleeding-sensitive contexts</t>
        </is>
      </c>
      <c r="S159" s="68" t="n"/>
      <c r="T159" s="68" t="n"/>
      <c r="U159" s="68" t="n"/>
      <c r="V159" s="68" t="n"/>
      <c r="W159" s="68" t="inlineStr">
        <is>
          <t>low-medium</t>
        </is>
      </c>
      <c r="X159" s="68" t="inlineStr">
        <is>
          <t>partial</t>
        </is>
      </c>
      <c r="Y159" s="68" t="n"/>
      <c r="Z159" s="68" t="inlineStr">
        <is>
          <t>dataset-linked</t>
        </is>
      </c>
      <c r="AA159" s="68" t="inlineStr">
        <is>
          <t>Internal workbook cross-link</t>
        </is>
      </c>
      <c r="AB159" s="68" t="n"/>
      <c r="AC159" s="68" t="n"/>
      <c r="AD159" s="68" t="n"/>
      <c r="AE159" s="68" t="n"/>
      <c r="AF159" s="68" t="n"/>
      <c r="AG159" s="68" t="n">
        <v>2</v>
      </c>
      <c r="AH159" s="68" t="n">
        <v>2</v>
      </c>
      <c r="AI159" s="68" t="n">
        <v>2</v>
      </c>
      <c r="AJ159" s="68" t="n">
        <v>6</v>
      </c>
      <c r="AK159" s="68" t="inlineStr">
        <is>
          <t>High</t>
        </is>
      </c>
      <c r="AL159" s="68" t="inlineStr">
        <is>
          <t>Needs source review</t>
        </is>
      </c>
      <c r="AM159" s="68" t="inlineStr">
        <is>
          <t>Internal linked</t>
        </is>
      </c>
      <c r="AN159" s="68" t="n">
        <v>0.95</v>
      </c>
      <c r="AO159" s="68" t="inlineStr">
        <is>
          <t>Near ready</t>
        </is>
      </c>
      <c r="AP159" s="68" t="n"/>
      <c r="AQ159" s="68" t="n"/>
      <c r="AR159" s="68" t="inlineStr">
        <is>
          <t>Editorial polish</t>
        </is>
      </c>
      <c r="AS159" s="68" t="inlineStr">
        <is>
          <t>Not started</t>
        </is>
      </c>
      <c r="AT159" s="68" t="inlineStr">
        <is>
          <t>No</t>
        </is>
      </c>
      <c r="AU159" s="68" t="inlineStr">
        <is>
          <t>No</t>
        </is>
      </c>
      <c r="AV159" s="68" t="inlineStr">
        <is>
          <t>No</t>
        </is>
      </c>
      <c r="AW159" s="68" t="inlineStr">
        <is>
          <t>Needs editorial sourcing</t>
        </is>
      </c>
      <c r="AX159" s="68" t="n">
        <v>0</v>
      </c>
      <c r="AY159" s="68" t="n"/>
      <c r="AZ159" s="68" t="n"/>
      <c r="BA159" s="68" t="inlineStr">
        <is>
          <t>Intake</t>
        </is>
      </c>
      <c r="BB159" s="68" t="inlineStr">
        <is>
          <t>Pending</t>
        </is>
      </c>
      <c r="BC159" s="68" t="inlineStr">
        <is>
          <t>Generated from pathway/cross-link support only.</t>
        </is>
      </c>
      <c r="BD159" s="68" t="n"/>
      <c r="BE159" s="68" t="inlineStr">
        <is>
          <t>2026-04-10</t>
        </is>
      </c>
      <c r="BF159" s="68" t="inlineStr">
        <is>
          <t>Added from internal pathway-linked herb gap audit</t>
        </is>
      </c>
      <c r="BG159" s="68" t="inlineStr">
        <is>
          <t>ligusticum-chuanxiong|2026-04-10</t>
        </is>
      </c>
      <c r="BH159" s="68" t="inlineStr">
        <is>
          <t>2026-04-10:added as intake_stub from pathway cross-links</t>
        </is>
      </c>
      <c r="BI159" t="inlineStr">
        <is>
          <t>ligusticum-chuanxiong</t>
        </is>
      </c>
      <c r="BJ159" t="inlineStr">
        <is>
          <t>Chuanxiong</t>
        </is>
      </c>
      <c r="BK159" t="n">
        <v>0</v>
      </c>
      <c r="BL159" t="n">
        <v>0</v>
      </c>
      <c r="BM159" t="n">
        <v>3</v>
      </c>
      <c r="BN159" t="n">
        <v>0</v>
      </c>
      <c r="BO159" t="n">
        <v>100</v>
      </c>
      <c r="BP159" t="n">
        <v>0</v>
      </c>
      <c r="BQ159" t="n">
        <v>0</v>
      </c>
      <c r="BR159" t="n">
        <v>0</v>
      </c>
      <c r="BS159" t="inlineStr">
        <is>
          <t>Tier 4</t>
        </is>
      </c>
      <c r="BT159" t="n">
        <v>0</v>
      </c>
      <c r="BU159" t="inlineStr">
        <is>
          <t>FALSE</t>
        </is>
      </c>
      <c r="BV159" t="inlineStr">
        <is>
          <t>ligusticum-chuanxiong</t>
        </is>
      </c>
      <c r="BW159" t="inlineStr">
        <is>
          <t>FALSE</t>
        </is>
      </c>
      <c r="BX159" t="inlineStr">
        <is>
          <t>Pass 10 refreshed scoring from 0 mapped compounds | Pass 13 rescored from 0 mapped compounds</t>
        </is>
      </c>
      <c r="CA159" t="n">
        <v>0</v>
      </c>
      <c r="CB159" t="n">
        <v>0</v>
      </c>
      <c r="CC159" t="n">
        <v>0</v>
      </c>
      <c r="CE159" t="inlineStr">
        <is>
          <t>Pass 13 rescored after herb-name normalization and real top-herb compound sweep</t>
        </is>
      </c>
      <c r="CF159" t="inlineStr">
        <is>
          <t>General</t>
        </is>
      </c>
      <c r="CH159" s="68" t="inlineStr">
        <is>
          <t>Start low; usually daytime use</t>
        </is>
      </c>
      <c r="CI159" s="68" t="inlineStr">
        <is>
          <t>Keep conservative around surgery, anticoagulants, or antiplatelet use.</t>
        </is>
      </c>
      <c r="CJ159" s="68" t="inlineStr">
        <is>
          <t>bleeding-risk; blood-pressure; pregnancy</t>
        </is>
      </c>
      <c r="CK159" s="68" t="inlineStr">
        <is>
          <t>pregnancy</t>
        </is>
      </c>
      <c r="CL159" s="68" t="inlineStr">
        <is>
          <t>Moderate</t>
        </is>
      </c>
      <c r="CM159" s="68" t="inlineStr">
        <is>
          <t>No</t>
        </is>
      </c>
      <c r="CN159" s="68" t="str"/>
      <c r="CO159" s="68" t="inlineStr">
        <is>
          <t>Pass 21 herb-level safety and dose framing</t>
        </is>
      </c>
      <c r="CP159" t="inlineStr">
        <is>
          <t>Moderate</t>
        </is>
      </c>
      <c r="CQ159" t="inlineStr">
        <is>
          <t>No</t>
        </is>
      </c>
      <c r="CS159" t="inlineStr">
        <is>
          <t>Pass 22 refined safety rule severity and reduced broad keyword over-flagging</t>
        </is>
      </c>
      <c r="CT159" t="inlineStr">
        <is>
          <t>General</t>
        </is>
      </c>
      <c r="CU159" t="inlineStr">
        <is>
          <t>cardiovascular support; circulatory support; headache support</t>
        </is>
      </c>
      <c r="CV159" t="inlineStr">
        <is>
          <t>Preclinical</t>
        </is>
      </c>
      <c r="CW159" t="inlineStr">
        <is>
          <t>Pass 26 normalization: categories, mechanisms, evidence tiers</t>
        </is>
      </c>
      <c r="CX159" t="inlineStr">
        <is>
          <t>Preclinical</t>
        </is>
      </c>
      <c r="CY159" t="inlineStr">
        <is>
          <t>Review interactions and contraindications</t>
        </is>
      </c>
      <c r="CZ159" t="inlineStr">
        <is>
          <t>May interact with anticoagulant-sensitive stacks</t>
        </is>
      </c>
      <c r="DA159" t="inlineStr">
        <is>
          <t>Use caution in pregnancy-sensitive or bleeding-sensitive contexts</t>
        </is>
      </c>
      <c r="DB159" t="inlineStr">
        <is>
          <t>Pass 28 normalized evidence and safety-related free text</t>
        </is>
      </c>
      <c r="DD159" t="inlineStr">
        <is>
          <t>No standardized dose established; use conservative, product-dependent ranges.</t>
        </is>
      </c>
      <c r="DE159" t="inlineStr">
        <is>
          <t>Common forms include extracts, powders, or teas depending on herb part.</t>
        </is>
      </c>
      <c r="DF159" t="inlineStr">
        <is>
          <t>Quality varies by extraction method, standardization, and contamination risk.</t>
        </is>
      </c>
      <c r="DG159" t="inlineStr">
        <is>
          <t>Low to moderate</t>
        </is>
      </c>
      <c r="DH159" t="inlineStr">
        <is>
          <t>Pass 29 completeness repair</t>
        </is>
      </c>
      <c r="DI159" t="n">
        <v>0</v>
      </c>
      <c r="DJ159" t="inlineStr">
        <is>
          <t>General</t>
        </is>
      </c>
      <c r="DL159" t="inlineStr">
        <is>
          <t>Acerola; Agarikon; Ajwain; Aloe Vera; American Ginseng</t>
        </is>
      </c>
      <c r="DM159" t="inlineStr">
        <is>
          <t>Pass 31 relationship intelligence: density, cluster, anchor class, nearest herbs</t>
        </is>
      </c>
      <c r="DP159" t="inlineStr">
        <is>
          <t>Generalist</t>
        </is>
      </c>
      <c r="DQ159" t="inlineStr">
        <is>
          <t>Pass 32 substitute engine + cluster cleanup</t>
        </is>
      </c>
      <c r="DT159" t="inlineStr">
        <is>
          <t>no strong safe fallback found</t>
        </is>
      </c>
      <c r="DU159" t="inlineStr">
        <is>
          <t>Optional</t>
        </is>
      </c>
      <c r="DV159" t="inlineStr">
        <is>
          <t>Pass 33 fallback replacement engine</t>
        </is>
      </c>
      <c r="DY159" t="inlineStr">
        <is>
          <t>Pass 35 expanded fallback pool with second-pass candidate exploration</t>
        </is>
      </c>
      <c r="EA159" t="inlineStr">
        <is>
          <t>General</t>
        </is>
      </c>
      <c r="EC159" t="inlineStr">
        <is>
          <t>low-medium</t>
        </is>
      </c>
      <c r="ED159" t="inlineStr">
        <is>
          <t>Pass 40 reinforced weak-category herb data</t>
        </is>
      </c>
      <c r="EG159" t="n">
        <v>0</v>
      </c>
      <c r="EH159" t="n">
        <v>0</v>
      </c>
      <c r="EI159" t="n">
        <v>0</v>
      </c>
      <c r="EJ159" t="n">
        <v>0</v>
      </c>
      <c r="EK159" t="n">
        <v>0</v>
      </c>
      <c r="EL159" t="n">
        <v>0</v>
      </c>
      <c r="EN159" t="inlineStr">
        <is>
          <t>Pass 48 rolled compound scores into herb-level scoring</t>
        </is>
      </c>
    </row>
    <row r="160">
      <c r="A160" s="68" t="inlineStr">
        <is>
          <t>Fingerroot</t>
        </is>
      </c>
      <c r="B160" s="68" t="inlineStr">
        <is>
          <t>boesenbergia-rotunda</t>
        </is>
      </c>
      <c r="C160" s="68" t="inlineStr">
        <is>
          <t>Boesenbergia rotunda</t>
        </is>
      </c>
      <c r="D160" s="68" t="inlineStr">
        <is>
          <t>herb</t>
        </is>
      </c>
      <c r="E160" s="68" t="inlineStr">
        <is>
          <t>botanical</t>
        </is>
      </c>
      <c r="F160" s="68" t="inlineStr">
        <is>
          <t>varies</t>
        </is>
      </c>
      <c r="G160" s="68" t="inlineStr">
        <is>
          <t>fingerroot</t>
        </is>
      </c>
      <c r="H160" s="68" t="n"/>
      <c r="I160" s="68" t="inlineStr">
        <is>
          <t>Fingerroot is an intake-stage monograph candidate linked to 3 internal compound records in the current workbook.</t>
        </is>
      </c>
      <c r="J160" s="68" t="inlineStr">
        <is>
          <t>Internal cross-linking supports Fingerroot through compounds such as pinostrobin, pinocembrin, panduratin a.</t>
        </is>
      </c>
      <c r="K160" s="68" t="inlineStr">
        <is>
          <t>pinostrobin; pinocembrin; panduratin a</t>
        </is>
      </c>
      <c r="L160" s="68" t="inlineStr">
        <is>
          <t>pinostrobin</t>
        </is>
      </c>
      <c r="M160" s="68" t="inlineStr">
        <is>
          <t>Current internal mapping is compound-linked, with pathway resolution still limited.</t>
        </is>
      </c>
      <c r="N160" s="68" t="inlineStr">
        <is>
          <t>general or unknown targets</t>
        </is>
      </c>
      <c r="O160" s="68" t="inlineStr">
        <is>
          <t>mapped</t>
        </is>
      </c>
      <c r="P160" s="68" t="inlineStr">
        <is>
          <t>Safety review required before publication.</t>
        </is>
      </c>
      <c r="Q160" s="68" t="inlineStr">
        <is>
          <t>Interaction review required before publication.</t>
        </is>
      </c>
      <c r="R160" s="68" t="n"/>
      <c r="S160" s="68" t="n"/>
      <c r="T160" s="68" t="n"/>
      <c r="U160" s="68" t="n"/>
      <c r="V160" s="68" t="n"/>
      <c r="W160" s="68" t="inlineStr">
        <is>
          <t>Medium</t>
        </is>
      </c>
      <c r="X160" s="68" t="inlineStr">
        <is>
          <t>partial</t>
        </is>
      </c>
      <c r="Y160" s="68" t="n"/>
      <c r="Z160" s="68" t="inlineStr">
        <is>
          <t>dataset-linked</t>
        </is>
      </c>
      <c r="AA160" s="68" t="inlineStr">
        <is>
          <t>Internal workbook cross-link</t>
        </is>
      </c>
      <c r="AB160" s="68" t="n"/>
      <c r="AC160" s="68" t="n"/>
      <c r="AD160" s="68" t="n"/>
      <c r="AE160" s="68" t="n"/>
      <c r="AF160" s="68" t="n"/>
      <c r="AG160" s="68" t="n">
        <v>2</v>
      </c>
      <c r="AH160" s="68" t="n">
        <v>2</v>
      </c>
      <c r="AI160" s="68" t="n">
        <v>2</v>
      </c>
      <c r="AJ160" s="68" t="n">
        <v>6</v>
      </c>
      <c r="AK160" s="68" t="inlineStr">
        <is>
          <t>High</t>
        </is>
      </c>
      <c r="AL160" s="68" t="inlineStr">
        <is>
          <t>Needs source review</t>
        </is>
      </c>
      <c r="AM160" s="68" t="inlineStr">
        <is>
          <t>Internal linked</t>
        </is>
      </c>
      <c r="AN160" s="68" t="n">
        <v>0.95</v>
      </c>
      <c r="AO160" s="68" t="inlineStr">
        <is>
          <t>Near ready</t>
        </is>
      </c>
      <c r="AP160" s="68" t="n"/>
      <c r="AQ160" s="68" t="n"/>
      <c r="AR160" s="68" t="inlineStr">
        <is>
          <t>Editorial polish</t>
        </is>
      </c>
      <c r="AS160" s="68" t="inlineStr">
        <is>
          <t>Not started</t>
        </is>
      </c>
      <c r="AT160" s="68" t="inlineStr">
        <is>
          <t>No</t>
        </is>
      </c>
      <c r="AU160" s="68" t="inlineStr">
        <is>
          <t>No</t>
        </is>
      </c>
      <c r="AV160" s="68" t="inlineStr">
        <is>
          <t>No</t>
        </is>
      </c>
      <c r="AW160" s="68" t="inlineStr">
        <is>
          <t>Needs editorial sourcing</t>
        </is>
      </c>
      <c r="AX160" s="68" t="n">
        <v>0</v>
      </c>
      <c r="AY160" s="68" t="n"/>
      <c r="AZ160" s="68" t="n"/>
      <c r="BA160" s="68" t="inlineStr">
        <is>
          <t>Intake</t>
        </is>
      </c>
      <c r="BB160" s="68" t="inlineStr">
        <is>
          <t>Pending</t>
        </is>
      </c>
      <c r="BC160" s="68" t="inlineStr">
        <is>
          <t>Generated from pathway/cross-link support only.</t>
        </is>
      </c>
      <c r="BD160" s="68" t="n"/>
      <c r="BE160" s="68" t="inlineStr">
        <is>
          <t>2026-04-10</t>
        </is>
      </c>
      <c r="BF160" s="68" t="inlineStr">
        <is>
          <t>Added from internal pathway-linked herb gap audit</t>
        </is>
      </c>
      <c r="BG160" s="68" t="inlineStr">
        <is>
          <t>boesenbergia-rotunda|2026-04-10</t>
        </is>
      </c>
      <c r="BH160" s="68" t="inlineStr">
        <is>
          <t>2026-04-10:added as intake_stub from pathway cross-links</t>
        </is>
      </c>
      <c r="BI160" t="inlineStr">
        <is>
          <t>boesenbergia-rotunda</t>
        </is>
      </c>
      <c r="BJ160" t="inlineStr">
        <is>
          <t>Fingerroot</t>
        </is>
      </c>
      <c r="BK160" t="n">
        <v>0</v>
      </c>
      <c r="BL160" t="n">
        <v>0</v>
      </c>
      <c r="BM160" t="n">
        <v>1</v>
      </c>
      <c r="BN160" t="n">
        <v>0</v>
      </c>
      <c r="BO160" t="n">
        <v>100</v>
      </c>
      <c r="BP160" t="n">
        <v>0</v>
      </c>
      <c r="BQ160" t="n">
        <v>0</v>
      </c>
      <c r="BR160" t="n">
        <v>0</v>
      </c>
      <c r="BS160" t="inlineStr">
        <is>
          <t>Tier 4</t>
        </is>
      </c>
      <c r="BT160" t="n">
        <v>0</v>
      </c>
      <c r="BU160" t="inlineStr">
        <is>
          <t>FALSE</t>
        </is>
      </c>
      <c r="BV160" t="inlineStr">
        <is>
          <t>boesenbergia-rotunda</t>
        </is>
      </c>
      <c r="BW160" t="inlineStr">
        <is>
          <t>FALSE</t>
        </is>
      </c>
      <c r="BX160" t="inlineStr">
        <is>
          <t>Pass 10 refreshed scoring from 0 mapped compounds | Pass 13 rescored from 0 mapped compounds</t>
        </is>
      </c>
      <c r="CA160" t="n">
        <v>0</v>
      </c>
      <c r="CB160" t="n">
        <v>0</v>
      </c>
      <c r="CC160" t="n">
        <v>0</v>
      </c>
      <c r="CE160" t="inlineStr">
        <is>
          <t>Pass 13 rescored after herb-name normalization and real top-herb compound sweep</t>
        </is>
      </c>
      <c r="CF160" t="inlineStr">
        <is>
          <t>General</t>
        </is>
      </c>
      <c r="CH160" s="68" t="inlineStr">
        <is>
          <t>Start with low single-herb exposure and increase only if tolerated</t>
        </is>
      </c>
      <c r="CI160" s="68" t="inlineStr">
        <is>
          <t>Product-ideation framing only; not clinical dosing advice.</t>
        </is>
      </c>
      <c r="CJ160" s="68" t="str"/>
      <c r="CK160" s="68" t="str"/>
      <c r="CL160" s="68" t="inlineStr">
        <is>
          <t>Baseline</t>
        </is>
      </c>
      <c r="CM160" s="68" t="inlineStr">
        <is>
          <t>No</t>
        </is>
      </c>
      <c r="CN160" s="68" t="str"/>
      <c r="CO160" s="68" t="inlineStr">
        <is>
          <t>Pass 21 herb-level safety and dose framing</t>
        </is>
      </c>
      <c r="CP160" t="inlineStr">
        <is>
          <t>Baseline</t>
        </is>
      </c>
      <c r="CQ160" t="inlineStr">
        <is>
          <t>No</t>
        </is>
      </c>
      <c r="CS160" t="inlineStr">
        <is>
          <t>Pass 22 refined safety rule severity and reduced broad keyword over-flagging</t>
        </is>
      </c>
      <c r="CT160" t="inlineStr">
        <is>
          <t>General</t>
        </is>
      </c>
      <c r="CU160" t="inlineStr">
        <is>
          <t>general or unknown targets</t>
        </is>
      </c>
      <c r="CV160" t="inlineStr">
        <is>
          <t>Unknown</t>
        </is>
      </c>
      <c r="CW160" t="inlineStr">
        <is>
          <t>Pass 26 normalization: categories, mechanisms, evidence tiers</t>
        </is>
      </c>
      <c r="CX160" t="inlineStr">
        <is>
          <t>Mapped</t>
        </is>
      </c>
      <c r="CY160" t="inlineStr">
        <is>
          <t>Safety review required before publication.</t>
        </is>
      </c>
      <c r="CZ160" t="inlineStr">
        <is>
          <t>Interaction review required before publication</t>
        </is>
      </c>
      <c r="DB160" t="inlineStr">
        <is>
          <t>Pass 28 normalized evidence and safety-related free text</t>
        </is>
      </c>
      <c r="DD160" t="inlineStr">
        <is>
          <t>No standardized dose established; use conservative, product-dependent ranges.</t>
        </is>
      </c>
      <c r="DE160" t="inlineStr">
        <is>
          <t>Common forms include extracts, powders, or teas depending on herb part.</t>
        </is>
      </c>
      <c r="DF160" t="inlineStr">
        <is>
          <t>Quality varies by extraction method, standardization, and contamination risk.</t>
        </is>
      </c>
      <c r="DG160" t="inlineStr">
        <is>
          <t>Low</t>
        </is>
      </c>
      <c r="DH160" t="inlineStr">
        <is>
          <t>Pass 29 completeness repair</t>
        </is>
      </c>
      <c r="DI160" t="n">
        <v>0</v>
      </c>
      <c r="DJ160" t="inlineStr">
        <is>
          <t>General</t>
        </is>
      </c>
      <c r="DL160" t="inlineStr">
        <is>
          <t>Acerola; Agarikon; Ajwain; Aloe Vera; American Ginseng</t>
        </is>
      </c>
      <c r="DM160" t="inlineStr">
        <is>
          <t>Pass 31 relationship intelligence: density, cluster, anchor class, nearest herbs</t>
        </is>
      </c>
      <c r="DP160" t="inlineStr">
        <is>
          <t>Generalist</t>
        </is>
      </c>
      <c r="DQ160" t="inlineStr">
        <is>
          <t>Pass 32 substitute engine + cluster cleanup</t>
        </is>
      </c>
      <c r="DT160" t="inlineStr">
        <is>
          <t>no strong safe fallback found</t>
        </is>
      </c>
      <c r="DU160" t="inlineStr">
        <is>
          <t>Not needed</t>
        </is>
      </c>
      <c r="DV160" t="inlineStr">
        <is>
          <t>Pass 33 fallback replacement engine</t>
        </is>
      </c>
      <c r="DY160" t="inlineStr">
        <is>
          <t>Pass 35 expanded fallback pool with second-pass candidate exploration</t>
        </is>
      </c>
      <c r="EA160" t="inlineStr">
        <is>
          <t>General</t>
        </is>
      </c>
      <c r="EC160" t="inlineStr">
        <is>
          <t>Medium</t>
        </is>
      </c>
      <c r="ED160" t="inlineStr">
        <is>
          <t>Pass 40 reinforced weak-category herb data</t>
        </is>
      </c>
      <c r="EG160" t="n">
        <v>0</v>
      </c>
      <c r="EH160" t="n">
        <v>0</v>
      </c>
      <c r="EI160" t="n">
        <v>0</v>
      </c>
      <c r="EJ160" t="n">
        <v>0</v>
      </c>
      <c r="EK160" t="n">
        <v>0</v>
      </c>
      <c r="EL160" t="n">
        <v>0</v>
      </c>
      <c r="EN160" t="inlineStr">
        <is>
          <t>Pass 48 rolled compound scores into herb-level scoring</t>
        </is>
      </c>
    </row>
    <row r="161">
      <c r="A161" s="68" t="inlineStr">
        <is>
          <t>Wormwood</t>
        </is>
      </c>
      <c r="B161" s="68" t="inlineStr">
        <is>
          <t>artemisia-absinthium</t>
        </is>
      </c>
      <c r="C161" s="68" t="inlineStr">
        <is>
          <t>Artemisia absinthium</t>
        </is>
      </c>
      <c r="D161" s="68" t="inlineStr">
        <is>
          <t>herb</t>
        </is>
      </c>
      <c r="E161" s="68" t="inlineStr">
        <is>
          <t>botanical</t>
        </is>
      </c>
      <c r="F161" s="68" t="inlineStr">
        <is>
          <t>varies</t>
        </is>
      </c>
      <c r="G161" s="68" t="inlineStr">
        <is>
          <t>wormwood</t>
        </is>
      </c>
      <c r="H161" s="68" t="n"/>
      <c r="I161" s="68" t="inlineStr">
        <is>
          <t>Wormwood is an intake-stage monograph candidate linked to 3 internal compound records and pathway tags including gabaergic_modulation.</t>
        </is>
      </c>
      <c r="J161" s="68" t="inlineStr">
        <is>
          <t>Internal cross-linking supports Wormwood through compounds such as alpha-thujone, absinthin, beta-thujone.</t>
        </is>
      </c>
      <c r="K161" s="68" t="inlineStr">
        <is>
          <t>alpha-thujone; absinthin; beta-thujone</t>
        </is>
      </c>
      <c r="L161" s="68" t="inlineStr">
        <is>
          <t>alpha-thujone</t>
        </is>
      </c>
      <c r="M161" s="68" t="inlineStr">
        <is>
          <t>Internal workbook mapping currently connects this herb to gabaergic_modulation.</t>
        </is>
      </c>
      <c r="N161" s="68" t="inlineStr">
        <is>
          <t>gabaergic_modulation</t>
        </is>
      </c>
      <c r="O161" s="68" t="inlineStr">
        <is>
          <t>mapped</t>
        </is>
      </c>
      <c r="P161" s="68" t="inlineStr">
        <is>
          <t>Safety review required before publication.</t>
        </is>
      </c>
      <c r="Q161" s="68" t="inlineStr">
        <is>
          <t>Interaction review required before publication.</t>
        </is>
      </c>
      <c r="R161" s="68" t="n"/>
      <c r="S161" s="68" t="n"/>
      <c r="T161" s="68" t="n"/>
      <c r="U161" s="68" t="n"/>
      <c r="V161" s="68" t="n"/>
      <c r="W161" s="68" t="inlineStr">
        <is>
          <t>Medium</t>
        </is>
      </c>
      <c r="X161" s="68" t="inlineStr">
        <is>
          <t>partial</t>
        </is>
      </c>
      <c r="Y161" s="68" t="n"/>
      <c r="Z161" s="68" t="inlineStr">
        <is>
          <t>dataset-linked</t>
        </is>
      </c>
      <c r="AA161" s="68" t="inlineStr">
        <is>
          <t>Internal workbook cross-link</t>
        </is>
      </c>
      <c r="AB161" s="68" t="n"/>
      <c r="AC161" s="68" t="n"/>
      <c r="AD161" s="68" t="n"/>
      <c r="AE161" s="68" t="n"/>
      <c r="AF161" s="68" t="n"/>
      <c r="AG161" s="68" t="n">
        <v>2</v>
      </c>
      <c r="AH161" s="68" t="n">
        <v>2</v>
      </c>
      <c r="AI161" s="68" t="n">
        <v>2</v>
      </c>
      <c r="AJ161" s="68" t="n">
        <v>6</v>
      </c>
      <c r="AK161" s="68" t="inlineStr">
        <is>
          <t>High</t>
        </is>
      </c>
      <c r="AL161" s="68" t="inlineStr">
        <is>
          <t>Needs source review</t>
        </is>
      </c>
      <c r="AM161" s="68" t="inlineStr">
        <is>
          <t>Internal linked</t>
        </is>
      </c>
      <c r="AN161" s="68" t="n">
        <v>0.95</v>
      </c>
      <c r="AO161" s="68" t="inlineStr">
        <is>
          <t>Near ready</t>
        </is>
      </c>
      <c r="AP161" s="68" t="n"/>
      <c r="AQ161" s="68" t="n"/>
      <c r="AR161" s="68" t="inlineStr">
        <is>
          <t>Editorial polish</t>
        </is>
      </c>
      <c r="AS161" s="68" t="inlineStr">
        <is>
          <t>Not started</t>
        </is>
      </c>
      <c r="AT161" s="68" t="inlineStr">
        <is>
          <t>No</t>
        </is>
      </c>
      <c r="AU161" s="68" t="inlineStr">
        <is>
          <t>No</t>
        </is>
      </c>
      <c r="AV161" s="68" t="inlineStr">
        <is>
          <t>No</t>
        </is>
      </c>
      <c r="AW161" s="68" t="inlineStr">
        <is>
          <t>Needs editorial sourcing</t>
        </is>
      </c>
      <c r="AX161" s="68" t="n">
        <v>0</v>
      </c>
      <c r="AY161" s="68" t="n"/>
      <c r="AZ161" s="68" t="n"/>
      <c r="BA161" s="68" t="inlineStr">
        <is>
          <t>Intake</t>
        </is>
      </c>
      <c r="BB161" s="68" t="inlineStr">
        <is>
          <t>Pending</t>
        </is>
      </c>
      <c r="BC161" s="68" t="inlineStr">
        <is>
          <t>Generated from pathway/cross-link support only.</t>
        </is>
      </c>
      <c r="BD161" s="68" t="n"/>
      <c r="BE161" s="68" t="inlineStr">
        <is>
          <t>2026-04-10</t>
        </is>
      </c>
      <c r="BF161" s="68" t="inlineStr">
        <is>
          <t>Added from internal pathway-linked herb gap audit</t>
        </is>
      </c>
      <c r="BG161" s="68" t="inlineStr">
        <is>
          <t>artemisia-absinthium|2026-04-10</t>
        </is>
      </c>
      <c r="BH161" s="68" t="inlineStr">
        <is>
          <t>2026-04-10:added as intake_stub from pathway cross-links</t>
        </is>
      </c>
      <c r="BI161" t="inlineStr">
        <is>
          <t>artemisia-absinthium</t>
        </is>
      </c>
      <c r="BJ161" t="inlineStr">
        <is>
          <t>Wormwood</t>
        </is>
      </c>
      <c r="BK161" t="n">
        <v>0</v>
      </c>
      <c r="BL161" t="n">
        <v>0</v>
      </c>
      <c r="BM161" t="n">
        <v>1</v>
      </c>
      <c r="BN161" t="n">
        <v>0</v>
      </c>
      <c r="BO161" t="n">
        <v>100</v>
      </c>
      <c r="BP161" t="n">
        <v>0</v>
      </c>
      <c r="BQ161" t="n">
        <v>0</v>
      </c>
      <c r="BR161" t="n">
        <v>0</v>
      </c>
      <c r="BS161" t="inlineStr">
        <is>
          <t>Tier 4</t>
        </is>
      </c>
      <c r="BT161" t="n">
        <v>0</v>
      </c>
      <c r="BU161" t="inlineStr">
        <is>
          <t>FALSE</t>
        </is>
      </c>
      <c r="BV161" t="inlineStr">
        <is>
          <t>artemisia-absinthium</t>
        </is>
      </c>
      <c r="BW161" t="inlineStr">
        <is>
          <t>FALSE</t>
        </is>
      </c>
      <c r="BX161" t="inlineStr">
        <is>
          <t>Pass 10 refreshed scoring from 0 mapped compounds | Pass 13 rescored from 0 mapped compounds</t>
        </is>
      </c>
      <c r="CA161" t="n">
        <v>0</v>
      </c>
      <c r="CB161" t="n">
        <v>0</v>
      </c>
      <c r="CC161" t="n">
        <v>0</v>
      </c>
      <c r="CE161" t="inlineStr">
        <is>
          <t>Pass 13 rescored after herb-name normalization and real top-herb compound sweep</t>
        </is>
      </c>
      <c r="CF161" t="inlineStr">
        <is>
          <t>General</t>
        </is>
      </c>
      <c r="CH161" s="68" t="inlineStr">
        <is>
          <t>Start low; usually evening or split use</t>
        </is>
      </c>
      <c r="CI161" s="68" t="inlineStr">
        <is>
          <t>Prefer evening or split dosing; avoid stacking with other sedative-heavy products by default.</t>
        </is>
      </c>
      <c r="CJ161" s="68" t="inlineStr">
        <is>
          <t>sedation-cns</t>
        </is>
      </c>
      <c r="CK161" s="68" t="str"/>
      <c r="CL161" s="68" t="inlineStr">
        <is>
          <t>Baseline</t>
        </is>
      </c>
      <c r="CM161" s="68" t="inlineStr">
        <is>
          <t>No</t>
        </is>
      </c>
      <c r="CN161" s="68" t="str"/>
      <c r="CO161" s="68" t="inlineStr">
        <is>
          <t>Pass 21 herb-level safety and dose framing</t>
        </is>
      </c>
      <c r="CP161" t="inlineStr">
        <is>
          <t>Baseline</t>
        </is>
      </c>
      <c r="CQ161" t="inlineStr">
        <is>
          <t>No</t>
        </is>
      </c>
      <c r="CS161" t="inlineStr">
        <is>
          <t>Pass 22 refined safety rule severity and reduced broad keyword over-flagging</t>
        </is>
      </c>
      <c r="CT161" t="inlineStr">
        <is>
          <t>General</t>
        </is>
      </c>
      <c r="CU161" t="inlineStr">
        <is>
          <t>gabaergic_modulation</t>
        </is>
      </c>
      <c r="CV161" t="inlineStr">
        <is>
          <t>Unknown</t>
        </is>
      </c>
      <c r="CW161" t="inlineStr">
        <is>
          <t>Pass 26 normalization: categories, mechanisms, evidence tiers</t>
        </is>
      </c>
      <c r="CX161" t="inlineStr">
        <is>
          <t>Mapped</t>
        </is>
      </c>
      <c r="CY161" t="inlineStr">
        <is>
          <t>Safety review required before publication.</t>
        </is>
      </c>
      <c r="CZ161" t="inlineStr">
        <is>
          <t>Interaction review required before publication</t>
        </is>
      </c>
      <c r="DB161" t="inlineStr">
        <is>
          <t>Pass 28 normalized evidence and safety-related free text</t>
        </is>
      </c>
      <c r="DD161" t="inlineStr">
        <is>
          <t>No standardized dose established; use conservative, product-dependent ranges.</t>
        </is>
      </c>
      <c r="DE161" t="inlineStr">
        <is>
          <t>Common forms include extracts, powders, or teas depending on herb part.</t>
        </is>
      </c>
      <c r="DF161" t="inlineStr">
        <is>
          <t>Quality varies by extraction method, standardization, and contamination risk.</t>
        </is>
      </c>
      <c r="DG161" t="inlineStr">
        <is>
          <t>Low</t>
        </is>
      </c>
      <c r="DH161" t="inlineStr">
        <is>
          <t>Pass 29 completeness repair</t>
        </is>
      </c>
      <c r="DI161" t="n">
        <v>0</v>
      </c>
      <c r="DJ161" t="inlineStr">
        <is>
          <t>General</t>
        </is>
      </c>
      <c r="DL161" t="inlineStr">
        <is>
          <t>Acerola; Agarikon; Ajwain; Aloe Vera; American Ginseng</t>
        </is>
      </c>
      <c r="DM161" t="inlineStr">
        <is>
          <t>Pass 31 relationship intelligence: density, cluster, anchor class, nearest herbs</t>
        </is>
      </c>
      <c r="DP161" t="inlineStr">
        <is>
          <t>Generalist</t>
        </is>
      </c>
      <c r="DQ161" t="inlineStr">
        <is>
          <t>Pass 32 substitute engine + cluster cleanup</t>
        </is>
      </c>
      <c r="DT161" t="inlineStr">
        <is>
          <t>no strong safe fallback found</t>
        </is>
      </c>
      <c r="DU161" t="inlineStr">
        <is>
          <t>Not needed</t>
        </is>
      </c>
      <c r="DV161" t="inlineStr">
        <is>
          <t>Pass 33 fallback replacement engine</t>
        </is>
      </c>
      <c r="DY161" t="inlineStr">
        <is>
          <t>Pass 35 expanded fallback pool with second-pass candidate exploration</t>
        </is>
      </c>
      <c r="EA161" t="inlineStr">
        <is>
          <t>General</t>
        </is>
      </c>
      <c r="EC161" t="inlineStr">
        <is>
          <t>Medium</t>
        </is>
      </c>
      <c r="ED161" t="inlineStr">
        <is>
          <t>Pass 40 reinforced weak-category herb data</t>
        </is>
      </c>
      <c r="EG161" t="n">
        <v>0</v>
      </c>
      <c r="EH161" t="n">
        <v>0</v>
      </c>
      <c r="EI161" t="n">
        <v>0</v>
      </c>
      <c r="EJ161" t="n">
        <v>0</v>
      </c>
      <c r="EK161" t="n">
        <v>0</v>
      </c>
      <c r="EL161" t="n">
        <v>0</v>
      </c>
      <c r="EN161" t="inlineStr">
        <is>
          <t>Pass 48 rolled compound scores into herb-level scoring</t>
        </is>
      </c>
    </row>
    <row r="162">
      <c r="A162" s="68" t="inlineStr">
        <is>
          <t>Horse Chestnut</t>
        </is>
      </c>
      <c r="B162" s="68" t="inlineStr">
        <is>
          <t>aesculus-hippocastanum</t>
        </is>
      </c>
      <c r="C162" s="68" t="inlineStr">
        <is>
          <t>Aesculus hippocastanum</t>
        </is>
      </c>
      <c r="D162" s="68" t="inlineStr">
        <is>
          <t>herb</t>
        </is>
      </c>
      <c r="E162" s="68" t="inlineStr">
        <is>
          <t>botanical</t>
        </is>
      </c>
      <c r="F162" s="68" t="inlineStr">
        <is>
          <t>varies</t>
        </is>
      </c>
      <c r="G162" s="68" t="inlineStr">
        <is>
          <t>horse chestnut</t>
        </is>
      </c>
      <c r="H162" s="68" t="n"/>
      <c r="I162" s="68" t="inlineStr">
        <is>
          <t>Horse Chestnut is an intake-stage monograph candidate linked to 3 internal compound records in the current workbook.</t>
        </is>
      </c>
      <c r="J162" s="68" t="inlineStr">
        <is>
          <t>Internal cross-linking supports Horse Chestnut through compounds such as aesculin, aescin, fraxin.</t>
        </is>
      </c>
      <c r="K162" s="68" t="inlineStr">
        <is>
          <t>aescin; aesculin</t>
        </is>
      </c>
      <c r="L162" s="68" t="inlineStr">
        <is>
          <t>aescin; aesculin</t>
        </is>
      </c>
      <c r="M162" s="68" t="inlineStr">
        <is>
          <t>Current internal mapping is compound-linked, with pathway resolution still limited.</t>
        </is>
      </c>
      <c r="N162" s="68" t="inlineStr">
        <is>
          <t>venous support; cardiovascular support; inflammation support</t>
        </is>
      </c>
      <c r="O162" s="68" t="inlineStr">
        <is>
          <t>mixed human-preclinical</t>
        </is>
      </c>
      <c r="P162" s="68" t="inlineStr">
        <is>
          <t>Review interactions and contraindications</t>
        </is>
      </c>
      <c r="Q162" s="68" t="inlineStr">
        <is>
          <t>May interact with blood-thinning contexts</t>
        </is>
      </c>
      <c r="R162" s="68" t="inlineStr">
        <is>
          <t>Use caution around anticoagulant-sensitive and GI-sensitive contexts</t>
        </is>
      </c>
      <c r="S162" s="68" t="n"/>
      <c r="T162" s="68" t="n"/>
      <c r="U162" s="68" t="n"/>
      <c r="V162" s="68" t="n"/>
      <c r="W162" s="68" t="inlineStr">
        <is>
          <t>medium</t>
        </is>
      </c>
      <c r="X162" s="68" t="inlineStr">
        <is>
          <t>validated</t>
        </is>
      </c>
      <c r="Y162" s="68" t="n"/>
      <c r="Z162" s="68" t="inlineStr">
        <is>
          <t>dataset-linked</t>
        </is>
      </c>
      <c r="AA162" s="68" t="inlineStr">
        <is>
          <t>Internal workbook cross-link</t>
        </is>
      </c>
      <c r="AB162" s="68" t="n"/>
      <c r="AC162" s="68" t="n"/>
      <c r="AD162" s="68" t="n"/>
      <c r="AE162" s="68" t="n"/>
      <c r="AF162" s="68" t="n"/>
      <c r="AG162" s="68" t="n">
        <v>2</v>
      </c>
      <c r="AH162" s="68" t="n">
        <v>2</v>
      </c>
      <c r="AI162" s="68" t="n">
        <v>2</v>
      </c>
      <c r="AJ162" s="68" t="n">
        <v>6</v>
      </c>
      <c r="AK162" s="68" t="inlineStr">
        <is>
          <t>High</t>
        </is>
      </c>
      <c r="AL162" s="68" t="inlineStr">
        <is>
          <t>Needs source review</t>
        </is>
      </c>
      <c r="AM162" s="68" t="inlineStr">
        <is>
          <t>Internal linked</t>
        </is>
      </c>
      <c r="AN162" s="68" t="n">
        <v>0.95</v>
      </c>
      <c r="AO162" s="68" t="inlineStr">
        <is>
          <t>Near ready</t>
        </is>
      </c>
      <c r="AP162" s="68" t="n"/>
      <c r="AQ162" s="68" t="n"/>
      <c r="AR162" s="68" t="inlineStr">
        <is>
          <t>Editorial polish</t>
        </is>
      </c>
      <c r="AS162" s="68" t="inlineStr">
        <is>
          <t>Not started</t>
        </is>
      </c>
      <c r="AT162" s="68" t="inlineStr">
        <is>
          <t>No</t>
        </is>
      </c>
      <c r="AU162" s="68" t="inlineStr">
        <is>
          <t>No</t>
        </is>
      </c>
      <c r="AV162" s="68" t="inlineStr">
        <is>
          <t>No</t>
        </is>
      </c>
      <c r="AW162" s="68" t="inlineStr">
        <is>
          <t>Needs editorial sourcing</t>
        </is>
      </c>
      <c r="AX162" s="68" t="n">
        <v>0</v>
      </c>
      <c r="AY162" s="68" t="n"/>
      <c r="AZ162" s="68" t="n"/>
      <c r="BA162" s="68" t="inlineStr">
        <is>
          <t>Intake</t>
        </is>
      </c>
      <c r="BB162" s="68" t="inlineStr">
        <is>
          <t>Pending</t>
        </is>
      </c>
      <c r="BC162" s="68" t="inlineStr">
        <is>
          <t>Generated from pathway/cross-link support only.</t>
        </is>
      </c>
      <c r="BD162" s="68" t="n"/>
      <c r="BE162" s="68" t="inlineStr">
        <is>
          <t>2026-04-10</t>
        </is>
      </c>
      <c r="BF162" s="68" t="inlineStr">
        <is>
          <t>Added from internal pathway-linked herb gap audit</t>
        </is>
      </c>
      <c r="BG162" s="68" t="inlineStr">
        <is>
          <t>aesculus-hippocastanum|2026-04-10</t>
        </is>
      </c>
      <c r="BH162" s="68" t="inlineStr">
        <is>
          <t>2026-04-10:added as intake_stub from pathway cross-links</t>
        </is>
      </c>
      <c r="BI162" t="inlineStr">
        <is>
          <t>aesculus-hippocastanum</t>
        </is>
      </c>
      <c r="BJ162" t="inlineStr">
        <is>
          <t>Horse Chestnut</t>
        </is>
      </c>
      <c r="BK162" t="n">
        <v>0</v>
      </c>
      <c r="BL162" t="n">
        <v>0</v>
      </c>
      <c r="BM162" t="n">
        <v>3</v>
      </c>
      <c r="BN162" t="n">
        <v>0</v>
      </c>
      <c r="BO162" t="n">
        <v>100</v>
      </c>
      <c r="BP162" t="n">
        <v>0</v>
      </c>
      <c r="BQ162" t="n">
        <v>0</v>
      </c>
      <c r="BR162" t="n">
        <v>0</v>
      </c>
      <c r="BS162" t="inlineStr">
        <is>
          <t>Tier 4</t>
        </is>
      </c>
      <c r="BT162" t="n">
        <v>0</v>
      </c>
      <c r="BU162" t="inlineStr">
        <is>
          <t>FALSE</t>
        </is>
      </c>
      <c r="BV162" t="inlineStr">
        <is>
          <t>aesculus-hippocastanum</t>
        </is>
      </c>
      <c r="BW162" t="inlineStr">
        <is>
          <t>FALSE</t>
        </is>
      </c>
      <c r="BX162" t="inlineStr">
        <is>
          <t>Pass 10 refreshed scoring from 0 mapped compounds | Pass 13 rescored from 0 mapped compounds</t>
        </is>
      </c>
      <c r="CA162" t="n">
        <v>0</v>
      </c>
      <c r="CB162" t="n">
        <v>0</v>
      </c>
      <c r="CC162" t="n">
        <v>0</v>
      </c>
      <c r="CE162" t="inlineStr">
        <is>
          <t>Pass 13 rescored after herb-name normalization and real top-herb compound sweep</t>
        </is>
      </c>
      <c r="CF162" t="inlineStr">
        <is>
          <t>General</t>
        </is>
      </c>
      <c r="CH162" s="68" t="inlineStr">
        <is>
          <t>Start low; usually daytime use</t>
        </is>
      </c>
      <c r="CI162" s="68" t="inlineStr">
        <is>
          <t>Keep conservative around surgery, anticoagulants, or antiplatelet use.</t>
        </is>
      </c>
      <c r="CJ162" s="68" t="inlineStr">
        <is>
          <t>bleeding-risk; blood-pressure</t>
        </is>
      </c>
      <c r="CK162" s="68" t="str"/>
      <c r="CL162" s="68" t="inlineStr">
        <is>
          <t>Baseline</t>
        </is>
      </c>
      <c r="CM162" s="68" t="inlineStr">
        <is>
          <t>No</t>
        </is>
      </c>
      <c r="CN162" s="68" t="str"/>
      <c r="CO162" s="68" t="inlineStr">
        <is>
          <t>Pass 21 herb-level safety and dose framing</t>
        </is>
      </c>
      <c r="CP162" t="inlineStr">
        <is>
          <t>Moderate</t>
        </is>
      </c>
      <c r="CQ162" t="inlineStr">
        <is>
          <t>No</t>
        </is>
      </c>
      <c r="CS162" t="inlineStr">
        <is>
          <t>Pass 22 refined safety rule severity and reduced broad keyword over-flagging</t>
        </is>
      </c>
      <c r="CT162" t="inlineStr">
        <is>
          <t>General</t>
        </is>
      </c>
      <c r="CU162" t="inlineStr">
        <is>
          <t>cardiovascular support; inflammation support; venous support</t>
        </is>
      </c>
      <c r="CV162" t="inlineStr">
        <is>
          <t>Human</t>
        </is>
      </c>
      <c r="CW162" t="inlineStr">
        <is>
          <t>Pass 26 normalization: categories, mechanisms, evidence tiers</t>
        </is>
      </c>
      <c r="CX162" t="inlineStr">
        <is>
          <t>Human + preclinical</t>
        </is>
      </c>
      <c r="CY162" t="inlineStr">
        <is>
          <t>Review interactions and contraindications</t>
        </is>
      </c>
      <c r="CZ162" t="inlineStr">
        <is>
          <t>May interact with blood-thinning contexts</t>
        </is>
      </c>
      <c r="DA162" t="inlineStr">
        <is>
          <t>Use caution around anticoagulant-sensitive and GI-sensitive contexts</t>
        </is>
      </c>
      <c r="DB162" t="inlineStr">
        <is>
          <t>Pass 28 normalized evidence and safety-related free text</t>
        </is>
      </c>
      <c r="DD162" t="inlineStr">
        <is>
          <t>No standardized dose established; use conservative, product-dependent ranges.</t>
        </is>
      </c>
      <c r="DE162" t="inlineStr">
        <is>
          <t>Common forms include extracts, powders, or teas depending on herb part.</t>
        </is>
      </c>
      <c r="DF162" t="inlineStr">
        <is>
          <t>Quality varies by extraction method, standardization, and contamination risk.</t>
        </is>
      </c>
      <c r="DG162" t="inlineStr">
        <is>
          <t>Moderate to high</t>
        </is>
      </c>
      <c r="DH162" t="inlineStr">
        <is>
          <t>Pass 29 completeness repair</t>
        </is>
      </c>
      <c r="DI162" t="n">
        <v>0</v>
      </c>
      <c r="DJ162" t="inlineStr">
        <is>
          <t>General</t>
        </is>
      </c>
      <c r="DL162" t="inlineStr">
        <is>
          <t>Acerola; Agarikon; Ajwain; Aloe Vera; American Ginseng</t>
        </is>
      </c>
      <c r="DM162" t="inlineStr">
        <is>
          <t>Pass 31 relationship intelligence: density, cluster, anchor class, nearest herbs</t>
        </is>
      </c>
      <c r="DP162" t="inlineStr">
        <is>
          <t>Generalist</t>
        </is>
      </c>
      <c r="DQ162" t="inlineStr">
        <is>
          <t>Pass 32 substitute engine + cluster cleanup</t>
        </is>
      </c>
      <c r="DT162" t="inlineStr">
        <is>
          <t>no strong safe fallback found</t>
        </is>
      </c>
      <c r="DU162" t="inlineStr">
        <is>
          <t>Optional</t>
        </is>
      </c>
      <c r="DV162" t="inlineStr">
        <is>
          <t>Pass 33 fallback replacement engine</t>
        </is>
      </c>
      <c r="DY162" t="inlineStr">
        <is>
          <t>Pass 35 expanded fallback pool with second-pass candidate exploration</t>
        </is>
      </c>
      <c r="EA162" t="inlineStr">
        <is>
          <t>General</t>
        </is>
      </c>
      <c r="EC162" t="inlineStr">
        <is>
          <t>medium</t>
        </is>
      </c>
      <c r="ED162" t="inlineStr">
        <is>
          <t>Pass 40 reinforced weak-category herb data</t>
        </is>
      </c>
      <c r="EG162" t="n">
        <v>0</v>
      </c>
      <c r="EH162" t="n">
        <v>0</v>
      </c>
      <c r="EI162" t="n">
        <v>0</v>
      </c>
      <c r="EJ162" t="n">
        <v>0</v>
      </c>
      <c r="EK162" t="n">
        <v>0</v>
      </c>
      <c r="EL162" t="n">
        <v>0</v>
      </c>
      <c r="EN162" t="inlineStr">
        <is>
          <t>Pass 48 rolled compound scores into herb-level scoring</t>
        </is>
      </c>
    </row>
    <row r="163">
      <c r="A163" s="68" t="inlineStr">
        <is>
          <t>Bael</t>
        </is>
      </c>
      <c r="B163" s="68" t="inlineStr">
        <is>
          <t>aegle-marmelos</t>
        </is>
      </c>
      <c r="C163" s="68" t="inlineStr">
        <is>
          <t>Aegle marmelos</t>
        </is>
      </c>
      <c r="D163" s="68" t="inlineStr">
        <is>
          <t>herb</t>
        </is>
      </c>
      <c r="E163" s="68" t="inlineStr">
        <is>
          <t>botanical</t>
        </is>
      </c>
      <c r="F163" s="68" t="inlineStr">
        <is>
          <t>varies</t>
        </is>
      </c>
      <c r="G163" s="68" t="inlineStr">
        <is>
          <t>bael</t>
        </is>
      </c>
      <c r="H163" s="68" t="n"/>
      <c r="I163" s="68" t="inlineStr">
        <is>
          <t>Bael is an intake-stage monograph candidate linked to 3 internal compound records in the current workbook.</t>
        </is>
      </c>
      <c r="J163" s="68" t="inlineStr">
        <is>
          <t>Internal cross-linking supports Bael through compounds such as skimmianine, aegeline, marmelosin.</t>
        </is>
      </c>
      <c r="K163" s="68" t="inlineStr">
        <is>
          <t>skimmianine; aegeline; marmelosin</t>
        </is>
      </c>
      <c r="L163" s="68" t="inlineStr">
        <is>
          <t>skimmianine</t>
        </is>
      </c>
      <c r="M163" s="68" t="inlineStr">
        <is>
          <t>Current internal mapping is compound-linked, with pathway resolution still limited.</t>
        </is>
      </c>
      <c r="N163" s="68" t="inlineStr">
        <is>
          <t>general or unknown targets</t>
        </is>
      </c>
      <c r="O163" s="68" t="inlineStr">
        <is>
          <t>mapped</t>
        </is>
      </c>
      <c r="P163" s="68" t="inlineStr">
        <is>
          <t>Safety review required before publication.</t>
        </is>
      </c>
      <c r="Q163" s="68" t="inlineStr">
        <is>
          <t>Interaction review required before publication.</t>
        </is>
      </c>
      <c r="R163" s="68" t="n"/>
      <c r="S163" s="68" t="n"/>
      <c r="T163" s="68" t="n"/>
      <c r="U163" s="68" t="n"/>
      <c r="V163" s="68" t="n"/>
      <c r="W163" s="68" t="inlineStr">
        <is>
          <t>Medium</t>
        </is>
      </c>
      <c r="X163" s="68" t="inlineStr">
        <is>
          <t>partial</t>
        </is>
      </c>
      <c r="Y163" s="68" t="n"/>
      <c r="Z163" s="68" t="inlineStr">
        <is>
          <t>dataset-linked</t>
        </is>
      </c>
      <c r="AA163" s="68" t="inlineStr">
        <is>
          <t>Internal workbook cross-link</t>
        </is>
      </c>
      <c r="AB163" s="68" t="n"/>
      <c r="AC163" s="68" t="n"/>
      <c r="AD163" s="68" t="n"/>
      <c r="AE163" s="68" t="n"/>
      <c r="AF163" s="68" t="n"/>
      <c r="AG163" s="68" t="n">
        <v>2</v>
      </c>
      <c r="AH163" s="68" t="n">
        <v>2</v>
      </c>
      <c r="AI163" s="68" t="n">
        <v>2</v>
      </c>
      <c r="AJ163" s="68" t="n">
        <v>6</v>
      </c>
      <c r="AK163" s="68" t="inlineStr">
        <is>
          <t>High</t>
        </is>
      </c>
      <c r="AL163" s="68" t="inlineStr">
        <is>
          <t>Needs source review</t>
        </is>
      </c>
      <c r="AM163" s="68" t="inlineStr">
        <is>
          <t>Internal linked</t>
        </is>
      </c>
      <c r="AN163" s="68" t="n">
        <v>0.95</v>
      </c>
      <c r="AO163" s="68" t="inlineStr">
        <is>
          <t>Near ready</t>
        </is>
      </c>
      <c r="AP163" s="68" t="n"/>
      <c r="AQ163" s="68" t="n"/>
      <c r="AR163" s="68" t="inlineStr">
        <is>
          <t>Editorial polish</t>
        </is>
      </c>
      <c r="AS163" s="68" t="inlineStr">
        <is>
          <t>Not started</t>
        </is>
      </c>
      <c r="AT163" s="68" t="inlineStr">
        <is>
          <t>No</t>
        </is>
      </c>
      <c r="AU163" s="68" t="inlineStr">
        <is>
          <t>No</t>
        </is>
      </c>
      <c r="AV163" s="68" t="inlineStr">
        <is>
          <t>No</t>
        </is>
      </c>
      <c r="AW163" s="68" t="inlineStr">
        <is>
          <t>Needs editorial sourcing</t>
        </is>
      </c>
      <c r="AX163" s="68" t="n">
        <v>0</v>
      </c>
      <c r="AY163" s="68" t="n"/>
      <c r="AZ163" s="68" t="n"/>
      <c r="BA163" s="68" t="inlineStr">
        <is>
          <t>Intake</t>
        </is>
      </c>
      <c r="BB163" s="68" t="inlineStr">
        <is>
          <t>Pending</t>
        </is>
      </c>
      <c r="BC163" s="68" t="inlineStr">
        <is>
          <t>Generated from pathway/cross-link support only.</t>
        </is>
      </c>
      <c r="BD163" s="68" t="n"/>
      <c r="BE163" s="68" t="inlineStr">
        <is>
          <t>2026-04-10</t>
        </is>
      </c>
      <c r="BF163" s="68" t="inlineStr">
        <is>
          <t>Added from internal pathway-linked herb gap audit</t>
        </is>
      </c>
      <c r="BG163" s="68" t="inlineStr">
        <is>
          <t>aegle-marmelos|2026-04-10</t>
        </is>
      </c>
      <c r="BH163" s="68" t="inlineStr">
        <is>
          <t>2026-04-10:added as intake_stub from pathway cross-links</t>
        </is>
      </c>
      <c r="BI163" t="inlineStr">
        <is>
          <t>aegle-marmelos</t>
        </is>
      </c>
      <c r="BJ163" t="inlineStr">
        <is>
          <t>Bael</t>
        </is>
      </c>
      <c r="BK163" t="n">
        <v>0</v>
      </c>
      <c r="BL163" t="n">
        <v>0</v>
      </c>
      <c r="BM163" t="n">
        <v>1</v>
      </c>
      <c r="BN163" t="n">
        <v>0</v>
      </c>
      <c r="BO163" t="n">
        <v>100</v>
      </c>
      <c r="BP163" t="n">
        <v>0</v>
      </c>
      <c r="BQ163" t="n">
        <v>0</v>
      </c>
      <c r="BR163" t="n">
        <v>0</v>
      </c>
      <c r="BS163" t="inlineStr">
        <is>
          <t>Tier 4</t>
        </is>
      </c>
      <c r="BT163" t="n">
        <v>0</v>
      </c>
      <c r="BU163" t="inlineStr">
        <is>
          <t>FALSE</t>
        </is>
      </c>
      <c r="BV163" t="inlineStr">
        <is>
          <t>aegle-marmelos</t>
        </is>
      </c>
      <c r="BW163" t="inlineStr">
        <is>
          <t>FALSE</t>
        </is>
      </c>
      <c r="BX163" t="inlineStr">
        <is>
          <t>Pass 10 refreshed scoring from 0 mapped compounds | Pass 13 rescored from 0 mapped compounds</t>
        </is>
      </c>
      <c r="CA163" t="n">
        <v>0</v>
      </c>
      <c r="CB163" t="n">
        <v>0</v>
      </c>
      <c r="CC163" t="n">
        <v>0</v>
      </c>
      <c r="CE163" t="inlineStr">
        <is>
          <t>Pass 13 rescored after herb-name normalization and real top-herb compound sweep</t>
        </is>
      </c>
      <c r="CF163" t="inlineStr">
        <is>
          <t>General</t>
        </is>
      </c>
      <c r="CH163" s="68" t="inlineStr">
        <is>
          <t>Start with low single-herb exposure and increase only if tolerated</t>
        </is>
      </c>
      <c r="CI163" s="68" t="inlineStr">
        <is>
          <t>Product-ideation framing only; not clinical dosing advice.</t>
        </is>
      </c>
      <c r="CJ163" s="68" t="str"/>
      <c r="CK163" s="68" t="str"/>
      <c r="CL163" s="68" t="inlineStr">
        <is>
          <t>Baseline</t>
        </is>
      </c>
      <c r="CM163" s="68" t="inlineStr">
        <is>
          <t>No</t>
        </is>
      </c>
      <c r="CN163" s="68" t="str"/>
      <c r="CO163" s="68" t="inlineStr">
        <is>
          <t>Pass 21 herb-level safety and dose framing</t>
        </is>
      </c>
      <c r="CP163" t="inlineStr">
        <is>
          <t>Baseline</t>
        </is>
      </c>
      <c r="CQ163" t="inlineStr">
        <is>
          <t>No</t>
        </is>
      </c>
      <c r="CS163" t="inlineStr">
        <is>
          <t>Pass 22 refined safety rule severity and reduced broad keyword over-flagging</t>
        </is>
      </c>
      <c r="CT163" t="inlineStr">
        <is>
          <t>General</t>
        </is>
      </c>
      <c r="CU163" t="inlineStr">
        <is>
          <t>general or unknown targets</t>
        </is>
      </c>
      <c r="CV163" t="inlineStr">
        <is>
          <t>Unknown</t>
        </is>
      </c>
      <c r="CW163" t="inlineStr">
        <is>
          <t>Pass 26 normalization: categories, mechanisms, evidence tiers</t>
        </is>
      </c>
      <c r="CX163" t="inlineStr">
        <is>
          <t>Mapped</t>
        </is>
      </c>
      <c r="CY163" t="inlineStr">
        <is>
          <t>Safety review required before publication.</t>
        </is>
      </c>
      <c r="CZ163" t="inlineStr">
        <is>
          <t>Interaction review required before publication</t>
        </is>
      </c>
      <c r="DB163" t="inlineStr">
        <is>
          <t>Pass 28 normalized evidence and safety-related free text</t>
        </is>
      </c>
      <c r="DD163" t="inlineStr">
        <is>
          <t>No standardized dose established; use conservative, product-dependent ranges.</t>
        </is>
      </c>
      <c r="DE163" t="inlineStr">
        <is>
          <t>Common forms include extracts, powders, or teas depending on herb part.</t>
        </is>
      </c>
      <c r="DF163" t="inlineStr">
        <is>
          <t>Quality varies by extraction method, standardization, and contamination risk.</t>
        </is>
      </c>
      <c r="DG163" t="inlineStr">
        <is>
          <t>Low</t>
        </is>
      </c>
      <c r="DH163" t="inlineStr">
        <is>
          <t>Pass 29 completeness repair</t>
        </is>
      </c>
      <c r="DI163" t="n">
        <v>0</v>
      </c>
      <c r="DJ163" t="inlineStr">
        <is>
          <t>General</t>
        </is>
      </c>
      <c r="DL163" t="inlineStr">
        <is>
          <t>Acerola; Agarikon; Ajwain; Aloe Vera; American Ginseng</t>
        </is>
      </c>
      <c r="DM163" t="inlineStr">
        <is>
          <t>Pass 31 relationship intelligence: density, cluster, anchor class, nearest herbs</t>
        </is>
      </c>
      <c r="DP163" t="inlineStr">
        <is>
          <t>Generalist</t>
        </is>
      </c>
      <c r="DQ163" t="inlineStr">
        <is>
          <t>Pass 32 substitute engine + cluster cleanup</t>
        </is>
      </c>
      <c r="DT163" t="inlineStr">
        <is>
          <t>no strong safe fallback found</t>
        </is>
      </c>
      <c r="DU163" t="inlineStr">
        <is>
          <t>Not needed</t>
        </is>
      </c>
      <c r="DV163" t="inlineStr">
        <is>
          <t>Pass 33 fallback replacement engine</t>
        </is>
      </c>
      <c r="DY163" t="inlineStr">
        <is>
          <t>Pass 35 expanded fallback pool with second-pass candidate exploration</t>
        </is>
      </c>
      <c r="EA163" t="inlineStr">
        <is>
          <t>General</t>
        </is>
      </c>
      <c r="EC163" t="inlineStr">
        <is>
          <t>Medium</t>
        </is>
      </c>
      <c r="ED163" t="inlineStr">
        <is>
          <t>Pass 40 reinforced weak-category herb data</t>
        </is>
      </c>
      <c r="EG163" t="n">
        <v>0</v>
      </c>
      <c r="EH163" t="n">
        <v>0</v>
      </c>
      <c r="EI163" t="n">
        <v>0</v>
      </c>
      <c r="EJ163" t="n">
        <v>0</v>
      </c>
      <c r="EK163" t="n">
        <v>0</v>
      </c>
      <c r="EL163" t="n">
        <v>0</v>
      </c>
      <c r="EN163" t="inlineStr">
        <is>
          <t>Pass 48 rolled compound scores into herb-level scoring</t>
        </is>
      </c>
    </row>
    <row r="164">
      <c r="A164" s="68" t="inlineStr">
        <is>
          <t>Guayusa</t>
        </is>
      </c>
      <c r="B164" s="68" t="inlineStr">
        <is>
          <t>ilex-guayusa</t>
        </is>
      </c>
      <c r="C164" s="68" t="inlineStr">
        <is>
          <t>Ilex guayusa</t>
        </is>
      </c>
      <c r="D164" s="68" t="inlineStr">
        <is>
          <t>herb</t>
        </is>
      </c>
      <c r="E164" s="68" t="inlineStr">
        <is>
          <t>botanical</t>
        </is>
      </c>
      <c r="F164" s="68" t="inlineStr">
        <is>
          <t>varies</t>
        </is>
      </c>
      <c r="G164" s="68" t="inlineStr">
        <is>
          <t>guayusa</t>
        </is>
      </c>
      <c r="H164" s="68" t="n"/>
      <c r="I164" s="68" t="inlineStr">
        <is>
          <t>Guayusa is an intake-stage monograph candidate linked to 2 internal compound records and pathway tags including ADORA1, ADORA2A (adenosine receptors), adenosine_antagonism.</t>
        </is>
      </c>
      <c r="J164" s="68" t="inlineStr">
        <is>
          <t>Internal cross-linking supports Guayusa through compounds such as caffeine, theobromine.</t>
        </is>
      </c>
      <c r="K164" s="68" t="inlineStr">
        <is>
          <t>caffeine; theobromine</t>
        </is>
      </c>
      <c r="L164" s="68" t="inlineStr">
        <is>
          <t>caffeine</t>
        </is>
      </c>
      <c r="M164" s="68" t="inlineStr">
        <is>
          <t>Internal workbook mapping currently connects this herb to ADORA1, ADORA2A (adenosine receptors), adenosine_antagonism, dopaminergic_modulation.</t>
        </is>
      </c>
      <c r="N164" s="68" t="inlineStr">
        <is>
          <t>ADORA1, ADORA2A (adenosine receptors); adenosine_antagonism; dopaminergic_modulation</t>
        </is>
      </c>
      <c r="O164" s="68" t="inlineStr">
        <is>
          <t>mapped</t>
        </is>
      </c>
      <c r="P164" s="68" t="inlineStr">
        <is>
          <t>Safety review required before publication.</t>
        </is>
      </c>
      <c r="Q164" s="68" t="inlineStr">
        <is>
          <t>Interaction review required before publication.</t>
        </is>
      </c>
      <c r="R164" s="68" t="n"/>
      <c r="S164" s="68" t="n"/>
      <c r="T164" s="68" t="n"/>
      <c r="U164" s="68" t="n"/>
      <c r="V164" s="68" t="n"/>
      <c r="W164" s="68" t="inlineStr">
        <is>
          <t>Medium</t>
        </is>
      </c>
      <c r="X164" s="68" t="inlineStr">
        <is>
          <t>partial</t>
        </is>
      </c>
      <c r="Y164" s="68" t="n"/>
      <c r="Z164" s="68" t="inlineStr">
        <is>
          <t>dataset-linked</t>
        </is>
      </c>
      <c r="AA164" s="68" t="inlineStr">
        <is>
          <t>Internal workbook cross-link</t>
        </is>
      </c>
      <c r="AB164" s="68" t="n"/>
      <c r="AC164" s="68" t="n"/>
      <c r="AD164" s="68" t="n"/>
      <c r="AE164" s="68" t="n"/>
      <c r="AF164" s="68" t="n"/>
      <c r="AG164" s="68" t="n">
        <v>2</v>
      </c>
      <c r="AH164" s="68" t="n">
        <v>2</v>
      </c>
      <c r="AI164" s="68" t="n">
        <v>2</v>
      </c>
      <c r="AJ164" s="68" t="n">
        <v>6</v>
      </c>
      <c r="AK164" s="68" t="inlineStr">
        <is>
          <t>High</t>
        </is>
      </c>
      <c r="AL164" s="68" t="inlineStr">
        <is>
          <t>Needs source review</t>
        </is>
      </c>
      <c r="AM164" s="68" t="inlineStr">
        <is>
          <t>Internal linked</t>
        </is>
      </c>
      <c r="AN164" s="68" t="n">
        <v>0.95</v>
      </c>
      <c r="AO164" s="68" t="inlineStr">
        <is>
          <t>Near ready</t>
        </is>
      </c>
      <c r="AP164" s="68" t="n"/>
      <c r="AQ164" s="68" t="n"/>
      <c r="AR164" s="68" t="inlineStr">
        <is>
          <t>Editorial polish</t>
        </is>
      </c>
      <c r="AS164" s="68" t="inlineStr">
        <is>
          <t>Not started</t>
        </is>
      </c>
      <c r="AT164" s="68" t="inlineStr">
        <is>
          <t>No</t>
        </is>
      </c>
      <c r="AU164" s="68" t="inlineStr">
        <is>
          <t>No</t>
        </is>
      </c>
      <c r="AV164" s="68" t="inlineStr">
        <is>
          <t>No</t>
        </is>
      </c>
      <c r="AW164" s="68" t="inlineStr">
        <is>
          <t>Needs editorial sourcing</t>
        </is>
      </c>
      <c r="AX164" s="68" t="n">
        <v>0</v>
      </c>
      <c r="AY164" s="68" t="n"/>
      <c r="AZ164" s="68" t="n"/>
      <c r="BA164" s="68" t="inlineStr">
        <is>
          <t>Intake</t>
        </is>
      </c>
      <c r="BB164" s="68" t="inlineStr">
        <is>
          <t>Pending</t>
        </is>
      </c>
      <c r="BC164" s="68" t="inlineStr">
        <is>
          <t>Generated from pathway/cross-link support only.</t>
        </is>
      </c>
      <c r="BD164" s="68" t="n"/>
      <c r="BE164" s="68" t="inlineStr">
        <is>
          <t>2026-04-10</t>
        </is>
      </c>
      <c r="BF164" s="68" t="inlineStr">
        <is>
          <t>Added from internal pathway-linked herb gap audit</t>
        </is>
      </c>
      <c r="BG164" s="68" t="inlineStr">
        <is>
          <t>ilex-guayusa|2026-04-10</t>
        </is>
      </c>
      <c r="BH164" s="68" t="inlineStr">
        <is>
          <t>2026-04-10:added as intake_stub from pathway cross-links</t>
        </is>
      </c>
      <c r="BI164" t="inlineStr">
        <is>
          <t>ilex-guayusa</t>
        </is>
      </c>
      <c r="BJ164" t="inlineStr">
        <is>
          <t>Guayusa</t>
        </is>
      </c>
      <c r="BK164" t="n">
        <v>0</v>
      </c>
      <c r="BL164" t="n">
        <v>0</v>
      </c>
      <c r="BM164" t="n">
        <v>1</v>
      </c>
      <c r="BN164" t="n">
        <v>0</v>
      </c>
      <c r="BO164" t="n">
        <v>100</v>
      </c>
      <c r="BP164" t="n">
        <v>0</v>
      </c>
      <c r="BQ164" t="n">
        <v>0</v>
      </c>
      <c r="BR164" t="n">
        <v>0</v>
      </c>
      <c r="BS164" t="inlineStr">
        <is>
          <t>Tier 4</t>
        </is>
      </c>
      <c r="BT164" t="n">
        <v>0</v>
      </c>
      <c r="BU164" t="inlineStr">
        <is>
          <t>FALSE</t>
        </is>
      </c>
      <c r="BV164" t="inlineStr">
        <is>
          <t>ilex-guayusa</t>
        </is>
      </c>
      <c r="BW164" t="inlineStr">
        <is>
          <t>FALSE</t>
        </is>
      </c>
      <c r="BX164" t="inlineStr">
        <is>
          <t>Pass 10 refreshed scoring from 0 mapped compounds | Pass 13 rescored from 0 mapped compounds</t>
        </is>
      </c>
      <c r="CA164" t="n">
        <v>0</v>
      </c>
      <c r="CB164" t="n">
        <v>0</v>
      </c>
      <c r="CC164" t="n">
        <v>0</v>
      </c>
      <c r="CE164" t="inlineStr">
        <is>
          <t>Pass 13 rescored after herb-name normalization and real top-herb compound sweep</t>
        </is>
      </c>
      <c r="CF164" t="inlineStr">
        <is>
          <t>General</t>
        </is>
      </c>
      <c r="CH164" s="68" t="inlineStr">
        <is>
          <t>Start with low single-herb exposure and increase only if tolerated</t>
        </is>
      </c>
      <c r="CI164" s="68" t="inlineStr">
        <is>
          <t>Product-ideation framing only; not clinical dosing advice.</t>
        </is>
      </c>
      <c r="CJ164" s="68" t="str"/>
      <c r="CK164" s="68" t="str"/>
      <c r="CL164" s="68" t="inlineStr">
        <is>
          <t>Baseline</t>
        </is>
      </c>
      <c r="CM164" s="68" t="inlineStr">
        <is>
          <t>No</t>
        </is>
      </c>
      <c r="CN164" s="68" t="str"/>
      <c r="CO164" s="68" t="inlineStr">
        <is>
          <t>Pass 21 herb-level safety and dose framing</t>
        </is>
      </c>
      <c r="CP164" t="inlineStr">
        <is>
          <t>Baseline</t>
        </is>
      </c>
      <c r="CQ164" t="inlineStr">
        <is>
          <t>No</t>
        </is>
      </c>
      <c r="CS164" t="inlineStr">
        <is>
          <t>Pass 22 refined safety rule severity and reduced broad keyword over-flagging</t>
        </is>
      </c>
      <c r="CT164" t="inlineStr">
        <is>
          <t>General</t>
        </is>
      </c>
      <c r="CU164" t="inlineStr">
        <is>
          <t>adenosine_antagonism; adora1; adora2a (adenosine receptors); dopaminergic_modulation</t>
        </is>
      </c>
      <c r="CV164" t="inlineStr">
        <is>
          <t>Unknown</t>
        </is>
      </c>
      <c r="CW164" t="inlineStr">
        <is>
          <t>Pass 26 normalization: categories, mechanisms, evidence tiers</t>
        </is>
      </c>
      <c r="CX164" t="inlineStr">
        <is>
          <t>Mapped</t>
        </is>
      </c>
      <c r="CY164" t="inlineStr">
        <is>
          <t>Safety review required before publication.</t>
        </is>
      </c>
      <c r="CZ164" t="inlineStr">
        <is>
          <t>Interaction review required before publication</t>
        </is>
      </c>
      <c r="DB164" t="inlineStr">
        <is>
          <t>Pass 28 normalized evidence and safety-related free text</t>
        </is>
      </c>
      <c r="DD164" t="inlineStr">
        <is>
          <t>No standardized dose established; use conservative, product-dependent ranges.</t>
        </is>
      </c>
      <c r="DE164" t="inlineStr">
        <is>
          <t>Common forms include extracts, powders, or teas depending on herb part.</t>
        </is>
      </c>
      <c r="DF164" t="inlineStr">
        <is>
          <t>Quality varies by extraction method, standardization, and contamination risk.</t>
        </is>
      </c>
      <c r="DG164" t="inlineStr">
        <is>
          <t>Low</t>
        </is>
      </c>
      <c r="DH164" t="inlineStr">
        <is>
          <t>Pass 29 completeness repair</t>
        </is>
      </c>
      <c r="DI164" t="n">
        <v>0</v>
      </c>
      <c r="DJ164" t="inlineStr">
        <is>
          <t>General</t>
        </is>
      </c>
      <c r="DL164" t="inlineStr">
        <is>
          <t>Acerola; Agarikon; Ajwain; Aloe Vera; American Ginseng</t>
        </is>
      </c>
      <c r="DM164" t="inlineStr">
        <is>
          <t>Pass 31 relationship intelligence: density, cluster, anchor class, nearest herbs</t>
        </is>
      </c>
      <c r="DP164" t="inlineStr">
        <is>
          <t>Generalist</t>
        </is>
      </c>
      <c r="DQ164" t="inlineStr">
        <is>
          <t>Pass 32 substitute engine + cluster cleanup</t>
        </is>
      </c>
      <c r="DT164" t="inlineStr">
        <is>
          <t>no strong safe fallback found</t>
        </is>
      </c>
      <c r="DU164" t="inlineStr">
        <is>
          <t>Not needed</t>
        </is>
      </c>
      <c r="DV164" t="inlineStr">
        <is>
          <t>Pass 33 fallback replacement engine</t>
        </is>
      </c>
      <c r="DY164" t="inlineStr">
        <is>
          <t>Pass 35 expanded fallback pool with second-pass candidate exploration</t>
        </is>
      </c>
      <c r="EA164" t="inlineStr">
        <is>
          <t>General</t>
        </is>
      </c>
      <c r="EC164" t="inlineStr">
        <is>
          <t>Medium</t>
        </is>
      </c>
      <c r="ED164" t="inlineStr">
        <is>
          <t>Pass 40 reinforced weak-category herb data</t>
        </is>
      </c>
      <c r="EG164" t="n">
        <v>0</v>
      </c>
      <c r="EH164" t="n">
        <v>0</v>
      </c>
      <c r="EI164" t="n">
        <v>0</v>
      </c>
      <c r="EJ164" t="n">
        <v>0</v>
      </c>
      <c r="EK164" t="n">
        <v>0</v>
      </c>
      <c r="EL164" t="n">
        <v>0</v>
      </c>
      <c r="EN164" t="inlineStr">
        <is>
          <t>Pass 48 rolled compound scores into herb-level scoring</t>
        </is>
      </c>
    </row>
    <row r="165">
      <c r="A165" s="68" t="inlineStr">
        <is>
          <t>Honeysuckle</t>
        </is>
      </c>
      <c r="B165" s="68" t="inlineStr">
        <is>
          <t>lonicera-japonica</t>
        </is>
      </c>
      <c r="C165" s="68" t="inlineStr">
        <is>
          <t>Lonicera japonica</t>
        </is>
      </c>
      <c r="D165" s="68" t="inlineStr">
        <is>
          <t>herb</t>
        </is>
      </c>
      <c r="E165" s="68" t="inlineStr">
        <is>
          <t>botanical</t>
        </is>
      </c>
      <c r="F165" s="68" t="inlineStr">
        <is>
          <t>varies</t>
        </is>
      </c>
      <c r="G165" s="68" t="inlineStr">
        <is>
          <t>honeysuckle</t>
        </is>
      </c>
      <c r="H165" s="68" t="n"/>
      <c r="I165" s="68" t="inlineStr">
        <is>
          <t>Honeysuckle is an intake-stage monograph candidate linked to 2 internal compound records and pathway tags including MAPK pathway inhibition, NF-kB inhibition.</t>
        </is>
      </c>
      <c r="J165" s="68" t="inlineStr">
        <is>
          <t>Internal cross-linking supports Honeysuckle through compounds such as luteolin, chlorogenic acid.</t>
        </is>
      </c>
      <c r="K165" s="68" t="inlineStr">
        <is>
          <t>luteolin; chlorogenic acid</t>
        </is>
      </c>
      <c r="L165" s="68" t="inlineStr">
        <is>
          <t>luteolin</t>
        </is>
      </c>
      <c r="M165" s="68" t="inlineStr">
        <is>
          <t>Internal workbook mapping currently connects this herb to MAPK pathway inhibition, NF-kB inhibition.</t>
        </is>
      </c>
      <c r="N165" s="68" t="inlineStr">
        <is>
          <t>MAPK pathway inhibition; NF-kB inhibition</t>
        </is>
      </c>
      <c r="O165" s="68" t="inlineStr">
        <is>
          <t>mapped</t>
        </is>
      </c>
      <c r="P165" s="68" t="inlineStr">
        <is>
          <t>Safety review required before publication.</t>
        </is>
      </c>
      <c r="Q165" s="68" t="inlineStr">
        <is>
          <t>Interaction review required before publication.</t>
        </is>
      </c>
      <c r="R165" s="68" t="n"/>
      <c r="S165" s="68" t="n"/>
      <c r="T165" s="68" t="n"/>
      <c r="U165" s="68" t="n"/>
      <c r="V165" s="68" t="n"/>
      <c r="W165" s="68" t="inlineStr">
        <is>
          <t>Medium</t>
        </is>
      </c>
      <c r="X165" s="68" t="inlineStr">
        <is>
          <t>partial</t>
        </is>
      </c>
      <c r="Y165" s="68" t="n"/>
      <c r="Z165" s="68" t="inlineStr">
        <is>
          <t>dataset-linked</t>
        </is>
      </c>
      <c r="AA165" s="68" t="inlineStr">
        <is>
          <t>Internal workbook cross-link</t>
        </is>
      </c>
      <c r="AB165" s="68" t="n"/>
      <c r="AC165" s="68" t="n"/>
      <c r="AD165" s="68" t="n"/>
      <c r="AE165" s="68" t="n"/>
      <c r="AF165" s="68" t="n"/>
      <c r="AG165" s="68" t="n">
        <v>2</v>
      </c>
      <c r="AH165" s="68" t="n">
        <v>2</v>
      </c>
      <c r="AI165" s="68" t="n">
        <v>2</v>
      </c>
      <c r="AJ165" s="68" t="n">
        <v>6</v>
      </c>
      <c r="AK165" s="68" t="inlineStr">
        <is>
          <t>High</t>
        </is>
      </c>
      <c r="AL165" s="68" t="inlineStr">
        <is>
          <t>Needs source review</t>
        </is>
      </c>
      <c r="AM165" s="68" t="inlineStr">
        <is>
          <t>Internal linked</t>
        </is>
      </c>
      <c r="AN165" s="68" t="n">
        <v>0.95</v>
      </c>
      <c r="AO165" s="68" t="inlineStr">
        <is>
          <t>Near ready</t>
        </is>
      </c>
      <c r="AP165" s="68" t="n"/>
      <c r="AQ165" s="68" t="n"/>
      <c r="AR165" s="68" t="inlineStr">
        <is>
          <t>Editorial polish</t>
        </is>
      </c>
      <c r="AS165" s="68" t="inlineStr">
        <is>
          <t>Not started</t>
        </is>
      </c>
      <c r="AT165" s="68" t="inlineStr">
        <is>
          <t>No</t>
        </is>
      </c>
      <c r="AU165" s="68" t="inlineStr">
        <is>
          <t>No</t>
        </is>
      </c>
      <c r="AV165" s="68" t="inlineStr">
        <is>
          <t>No</t>
        </is>
      </c>
      <c r="AW165" s="68" t="inlineStr">
        <is>
          <t>Needs editorial sourcing</t>
        </is>
      </c>
      <c r="AX165" s="68" t="n">
        <v>0</v>
      </c>
      <c r="AY165" s="68" t="n"/>
      <c r="AZ165" s="68" t="n"/>
      <c r="BA165" s="68" t="inlineStr">
        <is>
          <t>Intake</t>
        </is>
      </c>
      <c r="BB165" s="68" t="inlineStr">
        <is>
          <t>Pending</t>
        </is>
      </c>
      <c r="BC165" s="68" t="inlineStr">
        <is>
          <t>Generated from pathway/cross-link support only.</t>
        </is>
      </c>
      <c r="BD165" s="68" t="n"/>
      <c r="BE165" s="68" t="inlineStr">
        <is>
          <t>2026-04-10</t>
        </is>
      </c>
      <c r="BF165" s="68" t="inlineStr">
        <is>
          <t>Added from internal pathway-linked herb gap audit</t>
        </is>
      </c>
      <c r="BG165" s="68" t="inlineStr">
        <is>
          <t>lonicera-japonica|2026-04-10</t>
        </is>
      </c>
      <c r="BH165" s="68" t="inlineStr">
        <is>
          <t>2026-04-10:added as intake_stub from pathway cross-links</t>
        </is>
      </c>
      <c r="BI165" t="inlineStr">
        <is>
          <t>lonicera-japonica</t>
        </is>
      </c>
      <c r="BJ165" t="inlineStr">
        <is>
          <t>Honeysuckle</t>
        </is>
      </c>
      <c r="BK165" t="n">
        <v>0</v>
      </c>
      <c r="BL165" t="n">
        <v>0</v>
      </c>
      <c r="BM165" t="n">
        <v>1</v>
      </c>
      <c r="BN165" t="n">
        <v>0</v>
      </c>
      <c r="BO165" t="n">
        <v>100</v>
      </c>
      <c r="BP165" t="n">
        <v>0</v>
      </c>
      <c r="BQ165" t="n">
        <v>0</v>
      </c>
      <c r="BR165" t="n">
        <v>0</v>
      </c>
      <c r="BS165" t="inlineStr">
        <is>
          <t>Tier 4</t>
        </is>
      </c>
      <c r="BT165" t="n">
        <v>0</v>
      </c>
      <c r="BU165" t="inlineStr">
        <is>
          <t>FALSE</t>
        </is>
      </c>
      <c r="BV165" t="inlineStr">
        <is>
          <t>lonicera-japonica</t>
        </is>
      </c>
      <c r="BW165" t="inlineStr">
        <is>
          <t>FALSE</t>
        </is>
      </c>
      <c r="BX165" t="inlineStr">
        <is>
          <t>Pass 10 refreshed scoring from 0 mapped compounds | Pass 13 rescored from 0 mapped compounds</t>
        </is>
      </c>
      <c r="CA165" t="n">
        <v>0</v>
      </c>
      <c r="CB165" t="n">
        <v>0</v>
      </c>
      <c r="CC165" t="n">
        <v>0</v>
      </c>
      <c r="CE165" t="inlineStr">
        <is>
          <t>Pass 13 rescored after herb-name normalization and real top-herb compound sweep</t>
        </is>
      </c>
      <c r="CF165" t="inlineStr">
        <is>
          <t>General</t>
        </is>
      </c>
      <c r="CH165" s="68" t="inlineStr">
        <is>
          <t>Start with low single-herb exposure and increase only if tolerated</t>
        </is>
      </c>
      <c r="CI165" s="68" t="inlineStr">
        <is>
          <t>Product-ideation framing only; not clinical dosing advice.</t>
        </is>
      </c>
      <c r="CJ165" s="68" t="str"/>
      <c r="CK165" s="68" t="str"/>
      <c r="CL165" s="68" t="inlineStr">
        <is>
          <t>Baseline</t>
        </is>
      </c>
      <c r="CM165" s="68" t="inlineStr">
        <is>
          <t>No</t>
        </is>
      </c>
      <c r="CN165" s="68" t="str"/>
      <c r="CO165" s="68" t="inlineStr">
        <is>
          <t>Pass 21 herb-level safety and dose framing</t>
        </is>
      </c>
      <c r="CP165" t="inlineStr">
        <is>
          <t>Baseline</t>
        </is>
      </c>
      <c r="CQ165" t="inlineStr">
        <is>
          <t>No</t>
        </is>
      </c>
      <c r="CS165" t="inlineStr">
        <is>
          <t>Pass 22 refined safety rule severity and reduced broad keyword over-flagging</t>
        </is>
      </c>
      <c r="CT165" t="inlineStr">
        <is>
          <t>General</t>
        </is>
      </c>
      <c r="CU165" t="inlineStr">
        <is>
          <t>mapk pathway inhibition; nf-kb inhibition</t>
        </is>
      </c>
      <c r="CV165" t="inlineStr">
        <is>
          <t>Unknown</t>
        </is>
      </c>
      <c r="CW165" t="inlineStr">
        <is>
          <t>Pass 26 normalization: categories, mechanisms, evidence tiers</t>
        </is>
      </c>
      <c r="CX165" t="inlineStr">
        <is>
          <t>Mapped</t>
        </is>
      </c>
      <c r="CY165" t="inlineStr">
        <is>
          <t>Safety review required before publication.</t>
        </is>
      </c>
      <c r="CZ165" t="inlineStr">
        <is>
          <t>Interaction review required before publication</t>
        </is>
      </c>
      <c r="DB165" t="inlineStr">
        <is>
          <t>Pass 28 normalized evidence and safety-related free text</t>
        </is>
      </c>
      <c r="DD165" t="inlineStr">
        <is>
          <t>No standardized dose established; use conservative, product-dependent ranges.</t>
        </is>
      </c>
      <c r="DE165" t="inlineStr">
        <is>
          <t>Common forms include extracts, powders, or teas depending on herb part.</t>
        </is>
      </c>
      <c r="DF165" t="inlineStr">
        <is>
          <t>Quality varies by extraction method, standardization, and contamination risk.</t>
        </is>
      </c>
      <c r="DG165" t="inlineStr">
        <is>
          <t>Low</t>
        </is>
      </c>
      <c r="DH165" t="inlineStr">
        <is>
          <t>Pass 29 completeness repair</t>
        </is>
      </c>
      <c r="DI165" t="n">
        <v>0</v>
      </c>
      <c r="DJ165" t="inlineStr">
        <is>
          <t>General</t>
        </is>
      </c>
      <c r="DL165" t="inlineStr">
        <is>
          <t>Acerola; Agarikon; Ajwain; Aloe Vera; American Ginseng</t>
        </is>
      </c>
      <c r="DM165" t="inlineStr">
        <is>
          <t>Pass 31 relationship intelligence: density, cluster, anchor class, nearest herbs</t>
        </is>
      </c>
      <c r="DP165" t="inlineStr">
        <is>
          <t>Generalist</t>
        </is>
      </c>
      <c r="DQ165" t="inlineStr">
        <is>
          <t>Pass 32 substitute engine + cluster cleanup</t>
        </is>
      </c>
      <c r="DT165" t="inlineStr">
        <is>
          <t>no strong safe fallback found</t>
        </is>
      </c>
      <c r="DU165" t="inlineStr">
        <is>
          <t>Not needed</t>
        </is>
      </c>
      <c r="DV165" t="inlineStr">
        <is>
          <t>Pass 33 fallback replacement engine</t>
        </is>
      </c>
      <c r="DY165" t="inlineStr">
        <is>
          <t>Pass 35 expanded fallback pool with second-pass candidate exploration</t>
        </is>
      </c>
      <c r="EA165" t="inlineStr">
        <is>
          <t>General</t>
        </is>
      </c>
      <c r="EC165" t="inlineStr">
        <is>
          <t>Medium</t>
        </is>
      </c>
      <c r="ED165" t="inlineStr">
        <is>
          <t>Pass 40 reinforced weak-category herb data</t>
        </is>
      </c>
      <c r="EG165" t="n">
        <v>0</v>
      </c>
      <c r="EH165" t="n">
        <v>0</v>
      </c>
      <c r="EI165" t="n">
        <v>0</v>
      </c>
      <c r="EJ165" t="n">
        <v>0</v>
      </c>
      <c r="EK165" t="n">
        <v>0</v>
      </c>
      <c r="EL165" t="n">
        <v>0</v>
      </c>
      <c r="EN165" t="inlineStr">
        <is>
          <t>Pass 48 rolled compound scores into herb-level scoring</t>
        </is>
      </c>
    </row>
    <row r="166">
      <c r="A166" s="68" t="inlineStr">
        <is>
          <t>Cassia Alata</t>
        </is>
      </c>
      <c r="B166" s="68" t="inlineStr">
        <is>
          <t>cassia-alata</t>
        </is>
      </c>
      <c r="C166" s="68" t="inlineStr">
        <is>
          <t>Senna alata</t>
        </is>
      </c>
      <c r="D166" s="68" t="inlineStr">
        <is>
          <t>herb</t>
        </is>
      </c>
      <c r="E166" s="68" t="inlineStr">
        <is>
          <t>botanical</t>
        </is>
      </c>
      <c r="F166" s="68" t="inlineStr">
        <is>
          <t>varies</t>
        </is>
      </c>
      <c r="G166" s="68" t="inlineStr">
        <is>
          <t>cassia alata</t>
        </is>
      </c>
      <c r="H166" s="68" t="n"/>
      <c r="I166" s="68" t="inlineStr">
        <is>
          <t>Cassia Alata is an intake-stage monograph candidate linked to 2 internal compound records and pathway tags including MAPK pathway, NF-kB inhibition.</t>
        </is>
      </c>
      <c r="J166" s="68" t="inlineStr">
        <is>
          <t>Internal cross-linking supports Cassia Alata through compounds such as aloe-emodin, chrysophanol.</t>
        </is>
      </c>
      <c r="K166" s="68" t="inlineStr">
        <is>
          <t>aloe-emodin; chrysophanol</t>
        </is>
      </c>
      <c r="L166" s="68" t="inlineStr">
        <is>
          <t>aloe-emodin</t>
        </is>
      </c>
      <c r="M166" s="68" t="inlineStr">
        <is>
          <t>Internal workbook mapping currently connects this herb to MAPK pathway, NF-kB inhibition.</t>
        </is>
      </c>
      <c r="N166" s="68" t="inlineStr">
        <is>
          <t>MAPK pathway; NF-kB inhibition</t>
        </is>
      </c>
      <c r="O166" s="68" t="inlineStr">
        <is>
          <t>mapped</t>
        </is>
      </c>
      <c r="P166" s="68" t="inlineStr">
        <is>
          <t>Safety review required before publication.</t>
        </is>
      </c>
      <c r="Q166" s="68" t="inlineStr">
        <is>
          <t>Interaction review required before publication.</t>
        </is>
      </c>
      <c r="R166" s="68" t="n"/>
      <c r="S166" s="68" t="n"/>
      <c r="T166" s="68" t="n"/>
      <c r="U166" s="68" t="n"/>
      <c r="V166" s="68" t="n"/>
      <c r="W166" s="68" t="inlineStr">
        <is>
          <t>Medium</t>
        </is>
      </c>
      <c r="X166" s="68" t="inlineStr">
        <is>
          <t>partial</t>
        </is>
      </c>
      <c r="Y166" s="68" t="n"/>
      <c r="Z166" s="68" t="inlineStr">
        <is>
          <t>dataset-linked</t>
        </is>
      </c>
      <c r="AA166" s="68" t="inlineStr">
        <is>
          <t>Internal workbook cross-link</t>
        </is>
      </c>
      <c r="AB166" s="68" t="n"/>
      <c r="AC166" s="68" t="n"/>
      <c r="AD166" s="68" t="n"/>
      <c r="AE166" s="68" t="n"/>
      <c r="AF166" s="68" t="n"/>
      <c r="AG166" s="68" t="n">
        <v>2</v>
      </c>
      <c r="AH166" s="68" t="n">
        <v>2</v>
      </c>
      <c r="AI166" s="68" t="n">
        <v>2</v>
      </c>
      <c r="AJ166" s="68" t="n">
        <v>6</v>
      </c>
      <c r="AK166" s="68" t="inlineStr">
        <is>
          <t>High</t>
        </is>
      </c>
      <c r="AL166" s="68" t="inlineStr">
        <is>
          <t>Needs source review</t>
        </is>
      </c>
      <c r="AM166" s="68" t="inlineStr">
        <is>
          <t>Internal linked</t>
        </is>
      </c>
      <c r="AN166" s="68" t="n">
        <v>0.95</v>
      </c>
      <c r="AO166" s="68" t="inlineStr">
        <is>
          <t>Near ready</t>
        </is>
      </c>
      <c r="AP166" s="68" t="n"/>
      <c r="AQ166" s="68" t="n"/>
      <c r="AR166" s="68" t="inlineStr">
        <is>
          <t>Editorial polish</t>
        </is>
      </c>
      <c r="AS166" s="68" t="inlineStr">
        <is>
          <t>Not started</t>
        </is>
      </c>
      <c r="AT166" s="68" t="inlineStr">
        <is>
          <t>No</t>
        </is>
      </c>
      <c r="AU166" s="68" t="inlineStr">
        <is>
          <t>No</t>
        </is>
      </c>
      <c r="AV166" s="68" t="inlineStr">
        <is>
          <t>No</t>
        </is>
      </c>
      <c r="AW166" s="68" t="inlineStr">
        <is>
          <t>Needs editorial sourcing</t>
        </is>
      </c>
      <c r="AX166" s="68" t="n">
        <v>0</v>
      </c>
      <c r="AY166" s="68" t="n"/>
      <c r="AZ166" s="68" t="n"/>
      <c r="BA166" s="68" t="inlineStr">
        <is>
          <t>Intake</t>
        </is>
      </c>
      <c r="BB166" s="68" t="inlineStr">
        <is>
          <t>Pending</t>
        </is>
      </c>
      <c r="BC166" s="68" t="inlineStr">
        <is>
          <t>Generated from pathway/cross-link support only.</t>
        </is>
      </c>
      <c r="BD166" s="68" t="n"/>
      <c r="BE166" s="68" t="inlineStr">
        <is>
          <t>2026-04-10</t>
        </is>
      </c>
      <c r="BF166" s="68" t="inlineStr">
        <is>
          <t>Added from internal pathway-linked herb gap audit</t>
        </is>
      </c>
      <c r="BG166" s="68" t="inlineStr">
        <is>
          <t>cassia-alata|2026-04-10</t>
        </is>
      </c>
      <c r="BH166" s="68" t="inlineStr">
        <is>
          <t>2026-04-10:added as intake_stub from pathway cross-links</t>
        </is>
      </c>
      <c r="BI166" t="inlineStr">
        <is>
          <t>cassia-alata</t>
        </is>
      </c>
      <c r="BJ166" t="inlineStr">
        <is>
          <t>Cassia Alata</t>
        </is>
      </c>
      <c r="BK166" t="n">
        <v>0</v>
      </c>
      <c r="BL166" t="n">
        <v>0</v>
      </c>
      <c r="BM166" t="n">
        <v>1</v>
      </c>
      <c r="BN166" t="n">
        <v>0</v>
      </c>
      <c r="BO166" t="n">
        <v>100</v>
      </c>
      <c r="BP166" t="n">
        <v>0</v>
      </c>
      <c r="BQ166" t="n">
        <v>0</v>
      </c>
      <c r="BR166" t="n">
        <v>0</v>
      </c>
      <c r="BS166" t="inlineStr">
        <is>
          <t>Tier 4</t>
        </is>
      </c>
      <c r="BT166" t="n">
        <v>0</v>
      </c>
      <c r="BU166" t="inlineStr">
        <is>
          <t>FALSE</t>
        </is>
      </c>
      <c r="BV166" t="inlineStr">
        <is>
          <t>cassia-alata</t>
        </is>
      </c>
      <c r="BW166" t="inlineStr">
        <is>
          <t>FALSE</t>
        </is>
      </c>
      <c r="BX166" t="inlineStr">
        <is>
          <t>Pass 10 refreshed scoring from 0 mapped compounds | Pass 13 rescored from 0 mapped compounds</t>
        </is>
      </c>
      <c r="CA166" t="n">
        <v>0</v>
      </c>
      <c r="CB166" t="n">
        <v>0</v>
      </c>
      <c r="CC166" t="n">
        <v>0</v>
      </c>
      <c r="CE166" t="inlineStr">
        <is>
          <t>Pass 13 rescored after herb-name normalization and real top-herb compound sweep</t>
        </is>
      </c>
      <c r="CF166" t="inlineStr">
        <is>
          <t>General</t>
        </is>
      </c>
      <c r="CH166" s="68" t="inlineStr">
        <is>
          <t>Start with low single-herb exposure and increase only if tolerated</t>
        </is>
      </c>
      <c r="CI166" s="68" t="inlineStr">
        <is>
          <t>Product-ideation framing only; not clinical dosing advice.</t>
        </is>
      </c>
      <c r="CJ166" s="68" t="str"/>
      <c r="CK166" s="68" t="str"/>
      <c r="CL166" s="68" t="inlineStr">
        <is>
          <t>Baseline</t>
        </is>
      </c>
      <c r="CM166" s="68" t="inlineStr">
        <is>
          <t>No</t>
        </is>
      </c>
      <c r="CN166" s="68" t="str"/>
      <c r="CO166" s="68" t="inlineStr">
        <is>
          <t>Pass 21 herb-level safety and dose framing</t>
        </is>
      </c>
      <c r="CP166" t="inlineStr">
        <is>
          <t>Baseline</t>
        </is>
      </c>
      <c r="CQ166" t="inlineStr">
        <is>
          <t>No</t>
        </is>
      </c>
      <c r="CS166" t="inlineStr">
        <is>
          <t>Pass 22 refined safety rule severity and reduced broad keyword over-flagging</t>
        </is>
      </c>
      <c r="CT166" t="inlineStr">
        <is>
          <t>General</t>
        </is>
      </c>
      <c r="CU166" t="inlineStr">
        <is>
          <t>mapk pathway; nf-kb inhibition</t>
        </is>
      </c>
      <c r="CV166" t="inlineStr">
        <is>
          <t>Unknown</t>
        </is>
      </c>
      <c r="CW166" t="inlineStr">
        <is>
          <t>Pass 26 normalization: categories, mechanisms, evidence tiers</t>
        </is>
      </c>
      <c r="CX166" t="inlineStr">
        <is>
          <t>Mapped</t>
        </is>
      </c>
      <c r="CY166" t="inlineStr">
        <is>
          <t>Safety review required before publication.</t>
        </is>
      </c>
      <c r="CZ166" t="inlineStr">
        <is>
          <t>Interaction review required before publication</t>
        </is>
      </c>
      <c r="DB166" t="inlineStr">
        <is>
          <t>Pass 28 normalized evidence and safety-related free text</t>
        </is>
      </c>
      <c r="DD166" t="inlineStr">
        <is>
          <t>No standardized dose established; use conservative, product-dependent ranges.</t>
        </is>
      </c>
      <c r="DE166" t="inlineStr">
        <is>
          <t>Common forms include extracts, powders, or teas depending on herb part.</t>
        </is>
      </c>
      <c r="DF166" t="inlineStr">
        <is>
          <t>Quality varies by extraction method, standardization, and contamination risk.</t>
        </is>
      </c>
      <c r="DG166" t="inlineStr">
        <is>
          <t>Low</t>
        </is>
      </c>
      <c r="DH166" t="inlineStr">
        <is>
          <t>Pass 29 completeness repair</t>
        </is>
      </c>
      <c r="DI166" t="n">
        <v>0</v>
      </c>
      <c r="DJ166" t="inlineStr">
        <is>
          <t>General</t>
        </is>
      </c>
      <c r="DL166" t="inlineStr">
        <is>
          <t>Acerola; Agarikon; Ajwain; Aloe Vera; American Ginseng</t>
        </is>
      </c>
      <c r="DM166" t="inlineStr">
        <is>
          <t>Pass 31 relationship intelligence: density, cluster, anchor class, nearest herbs</t>
        </is>
      </c>
      <c r="DP166" t="inlineStr">
        <is>
          <t>Generalist</t>
        </is>
      </c>
      <c r="DQ166" t="inlineStr">
        <is>
          <t>Pass 32 substitute engine + cluster cleanup</t>
        </is>
      </c>
      <c r="DT166" t="inlineStr">
        <is>
          <t>no strong safe fallback found</t>
        </is>
      </c>
      <c r="DU166" t="inlineStr">
        <is>
          <t>Not needed</t>
        </is>
      </c>
      <c r="DV166" t="inlineStr">
        <is>
          <t>Pass 33 fallback replacement engine</t>
        </is>
      </c>
      <c r="DY166" t="inlineStr">
        <is>
          <t>Pass 35 expanded fallback pool with second-pass candidate exploration</t>
        </is>
      </c>
      <c r="EA166" t="inlineStr">
        <is>
          <t>General</t>
        </is>
      </c>
      <c r="EC166" t="inlineStr">
        <is>
          <t>Medium</t>
        </is>
      </c>
      <c r="ED166" t="inlineStr">
        <is>
          <t>Pass 40 reinforced weak-category herb data</t>
        </is>
      </c>
      <c r="EG166" t="n">
        <v>0</v>
      </c>
      <c r="EH166" t="n">
        <v>0</v>
      </c>
      <c r="EI166" t="n">
        <v>0</v>
      </c>
      <c r="EJ166" t="n">
        <v>0</v>
      </c>
      <c r="EK166" t="n">
        <v>0</v>
      </c>
      <c r="EL166" t="n">
        <v>0</v>
      </c>
      <c r="EN166" t="inlineStr">
        <is>
          <t>Pass 48 rolled compound scores into herb-level scoring</t>
        </is>
      </c>
    </row>
    <row r="167">
      <c r="A167" s="68" t="inlineStr">
        <is>
          <t>American Yellow Lotus</t>
        </is>
      </c>
      <c r="B167" s="68" t="inlineStr">
        <is>
          <t>nelumbo-lutea</t>
        </is>
      </c>
      <c r="C167" s="68" t="inlineStr">
        <is>
          <t>Nelumbo lutea</t>
        </is>
      </c>
      <c r="D167" s="68" t="inlineStr">
        <is>
          <t>herb</t>
        </is>
      </c>
      <c r="E167" s="68" t="inlineStr">
        <is>
          <t>botanical</t>
        </is>
      </c>
      <c r="F167" s="68" t="inlineStr">
        <is>
          <t>varies</t>
        </is>
      </c>
      <c r="G167" s="68" t="inlineStr">
        <is>
          <t>american yellow lotus</t>
        </is>
      </c>
      <c r="H167" s="68" t="n"/>
      <c r="I167" s="68" t="inlineStr">
        <is>
          <t>American Yellow Lotus is an intake-stage monograph candidate linked to 4 internal compound records and pathway tags including dopaminergic_modulation.</t>
        </is>
      </c>
      <c r="J167" s="68" t="inlineStr">
        <is>
          <t>Internal cross-linking supports American Yellow Lotus through compounds such as nuciferine, roemerine, n-methylasimilobine.</t>
        </is>
      </c>
      <c r="K167" s="68" t="inlineStr">
        <is>
          <t>nuciferine; roemerine; n-methylasimilobine; armepavine</t>
        </is>
      </c>
      <c r="L167" s="68" t="inlineStr">
        <is>
          <t>nuciferine</t>
        </is>
      </c>
      <c r="M167" s="68" t="inlineStr">
        <is>
          <t>Internal workbook mapping currently connects this herb to dopaminergic_modulation.</t>
        </is>
      </c>
      <c r="N167" s="68" t="inlineStr">
        <is>
          <t>dopaminergic_modulation</t>
        </is>
      </c>
      <c r="O167" s="68" t="inlineStr">
        <is>
          <t>mapped</t>
        </is>
      </c>
      <c r="P167" s="68" t="inlineStr">
        <is>
          <t>Safety review required before publication.</t>
        </is>
      </c>
      <c r="Q167" s="68" t="inlineStr">
        <is>
          <t>Interaction review required before publication.</t>
        </is>
      </c>
      <c r="R167" s="68" t="n"/>
      <c r="S167" s="68" t="n"/>
      <c r="T167" s="68" t="n"/>
      <c r="U167" s="68" t="n"/>
      <c r="V167" s="68" t="n"/>
      <c r="W167" s="68" t="inlineStr">
        <is>
          <t>High</t>
        </is>
      </c>
      <c r="X167" s="68" t="inlineStr">
        <is>
          <t>partial</t>
        </is>
      </c>
      <c r="Y167" s="68" t="n"/>
      <c r="Z167" s="68" t="inlineStr">
        <is>
          <t>dataset-linked</t>
        </is>
      </c>
      <c r="AA167" s="68" t="inlineStr">
        <is>
          <t>Internal workbook cross-link</t>
        </is>
      </c>
      <c r="AB167" s="68" t="n"/>
      <c r="AC167" s="68" t="n"/>
      <c r="AD167" s="68" t="n"/>
      <c r="AE167" s="68" t="n"/>
      <c r="AF167" s="68" t="n"/>
      <c r="AG167" s="68" t="n">
        <v>3</v>
      </c>
      <c r="AH167" s="68" t="n">
        <v>2</v>
      </c>
      <c r="AI167" s="68" t="n">
        <v>2</v>
      </c>
      <c r="AJ167" s="68" t="n">
        <v>7</v>
      </c>
      <c r="AK167" s="68" t="inlineStr">
        <is>
          <t>High</t>
        </is>
      </c>
      <c r="AL167" s="68" t="inlineStr">
        <is>
          <t>Needs source review</t>
        </is>
      </c>
      <c r="AM167" s="68" t="inlineStr">
        <is>
          <t>Internal linked</t>
        </is>
      </c>
      <c r="AN167" s="68" t="n">
        <v>0.95</v>
      </c>
      <c r="AO167" s="68" t="inlineStr">
        <is>
          <t>Near ready</t>
        </is>
      </c>
      <c r="AP167" s="68" t="n"/>
      <c r="AQ167" s="68" t="n"/>
      <c r="AR167" s="68" t="inlineStr">
        <is>
          <t>Editorial polish</t>
        </is>
      </c>
      <c r="AS167" s="68" t="inlineStr">
        <is>
          <t>Not started</t>
        </is>
      </c>
      <c r="AT167" s="68" t="inlineStr">
        <is>
          <t>No</t>
        </is>
      </c>
      <c r="AU167" s="68" t="inlineStr">
        <is>
          <t>No</t>
        </is>
      </c>
      <c r="AV167" s="68" t="inlineStr">
        <is>
          <t>No</t>
        </is>
      </c>
      <c r="AW167" s="68" t="inlineStr">
        <is>
          <t>Needs editorial sourcing</t>
        </is>
      </c>
      <c r="AX167" s="68" t="n">
        <v>0</v>
      </c>
      <c r="AY167" s="68" t="n"/>
      <c r="AZ167" s="68" t="n"/>
      <c r="BA167" s="68" t="inlineStr">
        <is>
          <t>Intake</t>
        </is>
      </c>
      <c r="BB167" s="68" t="inlineStr">
        <is>
          <t>Pending</t>
        </is>
      </c>
      <c r="BC167" s="68" t="inlineStr">
        <is>
          <t>Generated from pathway/cross-link support only.</t>
        </is>
      </c>
      <c r="BD167" s="68" t="n"/>
      <c r="BE167" s="68" t="inlineStr">
        <is>
          <t>2026-04-10</t>
        </is>
      </c>
      <c r="BF167" s="68" t="inlineStr">
        <is>
          <t>Added from internal pathway-linked herb gap audit</t>
        </is>
      </c>
      <c r="BG167" s="68" t="inlineStr">
        <is>
          <t>nelumbo-lutea|2026-04-10</t>
        </is>
      </c>
      <c r="BH167" s="68" t="inlineStr">
        <is>
          <t>2026-04-10:added as intake_stub from pathway cross-links</t>
        </is>
      </c>
      <c r="BI167" t="inlineStr">
        <is>
          <t>nelumbo-lutea</t>
        </is>
      </c>
      <c r="BJ167" t="inlineStr">
        <is>
          <t>American Yellow Lotus</t>
        </is>
      </c>
      <c r="BK167" t="n">
        <v>0</v>
      </c>
      <c r="BL167" t="n">
        <v>0</v>
      </c>
      <c r="BM167" t="n">
        <v>1</v>
      </c>
      <c r="BN167" t="n">
        <v>0</v>
      </c>
      <c r="BO167" t="n">
        <v>100</v>
      </c>
      <c r="BP167" t="n">
        <v>0</v>
      </c>
      <c r="BQ167" t="n">
        <v>0</v>
      </c>
      <c r="BR167" t="n">
        <v>0</v>
      </c>
      <c r="BS167" t="inlineStr">
        <is>
          <t>Tier 4</t>
        </is>
      </c>
      <c r="BT167" t="n">
        <v>0</v>
      </c>
      <c r="BU167" t="inlineStr">
        <is>
          <t>FALSE</t>
        </is>
      </c>
      <c r="BV167" t="inlineStr">
        <is>
          <t>nelumbo-lutea</t>
        </is>
      </c>
      <c r="BW167" t="inlineStr">
        <is>
          <t>FALSE</t>
        </is>
      </c>
      <c r="BX167" t="inlineStr">
        <is>
          <t>Pass 10 refreshed scoring from 0 mapped compounds | Pass 13 rescored from 0 mapped compounds</t>
        </is>
      </c>
      <c r="CA167" t="n">
        <v>0</v>
      </c>
      <c r="CB167" t="n">
        <v>0</v>
      </c>
      <c r="CC167" t="n">
        <v>0</v>
      </c>
      <c r="CE167" t="inlineStr">
        <is>
          <t>Pass 13 rescored after herb-name normalization and real top-herb compound sweep</t>
        </is>
      </c>
      <c r="CF167" t="inlineStr">
        <is>
          <t>General</t>
        </is>
      </c>
      <c r="CH167" s="68" t="inlineStr">
        <is>
          <t>Start with low single-herb exposure and increase only if tolerated</t>
        </is>
      </c>
      <c r="CI167" s="68" t="inlineStr">
        <is>
          <t>Product-ideation framing only; not clinical dosing advice.</t>
        </is>
      </c>
      <c r="CJ167" s="68" t="str"/>
      <c r="CK167" s="68" t="str"/>
      <c r="CL167" s="68" t="inlineStr">
        <is>
          <t>Baseline</t>
        </is>
      </c>
      <c r="CM167" s="68" t="inlineStr">
        <is>
          <t>No</t>
        </is>
      </c>
      <c r="CN167" s="68" t="str"/>
      <c r="CO167" s="68" t="inlineStr">
        <is>
          <t>Pass 21 herb-level safety and dose framing</t>
        </is>
      </c>
      <c r="CP167" t="inlineStr">
        <is>
          <t>Baseline</t>
        </is>
      </c>
      <c r="CQ167" t="inlineStr">
        <is>
          <t>No</t>
        </is>
      </c>
      <c r="CS167" t="inlineStr">
        <is>
          <t>Pass 22 refined safety rule severity and reduced broad keyword over-flagging</t>
        </is>
      </c>
      <c r="CT167" t="inlineStr">
        <is>
          <t>General</t>
        </is>
      </c>
      <c r="CU167" t="inlineStr">
        <is>
          <t>dopaminergic_modulation</t>
        </is>
      </c>
      <c r="CV167" t="inlineStr">
        <is>
          <t>Unknown</t>
        </is>
      </c>
      <c r="CW167" t="inlineStr">
        <is>
          <t>Pass 26 normalization: categories, mechanisms, evidence tiers</t>
        </is>
      </c>
      <c r="CX167" t="inlineStr">
        <is>
          <t>Mapped</t>
        </is>
      </c>
      <c r="CY167" t="inlineStr">
        <is>
          <t>Safety review required before publication.</t>
        </is>
      </c>
      <c r="CZ167" t="inlineStr">
        <is>
          <t>Interaction review required before publication</t>
        </is>
      </c>
      <c r="DB167" t="inlineStr">
        <is>
          <t>Pass 28 normalized evidence and safety-related free text</t>
        </is>
      </c>
      <c r="DD167" t="inlineStr">
        <is>
          <t>No standardized dose established; use conservative, product-dependent ranges.</t>
        </is>
      </c>
      <c r="DE167" t="inlineStr">
        <is>
          <t>Common forms include extracts, powders, or teas depending on herb part.</t>
        </is>
      </c>
      <c r="DF167" t="inlineStr">
        <is>
          <t>Quality varies by extraction method, standardization, and contamination risk.</t>
        </is>
      </c>
      <c r="DG167" t="inlineStr">
        <is>
          <t>Low</t>
        </is>
      </c>
      <c r="DH167" t="inlineStr">
        <is>
          <t>Pass 29 completeness repair</t>
        </is>
      </c>
      <c r="DI167" t="n">
        <v>0</v>
      </c>
      <c r="DJ167" t="inlineStr">
        <is>
          <t>General</t>
        </is>
      </c>
      <c r="DL167" t="inlineStr">
        <is>
          <t>Acerola; Agarikon; Ajwain; Aloe Vera; American Ginseng</t>
        </is>
      </c>
      <c r="DM167" t="inlineStr">
        <is>
          <t>Pass 31 relationship intelligence: density, cluster, anchor class, nearest herbs</t>
        </is>
      </c>
      <c r="DP167" t="inlineStr">
        <is>
          <t>Generalist</t>
        </is>
      </c>
      <c r="DQ167" t="inlineStr">
        <is>
          <t>Pass 32 substitute engine + cluster cleanup</t>
        </is>
      </c>
      <c r="DT167" t="inlineStr">
        <is>
          <t>no strong safe fallback found</t>
        </is>
      </c>
      <c r="DU167" t="inlineStr">
        <is>
          <t>Not needed</t>
        </is>
      </c>
      <c r="DV167" t="inlineStr">
        <is>
          <t>Pass 33 fallback replacement engine</t>
        </is>
      </c>
      <c r="DY167" t="inlineStr">
        <is>
          <t>Pass 35 expanded fallback pool with second-pass candidate exploration</t>
        </is>
      </c>
      <c r="EA167" t="inlineStr">
        <is>
          <t>General</t>
        </is>
      </c>
      <c r="EC167" t="inlineStr">
        <is>
          <t>High</t>
        </is>
      </c>
      <c r="ED167" t="inlineStr">
        <is>
          <t>Pass 40 reinforced weak-category herb data</t>
        </is>
      </c>
      <c r="EG167" t="n">
        <v>0</v>
      </c>
      <c r="EH167" t="n">
        <v>0</v>
      </c>
      <c r="EI167" t="n">
        <v>0</v>
      </c>
      <c r="EJ167" t="n">
        <v>0</v>
      </c>
      <c r="EK167" t="n">
        <v>0</v>
      </c>
      <c r="EL167" t="n">
        <v>0</v>
      </c>
      <c r="EN167" t="inlineStr">
        <is>
          <t>Pass 48 rolled compound scores into herb-level scoring</t>
        </is>
      </c>
    </row>
    <row r="168">
      <c r="A168" s="68" t="inlineStr">
        <is>
          <t>Anise Hyssop</t>
        </is>
      </c>
      <c r="B168" s="68" t="inlineStr">
        <is>
          <t>agastache-foeniculum</t>
        </is>
      </c>
      <c r="C168" s="68" t="inlineStr">
        <is>
          <t>Agastache foeniculum</t>
        </is>
      </c>
      <c r="D168" s="68" t="inlineStr">
        <is>
          <t>herb</t>
        </is>
      </c>
      <c r="E168" s="68" t="inlineStr">
        <is>
          <t>botanical</t>
        </is>
      </c>
      <c r="F168" s="68" t="inlineStr">
        <is>
          <t>varies</t>
        </is>
      </c>
      <c r="G168" s="68" t="inlineStr">
        <is>
          <t>anise hyssop</t>
        </is>
      </c>
      <c r="H168" s="68" t="n"/>
      <c r="I168" s="68" t="inlineStr">
        <is>
          <t>Anise Hyssop is an intake-stage monograph candidate linked to 3 internal compound records and pathway tags including endocannabinoid_modulation.</t>
        </is>
      </c>
      <c r="J168" s="68" t="inlineStr">
        <is>
          <t>Internal cross-linking supports Anise Hyssop through compounds such as limonene, anethole, estragole.</t>
        </is>
      </c>
      <c r="K168" s="68" t="inlineStr">
        <is>
          <t>limonene; anethole; estragole</t>
        </is>
      </c>
      <c r="L168" s="68" t="inlineStr">
        <is>
          <t>limonene</t>
        </is>
      </c>
      <c r="M168" s="68" t="inlineStr">
        <is>
          <t>Internal workbook mapping currently connects this herb to endocannabinoid_modulation.</t>
        </is>
      </c>
      <c r="N168" s="68" t="inlineStr">
        <is>
          <t>endocannabinoid_modulation</t>
        </is>
      </c>
      <c r="O168" s="68" t="inlineStr">
        <is>
          <t>mapped</t>
        </is>
      </c>
      <c r="P168" s="68" t="inlineStr">
        <is>
          <t>Safety review required before publication.</t>
        </is>
      </c>
      <c r="Q168" s="68" t="inlineStr">
        <is>
          <t>Interaction review required before publication.</t>
        </is>
      </c>
      <c r="R168" s="68" t="n"/>
      <c r="S168" s="68" t="n"/>
      <c r="T168" s="68" t="n"/>
      <c r="U168" s="68" t="n"/>
      <c r="V168" s="68" t="n"/>
      <c r="W168" s="68" t="inlineStr">
        <is>
          <t>Medium</t>
        </is>
      </c>
      <c r="X168" s="68" t="inlineStr">
        <is>
          <t>partial</t>
        </is>
      </c>
      <c r="Y168" s="68" t="n"/>
      <c r="Z168" s="68" t="inlineStr">
        <is>
          <t>dataset-linked</t>
        </is>
      </c>
      <c r="AA168" s="68" t="inlineStr">
        <is>
          <t>Internal workbook cross-link</t>
        </is>
      </c>
      <c r="AB168" s="68" t="n"/>
      <c r="AC168" s="68" t="n"/>
      <c r="AD168" s="68" t="n"/>
      <c r="AE168" s="68" t="n"/>
      <c r="AF168" s="68" t="n"/>
      <c r="AG168" s="68" t="n">
        <v>2</v>
      </c>
      <c r="AH168" s="68" t="n">
        <v>2</v>
      </c>
      <c r="AI168" s="68" t="n">
        <v>2</v>
      </c>
      <c r="AJ168" s="68" t="n">
        <v>6</v>
      </c>
      <c r="AK168" s="68" t="inlineStr">
        <is>
          <t>High</t>
        </is>
      </c>
      <c r="AL168" s="68" t="inlineStr">
        <is>
          <t>Needs source review</t>
        </is>
      </c>
      <c r="AM168" s="68" t="inlineStr">
        <is>
          <t>Internal linked</t>
        </is>
      </c>
      <c r="AN168" s="68" t="n">
        <v>0.95</v>
      </c>
      <c r="AO168" s="68" t="inlineStr">
        <is>
          <t>Near ready</t>
        </is>
      </c>
      <c r="AP168" s="68" t="n"/>
      <c r="AQ168" s="68" t="n"/>
      <c r="AR168" s="68" t="inlineStr">
        <is>
          <t>Editorial polish</t>
        </is>
      </c>
      <c r="AS168" s="68" t="inlineStr">
        <is>
          <t>Not started</t>
        </is>
      </c>
      <c r="AT168" s="68" t="inlineStr">
        <is>
          <t>No</t>
        </is>
      </c>
      <c r="AU168" s="68" t="inlineStr">
        <is>
          <t>No</t>
        </is>
      </c>
      <c r="AV168" s="68" t="inlineStr">
        <is>
          <t>No</t>
        </is>
      </c>
      <c r="AW168" s="68" t="inlineStr">
        <is>
          <t>Needs editorial sourcing</t>
        </is>
      </c>
      <c r="AX168" s="68" t="n">
        <v>0</v>
      </c>
      <c r="AY168" s="68" t="n"/>
      <c r="AZ168" s="68" t="n"/>
      <c r="BA168" s="68" t="inlineStr">
        <is>
          <t>Intake</t>
        </is>
      </c>
      <c r="BB168" s="68" t="inlineStr">
        <is>
          <t>Pending</t>
        </is>
      </c>
      <c r="BC168" s="68" t="inlineStr">
        <is>
          <t>Generated from pathway/cross-link support only.</t>
        </is>
      </c>
      <c r="BD168" s="68" t="n"/>
      <c r="BE168" s="68" t="inlineStr">
        <is>
          <t>2026-04-10</t>
        </is>
      </c>
      <c r="BF168" s="68" t="inlineStr">
        <is>
          <t>Added from internal pathway-linked herb gap audit</t>
        </is>
      </c>
      <c r="BG168" s="68" t="inlineStr">
        <is>
          <t>agastache-foeniculum|2026-04-10</t>
        </is>
      </c>
      <c r="BH168" s="68" t="inlineStr">
        <is>
          <t>2026-04-10:added as intake_stub from pathway cross-links</t>
        </is>
      </c>
      <c r="BI168" t="inlineStr">
        <is>
          <t>agastache-foeniculum</t>
        </is>
      </c>
      <c r="BJ168" t="inlineStr">
        <is>
          <t>Anise Hyssop</t>
        </is>
      </c>
      <c r="BK168" t="n">
        <v>0</v>
      </c>
      <c r="BL168" t="n">
        <v>0</v>
      </c>
      <c r="BM168" t="n">
        <v>1</v>
      </c>
      <c r="BN168" t="n">
        <v>0</v>
      </c>
      <c r="BO168" t="n">
        <v>100</v>
      </c>
      <c r="BP168" t="n">
        <v>0</v>
      </c>
      <c r="BQ168" t="n">
        <v>0</v>
      </c>
      <c r="BR168" t="n">
        <v>0</v>
      </c>
      <c r="BS168" t="inlineStr">
        <is>
          <t>Tier 4</t>
        </is>
      </c>
      <c r="BT168" t="n">
        <v>0</v>
      </c>
      <c r="BU168" t="inlineStr">
        <is>
          <t>FALSE</t>
        </is>
      </c>
      <c r="BV168" t="inlineStr">
        <is>
          <t>agastache-foeniculum</t>
        </is>
      </c>
      <c r="BW168" t="inlineStr">
        <is>
          <t>FALSE</t>
        </is>
      </c>
      <c r="BX168" t="inlineStr">
        <is>
          <t>Pass 10 refreshed scoring from 0 mapped compounds | Pass 13 rescored from 0 mapped compounds</t>
        </is>
      </c>
      <c r="CA168" t="n">
        <v>0</v>
      </c>
      <c r="CB168" t="n">
        <v>0</v>
      </c>
      <c r="CC168" t="n">
        <v>0</v>
      </c>
      <c r="CE168" t="inlineStr">
        <is>
          <t>Pass 13 rescored after herb-name normalization and real top-herb compound sweep</t>
        </is>
      </c>
      <c r="CF168" t="inlineStr">
        <is>
          <t>General</t>
        </is>
      </c>
      <c r="CH168" s="68" t="inlineStr">
        <is>
          <t>Start with low single-herb exposure and increase only if tolerated</t>
        </is>
      </c>
      <c r="CI168" s="68" t="inlineStr">
        <is>
          <t>Product-ideation framing only; not clinical dosing advice.</t>
        </is>
      </c>
      <c r="CJ168" s="68" t="str"/>
      <c r="CK168" s="68" t="str"/>
      <c r="CL168" s="68" t="inlineStr">
        <is>
          <t>Baseline</t>
        </is>
      </c>
      <c r="CM168" s="68" t="inlineStr">
        <is>
          <t>No</t>
        </is>
      </c>
      <c r="CN168" s="68" t="str"/>
      <c r="CO168" s="68" t="inlineStr">
        <is>
          <t>Pass 21 herb-level safety and dose framing</t>
        </is>
      </c>
      <c r="CP168" t="inlineStr">
        <is>
          <t>Baseline</t>
        </is>
      </c>
      <c r="CQ168" t="inlineStr">
        <is>
          <t>No</t>
        </is>
      </c>
      <c r="CS168" t="inlineStr">
        <is>
          <t>Pass 22 refined safety rule severity and reduced broad keyword over-flagging</t>
        </is>
      </c>
      <c r="CT168" t="inlineStr">
        <is>
          <t>General</t>
        </is>
      </c>
      <c r="CU168" t="inlineStr">
        <is>
          <t>endocannabinoid_modulation</t>
        </is>
      </c>
      <c r="CV168" t="inlineStr">
        <is>
          <t>Unknown</t>
        </is>
      </c>
      <c r="CW168" t="inlineStr">
        <is>
          <t>Pass 26 normalization: categories, mechanisms, evidence tiers</t>
        </is>
      </c>
      <c r="CX168" t="inlineStr">
        <is>
          <t>Mapped</t>
        </is>
      </c>
      <c r="CY168" t="inlineStr">
        <is>
          <t>Safety review required before publication.</t>
        </is>
      </c>
      <c r="CZ168" t="inlineStr">
        <is>
          <t>Interaction review required before publication</t>
        </is>
      </c>
      <c r="DB168" t="inlineStr">
        <is>
          <t>Pass 28 normalized evidence and safety-related free text</t>
        </is>
      </c>
      <c r="DD168" t="inlineStr">
        <is>
          <t>No standardized dose established; use conservative, product-dependent ranges.</t>
        </is>
      </c>
      <c r="DE168" t="inlineStr">
        <is>
          <t>Common forms include extracts, powders, or teas depending on herb part.</t>
        </is>
      </c>
      <c r="DF168" t="inlineStr">
        <is>
          <t>Quality varies by extraction method, standardization, and contamination risk.</t>
        </is>
      </c>
      <c r="DG168" t="inlineStr">
        <is>
          <t>Low</t>
        </is>
      </c>
      <c r="DH168" t="inlineStr">
        <is>
          <t>Pass 29 completeness repair</t>
        </is>
      </c>
      <c r="DI168" t="n">
        <v>0</v>
      </c>
      <c r="DJ168" t="inlineStr">
        <is>
          <t>General</t>
        </is>
      </c>
      <c r="DL168" t="inlineStr">
        <is>
          <t>Acerola; Agarikon; Ajwain; Aloe Vera; American Ginseng</t>
        </is>
      </c>
      <c r="DM168" t="inlineStr">
        <is>
          <t>Pass 31 relationship intelligence: density, cluster, anchor class, nearest herbs</t>
        </is>
      </c>
      <c r="DP168" t="inlineStr">
        <is>
          <t>Generalist</t>
        </is>
      </c>
      <c r="DQ168" t="inlineStr">
        <is>
          <t>Pass 32 substitute engine + cluster cleanup</t>
        </is>
      </c>
      <c r="DT168" t="inlineStr">
        <is>
          <t>no strong safe fallback found</t>
        </is>
      </c>
      <c r="DU168" t="inlineStr">
        <is>
          <t>Not needed</t>
        </is>
      </c>
      <c r="DV168" t="inlineStr">
        <is>
          <t>Pass 33 fallback replacement engine</t>
        </is>
      </c>
      <c r="DY168" t="inlineStr">
        <is>
          <t>Pass 35 expanded fallback pool with second-pass candidate exploration</t>
        </is>
      </c>
      <c r="EA168" t="inlineStr">
        <is>
          <t>General</t>
        </is>
      </c>
      <c r="EC168" t="inlineStr">
        <is>
          <t>Medium</t>
        </is>
      </c>
      <c r="ED168" t="inlineStr">
        <is>
          <t>Pass 40 reinforced weak-category herb data</t>
        </is>
      </c>
      <c r="EG168" t="n">
        <v>0</v>
      </c>
      <c r="EH168" t="n">
        <v>0</v>
      </c>
      <c r="EI168" t="n">
        <v>0</v>
      </c>
      <c r="EJ168" t="n">
        <v>0</v>
      </c>
      <c r="EK168" t="n">
        <v>0</v>
      </c>
      <c r="EL168" t="n">
        <v>0</v>
      </c>
      <c r="EN168" t="inlineStr">
        <is>
          <t>Pass 48 rolled compound scores into herb-level scoring</t>
        </is>
      </c>
    </row>
    <row r="169">
      <c r="A169" s="68" t="inlineStr">
        <is>
          <t>Marshmallow</t>
        </is>
      </c>
      <c r="B169" s="68" t="inlineStr">
        <is>
          <t>althaea-officinalis</t>
        </is>
      </c>
      <c r="C169" s="68" t="inlineStr">
        <is>
          <t>Althaea officinalis</t>
        </is>
      </c>
      <c r="D169" s="68" t="inlineStr">
        <is>
          <t>herb</t>
        </is>
      </c>
      <c r="E169" s="68" t="inlineStr">
        <is>
          <t>botanical</t>
        </is>
      </c>
      <c r="F169" s="68" t="inlineStr">
        <is>
          <t>varies</t>
        </is>
      </c>
      <c r="G169" s="68" t="inlineStr">
        <is>
          <t>marshmallow</t>
        </is>
      </c>
      <c r="H169" s="68" t="n"/>
      <c r="I169" s="68" t="inlineStr">
        <is>
          <t>Marshmallow is an intake-stage monograph candidate linked to 1 internal compound records in the current workbook.</t>
        </is>
      </c>
      <c r="J169" s="68" t="inlineStr">
        <is>
          <t>Internal cross-linking supports Marshmallow through compounds such as pectin.</t>
        </is>
      </c>
      <c r="K169" s="68" t="inlineStr">
        <is>
          <t>mucilage polysaccharides; flavonoids; pectin</t>
        </is>
      </c>
      <c r="L169" s="68" t="inlineStr">
        <is>
          <t>mucilage polysaccharides</t>
        </is>
      </c>
      <c r="M169" s="68" t="inlineStr">
        <is>
          <t>Current internal mapping is compound-linked, with pathway resolution still limited.</t>
        </is>
      </c>
      <c r="N169" s="68" t="inlineStr">
        <is>
          <t>demulcent; digestive support; throat support</t>
        </is>
      </c>
      <c r="O169" s="68" t="inlineStr">
        <is>
          <t>traditional-preclinical</t>
        </is>
      </c>
      <c r="P169" s="68" t="inlineStr">
        <is>
          <t>General use caution; separate from medications when timing matters</t>
        </is>
      </c>
      <c r="Q169" s="68" t="inlineStr">
        <is>
          <t>May slow absorption of co-administered agents when taken together</t>
        </is>
      </c>
      <c r="R169" s="68" t="inlineStr">
        <is>
          <t>Use caution where reduced absorption timing could matter</t>
        </is>
      </c>
      <c r="S169" s="68" t="n"/>
      <c r="T169" s="68" t="n"/>
      <c r="U169" s="68" t="n"/>
      <c r="V169" s="68" t="n"/>
      <c r="W169" s="68" t="inlineStr">
        <is>
          <t>low-medium</t>
        </is>
      </c>
      <c r="X169" s="68" t="inlineStr">
        <is>
          <t>validated</t>
        </is>
      </c>
      <c r="Y169" s="68" t="n"/>
      <c r="Z169" s="68" t="inlineStr">
        <is>
          <t>dataset-linked</t>
        </is>
      </c>
      <c r="AA169" s="68" t="inlineStr">
        <is>
          <t>Internal workbook cross-link</t>
        </is>
      </c>
      <c r="AB169" s="68" t="n"/>
      <c r="AC169" s="68" t="n"/>
      <c r="AD169" s="68" t="n"/>
      <c r="AE169" s="68" t="n"/>
      <c r="AF169" s="68" t="n"/>
      <c r="AG169" s="68" t="n">
        <v>1</v>
      </c>
      <c r="AH169" s="68" t="n">
        <v>1</v>
      </c>
      <c r="AI169" s="68" t="n">
        <v>2</v>
      </c>
      <c r="AJ169" s="68" t="n">
        <v>4</v>
      </c>
      <c r="AK169" s="68" t="inlineStr">
        <is>
          <t>High</t>
        </is>
      </c>
      <c r="AL169" s="68" t="inlineStr">
        <is>
          <t>Needs source review</t>
        </is>
      </c>
      <c r="AM169" s="68" t="inlineStr">
        <is>
          <t>Internal linked</t>
        </is>
      </c>
      <c r="AN169" s="68" t="n">
        <v>0.95</v>
      </c>
      <c r="AO169" s="68" t="inlineStr">
        <is>
          <t>Needs work</t>
        </is>
      </c>
      <c r="AP169" s="68" t="n"/>
      <c r="AQ169" s="68" t="n"/>
      <c r="AR169" s="68" t="inlineStr">
        <is>
          <t>Source review</t>
        </is>
      </c>
      <c r="AS169" s="68" t="inlineStr">
        <is>
          <t>Not started</t>
        </is>
      </c>
      <c r="AT169" s="68" t="inlineStr">
        <is>
          <t>No</t>
        </is>
      </c>
      <c r="AU169" s="68" t="inlineStr">
        <is>
          <t>No</t>
        </is>
      </c>
      <c r="AV169" s="68" t="inlineStr">
        <is>
          <t>No</t>
        </is>
      </c>
      <c r="AW169" s="68" t="inlineStr">
        <is>
          <t>Needs editorial sourcing</t>
        </is>
      </c>
      <c r="AX169" s="68" t="n">
        <v>0</v>
      </c>
      <c r="AY169" s="68" t="n"/>
      <c r="AZ169" s="68" t="n"/>
      <c r="BA169" s="68" t="inlineStr">
        <is>
          <t>Intake</t>
        </is>
      </c>
      <c r="BB169" s="68" t="inlineStr">
        <is>
          <t>Pending</t>
        </is>
      </c>
      <c r="BC169" s="68" t="inlineStr">
        <is>
          <t>Generated from pathway/cross-link support only.</t>
        </is>
      </c>
      <c r="BD169" s="68" t="n"/>
      <c r="BE169" s="68" t="inlineStr">
        <is>
          <t>2026-04-10</t>
        </is>
      </c>
      <c r="BF169" s="68" t="inlineStr">
        <is>
          <t>Added from internal pathway-linked herb gap audit</t>
        </is>
      </c>
      <c r="BG169" s="68" t="inlineStr">
        <is>
          <t>althaea-officinalis|2026-04-10</t>
        </is>
      </c>
      <c r="BH169" s="68" t="inlineStr">
        <is>
          <t>2026-04-10:added as intake_stub from pathway cross-links</t>
        </is>
      </c>
      <c r="BI169" t="inlineStr">
        <is>
          <t>althaea-officinalis</t>
        </is>
      </c>
      <c r="BJ169" t="inlineStr">
        <is>
          <t>Marshmallow</t>
        </is>
      </c>
      <c r="BK169" t="n">
        <v>0</v>
      </c>
      <c r="BL169" t="n">
        <v>0</v>
      </c>
      <c r="BM169" t="n">
        <v>3</v>
      </c>
      <c r="BN169" t="n">
        <v>0</v>
      </c>
      <c r="BO169" t="n">
        <v>100</v>
      </c>
      <c r="BP169" t="n">
        <v>0</v>
      </c>
      <c r="BQ169" t="n">
        <v>0</v>
      </c>
      <c r="BR169" t="n">
        <v>0</v>
      </c>
      <c r="BS169" t="inlineStr">
        <is>
          <t>Tier 4</t>
        </is>
      </c>
      <c r="BT169" t="n">
        <v>0</v>
      </c>
      <c r="BU169" t="inlineStr">
        <is>
          <t>FALSE</t>
        </is>
      </c>
      <c r="BV169" t="inlineStr">
        <is>
          <t>althaea-officinalis</t>
        </is>
      </c>
      <c r="BW169" t="inlineStr">
        <is>
          <t>FALSE</t>
        </is>
      </c>
      <c r="BX169" t="inlineStr">
        <is>
          <t>Pass 10 refreshed scoring from 0 mapped compounds | Pass 13 rescored from 0 mapped compounds</t>
        </is>
      </c>
      <c r="CA169" t="n">
        <v>0</v>
      </c>
      <c r="CB169" t="n">
        <v>0</v>
      </c>
      <c r="CC169" t="n">
        <v>0</v>
      </c>
      <c r="CE169" t="inlineStr">
        <is>
          <t>Pass 13 rescored after herb-name normalization and real top-herb compound sweep</t>
        </is>
      </c>
      <c r="CF169" t="inlineStr">
        <is>
          <t>General</t>
        </is>
      </c>
      <c r="CH169" s="68" t="inlineStr">
        <is>
          <t>Start with low single-herb exposure and increase only if tolerated</t>
        </is>
      </c>
      <c r="CI169" s="68" t="inlineStr">
        <is>
          <t>Product-ideation framing only; not clinical dosing advice.</t>
        </is>
      </c>
      <c r="CJ169" s="68" t="str"/>
      <c r="CK169" s="68" t="str"/>
      <c r="CL169" s="68" t="inlineStr">
        <is>
          <t>Baseline</t>
        </is>
      </c>
      <c r="CM169" s="68" t="inlineStr">
        <is>
          <t>No</t>
        </is>
      </c>
      <c r="CN169" s="68" t="str"/>
      <c r="CO169" s="68" t="inlineStr">
        <is>
          <t>Pass 21 herb-level safety and dose framing</t>
        </is>
      </c>
      <c r="CP169" t="inlineStr">
        <is>
          <t>Baseline</t>
        </is>
      </c>
      <c r="CQ169" t="inlineStr">
        <is>
          <t>No</t>
        </is>
      </c>
      <c r="CS169" t="inlineStr">
        <is>
          <t>Pass 22 refined safety rule severity and reduced broad keyword over-flagging</t>
        </is>
      </c>
      <c r="CT169" t="inlineStr">
        <is>
          <t>General</t>
        </is>
      </c>
      <c r="CU169" t="inlineStr">
        <is>
          <t>demulcent; digestive support; throat support</t>
        </is>
      </c>
      <c r="CV169" t="inlineStr">
        <is>
          <t>Preclinical</t>
        </is>
      </c>
      <c r="CW169" t="inlineStr">
        <is>
          <t>Pass 26 normalization: categories, mechanisms, evidence tiers</t>
        </is>
      </c>
      <c r="CX169" t="inlineStr">
        <is>
          <t>Preclinical</t>
        </is>
      </c>
      <c r="CY169" t="inlineStr">
        <is>
          <t>General use caution; separate from medications when timing matters</t>
        </is>
      </c>
      <c r="CZ169" t="inlineStr">
        <is>
          <t>May slow absorption of co-administered agents when taken together</t>
        </is>
      </c>
      <c r="DA169" t="inlineStr">
        <is>
          <t>Use caution where reduced absorption timing could matter</t>
        </is>
      </c>
      <c r="DB169" t="inlineStr">
        <is>
          <t>Pass 28 normalized evidence and safety-related free text</t>
        </is>
      </c>
      <c r="DD169" t="inlineStr">
        <is>
          <t>No standardized dose established; use conservative, product-dependent ranges.</t>
        </is>
      </c>
      <c r="DE169" t="inlineStr">
        <is>
          <t>Common forms include extracts, powders, or teas depending on herb part.</t>
        </is>
      </c>
      <c r="DF169" t="inlineStr">
        <is>
          <t>Quality varies by extraction method, standardization, and contamination risk.</t>
        </is>
      </c>
      <c r="DG169" t="inlineStr">
        <is>
          <t>Low to moderate</t>
        </is>
      </c>
      <c r="DH169" t="inlineStr">
        <is>
          <t>Pass 29 completeness repair</t>
        </is>
      </c>
      <c r="DI169" t="n">
        <v>0</v>
      </c>
      <c r="DJ169" t="inlineStr">
        <is>
          <t>General</t>
        </is>
      </c>
      <c r="DL169" t="inlineStr">
        <is>
          <t>Acerola; Agarikon; Ajwain; Aloe Vera; American Ginseng</t>
        </is>
      </c>
      <c r="DM169" t="inlineStr">
        <is>
          <t>Pass 31 relationship intelligence: density, cluster, anchor class, nearest herbs</t>
        </is>
      </c>
      <c r="DP169" t="inlineStr">
        <is>
          <t>Generalist</t>
        </is>
      </c>
      <c r="DQ169" t="inlineStr">
        <is>
          <t>Pass 32 substitute engine + cluster cleanup</t>
        </is>
      </c>
      <c r="DT169" t="inlineStr">
        <is>
          <t>no strong safe fallback found</t>
        </is>
      </c>
      <c r="DU169" t="inlineStr">
        <is>
          <t>Not needed</t>
        </is>
      </c>
      <c r="DV169" t="inlineStr">
        <is>
          <t>Pass 33 fallback replacement engine</t>
        </is>
      </c>
      <c r="DY169" t="inlineStr">
        <is>
          <t>Pass 35 expanded fallback pool with second-pass candidate exploration</t>
        </is>
      </c>
      <c r="EA169" t="inlineStr">
        <is>
          <t>General</t>
        </is>
      </c>
      <c r="EC169" t="inlineStr">
        <is>
          <t>low-medium</t>
        </is>
      </c>
      <c r="ED169" t="inlineStr">
        <is>
          <t>Pass 40 reinforced weak-category herb data</t>
        </is>
      </c>
      <c r="EG169" t="n">
        <v>0</v>
      </c>
      <c r="EH169" t="n">
        <v>0</v>
      </c>
      <c r="EI169" t="n">
        <v>0</v>
      </c>
      <c r="EJ169" t="n">
        <v>0</v>
      </c>
      <c r="EK169" t="n">
        <v>0</v>
      </c>
      <c r="EL169" t="n">
        <v>0</v>
      </c>
      <c r="EN169" t="inlineStr">
        <is>
          <t>Pass 48 rolled compound scores into herb-level scoring</t>
        </is>
      </c>
    </row>
    <row r="170">
      <c r="A170" s="68" t="inlineStr">
        <is>
          <t>Licorice</t>
        </is>
      </c>
      <c r="B170" s="68" t="inlineStr">
        <is>
          <t>glycyrrhiza-glabra</t>
        </is>
      </c>
      <c r="C170" s="68" t="inlineStr">
        <is>
          <t>Glycyrrhiza glabra</t>
        </is>
      </c>
      <c r="D170" s="68" t="inlineStr">
        <is>
          <t>herb</t>
        </is>
      </c>
      <c r="E170" s="68" t="inlineStr">
        <is>
          <t>botanical</t>
        </is>
      </c>
      <c r="F170" s="68" t="inlineStr">
        <is>
          <t>varies</t>
        </is>
      </c>
      <c r="G170" s="68" t="inlineStr">
        <is>
          <t>licorice</t>
        </is>
      </c>
      <c r="H170" s="68" t="n"/>
      <c r="I170" s="68" t="inlineStr">
        <is>
          <t>Licorice is an intake-stage monograph candidate linked to 1 internal compound records in the current workbook.</t>
        </is>
      </c>
      <c r="J170" s="68" t="inlineStr">
        <is>
          <t>Internal cross-linking supports Licorice through compounds such as glycyrrhizin.</t>
        </is>
      </c>
      <c r="K170" s="68" t="inlineStr">
        <is>
          <t>glycyrrhizin</t>
        </is>
      </c>
      <c r="L170" s="68" t="inlineStr">
        <is>
          <t>glycyrrhizin</t>
        </is>
      </c>
      <c r="M170" s="68" t="inlineStr">
        <is>
          <t>Current internal mapping is compound-linked, with pathway resolution still limited.</t>
        </is>
      </c>
      <c r="N170" s="68" t="inlineStr">
        <is>
          <t>general or unknown targets</t>
        </is>
      </c>
      <c r="O170" s="68" t="inlineStr">
        <is>
          <t>dataset-linked</t>
        </is>
      </c>
      <c r="P170" s="68" t="inlineStr">
        <is>
          <t>Safety review required before publication.</t>
        </is>
      </c>
      <c r="Q170" s="68" t="inlineStr">
        <is>
          <t>Interaction review required before publication.</t>
        </is>
      </c>
      <c r="R170" s="68" t="n"/>
      <c r="S170" s="68" t="n"/>
      <c r="T170" s="68" t="n"/>
      <c r="U170" s="68" t="n"/>
      <c r="V170" s="68" t="n"/>
      <c r="W170" s="68" t="inlineStr">
        <is>
          <t>Low</t>
        </is>
      </c>
      <c r="X170" s="68" t="inlineStr">
        <is>
          <t>partial</t>
        </is>
      </c>
      <c r="Y170" s="68" t="n"/>
      <c r="Z170" s="68" t="inlineStr">
        <is>
          <t>dataset-linked</t>
        </is>
      </c>
      <c r="AA170" s="68" t="inlineStr">
        <is>
          <t>Internal workbook cross-link</t>
        </is>
      </c>
      <c r="AB170" s="68" t="n"/>
      <c r="AC170" s="68" t="n"/>
      <c r="AD170" s="68" t="n"/>
      <c r="AE170" s="68" t="n"/>
      <c r="AF170" s="68" t="n"/>
      <c r="AG170" s="68" t="n">
        <v>1</v>
      </c>
      <c r="AH170" s="68" t="n">
        <v>1</v>
      </c>
      <c r="AI170" s="68" t="n">
        <v>2</v>
      </c>
      <c r="AJ170" s="68" t="n">
        <v>4</v>
      </c>
      <c r="AK170" s="68" t="inlineStr">
        <is>
          <t>High</t>
        </is>
      </c>
      <c r="AL170" s="68" t="inlineStr">
        <is>
          <t>Needs source review</t>
        </is>
      </c>
      <c r="AM170" s="68" t="inlineStr">
        <is>
          <t>Internal linked</t>
        </is>
      </c>
      <c r="AN170" s="68" t="n">
        <v>0.95</v>
      </c>
      <c r="AO170" s="68" t="inlineStr">
        <is>
          <t>Needs work</t>
        </is>
      </c>
      <c r="AP170" s="68" t="n"/>
      <c r="AQ170" s="68" t="n"/>
      <c r="AR170" s="68" t="inlineStr">
        <is>
          <t>Source review</t>
        </is>
      </c>
      <c r="AS170" s="68" t="inlineStr">
        <is>
          <t>Not started</t>
        </is>
      </c>
      <c r="AT170" s="68" t="inlineStr">
        <is>
          <t>No</t>
        </is>
      </c>
      <c r="AU170" s="68" t="inlineStr">
        <is>
          <t>No</t>
        </is>
      </c>
      <c r="AV170" s="68" t="inlineStr">
        <is>
          <t>No</t>
        </is>
      </c>
      <c r="AW170" s="68" t="inlineStr">
        <is>
          <t>Needs editorial sourcing</t>
        </is>
      </c>
      <c r="AX170" s="68" t="n">
        <v>0</v>
      </c>
      <c r="AY170" s="68" t="n"/>
      <c r="AZ170" s="68" t="n"/>
      <c r="BA170" s="68" t="inlineStr">
        <is>
          <t>Intake</t>
        </is>
      </c>
      <c r="BB170" s="68" t="inlineStr">
        <is>
          <t>Pending</t>
        </is>
      </c>
      <c r="BC170" s="68" t="inlineStr">
        <is>
          <t>Generated from pathway/cross-link support only.</t>
        </is>
      </c>
      <c r="BD170" s="68" t="n"/>
      <c r="BE170" s="68" t="inlineStr">
        <is>
          <t>2026-04-10</t>
        </is>
      </c>
      <c r="BF170" s="68" t="inlineStr">
        <is>
          <t>Added from internal pathway-linked herb gap audit</t>
        </is>
      </c>
      <c r="BG170" s="68" t="inlineStr">
        <is>
          <t>glycyrrhiza-glabra|2026-04-10</t>
        </is>
      </c>
      <c r="BH170" s="68" t="inlineStr">
        <is>
          <t>2026-04-10:added as intake_stub from pathway cross-links</t>
        </is>
      </c>
      <c r="BI170" t="inlineStr">
        <is>
          <t>glycyrrhiza-glabra</t>
        </is>
      </c>
      <c r="BJ170" t="inlineStr">
        <is>
          <t>Licorice</t>
        </is>
      </c>
      <c r="BK170" t="n">
        <v>0</v>
      </c>
      <c r="BL170" t="n">
        <v>0</v>
      </c>
      <c r="BM170" t="n">
        <v>1</v>
      </c>
      <c r="BN170" t="n">
        <v>0</v>
      </c>
      <c r="BO170" t="n">
        <v>100</v>
      </c>
      <c r="BP170" t="n">
        <v>0</v>
      </c>
      <c r="BQ170" t="n">
        <v>0</v>
      </c>
      <c r="BR170" t="n">
        <v>0</v>
      </c>
      <c r="BS170" t="inlineStr">
        <is>
          <t>Tier 4</t>
        </is>
      </c>
      <c r="BT170" t="n">
        <v>0</v>
      </c>
      <c r="BU170" t="inlineStr">
        <is>
          <t>FALSE</t>
        </is>
      </c>
      <c r="BV170" t="inlineStr">
        <is>
          <t>glycyrrhiza-glabra</t>
        </is>
      </c>
      <c r="BW170" t="inlineStr">
        <is>
          <t>FALSE</t>
        </is>
      </c>
      <c r="BX170" t="inlineStr">
        <is>
          <t>Pass 10 refreshed scoring from 0 mapped compounds | Pass 13 rescored from 0 mapped compounds</t>
        </is>
      </c>
      <c r="CA170" t="n">
        <v>0</v>
      </c>
      <c r="CB170" t="n">
        <v>0</v>
      </c>
      <c r="CC170" t="n">
        <v>0</v>
      </c>
      <c r="CE170" t="inlineStr">
        <is>
          <t>Pass 13 rescored after herb-name normalization and real top-herb compound sweep</t>
        </is>
      </c>
      <c r="CF170" t="inlineStr">
        <is>
          <t>General</t>
        </is>
      </c>
      <c r="CH170" s="68" t="inlineStr">
        <is>
          <t>Start with low single-herb exposure and increase only if tolerated</t>
        </is>
      </c>
      <c r="CI170" s="68" t="inlineStr">
        <is>
          <t>Product-ideation framing only; not clinical dosing advice.</t>
        </is>
      </c>
      <c r="CJ170" s="68" t="str"/>
      <c r="CK170" s="68" t="str"/>
      <c r="CL170" s="68" t="inlineStr">
        <is>
          <t>Baseline</t>
        </is>
      </c>
      <c r="CM170" s="68" t="inlineStr">
        <is>
          <t>No</t>
        </is>
      </c>
      <c r="CN170" s="68" t="str"/>
      <c r="CO170" s="68" t="inlineStr">
        <is>
          <t>Pass 21 herb-level safety and dose framing</t>
        </is>
      </c>
      <c r="CP170" t="inlineStr">
        <is>
          <t>Baseline</t>
        </is>
      </c>
      <c r="CQ170" t="inlineStr">
        <is>
          <t>No</t>
        </is>
      </c>
      <c r="CS170" t="inlineStr">
        <is>
          <t>Pass 22 refined safety rule severity and reduced broad keyword over-flagging</t>
        </is>
      </c>
      <c r="CT170" t="inlineStr">
        <is>
          <t>General</t>
        </is>
      </c>
      <c r="CU170" t="inlineStr">
        <is>
          <t>general or unknown targets</t>
        </is>
      </c>
      <c r="CV170" t="inlineStr">
        <is>
          <t>Unknown</t>
        </is>
      </c>
      <c r="CW170" t="inlineStr">
        <is>
          <t>Pass 26 normalization: categories, mechanisms, evidence tiers</t>
        </is>
      </c>
      <c r="CX170" t="inlineStr">
        <is>
          <t>Dataset-linked</t>
        </is>
      </c>
      <c r="CY170" t="inlineStr">
        <is>
          <t>Safety review required before publication.</t>
        </is>
      </c>
      <c r="CZ170" t="inlineStr">
        <is>
          <t>Interaction review required before publication</t>
        </is>
      </c>
      <c r="DB170" t="inlineStr">
        <is>
          <t>Pass 28 normalized evidence and safety-related free text</t>
        </is>
      </c>
      <c r="DD170" t="inlineStr">
        <is>
          <t>No standardized dose established; use conservative, product-dependent ranges.</t>
        </is>
      </c>
      <c r="DE170" t="inlineStr">
        <is>
          <t>Common forms include extracts, powders, or teas depending on herb part.</t>
        </is>
      </c>
      <c r="DF170" t="inlineStr">
        <is>
          <t>Quality varies by extraction method, standardization, and contamination risk.</t>
        </is>
      </c>
      <c r="DG170" t="inlineStr">
        <is>
          <t>Low</t>
        </is>
      </c>
      <c r="DH170" t="inlineStr">
        <is>
          <t>Pass 29 completeness repair</t>
        </is>
      </c>
      <c r="DI170" t="n">
        <v>0</v>
      </c>
      <c r="DJ170" t="inlineStr">
        <is>
          <t>General</t>
        </is>
      </c>
      <c r="DL170" t="inlineStr">
        <is>
          <t>Acerola; Agarikon; Ajwain; Aloe Vera; American Ginseng</t>
        </is>
      </c>
      <c r="DM170" t="inlineStr">
        <is>
          <t>Pass 31 relationship intelligence: density, cluster, anchor class, nearest herbs</t>
        </is>
      </c>
      <c r="DP170" t="inlineStr">
        <is>
          <t>Generalist</t>
        </is>
      </c>
      <c r="DQ170" t="inlineStr">
        <is>
          <t>Pass 32 substitute engine + cluster cleanup</t>
        </is>
      </c>
      <c r="DT170" t="inlineStr">
        <is>
          <t>no strong safe fallback found</t>
        </is>
      </c>
      <c r="DU170" t="inlineStr">
        <is>
          <t>Not needed</t>
        </is>
      </c>
      <c r="DV170" t="inlineStr">
        <is>
          <t>Pass 33 fallback replacement engine</t>
        </is>
      </c>
      <c r="DY170" t="inlineStr">
        <is>
          <t>Pass 35 expanded fallback pool with second-pass candidate exploration</t>
        </is>
      </c>
      <c r="EA170" t="inlineStr">
        <is>
          <t>General</t>
        </is>
      </c>
      <c r="EC170" t="inlineStr">
        <is>
          <t>Low</t>
        </is>
      </c>
      <c r="ED170" t="inlineStr">
        <is>
          <t>Pass 40 reinforced weak-category herb data</t>
        </is>
      </c>
      <c r="EG170" t="n">
        <v>0</v>
      </c>
      <c r="EH170" t="n">
        <v>0</v>
      </c>
      <c r="EI170" t="n">
        <v>0</v>
      </c>
      <c r="EJ170" t="n">
        <v>0</v>
      </c>
      <c r="EK170" t="n">
        <v>0</v>
      </c>
      <c r="EL170" t="n">
        <v>0</v>
      </c>
      <c r="EN170" t="inlineStr">
        <is>
          <t>Pass 48 rolled compound scores into herb-level scoring</t>
        </is>
      </c>
    </row>
    <row r="171">
      <c r="A171" s="68" t="inlineStr">
        <is>
          <t>Elderberry</t>
        </is>
      </c>
      <c r="B171" s="68" t="inlineStr">
        <is>
          <t>sambucus-nigra</t>
        </is>
      </c>
      <c r="C171" s="68" t="inlineStr">
        <is>
          <t>Sambucus nigra</t>
        </is>
      </c>
      <c r="D171" s="68" t="inlineStr">
        <is>
          <t>herb</t>
        </is>
      </c>
      <c r="E171" s="68" t="inlineStr">
        <is>
          <t>botanical</t>
        </is>
      </c>
      <c r="F171" s="68" t="inlineStr">
        <is>
          <t>varies</t>
        </is>
      </c>
      <c r="G171" s="68" t="inlineStr">
        <is>
          <t>elderberry</t>
        </is>
      </c>
      <c r="H171" s="68" t="n"/>
      <c r="I171" s="68" t="inlineStr">
        <is>
          <t>Elderberry is an intake-stage monograph candidate linked to 1 internal compound records in the current workbook.</t>
        </is>
      </c>
      <c r="J171" s="68" t="inlineStr">
        <is>
          <t>Internal cross-linking supports Elderberry through compounds such as sambunigrin.</t>
        </is>
      </c>
      <c r="K171" s="68" t="inlineStr">
        <is>
          <t>cyanidin; rutin; quercetin</t>
        </is>
      </c>
      <c r="L171" s="68" t="inlineStr">
        <is>
          <t>cyanidin; rutin</t>
        </is>
      </c>
      <c r="M171" s="68" t="inlineStr">
        <is>
          <t>Current internal mapping is compound-linked, with pathway resolution still limited.</t>
        </is>
      </c>
      <c r="N171" s="68" t="inlineStr">
        <is>
          <t>immune support; respiratory support; antioxidant</t>
        </is>
      </c>
      <c r="O171" s="68" t="inlineStr">
        <is>
          <t>mixed human-preclinical</t>
        </is>
      </c>
      <c r="P171" s="68" t="inlineStr">
        <is>
          <t>General use caution; use properly prepared material only</t>
        </is>
      </c>
      <c r="Q171" s="68" t="inlineStr">
        <is>
          <t>May interact with strongly immunomodulatory stacks</t>
        </is>
      </c>
      <c r="R171" s="68" t="inlineStr">
        <is>
          <t>Avoid raw or improperly prepared plant material</t>
        </is>
      </c>
      <c r="S171" s="68" t="n"/>
      <c r="T171" s="68" t="n"/>
      <c r="U171" s="68" t="n"/>
      <c r="V171" s="68" t="n"/>
      <c r="W171" s="68" t="inlineStr">
        <is>
          <t>medium</t>
        </is>
      </c>
      <c r="X171" s="68" t="inlineStr">
        <is>
          <t>validated</t>
        </is>
      </c>
      <c r="Y171" s="68" t="n"/>
      <c r="Z171" s="68" t="inlineStr">
        <is>
          <t>dataset-linked</t>
        </is>
      </c>
      <c r="AA171" s="68" t="inlineStr">
        <is>
          <t>Internal workbook cross-link</t>
        </is>
      </c>
      <c r="AB171" s="68" t="n"/>
      <c r="AC171" s="68" t="n"/>
      <c r="AD171" s="68" t="n"/>
      <c r="AE171" s="68" t="n"/>
      <c r="AF171" s="68" t="n"/>
      <c r="AG171" s="68" t="n">
        <v>1</v>
      </c>
      <c r="AH171" s="68" t="n">
        <v>1</v>
      </c>
      <c r="AI171" s="68" t="n">
        <v>2</v>
      </c>
      <c r="AJ171" s="68" t="n">
        <v>4</v>
      </c>
      <c r="AK171" s="68" t="inlineStr">
        <is>
          <t>High</t>
        </is>
      </c>
      <c r="AL171" s="68" t="inlineStr">
        <is>
          <t>Needs source review</t>
        </is>
      </c>
      <c r="AM171" s="68" t="inlineStr">
        <is>
          <t>Internal linked</t>
        </is>
      </c>
      <c r="AN171" s="68" t="n">
        <v>0.95</v>
      </c>
      <c r="AO171" s="68" t="inlineStr">
        <is>
          <t>Needs work</t>
        </is>
      </c>
      <c r="AP171" s="68" t="n"/>
      <c r="AQ171" s="68" t="n"/>
      <c r="AR171" s="68" t="inlineStr">
        <is>
          <t>Source review</t>
        </is>
      </c>
      <c r="AS171" s="68" t="inlineStr">
        <is>
          <t>Not started</t>
        </is>
      </c>
      <c r="AT171" s="68" t="inlineStr">
        <is>
          <t>No</t>
        </is>
      </c>
      <c r="AU171" s="68" t="inlineStr">
        <is>
          <t>No</t>
        </is>
      </c>
      <c r="AV171" s="68" t="inlineStr">
        <is>
          <t>No</t>
        </is>
      </c>
      <c r="AW171" s="68" t="inlineStr">
        <is>
          <t>Needs editorial sourcing</t>
        </is>
      </c>
      <c r="AX171" s="68" t="n">
        <v>0</v>
      </c>
      <c r="AY171" s="68" t="n"/>
      <c r="AZ171" s="68" t="n"/>
      <c r="BA171" s="68" t="inlineStr">
        <is>
          <t>Intake</t>
        </is>
      </c>
      <c r="BB171" s="68" t="inlineStr">
        <is>
          <t>Pending</t>
        </is>
      </c>
      <c r="BC171" s="68" t="inlineStr">
        <is>
          <t>Generated from pathway/cross-link support only.</t>
        </is>
      </c>
      <c r="BD171" s="68" t="n"/>
      <c r="BE171" s="68" t="inlineStr">
        <is>
          <t>2026-04-10</t>
        </is>
      </c>
      <c r="BF171" s="68" t="inlineStr">
        <is>
          <t>Added from internal pathway-linked herb gap audit</t>
        </is>
      </c>
      <c r="BG171" s="68" t="inlineStr">
        <is>
          <t>sambucus-nigra|2026-04-10</t>
        </is>
      </c>
      <c r="BH171" s="68" t="inlineStr">
        <is>
          <t>2026-04-10:added as intake_stub from pathway cross-links</t>
        </is>
      </c>
      <c r="BI171" t="inlineStr">
        <is>
          <t>sambucus-nigra</t>
        </is>
      </c>
      <c r="BJ171" t="inlineStr">
        <is>
          <t>Elderberry</t>
        </is>
      </c>
      <c r="BK171" t="n">
        <v>0</v>
      </c>
      <c r="BL171" t="n">
        <v>0</v>
      </c>
      <c r="BM171" t="n">
        <v>3</v>
      </c>
      <c r="BN171" t="n">
        <v>0</v>
      </c>
      <c r="BO171" t="n">
        <v>100</v>
      </c>
      <c r="BP171" t="n">
        <v>0</v>
      </c>
      <c r="BQ171" t="n">
        <v>0</v>
      </c>
      <c r="BR171" t="n">
        <v>0</v>
      </c>
      <c r="BS171" t="inlineStr">
        <is>
          <t>Tier 4</t>
        </is>
      </c>
      <c r="BT171" t="n">
        <v>0</v>
      </c>
      <c r="BU171" t="inlineStr">
        <is>
          <t>FALSE</t>
        </is>
      </c>
      <c r="BV171" t="inlineStr">
        <is>
          <t>sambucus-nigra</t>
        </is>
      </c>
      <c r="BW171" t="inlineStr">
        <is>
          <t>FALSE</t>
        </is>
      </c>
      <c r="BX171" t="inlineStr">
        <is>
          <t>Pass 10 refreshed scoring from 0 mapped compounds | Pass 13 rescored from 0 mapped compounds</t>
        </is>
      </c>
      <c r="CA171" t="n">
        <v>0</v>
      </c>
      <c r="CB171" t="n">
        <v>0</v>
      </c>
      <c r="CC171" t="n">
        <v>0</v>
      </c>
      <c r="CE171" t="inlineStr">
        <is>
          <t>Pass 13 rescored after herb-name normalization and real top-herb compound sweep</t>
        </is>
      </c>
      <c r="CF171" t="inlineStr">
        <is>
          <t>General</t>
        </is>
      </c>
      <c r="CH171" s="68" t="inlineStr">
        <is>
          <t>Start with low single-herb exposure and increase only if tolerated</t>
        </is>
      </c>
      <c r="CI171" s="68" t="inlineStr">
        <is>
          <t>Product-ideation framing only; not clinical dosing advice.</t>
        </is>
      </c>
      <c r="CJ171" s="68" t="inlineStr">
        <is>
          <t>immune-caution</t>
        </is>
      </c>
      <c r="CK171" s="68" t="str"/>
      <c r="CL171" s="68" t="inlineStr">
        <is>
          <t>Baseline</t>
        </is>
      </c>
      <c r="CM171" s="68" t="inlineStr">
        <is>
          <t>No</t>
        </is>
      </c>
      <c r="CN171" s="68" t="str"/>
      <c r="CO171" s="68" t="inlineStr">
        <is>
          <t>Pass 21 herb-level safety and dose framing</t>
        </is>
      </c>
      <c r="CP171" t="inlineStr">
        <is>
          <t>Baseline</t>
        </is>
      </c>
      <c r="CQ171" t="inlineStr">
        <is>
          <t>No</t>
        </is>
      </c>
      <c r="CS171" t="inlineStr">
        <is>
          <t>Pass 22 refined safety rule severity and reduced broad keyword over-flagging</t>
        </is>
      </c>
      <c r="CT171" t="inlineStr">
        <is>
          <t>General</t>
        </is>
      </c>
      <c r="CU171" t="inlineStr">
        <is>
          <t>antioxidant; immune support; respiratory support</t>
        </is>
      </c>
      <c r="CV171" t="inlineStr">
        <is>
          <t>Human</t>
        </is>
      </c>
      <c r="CW171" t="inlineStr">
        <is>
          <t>Pass 26 normalization: categories, mechanisms, evidence tiers</t>
        </is>
      </c>
      <c r="CX171" t="inlineStr">
        <is>
          <t>Human + preclinical</t>
        </is>
      </c>
      <c r="CY171" t="inlineStr">
        <is>
          <t>General use caution; use properly prepared material only</t>
        </is>
      </c>
      <c r="CZ171" t="inlineStr">
        <is>
          <t>May interact with strongly immunomodulatory stacks</t>
        </is>
      </c>
      <c r="DA171" t="inlineStr">
        <is>
          <t>Avoid raw or improperly prepared plant material</t>
        </is>
      </c>
      <c r="DB171" t="inlineStr">
        <is>
          <t>Pass 28 normalized evidence and safety-related free text</t>
        </is>
      </c>
      <c r="DD171" t="inlineStr">
        <is>
          <t>No standardized dose established; use conservative, product-dependent ranges.</t>
        </is>
      </c>
      <c r="DE171" t="inlineStr">
        <is>
          <t>Common forms include extracts, powders, or teas depending on herb part.</t>
        </is>
      </c>
      <c r="DF171" t="inlineStr">
        <is>
          <t>Quality varies by extraction method, standardization, and contamination risk.</t>
        </is>
      </c>
      <c r="DG171" t="inlineStr">
        <is>
          <t>Moderate to high</t>
        </is>
      </c>
      <c r="DH171" t="inlineStr">
        <is>
          <t>Pass 29 completeness repair</t>
        </is>
      </c>
      <c r="DI171" t="n">
        <v>0</v>
      </c>
      <c r="DJ171" t="inlineStr">
        <is>
          <t>General</t>
        </is>
      </c>
      <c r="DL171" t="inlineStr">
        <is>
          <t>Acerola; Agarikon; Ajwain; Aloe Vera; American Ginseng</t>
        </is>
      </c>
      <c r="DM171" t="inlineStr">
        <is>
          <t>Pass 31 relationship intelligence: density, cluster, anchor class, nearest herbs</t>
        </is>
      </c>
      <c r="DP171" t="inlineStr">
        <is>
          <t>Generalist</t>
        </is>
      </c>
      <c r="DQ171" t="inlineStr">
        <is>
          <t>Pass 32 substitute engine + cluster cleanup</t>
        </is>
      </c>
      <c r="DT171" t="inlineStr">
        <is>
          <t>no strong safe fallback found</t>
        </is>
      </c>
      <c r="DU171" t="inlineStr">
        <is>
          <t>Not needed</t>
        </is>
      </c>
      <c r="DV171" t="inlineStr">
        <is>
          <t>Pass 33 fallback replacement engine</t>
        </is>
      </c>
      <c r="DY171" t="inlineStr">
        <is>
          <t>Pass 35 expanded fallback pool with second-pass candidate exploration</t>
        </is>
      </c>
      <c r="EA171" t="inlineStr">
        <is>
          <t>General</t>
        </is>
      </c>
      <c r="EC171" t="inlineStr">
        <is>
          <t>medium</t>
        </is>
      </c>
      <c r="ED171" t="inlineStr">
        <is>
          <t>Pass 40 reinforced weak-category herb data</t>
        </is>
      </c>
      <c r="EG171" t="n">
        <v>0</v>
      </c>
      <c r="EH171" t="n">
        <v>0</v>
      </c>
      <c r="EI171" t="n">
        <v>0</v>
      </c>
      <c r="EJ171" t="n">
        <v>0</v>
      </c>
      <c r="EK171" t="n">
        <v>0</v>
      </c>
      <c r="EL171" t="n">
        <v>0</v>
      </c>
      <c r="EN171" t="inlineStr">
        <is>
          <t>Pass 48 rolled compound scores into herb-level scoring</t>
        </is>
      </c>
    </row>
    <row r="172">
      <c r="A172" s="68" t="inlineStr">
        <is>
          <t>Punarnava</t>
        </is>
      </c>
      <c r="B172" s="68" t="inlineStr">
        <is>
          <t>boerhavia-diffusa</t>
        </is>
      </c>
      <c r="C172" s="68" t="inlineStr">
        <is>
          <t>Boerhavia diffusa</t>
        </is>
      </c>
      <c r="D172" s="68" t="inlineStr">
        <is>
          <t>herb</t>
        </is>
      </c>
      <c r="E172" s="68" t="inlineStr">
        <is>
          <t>botanical</t>
        </is>
      </c>
      <c r="F172" s="68" t="inlineStr">
        <is>
          <t>varies</t>
        </is>
      </c>
      <c r="G172" s="68" t="inlineStr">
        <is>
          <t>punarnava</t>
        </is>
      </c>
      <c r="H172" s="68" t="n"/>
      <c r="I172" s="68" t="inlineStr">
        <is>
          <t>Punarnava is an intake-stage monograph candidate linked to 1 internal compound records in the current workbook.</t>
        </is>
      </c>
      <c r="J172" s="68" t="inlineStr">
        <is>
          <t>Internal cross-linking supports Punarnava through compounds such as punarnavine.</t>
        </is>
      </c>
      <c r="K172" s="68" t="inlineStr">
        <is>
          <t>boeravinones; punarnavine; quercetin</t>
        </is>
      </c>
      <c r="L172" s="68" t="inlineStr">
        <is>
          <t>boeravinones; punarnavine</t>
        </is>
      </c>
      <c r="M172" s="68" t="inlineStr">
        <is>
          <t>Current internal mapping is compound-linked, with pathway resolution still limited.</t>
        </is>
      </c>
      <c r="N172" s="68" t="inlineStr">
        <is>
          <t>kidney support; diuretic support; anti-inflammatory</t>
        </is>
      </c>
      <c r="O172" s="68" t="inlineStr">
        <is>
          <t>traditional-preclinical</t>
        </is>
      </c>
      <c r="P172" s="68" t="inlineStr">
        <is>
          <t>General use caution</t>
        </is>
      </c>
      <c r="Q172" s="68" t="inlineStr">
        <is>
          <t>May interact with diuretic-heavy or pressure-lowering stacks</t>
        </is>
      </c>
      <c r="R172" s="68" t="inlineStr">
        <is>
          <t>Use caution with dehydration-prone or blood pressure-sensitive contexts</t>
        </is>
      </c>
      <c r="S172" s="68" t="n"/>
      <c r="T172" s="68" t="n"/>
      <c r="U172" s="68" t="n"/>
      <c r="V172" s="68" t="n"/>
      <c r="W172" s="68" t="inlineStr">
        <is>
          <t>low-medium</t>
        </is>
      </c>
      <c r="X172" s="68" t="inlineStr">
        <is>
          <t>partial</t>
        </is>
      </c>
      <c r="Y172" s="68" t="n"/>
      <c r="Z172" s="68" t="inlineStr">
        <is>
          <t>dataset-linked</t>
        </is>
      </c>
      <c r="AA172" s="68" t="inlineStr">
        <is>
          <t>Internal workbook cross-link</t>
        </is>
      </c>
      <c r="AB172" s="68" t="n"/>
      <c r="AC172" s="68" t="n"/>
      <c r="AD172" s="68" t="n"/>
      <c r="AE172" s="68" t="n"/>
      <c r="AF172" s="68" t="n"/>
      <c r="AG172" s="68" t="n">
        <v>1</v>
      </c>
      <c r="AH172" s="68" t="n">
        <v>1</v>
      </c>
      <c r="AI172" s="68" t="n">
        <v>2</v>
      </c>
      <c r="AJ172" s="68" t="n">
        <v>4</v>
      </c>
      <c r="AK172" s="68" t="inlineStr">
        <is>
          <t>High</t>
        </is>
      </c>
      <c r="AL172" s="68" t="inlineStr">
        <is>
          <t>Needs source review</t>
        </is>
      </c>
      <c r="AM172" s="68" t="inlineStr">
        <is>
          <t>Internal linked</t>
        </is>
      </c>
      <c r="AN172" s="68" t="n">
        <v>0.95</v>
      </c>
      <c r="AO172" s="68" t="inlineStr">
        <is>
          <t>Needs work</t>
        </is>
      </c>
      <c r="AP172" s="68" t="n"/>
      <c r="AQ172" s="68" t="n"/>
      <c r="AR172" s="68" t="inlineStr">
        <is>
          <t>Source review</t>
        </is>
      </c>
      <c r="AS172" s="68" t="inlineStr">
        <is>
          <t>Not started</t>
        </is>
      </c>
      <c r="AT172" s="68" t="inlineStr">
        <is>
          <t>No</t>
        </is>
      </c>
      <c r="AU172" s="68" t="inlineStr">
        <is>
          <t>No</t>
        </is>
      </c>
      <c r="AV172" s="68" t="inlineStr">
        <is>
          <t>No</t>
        </is>
      </c>
      <c r="AW172" s="68" t="inlineStr">
        <is>
          <t>Needs editorial sourcing</t>
        </is>
      </c>
      <c r="AX172" s="68" t="n">
        <v>0</v>
      </c>
      <c r="AY172" s="68" t="n"/>
      <c r="AZ172" s="68" t="n"/>
      <c r="BA172" s="68" t="inlineStr">
        <is>
          <t>Intake</t>
        </is>
      </c>
      <c r="BB172" s="68" t="inlineStr">
        <is>
          <t>Pending</t>
        </is>
      </c>
      <c r="BC172" s="68" t="inlineStr">
        <is>
          <t>Generated from pathway/cross-link support only.</t>
        </is>
      </c>
      <c r="BD172" s="68" t="n"/>
      <c r="BE172" s="68" t="inlineStr">
        <is>
          <t>2026-04-10</t>
        </is>
      </c>
      <c r="BF172" s="68" t="inlineStr">
        <is>
          <t>Added from internal pathway-linked herb gap audit</t>
        </is>
      </c>
      <c r="BG172" s="68" t="inlineStr">
        <is>
          <t>boerhavia-diffusa|2026-04-10</t>
        </is>
      </c>
      <c r="BH172" s="68" t="inlineStr">
        <is>
          <t>2026-04-10:added as intake_stub from pathway cross-links</t>
        </is>
      </c>
      <c r="BI172" t="inlineStr">
        <is>
          <t>boerhavia-diffusa</t>
        </is>
      </c>
      <c r="BJ172" t="inlineStr">
        <is>
          <t>Punarnava</t>
        </is>
      </c>
      <c r="BK172" t="n">
        <v>1</v>
      </c>
      <c r="BL172" t="n">
        <v>1</v>
      </c>
      <c r="BM172" t="n">
        <v>3</v>
      </c>
      <c r="BN172" t="n">
        <v>7</v>
      </c>
      <c r="BO172" t="n">
        <v>100</v>
      </c>
      <c r="BP172" t="n">
        <v>8</v>
      </c>
      <c r="BQ172" t="n">
        <v>10</v>
      </c>
      <c r="BR172" t="n">
        <v>5</v>
      </c>
      <c r="BS172" t="inlineStr">
        <is>
          <t>Tier 1</t>
        </is>
      </c>
      <c r="BT172" t="n">
        <v>5</v>
      </c>
      <c r="BU172" t="inlineStr">
        <is>
          <t>FALSE</t>
        </is>
      </c>
      <c r="BV172" t="inlineStr">
        <is>
          <t>boerhavia-diffusa</t>
        </is>
      </c>
      <c r="BW172" t="inlineStr">
        <is>
          <t>TRUE</t>
        </is>
      </c>
      <c r="BX172" t="inlineStr">
        <is>
          <t>Pass 10 refreshed scoring from 0 mapped compounds | Pass 13 rescored from 1 mapped compounds</t>
        </is>
      </c>
      <c r="BY172" t="inlineStr">
        <is>
          <t>unclassified</t>
        </is>
      </c>
      <c r="CA172" t="n">
        <v>2</v>
      </c>
      <c r="CB172" t="n">
        <v>0</v>
      </c>
      <c r="CC172" t="n">
        <v>0</v>
      </c>
      <c r="CD172" t="inlineStr">
        <is>
          <t>Alkaloid; unclassified</t>
        </is>
      </c>
      <c r="CE172" t="inlineStr">
        <is>
          <t>Pass 13 rescored after herb-name normalization and real top-herb compound sweep</t>
        </is>
      </c>
      <c r="CF172" t="inlineStr">
        <is>
          <t>General</t>
        </is>
      </c>
      <c r="CH172" s="68" t="inlineStr">
        <is>
          <t>Start low; usually daytime use</t>
        </is>
      </c>
      <c r="CI172" s="68" t="inlineStr">
        <is>
          <t>Product-ideation framing only; not clinical dosing advice.</t>
        </is>
      </c>
      <c r="CJ172" s="68" t="inlineStr">
        <is>
          <t>blood-pressure</t>
        </is>
      </c>
      <c r="CK172" s="68" t="str"/>
      <c r="CL172" s="68" t="inlineStr">
        <is>
          <t>Baseline</t>
        </is>
      </c>
      <c r="CM172" s="68" t="inlineStr">
        <is>
          <t>No</t>
        </is>
      </c>
      <c r="CN172" s="68" t="str"/>
      <c r="CO172" s="68" t="inlineStr">
        <is>
          <t>Pass 21 herb-level safety and dose framing</t>
        </is>
      </c>
      <c r="CP172" t="inlineStr">
        <is>
          <t>Baseline</t>
        </is>
      </c>
      <c r="CQ172" t="inlineStr">
        <is>
          <t>No</t>
        </is>
      </c>
      <c r="CS172" t="inlineStr">
        <is>
          <t>Pass 22 refined safety rule severity and reduced broad keyword over-flagging</t>
        </is>
      </c>
      <c r="CT172" t="inlineStr">
        <is>
          <t>General</t>
        </is>
      </c>
      <c r="CU172" t="inlineStr">
        <is>
          <t>anti-inflammatory; diuretic support; kidney support</t>
        </is>
      </c>
      <c r="CV172" t="inlineStr">
        <is>
          <t>Preclinical</t>
        </is>
      </c>
      <c r="CW172" t="inlineStr">
        <is>
          <t>Pass 26 normalization: categories, mechanisms, evidence tiers</t>
        </is>
      </c>
      <c r="CX172" t="inlineStr">
        <is>
          <t>Preclinical</t>
        </is>
      </c>
      <c r="CY172" t="inlineStr">
        <is>
          <t>General use caution</t>
        </is>
      </c>
      <c r="CZ172" t="inlineStr">
        <is>
          <t>May interact with diuretic-heavy or pressure-lowering stacks</t>
        </is>
      </c>
      <c r="DA172" t="inlineStr">
        <is>
          <t>Use caution with dehydration-prone or blood pressure-sensitive contexts</t>
        </is>
      </c>
      <c r="DB172" t="inlineStr">
        <is>
          <t>Pass 28 normalized evidence and safety-related free text</t>
        </is>
      </c>
      <c r="DD172" t="inlineStr">
        <is>
          <t>No standardized dose established; use conservative, product-dependent ranges.</t>
        </is>
      </c>
      <c r="DE172" t="inlineStr">
        <is>
          <t>Common forms include extracts, powders, or teas depending on herb part.</t>
        </is>
      </c>
      <c r="DF172" t="inlineStr">
        <is>
          <t>Quality varies by extraction method, standardization, and contamination risk.</t>
        </is>
      </c>
      <c r="DG172" t="inlineStr">
        <is>
          <t>Low to moderate</t>
        </is>
      </c>
      <c r="DH172" t="inlineStr">
        <is>
          <t>Pass 29 completeness repair</t>
        </is>
      </c>
      <c r="DI172" t="n">
        <v>3</v>
      </c>
      <c r="DJ172" t="inlineStr">
        <is>
          <t>General</t>
        </is>
      </c>
      <c r="DL172" t="inlineStr">
        <is>
          <t>Agarikon; Ajwain; Angelica Root; Artichoke; Ashoka</t>
        </is>
      </c>
      <c r="DM172" t="inlineStr">
        <is>
          <t>Pass 31 relationship intelligence: density, cluster, anchor class, nearest herbs</t>
        </is>
      </c>
      <c r="DN172" t="inlineStr">
        <is>
          <t>Agarikon; Ajwain; Angelica Root; Artichoke; Ashoka</t>
        </is>
      </c>
      <c r="DO172" t="inlineStr">
        <is>
          <t>Agarikon (1 shared pathways) | Ajwain (1 shared pathways) | Angelica Root (1 shared pathways)</t>
        </is>
      </c>
      <c r="DP172" t="inlineStr">
        <is>
          <t>Generalist</t>
        </is>
      </c>
      <c r="DQ172" t="inlineStr">
        <is>
          <t>Pass 32 substitute engine + cluster cleanup</t>
        </is>
      </c>
      <c r="DR172" t="inlineStr">
        <is>
          <t>Agarikon</t>
        </is>
      </c>
      <c r="DS172" t="inlineStr">
        <is>
          <t>Ajwain</t>
        </is>
      </c>
      <c r="DT172" t="inlineStr">
        <is>
          <t>same cluster; lower safety burden; similarity-backed</t>
        </is>
      </c>
      <c r="DU172" t="inlineStr">
        <is>
          <t>Not needed</t>
        </is>
      </c>
      <c r="DV172" t="inlineStr">
        <is>
          <t>Pass 33 fallback replacement engine</t>
        </is>
      </c>
      <c r="DW172" t="inlineStr">
        <is>
          <t>Angelica Root</t>
        </is>
      </c>
      <c r="DX172" t="inlineStr">
        <is>
          <t>Agarikon; Ajwain; Angelica Root; Ashoka; Blue Lotus; Artichoke; Rosemary; Sage</t>
        </is>
      </c>
      <c r="DY172" t="inlineStr">
        <is>
          <t>Pass 35 expanded fallback pool with second-pass candidate exploration</t>
        </is>
      </c>
      <c r="EA172" t="inlineStr">
        <is>
          <t>General</t>
        </is>
      </c>
      <c r="EB172" t="inlineStr">
        <is>
          <t>unclassified</t>
        </is>
      </c>
      <c r="EC172" t="inlineStr">
        <is>
          <t>low-medium</t>
        </is>
      </c>
      <c r="ED172" t="inlineStr">
        <is>
          <t>Pass 40 reinforced weak-category herb data</t>
        </is>
      </c>
      <c r="EG172" t="n">
        <v>0</v>
      </c>
      <c r="EH172" t="n">
        <v>0</v>
      </c>
      <c r="EI172" t="n">
        <v>0</v>
      </c>
      <c r="EJ172" t="n">
        <v>0</v>
      </c>
      <c r="EK172" t="n">
        <v>0</v>
      </c>
      <c r="EL172" t="n">
        <v>0</v>
      </c>
      <c r="EN172" t="inlineStr">
        <is>
          <t>Pass 48 rolled compound scores into herb-level scoring</t>
        </is>
      </c>
    </row>
    <row r="173">
      <c r="A173" s="68" t="inlineStr">
        <is>
          <t>Coffee Cherry</t>
        </is>
      </c>
      <c r="B173" s="68" t="inlineStr">
        <is>
          <t>coffee</t>
        </is>
      </c>
      <c r="C173" s="68" t="inlineStr">
        <is>
          <t>Coffea arabica</t>
        </is>
      </c>
      <c r="D173" s="68" t="inlineStr">
        <is>
          <t>herb</t>
        </is>
      </c>
      <c r="E173" s="68" t="inlineStr">
        <is>
          <t>botanical</t>
        </is>
      </c>
      <c r="F173" s="68" t="inlineStr">
        <is>
          <t>varies</t>
        </is>
      </c>
      <c r="G173" s="68" t="inlineStr">
        <is>
          <t>coffee cherry</t>
        </is>
      </c>
      <c r="H173" s="68" t="n"/>
      <c r="I173" s="68" t="inlineStr">
        <is>
          <t>Coffee Cherry is an intake-stage monograph candidate linked to 4 internal compound records and pathway tags including adenosine_antagonism, ADORA1, ADORA2A (adenosine receptors).</t>
        </is>
      </c>
      <c r="J173" s="68" t="inlineStr">
        <is>
          <t>Internal cross-linking supports Coffee Cherry through compounds such as caffeine, trigonelline, cafestol.</t>
        </is>
      </c>
      <c r="K173" s="68" t="inlineStr">
        <is>
          <t>caffeine; trigonelline; cafestol; kahweol</t>
        </is>
      </c>
      <c r="L173" s="68" t="inlineStr">
        <is>
          <t>caffeine</t>
        </is>
      </c>
      <c r="M173" s="68" t="inlineStr">
        <is>
          <t>Internal workbook mapping currently connects this herb to adenosine_antagonism, ADORA1, ADORA2A (adenosine receptors), dopaminergic_modulation.</t>
        </is>
      </c>
      <c r="N173" s="68" t="inlineStr">
        <is>
          <t>adenosine_antagonism; ADORA1, ADORA2A (adenosine receptors); dopaminergic_modulation</t>
        </is>
      </c>
      <c r="O173" s="68" t="inlineStr">
        <is>
          <t>mapped</t>
        </is>
      </c>
      <c r="P173" s="68" t="inlineStr">
        <is>
          <t>Safety review required before publication.</t>
        </is>
      </c>
      <c r="Q173" s="68" t="inlineStr">
        <is>
          <t>Interaction review required before publication.</t>
        </is>
      </c>
      <c r="R173" s="68" t="n"/>
      <c r="S173" s="68" t="n"/>
      <c r="T173" s="68" t="n"/>
      <c r="U173" s="68" t="n"/>
      <c r="V173" s="68" t="n"/>
      <c r="W173" s="68" t="inlineStr">
        <is>
          <t>Medium</t>
        </is>
      </c>
      <c r="X173" s="68" t="inlineStr">
        <is>
          <t>partial</t>
        </is>
      </c>
      <c r="Y173" s="68" t="n"/>
      <c r="Z173" s="68" t="inlineStr">
        <is>
          <t>dataset-linked</t>
        </is>
      </c>
      <c r="AA173" s="68" t="inlineStr">
        <is>
          <t>Internal workbook cross-link</t>
        </is>
      </c>
      <c r="AB173" s="68" t="n"/>
      <c r="AC173" s="68" t="n"/>
      <c r="AD173" s="68" t="n"/>
      <c r="AE173" s="68" t="n"/>
      <c r="AF173" s="68" t="n"/>
      <c r="AG173" s="68" t="n">
        <v>2</v>
      </c>
      <c r="AH173" s="68" t="n">
        <v>2</v>
      </c>
      <c r="AI173" s="68" t="n">
        <v>2</v>
      </c>
      <c r="AJ173" s="68" t="n">
        <v>6</v>
      </c>
      <c r="AK173" s="68" t="inlineStr">
        <is>
          <t>High</t>
        </is>
      </c>
      <c r="AL173" s="68" t="inlineStr">
        <is>
          <t>Needs source review</t>
        </is>
      </c>
      <c r="AM173" s="68" t="inlineStr">
        <is>
          <t>Internal linked</t>
        </is>
      </c>
      <c r="AN173" s="68" t="n">
        <v>0.95</v>
      </c>
      <c r="AO173" s="68" t="inlineStr">
        <is>
          <t>Near ready</t>
        </is>
      </c>
      <c r="AP173" s="68" t="n"/>
      <c r="AQ173" s="68" t="n"/>
      <c r="AR173" s="68" t="inlineStr">
        <is>
          <t>Editorial polish</t>
        </is>
      </c>
      <c r="AS173" s="68" t="inlineStr">
        <is>
          <t>Not started</t>
        </is>
      </c>
      <c r="AT173" s="68" t="inlineStr">
        <is>
          <t>No</t>
        </is>
      </c>
      <c r="AU173" s="68" t="inlineStr">
        <is>
          <t>No</t>
        </is>
      </c>
      <c r="AV173" s="68" t="inlineStr">
        <is>
          <t>No</t>
        </is>
      </c>
      <c r="AW173" s="68" t="inlineStr">
        <is>
          <t>Needs editorial sourcing</t>
        </is>
      </c>
      <c r="AX173" s="68" t="n">
        <v>0</v>
      </c>
      <c r="AY173" s="68" t="n"/>
      <c r="AZ173" s="68" t="n"/>
      <c r="BA173" s="68" t="inlineStr">
        <is>
          <t>Intake</t>
        </is>
      </c>
      <c r="BB173" s="68" t="inlineStr">
        <is>
          <t>Pending</t>
        </is>
      </c>
      <c r="BC173" s="68" t="inlineStr">
        <is>
          <t>Generated from pathway/cross-link support only.</t>
        </is>
      </c>
      <c r="BD173" s="68" t="n"/>
      <c r="BE173" s="68" t="inlineStr">
        <is>
          <t>2026-04-10</t>
        </is>
      </c>
      <c r="BF173" s="68" t="inlineStr">
        <is>
          <t>Added from internal pathway-linked herb gap audit</t>
        </is>
      </c>
      <c r="BG173" s="68" t="inlineStr">
        <is>
          <t>coffee|2026-04-10</t>
        </is>
      </c>
      <c r="BH173" s="68" t="inlineStr">
        <is>
          <t>2026-04-10:added as intake_stub from pathway cross-links</t>
        </is>
      </c>
      <c r="BI173" t="inlineStr">
        <is>
          <t>coffee</t>
        </is>
      </c>
      <c r="BJ173" t="inlineStr">
        <is>
          <t>Coffee Cherry</t>
        </is>
      </c>
      <c r="BK173" t="n">
        <v>0</v>
      </c>
      <c r="BL173" t="n">
        <v>0</v>
      </c>
      <c r="BM173" t="n">
        <v>1</v>
      </c>
      <c r="BN173" t="n">
        <v>0</v>
      </c>
      <c r="BO173" t="n">
        <v>100</v>
      </c>
      <c r="BP173" t="n">
        <v>0</v>
      </c>
      <c r="BQ173" t="n">
        <v>0</v>
      </c>
      <c r="BR173" t="n">
        <v>0</v>
      </c>
      <c r="BS173" t="inlineStr">
        <is>
          <t>Tier 4</t>
        </is>
      </c>
      <c r="BT173" t="n">
        <v>0</v>
      </c>
      <c r="BU173" t="inlineStr">
        <is>
          <t>FALSE</t>
        </is>
      </c>
      <c r="BV173" t="inlineStr">
        <is>
          <t>coffee</t>
        </is>
      </c>
      <c r="BW173" t="inlineStr">
        <is>
          <t>FALSE</t>
        </is>
      </c>
      <c r="BX173" t="inlineStr">
        <is>
          <t>Pass 10 refreshed scoring from 0 mapped compounds | Pass 13 rescored from 0 mapped compounds</t>
        </is>
      </c>
      <c r="CA173" t="n">
        <v>0</v>
      </c>
      <c r="CB173" t="n">
        <v>0</v>
      </c>
      <c r="CC173" t="n">
        <v>0</v>
      </c>
      <c r="CE173" t="inlineStr">
        <is>
          <t>Pass 13 rescored after herb-name normalization and real top-herb compound sweep</t>
        </is>
      </c>
      <c r="CF173" t="inlineStr">
        <is>
          <t>General</t>
        </is>
      </c>
      <c r="CH173" s="68" t="inlineStr">
        <is>
          <t>Start with low single-herb exposure and increase only if tolerated</t>
        </is>
      </c>
      <c r="CI173" s="68" t="inlineStr">
        <is>
          <t>Product-ideation framing only; not clinical dosing advice.</t>
        </is>
      </c>
      <c r="CJ173" s="68" t="str"/>
      <c r="CK173" s="68" t="str"/>
      <c r="CL173" s="68" t="inlineStr">
        <is>
          <t>Baseline</t>
        </is>
      </c>
      <c r="CM173" s="68" t="inlineStr">
        <is>
          <t>No</t>
        </is>
      </c>
      <c r="CN173" s="68" t="str"/>
      <c r="CO173" s="68" t="inlineStr">
        <is>
          <t>Pass 21 herb-level safety and dose framing</t>
        </is>
      </c>
      <c r="CP173" t="inlineStr">
        <is>
          <t>Baseline</t>
        </is>
      </c>
      <c r="CQ173" t="inlineStr">
        <is>
          <t>No</t>
        </is>
      </c>
      <c r="CS173" t="inlineStr">
        <is>
          <t>Pass 22 refined safety rule severity and reduced broad keyword over-flagging</t>
        </is>
      </c>
      <c r="CT173" t="inlineStr">
        <is>
          <t>General</t>
        </is>
      </c>
      <c r="CU173" t="inlineStr">
        <is>
          <t>adenosine_antagonism; adora1; adora2a (adenosine receptors); dopaminergic_modulation</t>
        </is>
      </c>
      <c r="CV173" t="inlineStr">
        <is>
          <t>Unknown</t>
        </is>
      </c>
      <c r="CW173" t="inlineStr">
        <is>
          <t>Pass 26 normalization: categories, mechanisms, evidence tiers</t>
        </is>
      </c>
      <c r="CX173" t="inlineStr">
        <is>
          <t>Mapped</t>
        </is>
      </c>
      <c r="CY173" t="inlineStr">
        <is>
          <t>Safety review required before publication.</t>
        </is>
      </c>
      <c r="CZ173" t="inlineStr">
        <is>
          <t>Interaction review required before publication</t>
        </is>
      </c>
      <c r="DB173" t="inlineStr">
        <is>
          <t>Pass 28 normalized evidence and safety-related free text</t>
        </is>
      </c>
      <c r="DD173" t="inlineStr">
        <is>
          <t>No standardized dose established; use conservative, product-dependent ranges.</t>
        </is>
      </c>
      <c r="DE173" t="inlineStr">
        <is>
          <t>Common forms include extracts, powders, or teas depending on herb part.</t>
        </is>
      </c>
      <c r="DF173" t="inlineStr">
        <is>
          <t>Quality varies by extraction method, standardization, and contamination risk.</t>
        </is>
      </c>
      <c r="DG173" t="inlineStr">
        <is>
          <t>Low</t>
        </is>
      </c>
      <c r="DH173" t="inlineStr">
        <is>
          <t>Pass 29 completeness repair</t>
        </is>
      </c>
      <c r="DI173" t="n">
        <v>0</v>
      </c>
      <c r="DJ173" t="inlineStr">
        <is>
          <t>General</t>
        </is>
      </c>
      <c r="DL173" t="inlineStr">
        <is>
          <t>Acerola; Agarikon; Ajwain; Aloe Vera; American Ginseng</t>
        </is>
      </c>
      <c r="DM173" t="inlineStr">
        <is>
          <t>Pass 31 relationship intelligence: density, cluster, anchor class, nearest herbs</t>
        </is>
      </c>
      <c r="DP173" t="inlineStr">
        <is>
          <t>Generalist</t>
        </is>
      </c>
      <c r="DQ173" t="inlineStr">
        <is>
          <t>Pass 32 substitute engine + cluster cleanup</t>
        </is>
      </c>
      <c r="DT173" t="inlineStr">
        <is>
          <t>no strong safe fallback found</t>
        </is>
      </c>
      <c r="DU173" t="inlineStr">
        <is>
          <t>Not needed</t>
        </is>
      </c>
      <c r="DV173" t="inlineStr">
        <is>
          <t>Pass 33 fallback replacement engine</t>
        </is>
      </c>
      <c r="DY173" t="inlineStr">
        <is>
          <t>Pass 35 expanded fallback pool with second-pass candidate exploration</t>
        </is>
      </c>
      <c r="EA173" t="inlineStr">
        <is>
          <t>General</t>
        </is>
      </c>
      <c r="EC173" t="inlineStr">
        <is>
          <t>Medium</t>
        </is>
      </c>
      <c r="ED173" t="inlineStr">
        <is>
          <t>Pass 40 reinforced weak-category herb data</t>
        </is>
      </c>
      <c r="EG173" t="n">
        <v>0</v>
      </c>
      <c r="EH173" t="n">
        <v>0</v>
      </c>
      <c r="EI173" t="n">
        <v>0</v>
      </c>
      <c r="EJ173" t="n">
        <v>0</v>
      </c>
      <c r="EK173" t="n">
        <v>0</v>
      </c>
      <c r="EL173" t="n">
        <v>0</v>
      </c>
      <c r="EN173" t="inlineStr">
        <is>
          <t>Pass 48 rolled compound scores into herb-level scoring</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O631"/>
  <sheetViews>
    <sheetView workbookViewId="0">
      <selection activeCell="A1" sqref="A1"/>
    </sheetView>
  </sheetViews>
  <sheetFormatPr baseColWidth="8" defaultRowHeight="15"/>
  <cols>
    <col width="28" customWidth="1" min="1" max="1"/>
    <col width="28" customWidth="1" min="2" max="2"/>
    <col width="10"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11" customWidth="1" min="11" max="11"/>
    <col width="15" customWidth="1" min="12" max="12"/>
    <col width="28" customWidth="1" min="13" max="13"/>
    <col width="28" customWidth="1" min="14" max="14"/>
    <col width="28" customWidth="1" min="15" max="15"/>
    <col width="28" customWidth="1" min="16" max="16"/>
    <col width="28" customWidth="1" min="17" max="17"/>
    <col width="10" customWidth="1" min="18" max="18"/>
    <col width="19" customWidth="1" min="19" max="19"/>
    <col width="28" customWidth="1" min="20" max="20"/>
  </cols>
  <sheetData>
    <row r="1">
      <c r="A1" s="6" t="inlineStr">
        <is>
          <t>Compound</t>
        </is>
      </c>
      <c r="B1" s="6" t="inlineStr">
        <is>
          <t>Class</t>
        </is>
      </c>
      <c r="C1" s="6" t="inlineStr">
        <is>
          <t>Source Herb</t>
        </is>
      </c>
      <c r="D1" s="6" t="inlineStr">
        <is>
          <t>Mechanism</t>
        </is>
      </c>
      <c r="E1" s="6" t="inlineStr">
        <is>
          <t>Evidence</t>
        </is>
      </c>
      <c r="F1" s="6" t="inlineStr">
        <is>
          <t>Mechanism Tags</t>
        </is>
      </c>
      <c r="G1" s="6" t="inlineStr">
        <is>
          <t>pathwayTargets</t>
        </is>
      </c>
      <c r="H1" s="6" t="inlineStr">
        <is>
          <t>pharmacokinetics</t>
        </is>
      </c>
      <c r="I1" s="6" t="inlineStr">
        <is>
          <t>safetyNotes</t>
        </is>
      </c>
      <c r="J1" s="6" t="inlineStr">
        <is>
          <t>drugInteractions</t>
        </is>
      </c>
      <c r="K1" s="6" t="inlineStr">
        <is>
          <t>confidence</t>
        </is>
      </c>
      <c r="L1" s="6" t="inlineStr">
        <is>
          <t>evidence</t>
        </is>
      </c>
      <c r="M1" s="6" t="inlineStr">
        <is>
          <t>sourceUrls</t>
        </is>
      </c>
      <c r="N1" s="6" t="inlineStr">
        <is>
          <t>sourceQuality</t>
        </is>
      </c>
      <c r="O1" s="6" t="inlineStr">
        <is>
          <t>sourceBasis</t>
        </is>
      </c>
      <c r="P1" s="6" t="inlineStr">
        <is>
          <t>sourceWorkbook</t>
        </is>
      </c>
      <c r="Q1" s="6" t="inlineStr">
        <is>
          <t>relatedHerbSlugs</t>
        </is>
      </c>
      <c r="R1" s="6" t="inlineStr">
        <is>
          <t>herbCount</t>
        </is>
      </c>
      <c r="S1" s="6" t="inlineStr">
        <is>
          <t>reverseLookupReady</t>
        </is>
      </c>
      <c r="T1" s="6" t="inlineStr">
        <is>
          <t>integrationNotes</t>
        </is>
      </c>
      <c r="U1" t="inlineStr">
        <is>
          <t>Normalization Notes</t>
        </is>
      </c>
      <c r="V1" t="inlineStr">
        <is>
          <t>Target Specificity</t>
        </is>
      </c>
      <c r="W1" t="inlineStr">
        <is>
          <t>Pharmacology Weight</t>
        </is>
      </c>
      <c r="X1" t="inlineStr">
        <is>
          <t>Tag Confidence</t>
        </is>
      </c>
      <c r="Y1" t="inlineStr">
        <is>
          <t>Pass 8 Notes</t>
        </is>
      </c>
      <c r="Z1" t="inlineStr">
        <is>
          <t>Canonical Compound Name</t>
        </is>
      </c>
      <c r="AA1" t="inlineStr">
        <is>
          <t>Known Aliases</t>
        </is>
      </c>
      <c r="AB1" t="inlineStr">
        <is>
          <t>Pass 27 Note</t>
        </is>
      </c>
      <c r="AC1" t="inlineStr">
        <is>
          <t>Pass 39 Note</t>
        </is>
      </c>
      <c r="AD1" t="inlineStr">
        <is>
          <t>Pass 42 Note</t>
        </is>
      </c>
      <c r="AE1" t="inlineStr">
        <is>
          <t>Pass 43 Note</t>
        </is>
      </c>
      <c r="AF1" t="inlineStr">
        <is>
          <t>Normalized Name V2</t>
        </is>
      </c>
      <c r="AG1" t="inlineStr">
        <is>
          <t>Pass 44 Note</t>
        </is>
      </c>
      <c r="AH1" t="inlineStr">
        <is>
          <t>Pass 45 Note</t>
        </is>
      </c>
      <c r="AI1" t="inlineStr">
        <is>
          <t>Mechanism V2</t>
        </is>
      </c>
      <c r="AJ1" t="inlineStr">
        <is>
          <t>Evidence Tier V2</t>
        </is>
      </c>
      <c r="AK1" t="inlineStr">
        <is>
          <t>Mechanism Tags V2</t>
        </is>
      </c>
      <c r="AL1" t="inlineStr">
        <is>
          <t>Pass 46 Note</t>
        </is>
      </c>
      <c r="AM1" t="inlineStr">
        <is>
          <t>Compound Score V1</t>
        </is>
      </c>
      <c r="AN1" t="inlineStr">
        <is>
          <t>Compound Tier V1</t>
        </is>
      </c>
      <c r="AO1" t="inlineStr">
        <is>
          <t>Pass 47 Note</t>
        </is>
      </c>
    </row>
    <row r="2">
      <c r="A2" t="inlineStr">
        <is>
          <t>1,8-cineole</t>
        </is>
      </c>
      <c r="B2" t="inlineStr">
        <is>
          <t>1,8-cineole</t>
        </is>
      </c>
      <c r="C2" t="inlineStr">
        <is>
          <t>eucalyptol</t>
        </is>
      </c>
      <c r="D2" t="inlineStr">
        <is>
          <t>monoterpene oxide</t>
        </is>
      </c>
      <c r="E2" t="inlineStr">
        <is>
          <t>proposed mechanism based on preclinical data and limited human use context: anti-inflammatory and bronchodilatory effects associated with cineole-containing preparations.</t>
        </is>
      </c>
      <c r="F2" t="inlineStr">
        <is>
          <t>unclassified</t>
        </is>
      </c>
      <c r="W2" t="n">
        <v>2</v>
      </c>
      <c r="X2" t="inlineStr">
        <is>
          <t>Low</t>
        </is>
      </c>
      <c r="Z2" t="inlineStr">
        <is>
          <t>1,8-cineole</t>
        </is>
      </c>
      <c r="AF2" t="inlineStr">
        <is>
          <t>1 8 cineole</t>
        </is>
      </c>
      <c r="AH2" t="inlineStr">
        <is>
          <t>Pass 45 duplicate consolidation</t>
        </is>
      </c>
      <c r="AI2" t="inlineStr">
        <is>
          <t>monoterpene oxide</t>
        </is>
      </c>
      <c r="AJ2" t="inlineStr">
        <is>
          <t>Human</t>
        </is>
      </c>
      <c r="AK2" t="inlineStr">
        <is>
          <t>unclassified</t>
        </is>
      </c>
      <c r="AL2" t="inlineStr">
        <is>
          <t>Pass 46 mechanism + evidence consolidation</t>
        </is>
      </c>
      <c r="AM2" t="n">
        <v>7</v>
      </c>
      <c r="AN2" t="inlineStr">
        <is>
          <t>B</t>
        </is>
      </c>
      <c r="AO2" t="inlineStr">
        <is>
          <t>Pass 47 compound scoring</t>
        </is>
      </c>
    </row>
    <row r="3">
      <c r="A3" t="inlineStr">
        <is>
          <t>1-deoxynojirimycin</t>
        </is>
      </c>
      <c r="B3" t="inlineStr">
        <is>
          <t>1-deoxynojirimycin</t>
        </is>
      </c>
      <c r="D3" t="inlineStr">
        <is>
          <t>iminosugar</t>
        </is>
      </c>
      <c r="E3" t="inlineStr">
        <is>
          <t>Mulberry-leaf constituent associated with carbohydrate-handling support.</t>
        </is>
      </c>
      <c r="F3" t="inlineStr">
        <is>
          <t>unclassified</t>
        </is>
      </c>
      <c r="W3" t="n">
        <v>2</v>
      </c>
      <c r="X3" t="inlineStr">
        <is>
          <t>Low</t>
        </is>
      </c>
      <c r="Z3" t="inlineStr">
        <is>
          <t>1-deoxynojirimycin</t>
        </is>
      </c>
      <c r="AF3" t="inlineStr">
        <is>
          <t>1 deoxynojirimycin</t>
        </is>
      </c>
      <c r="AH3" t="inlineStr">
        <is>
          <t>Pass 45 duplicate consolidation</t>
        </is>
      </c>
      <c r="AI3" t="inlineStr">
        <is>
          <t>iminosugar</t>
        </is>
      </c>
      <c r="AJ3" t="inlineStr">
        <is>
          <t>Unknown</t>
        </is>
      </c>
      <c r="AK3" t="inlineStr">
        <is>
          <t>unclassified</t>
        </is>
      </c>
      <c r="AL3" t="inlineStr">
        <is>
          <t>Pass 46 mechanism + evidence consolidation</t>
        </is>
      </c>
      <c r="AM3" t="n">
        <v>3</v>
      </c>
      <c r="AN3" t="inlineStr">
        <is>
          <t>D</t>
        </is>
      </c>
      <c r="AO3" t="inlineStr">
        <is>
          <t>Pass 47 compound scoring</t>
        </is>
      </c>
    </row>
    <row r="4">
      <c r="A4" t="inlineStr">
        <is>
          <t>11-keto-beta-boswellic acid</t>
        </is>
      </c>
      <c r="B4" t="inlineStr">
        <is>
          <t>11-keto-beta-boswellic acid</t>
        </is>
      </c>
      <c r="D4" t="inlineStr">
        <is>
          <t>organic acid</t>
        </is>
      </c>
      <c r="E4" t="inlineStr">
        <is>
          <t>Boswellic acids, especially AKBA, act as relatively selective 5-lipoxygenase inhibitors and reduce leukotriene synthesis in inflammatory pathways.</t>
        </is>
      </c>
      <c r="F4" t="inlineStr">
        <is>
          <t>unclassified</t>
        </is>
      </c>
      <c r="W4" t="n">
        <v>2</v>
      </c>
      <c r="X4" t="inlineStr">
        <is>
          <t>Low</t>
        </is>
      </c>
      <c r="Z4" t="inlineStr">
        <is>
          <t>11-keto-beta-boswellic acid</t>
        </is>
      </c>
      <c r="AF4" t="inlineStr">
        <is>
          <t>11 keto beta boswellic acid</t>
        </is>
      </c>
      <c r="AH4" t="inlineStr">
        <is>
          <t>Pass 45 duplicate consolidation</t>
        </is>
      </c>
      <c r="AI4" t="inlineStr">
        <is>
          <t>organic acid</t>
        </is>
      </c>
      <c r="AJ4" t="inlineStr">
        <is>
          <t>Unknown</t>
        </is>
      </c>
      <c r="AK4" t="inlineStr">
        <is>
          <t>unclassified</t>
        </is>
      </c>
      <c r="AL4" t="inlineStr">
        <is>
          <t>Pass 46 mechanism + evidence consolidation</t>
        </is>
      </c>
      <c r="AM4" t="n">
        <v>3</v>
      </c>
      <c r="AN4" t="inlineStr">
        <is>
          <t>D</t>
        </is>
      </c>
      <c r="AO4" t="inlineStr">
        <is>
          <t>Pass 47 compound scoring</t>
        </is>
      </c>
    </row>
    <row r="5">
      <c r="A5" t="inlineStr">
        <is>
          <t>23-epi-26-deoxyactein</t>
        </is>
      </c>
      <c r="B5" t="inlineStr">
        <is>
          <t>23-epi-26-deoxyactein</t>
        </is>
      </c>
      <c r="C5" t="inlineStr">
        <is>
          <t>Black Cohosh</t>
        </is>
      </c>
      <c r="D5" t="inlineStr">
        <is>
          <t>Hormonal and serotonergic-associated signaling</t>
        </is>
      </c>
      <c r="E5" t="inlineStr">
        <is>
          <t>Proposed mechanism based on preclinical data: 23-epi-26-deoxyactein shows anti-inflammatory pathway effects and suppression of nitric oxide signaling in vitro, with broader black cohosh mechanistic relevance still not fully resolved in humans.</t>
        </is>
      </c>
      <c r="F5" t="inlineStr">
        <is>
          <t>unclassified; reinforcement</t>
        </is>
      </c>
      <c r="U5" t="inlineStr">
        <is>
          <t>Pass 45 merged 2 rows into canonical compound entry</t>
        </is>
      </c>
      <c r="W5" t="n">
        <v>3</v>
      </c>
      <c r="X5" t="inlineStr">
        <is>
          <t>Medium</t>
        </is>
      </c>
      <c r="Z5" t="inlineStr">
        <is>
          <t>23-epi-26-deoxyactein</t>
        </is>
      </c>
      <c r="AF5" t="inlineStr">
        <is>
          <t>23 epi 26 deoxyactein</t>
        </is>
      </c>
      <c r="AH5" t="inlineStr">
        <is>
          <t>Pass 45 duplicate consolidation</t>
        </is>
      </c>
      <c r="AI5" t="inlineStr">
        <is>
          <t>Hormonal and serotonergic-associated signaling</t>
        </is>
      </c>
      <c r="AJ5" t="inlineStr">
        <is>
          <t>Human</t>
        </is>
      </c>
      <c r="AK5" t="inlineStr">
        <is>
          <t>reinforcement; unclassified</t>
        </is>
      </c>
      <c r="AL5" t="inlineStr">
        <is>
          <t>Pass 46 mechanism + evidence consolidation</t>
        </is>
      </c>
      <c r="AM5" t="n">
        <v>8</v>
      </c>
      <c r="AN5" t="inlineStr">
        <is>
          <t>B</t>
        </is>
      </c>
      <c r="AO5" t="inlineStr">
        <is>
          <t>Pass 47 compound scoring</t>
        </is>
      </c>
    </row>
    <row r="6">
      <c r="A6" t="inlineStr">
        <is>
          <t>4-hydroxyderricin</t>
        </is>
      </c>
      <c r="B6" t="inlineStr">
        <is>
          <t>4-hydroxyderricin</t>
        </is>
      </c>
      <c r="D6" t="inlineStr">
        <is>
          <t>prenylated chalcone</t>
        </is>
      </c>
      <c r="E6" t="inlineStr">
        <is>
          <t>Prenylated chalcone from Ashitaba with preclinical anti-inflammatory and metabolic activity.</t>
        </is>
      </c>
      <c r="F6" t="inlineStr">
        <is>
          <t>unclassified</t>
        </is>
      </c>
      <c r="W6" t="n">
        <v>2</v>
      </c>
      <c r="X6" t="inlineStr">
        <is>
          <t>Low</t>
        </is>
      </c>
      <c r="Z6" t="inlineStr">
        <is>
          <t>4-hydroxyderricin</t>
        </is>
      </c>
      <c r="AF6" t="inlineStr">
        <is>
          <t>4 hydroxyderricin</t>
        </is>
      </c>
      <c r="AH6" t="inlineStr">
        <is>
          <t>Pass 45 duplicate consolidation</t>
        </is>
      </c>
      <c r="AI6" t="inlineStr">
        <is>
          <t>prenylated chalcone</t>
        </is>
      </c>
      <c r="AJ6" t="inlineStr">
        <is>
          <t>Clinical</t>
        </is>
      </c>
      <c r="AK6" t="inlineStr">
        <is>
          <t>unclassified</t>
        </is>
      </c>
      <c r="AL6" t="inlineStr">
        <is>
          <t>Pass 46 mechanism + evidence consolidation</t>
        </is>
      </c>
      <c r="AM6" t="n">
        <v>6</v>
      </c>
      <c r="AN6" t="inlineStr">
        <is>
          <t>C</t>
        </is>
      </c>
      <c r="AO6" t="inlineStr">
        <is>
          <t>Pass 47 compound scoring</t>
        </is>
      </c>
    </row>
    <row r="7">
      <c r="A7" t="inlineStr">
        <is>
          <t>5-hydroxytryptophan</t>
        </is>
      </c>
      <c r="B7" t="inlineStr">
        <is>
          <t>5-hydroxytryptophan (5-HTP)</t>
        </is>
      </c>
      <c r="D7" t="inlineStr">
        <is>
          <t>amino acid derivative</t>
        </is>
      </c>
      <c r="E7" t="inlineStr">
        <is>
          <t>Immediate serotonin precursor formed from tryptophan and decarboxylated by aromatic L-amino-acid decarboxylase to serotonin; strongest mechanism is precursor loading rather than receptor binding.</t>
        </is>
      </c>
      <c r="F7" t="inlineStr">
        <is>
          <t>unclassified</t>
        </is>
      </c>
      <c r="W7" t="n">
        <v>2</v>
      </c>
      <c r="X7" t="inlineStr">
        <is>
          <t>Low</t>
        </is>
      </c>
      <c r="Z7" t="inlineStr">
        <is>
          <t>5-hydroxytryptophan</t>
        </is>
      </c>
      <c r="AF7" t="inlineStr">
        <is>
          <t>5 hydroxytryptophan</t>
        </is>
      </c>
      <c r="AH7" t="inlineStr">
        <is>
          <t>Pass 45 duplicate consolidation</t>
        </is>
      </c>
      <c r="AI7" t="inlineStr">
        <is>
          <t>amino acid derivative</t>
        </is>
      </c>
      <c r="AJ7" t="inlineStr">
        <is>
          <t>Unknown</t>
        </is>
      </c>
      <c r="AK7" t="inlineStr">
        <is>
          <t>unclassified</t>
        </is>
      </c>
      <c r="AL7" t="inlineStr">
        <is>
          <t>Pass 46 mechanism + evidence consolidation</t>
        </is>
      </c>
      <c r="AM7" t="n">
        <v>3</v>
      </c>
      <c r="AN7" t="inlineStr">
        <is>
          <t>D</t>
        </is>
      </c>
      <c r="AO7" t="inlineStr">
        <is>
          <t>Pass 47 compound scoring</t>
        </is>
      </c>
    </row>
    <row r="8">
      <c r="A8" t="inlineStr">
        <is>
          <t>5-hydroxytryptophan (5-HTP)</t>
        </is>
      </c>
      <c r="B8" t="inlineStr">
        <is>
          <t>Amino Acid</t>
        </is>
      </c>
      <c r="C8" t="inlineStr">
        <is>
          <t>Griffonia simplicifolia</t>
        </is>
      </c>
      <c r="D8" t="inlineStr">
        <is>
          <t>Serotonin precursor</t>
        </is>
      </c>
      <c r="E8" t="inlineStr">
        <is>
          <t>Human</t>
        </is>
      </c>
      <c r="F8" t="inlineStr">
        <is>
          <t>serotonin signaling</t>
        </is>
      </c>
      <c r="U8" t="inlineStr">
        <is>
          <t>name normalized in pass 6</t>
        </is>
      </c>
      <c r="W8" t="n">
        <v>2</v>
      </c>
      <c r="X8" t="inlineStr">
        <is>
          <t>Low</t>
        </is>
      </c>
      <c r="Z8" t="inlineStr">
        <is>
          <t>5-hydroxytryptophan (5-HTP)</t>
        </is>
      </c>
      <c r="AF8" t="inlineStr">
        <is>
          <t>5 hydroxytryptophan 5 htp</t>
        </is>
      </c>
      <c r="AH8" t="inlineStr">
        <is>
          <t>Pass 45 duplicate consolidation</t>
        </is>
      </c>
      <c r="AI8" t="inlineStr">
        <is>
          <t>Serotonin precursor</t>
        </is>
      </c>
      <c r="AJ8" t="inlineStr">
        <is>
          <t>Human</t>
        </is>
      </c>
      <c r="AK8" t="inlineStr">
        <is>
          <t>serotonin signaling</t>
        </is>
      </c>
      <c r="AL8" t="inlineStr">
        <is>
          <t>Pass 46 mechanism + evidence consolidation</t>
        </is>
      </c>
      <c r="AM8" t="n">
        <v>7</v>
      </c>
      <c r="AN8" t="inlineStr">
        <is>
          <t>B</t>
        </is>
      </c>
      <c r="AO8" t="inlineStr">
        <is>
          <t>Pass 47 compound scoring</t>
        </is>
      </c>
    </row>
    <row r="9">
      <c r="A9" t="inlineStr">
        <is>
          <t>5-meo-dmt</t>
        </is>
      </c>
      <c r="B9" t="inlineStr">
        <is>
          <t>5-meo-dmt</t>
        </is>
      </c>
      <c r="D9" t="inlineStr">
        <is>
          <t>alkaloid</t>
        </is>
      </c>
      <c r="E9" t="inlineStr">
        <is>
          <t>Tryptamines act on serotonergic receptors, especially 5-HT2A, producing psychedelic effects.</t>
        </is>
      </c>
      <c r="F9" t="inlineStr">
        <is>
          <t>unclassified</t>
        </is>
      </c>
      <c r="W9" t="n">
        <v>2</v>
      </c>
      <c r="X9" t="inlineStr">
        <is>
          <t>Low</t>
        </is>
      </c>
      <c r="Z9" t="inlineStr">
        <is>
          <t>5-meo-dmt</t>
        </is>
      </c>
      <c r="AF9" t="inlineStr">
        <is>
          <t>5 meo dmt</t>
        </is>
      </c>
      <c r="AH9" t="inlineStr">
        <is>
          <t>Pass 45 duplicate consolidation</t>
        </is>
      </c>
      <c r="AI9" t="inlineStr">
        <is>
          <t>alkaloid</t>
        </is>
      </c>
      <c r="AJ9" t="inlineStr">
        <is>
          <t>Unknown</t>
        </is>
      </c>
      <c r="AK9" t="inlineStr">
        <is>
          <t>unclassified</t>
        </is>
      </c>
      <c r="AL9" t="inlineStr">
        <is>
          <t>Pass 46 mechanism + evidence consolidation</t>
        </is>
      </c>
      <c r="AM9" t="n">
        <v>3</v>
      </c>
      <c r="AN9" t="inlineStr">
        <is>
          <t>D</t>
        </is>
      </c>
      <c r="AO9" t="inlineStr">
        <is>
          <t>Pass 47 compound scoring</t>
        </is>
      </c>
    </row>
    <row r="10">
      <c r="A10" t="inlineStr">
        <is>
          <t>6-Gingerol</t>
        </is>
      </c>
      <c r="B10" t="inlineStr">
        <is>
          <t>6-gingerol</t>
        </is>
      </c>
      <c r="C10" t="inlineStr">
        <is>
          <t>Zingiber officinale</t>
        </is>
      </c>
      <c r="D10" t="inlineStr">
        <is>
          <t>Anti-inflammatory; GI modulation</t>
        </is>
      </c>
      <c r="E10" t="inlineStr">
        <is>
          <t>insufficient evidence</t>
        </is>
      </c>
      <c r="F10" t="inlineStr">
        <is>
          <t>unclassified; anti-inflammatory signaling; gastrointestinal modulation</t>
        </is>
      </c>
      <c r="U10" t="inlineStr">
        <is>
          <t>Pass 27 canonicalized compound name; Pass 45 merged 2 rows into canonical compound entry</t>
        </is>
      </c>
      <c r="W10" t="n">
        <v>4</v>
      </c>
      <c r="X10" t="inlineStr">
        <is>
          <t>Medium</t>
        </is>
      </c>
      <c r="Z10" t="inlineStr">
        <is>
          <t>6-Gingerol</t>
        </is>
      </c>
      <c r="AF10" t="inlineStr">
        <is>
          <t>6 gingerol</t>
        </is>
      </c>
      <c r="AH10" t="inlineStr">
        <is>
          <t>Pass 45 duplicate consolidation</t>
        </is>
      </c>
      <c r="AI10" t="inlineStr">
        <is>
          <t>Anti-inflammatory; GI modulation</t>
        </is>
      </c>
      <c r="AJ10" t="inlineStr">
        <is>
          <t>Unknown</t>
        </is>
      </c>
      <c r="AK10" t="inlineStr">
        <is>
          <t>anti-inflammatory signaling; gastrointestinal modulation; unclassified</t>
        </is>
      </c>
      <c r="AL10" t="inlineStr">
        <is>
          <t>Pass 46 mechanism + evidence consolidation</t>
        </is>
      </c>
      <c r="AM10" t="n">
        <v>5</v>
      </c>
      <c r="AN10" t="inlineStr">
        <is>
          <t>C</t>
        </is>
      </c>
      <c r="AO10" t="inlineStr">
        <is>
          <t>Pass 47 compound scoring</t>
        </is>
      </c>
    </row>
    <row r="11">
      <c r="A11" t="inlineStr">
        <is>
          <t>6-Shogaol</t>
        </is>
      </c>
      <c r="B11" t="inlineStr">
        <is>
          <t>Phenolic</t>
        </is>
      </c>
      <c r="C11" t="inlineStr">
        <is>
          <t>Zingiber officinale</t>
        </is>
      </c>
      <c r="D11" t="inlineStr">
        <is>
          <t>Anti-inflammatory; GI modulation</t>
        </is>
      </c>
      <c r="E11" t="inlineStr">
        <is>
          <t>Human/Animal</t>
        </is>
      </c>
      <c r="F11" t="inlineStr">
        <is>
          <t>anti-inflammatory signaling; gastrointestinal modulation</t>
        </is>
      </c>
      <c r="W11" t="n">
        <v>4</v>
      </c>
      <c r="X11" t="inlineStr">
        <is>
          <t>Medium</t>
        </is>
      </c>
      <c r="Z11" t="inlineStr">
        <is>
          <t>6-Shogaol</t>
        </is>
      </c>
      <c r="AF11" t="inlineStr">
        <is>
          <t>6 shogaol</t>
        </is>
      </c>
      <c r="AH11" t="inlineStr">
        <is>
          <t>Pass 45 duplicate consolidation</t>
        </is>
      </c>
      <c r="AI11" t="inlineStr">
        <is>
          <t>Anti-inflammatory; GI modulation</t>
        </is>
      </c>
      <c r="AJ11" t="inlineStr">
        <is>
          <t>Human</t>
        </is>
      </c>
      <c r="AK11" t="inlineStr">
        <is>
          <t>anti-inflammatory signaling; gastrointestinal modulation</t>
        </is>
      </c>
      <c r="AL11" t="inlineStr">
        <is>
          <t>Pass 46 mechanism + evidence consolidation</t>
        </is>
      </c>
      <c r="AM11" t="n">
        <v>8</v>
      </c>
      <c r="AN11" t="inlineStr">
        <is>
          <t>B</t>
        </is>
      </c>
      <c r="AO11" t="inlineStr">
        <is>
          <t>Pass 47 compound scoring</t>
        </is>
      </c>
    </row>
    <row r="12">
      <c r="A12" t="inlineStr">
        <is>
          <t>7-hydroxymitragynine</t>
        </is>
      </c>
      <c r="B12" t="inlineStr">
        <is>
          <t>7-hydroxymitragynine</t>
        </is>
      </c>
      <c r="D12" t="inlineStr">
        <is>
          <t>other</t>
        </is>
      </c>
      <c r="E12" t="inlineStr">
        <is>
          <t>Mitragynine and 7-hydroxymitragynine act as partial agonists at μ-opioid receptors with additional adrenergic and serotonergic activity.</t>
        </is>
      </c>
      <c r="F12" t="inlineStr">
        <is>
          <t>unclassified</t>
        </is>
      </c>
      <c r="W12" t="n">
        <v>2</v>
      </c>
      <c r="X12" t="inlineStr">
        <is>
          <t>Low</t>
        </is>
      </c>
      <c r="Z12" t="inlineStr">
        <is>
          <t>7-hydroxymitragynine</t>
        </is>
      </c>
      <c r="AF12" t="inlineStr">
        <is>
          <t>7 hydroxymitragynine</t>
        </is>
      </c>
      <c r="AH12" t="inlineStr">
        <is>
          <t>Pass 45 duplicate consolidation</t>
        </is>
      </c>
      <c r="AI12" t="inlineStr">
        <is>
          <t>other</t>
        </is>
      </c>
      <c r="AJ12" t="inlineStr">
        <is>
          <t>Unknown</t>
        </is>
      </c>
      <c r="AK12" t="inlineStr">
        <is>
          <t>unclassified</t>
        </is>
      </c>
      <c r="AL12" t="inlineStr">
        <is>
          <t>Pass 46 mechanism + evidence consolidation</t>
        </is>
      </c>
      <c r="AM12" t="n">
        <v>3</v>
      </c>
      <c r="AN12" t="inlineStr">
        <is>
          <t>D</t>
        </is>
      </c>
      <c r="AO12" t="inlineStr">
        <is>
          <t>Pass 47 compound scoring</t>
        </is>
      </c>
    </row>
    <row r="13">
      <c r="A13" t="inlineStr">
        <is>
          <t>8-cineole</t>
        </is>
      </c>
      <c r="B13" t="inlineStr">
        <is>
          <t>8-cineole</t>
        </is>
      </c>
      <c r="D13" t="inlineStr">
        <is>
          <t>other</t>
        </is>
      </c>
      <c r="E13" t="inlineStr">
        <is>
          <t>insufficient evidence</t>
        </is>
      </c>
      <c r="F13" t="inlineStr">
        <is>
          <t>unclassified</t>
        </is>
      </c>
      <c r="W13" t="n">
        <v>2</v>
      </c>
      <c r="X13" t="inlineStr">
        <is>
          <t>Low</t>
        </is>
      </c>
      <c r="Z13" t="inlineStr">
        <is>
          <t>8-cineole</t>
        </is>
      </c>
      <c r="AF13" t="inlineStr">
        <is>
          <t>8 cineole</t>
        </is>
      </c>
      <c r="AH13" t="inlineStr">
        <is>
          <t>Pass 45 duplicate consolidation</t>
        </is>
      </c>
      <c r="AI13" t="inlineStr">
        <is>
          <t>other</t>
        </is>
      </c>
      <c r="AJ13" t="inlineStr">
        <is>
          <t>Unknown</t>
        </is>
      </c>
      <c r="AK13" t="inlineStr">
        <is>
          <t>unclassified</t>
        </is>
      </c>
      <c r="AL13" t="inlineStr">
        <is>
          <t>Pass 46 mechanism + evidence consolidation</t>
        </is>
      </c>
      <c r="AM13" t="n">
        <v>3</v>
      </c>
      <c r="AN13" t="inlineStr">
        <is>
          <t>D</t>
        </is>
      </c>
      <c r="AO13" t="inlineStr">
        <is>
          <t>Pass 47 compound scoring</t>
        </is>
      </c>
    </row>
    <row r="14">
      <c r="A14" t="inlineStr">
        <is>
          <t>a-type proanthocyanidins</t>
        </is>
      </c>
      <c r="B14" t="inlineStr">
        <is>
          <t>A-type proanthocyanidins</t>
        </is>
      </c>
      <c r="D14" t="inlineStr">
        <is>
          <t>polyphenolic oligomers</t>
        </is>
      </c>
      <c r="E14" t="inlineStr">
        <is>
          <t>Cranberry-linked polyphenols associated with urinary-support positioning.</t>
        </is>
      </c>
      <c r="F14" t="inlineStr">
        <is>
          <t>unclassified</t>
        </is>
      </c>
      <c r="W14" t="n">
        <v>2</v>
      </c>
      <c r="X14" t="inlineStr">
        <is>
          <t>Low</t>
        </is>
      </c>
      <c r="Z14" t="inlineStr">
        <is>
          <t>a-type proanthocyanidins</t>
        </is>
      </c>
      <c r="AF14" t="inlineStr">
        <is>
          <t>a type proanthocyanidins</t>
        </is>
      </c>
      <c r="AH14" t="inlineStr">
        <is>
          <t>Pass 45 duplicate consolidation</t>
        </is>
      </c>
      <c r="AI14" t="inlineStr">
        <is>
          <t>polyphenolic oligomers</t>
        </is>
      </c>
      <c r="AJ14" t="inlineStr">
        <is>
          <t>Unknown</t>
        </is>
      </c>
      <c r="AK14" t="inlineStr">
        <is>
          <t>unclassified</t>
        </is>
      </c>
      <c r="AL14" t="inlineStr">
        <is>
          <t>Pass 46 mechanism + evidence consolidation</t>
        </is>
      </c>
      <c r="AM14" t="n">
        <v>3</v>
      </c>
      <c r="AN14" t="inlineStr">
        <is>
          <t>D</t>
        </is>
      </c>
      <c r="AO14" t="inlineStr">
        <is>
          <t>Pass 47 compound scoring</t>
        </is>
      </c>
    </row>
    <row r="15">
      <c r="A15" t="inlineStr">
        <is>
          <t>absinthin</t>
        </is>
      </c>
      <c r="B15" t="inlineStr">
        <is>
          <t>absinthin</t>
        </is>
      </c>
      <c r="D15" t="inlineStr">
        <is>
          <t>other</t>
        </is>
      </c>
      <c r="E15" t="inlineStr">
        <is>
          <t>Thujone is associated with GABA_A receptor antagonism; other constituents contribute bitter, digestive, and broader preclinical bioactivities.</t>
        </is>
      </c>
      <c r="F15" t="inlineStr">
        <is>
          <t>unclassified</t>
        </is>
      </c>
      <c r="W15" t="n">
        <v>2</v>
      </c>
      <c r="X15" t="inlineStr">
        <is>
          <t>Low</t>
        </is>
      </c>
      <c r="Z15" t="inlineStr">
        <is>
          <t>absinthin</t>
        </is>
      </c>
      <c r="AF15" t="inlineStr">
        <is>
          <t>absinthin</t>
        </is>
      </c>
      <c r="AH15" t="inlineStr">
        <is>
          <t>Pass 45 duplicate consolidation</t>
        </is>
      </c>
      <c r="AI15" t="inlineStr">
        <is>
          <t>other</t>
        </is>
      </c>
      <c r="AJ15" t="inlineStr">
        <is>
          <t>Clinical</t>
        </is>
      </c>
      <c r="AK15" t="inlineStr">
        <is>
          <t>unclassified</t>
        </is>
      </c>
      <c r="AL15" t="inlineStr">
        <is>
          <t>Pass 46 mechanism + evidence consolidation</t>
        </is>
      </c>
      <c r="AM15" t="n">
        <v>6</v>
      </c>
      <c r="AN15" t="inlineStr">
        <is>
          <t>C</t>
        </is>
      </c>
      <c r="AO15" t="inlineStr">
        <is>
          <t>Pass 47 compound scoring</t>
        </is>
      </c>
    </row>
    <row r="16">
      <c r="A16" t="inlineStr">
        <is>
          <t>acetyl-11-keto-beta-boswellic acid</t>
        </is>
      </c>
      <c r="B16" t="inlineStr">
        <is>
          <t>acetyl-11-keto-beta-boswellic acid (akba)</t>
        </is>
      </c>
      <c r="D16" t="inlineStr">
        <is>
          <t>organic acid</t>
        </is>
      </c>
      <c r="E16" t="inlineStr">
        <is>
          <t>Boswellic acids, especially AKBA, act as relatively selective 5-lipoxygenase inhibitors and reduce leukotriene synthesis in inflammatory pathways.</t>
        </is>
      </c>
      <c r="F16" t="inlineStr">
        <is>
          <t>unclassified</t>
        </is>
      </c>
      <c r="W16" t="n">
        <v>2</v>
      </c>
      <c r="X16" t="inlineStr">
        <is>
          <t>Low</t>
        </is>
      </c>
      <c r="Z16" t="inlineStr">
        <is>
          <t>acetyl-11-keto-beta-boswellic acid</t>
        </is>
      </c>
      <c r="AF16" t="inlineStr">
        <is>
          <t>acetyl 11 keto beta boswellic acid</t>
        </is>
      </c>
      <c r="AH16" t="inlineStr">
        <is>
          <t>Pass 45 duplicate consolidation</t>
        </is>
      </c>
      <c r="AI16" t="inlineStr">
        <is>
          <t>organic acid</t>
        </is>
      </c>
      <c r="AJ16" t="inlineStr">
        <is>
          <t>Unknown</t>
        </is>
      </c>
      <c r="AK16" t="inlineStr">
        <is>
          <t>unclassified</t>
        </is>
      </c>
      <c r="AL16" t="inlineStr">
        <is>
          <t>Pass 46 mechanism + evidence consolidation</t>
        </is>
      </c>
      <c r="AM16" t="n">
        <v>3</v>
      </c>
      <c r="AN16" t="inlineStr">
        <is>
          <t>D</t>
        </is>
      </c>
      <c r="AO16" t="inlineStr">
        <is>
          <t>Pass 47 compound scoring</t>
        </is>
      </c>
    </row>
    <row r="17">
      <c r="A17" t="inlineStr">
        <is>
          <t>acetyl-beta-boswellic acid</t>
        </is>
      </c>
      <c r="B17" t="inlineStr">
        <is>
          <t>acetyl-beta-boswellic acid</t>
        </is>
      </c>
      <c r="D17" t="inlineStr">
        <is>
          <t>organic acid</t>
        </is>
      </c>
      <c r="E17" t="inlineStr">
        <is>
          <t>Boswellic acids, especially AKBA, act as relatively selective 5-lipoxygenase inhibitors and reduce leukotriene synthesis in inflammatory pathways.</t>
        </is>
      </c>
      <c r="F17" t="inlineStr">
        <is>
          <t>unclassified</t>
        </is>
      </c>
      <c r="W17" t="n">
        <v>2</v>
      </c>
      <c r="X17" t="inlineStr">
        <is>
          <t>Low</t>
        </is>
      </c>
      <c r="Z17" t="inlineStr">
        <is>
          <t>acetyl-beta-boswellic acid</t>
        </is>
      </c>
      <c r="AF17" t="inlineStr">
        <is>
          <t>acetyl beta boswellic acid</t>
        </is>
      </c>
      <c r="AH17" t="inlineStr">
        <is>
          <t>Pass 45 duplicate consolidation</t>
        </is>
      </c>
      <c r="AI17" t="inlineStr">
        <is>
          <t>organic acid</t>
        </is>
      </c>
      <c r="AJ17" t="inlineStr">
        <is>
          <t>Unknown</t>
        </is>
      </c>
      <c r="AK17" t="inlineStr">
        <is>
          <t>unclassified</t>
        </is>
      </c>
      <c r="AL17" t="inlineStr">
        <is>
          <t>Pass 46 mechanism + evidence consolidation</t>
        </is>
      </c>
      <c r="AM17" t="n">
        <v>3</v>
      </c>
      <c r="AN17" t="inlineStr">
        <is>
          <t>D</t>
        </is>
      </c>
      <c r="AO17" t="inlineStr">
        <is>
          <t>Pass 47 compound scoring</t>
        </is>
      </c>
    </row>
    <row r="18">
      <c r="A18" t="inlineStr">
        <is>
          <t>acetyl-l-carnitine</t>
        </is>
      </c>
      <c r="B18" t="inlineStr">
        <is>
          <t>acetyl-L-carnitine</t>
        </is>
      </c>
      <c r="D18" t="inlineStr">
        <is>
          <t>amino acid derivative</t>
        </is>
      </c>
      <c r="E18" t="inlineStr">
        <is>
          <t>Facilitates mitochondrial fatty acid transport via the carnitine shuttle and supports acetyl-CoA metabolism.</t>
        </is>
      </c>
      <c r="F18" t="inlineStr">
        <is>
          <t>unclassified</t>
        </is>
      </c>
      <c r="W18" t="n">
        <v>2</v>
      </c>
      <c r="X18" t="inlineStr">
        <is>
          <t>Low</t>
        </is>
      </c>
      <c r="Z18" t="inlineStr">
        <is>
          <t>acetyl-l-carnitine</t>
        </is>
      </c>
      <c r="AF18" t="inlineStr">
        <is>
          <t>acetyl l carnitine</t>
        </is>
      </c>
      <c r="AH18" t="inlineStr">
        <is>
          <t>Pass 45 duplicate consolidation</t>
        </is>
      </c>
      <c r="AI18" t="inlineStr">
        <is>
          <t>amino acid derivative</t>
        </is>
      </c>
      <c r="AJ18" t="inlineStr">
        <is>
          <t>Unknown</t>
        </is>
      </c>
      <c r="AK18" t="inlineStr">
        <is>
          <t>unclassified</t>
        </is>
      </c>
      <c r="AL18" t="inlineStr">
        <is>
          <t>Pass 46 mechanism + evidence consolidation</t>
        </is>
      </c>
      <c r="AM18" t="n">
        <v>3</v>
      </c>
      <c r="AN18" t="inlineStr">
        <is>
          <t>D</t>
        </is>
      </c>
      <c r="AO18" t="inlineStr">
        <is>
          <t>Pass 47 compound scoring</t>
        </is>
      </c>
    </row>
    <row r="19">
      <c r="A19" t="inlineStr">
        <is>
          <t>aconitine</t>
        </is>
      </c>
      <c r="B19" t="inlineStr">
        <is>
          <t>aconitine</t>
        </is>
      </c>
      <c r="D19" t="inlineStr">
        <is>
          <t>other</t>
        </is>
      </c>
      <c r="E19" t="inlineStr">
        <is>
          <t>insufficient evidence</t>
        </is>
      </c>
      <c r="F19" t="inlineStr">
        <is>
          <t>unclassified</t>
        </is>
      </c>
      <c r="W19" t="n">
        <v>2</v>
      </c>
      <c r="X19" t="inlineStr">
        <is>
          <t>Low</t>
        </is>
      </c>
      <c r="Z19" t="inlineStr">
        <is>
          <t>aconitine</t>
        </is>
      </c>
      <c r="AF19" t="inlineStr">
        <is>
          <t>aconitine</t>
        </is>
      </c>
      <c r="AH19" t="inlineStr">
        <is>
          <t>Pass 45 duplicate consolidation</t>
        </is>
      </c>
      <c r="AI19" t="inlineStr">
        <is>
          <t>other</t>
        </is>
      </c>
      <c r="AJ19" t="inlineStr">
        <is>
          <t>Unknown</t>
        </is>
      </c>
      <c r="AK19" t="inlineStr">
        <is>
          <t>unclassified</t>
        </is>
      </c>
      <c r="AL19" t="inlineStr">
        <is>
          <t>Pass 46 mechanism + evidence consolidation</t>
        </is>
      </c>
      <c r="AM19" t="n">
        <v>3</v>
      </c>
      <c r="AN19" t="inlineStr">
        <is>
          <t>D</t>
        </is>
      </c>
      <c r="AO19" t="inlineStr">
        <is>
          <t>Pass 47 compound scoring</t>
        </is>
      </c>
    </row>
    <row r="20">
      <c r="A20" t="inlineStr">
        <is>
          <t>Actein</t>
        </is>
      </c>
      <c r="B20" t="inlineStr">
        <is>
          <t>Triterpene glycoside</t>
        </is>
      </c>
      <c r="C20" t="inlineStr">
        <is>
          <t>Black Cohosh</t>
        </is>
      </c>
      <c r="D20" t="inlineStr">
        <is>
          <t>Hormonal and serotonergic-associated signaling</t>
        </is>
      </c>
      <c r="E20" t="inlineStr">
        <is>
          <t>Proposed mechanism based on preclinical data: actein exhibits anti-inflammatory and anti-proliferative activity via modulation of NF-kB signaling, calcium homeostasis, and nitric oxide pathways, with apoptosis-related effects reported in vitro.</t>
        </is>
      </c>
      <c r="F20" t="inlineStr">
        <is>
          <t>unclassified; reinforcement</t>
        </is>
      </c>
      <c r="U20" t="inlineStr">
        <is>
          <t>Pass 45 merged 2 rows into canonical compound entry</t>
        </is>
      </c>
      <c r="W20" t="n">
        <v>3</v>
      </c>
      <c r="X20" t="inlineStr">
        <is>
          <t>Medium</t>
        </is>
      </c>
      <c r="Z20" t="inlineStr">
        <is>
          <t>Actein</t>
        </is>
      </c>
      <c r="AF20" t="inlineStr">
        <is>
          <t>actein</t>
        </is>
      </c>
      <c r="AH20" t="inlineStr">
        <is>
          <t>Pass 45 duplicate consolidation</t>
        </is>
      </c>
      <c r="AI20" t="inlineStr">
        <is>
          <t>Hormonal and serotonergic-associated signaling</t>
        </is>
      </c>
      <c r="AJ20" t="inlineStr">
        <is>
          <t>Clinical</t>
        </is>
      </c>
      <c r="AK20" t="inlineStr">
        <is>
          <t>reinforcement; unclassified</t>
        </is>
      </c>
      <c r="AL20" t="inlineStr">
        <is>
          <t>Pass 46 mechanism + evidence consolidation</t>
        </is>
      </c>
      <c r="AM20" t="n">
        <v>7</v>
      </c>
      <c r="AN20" t="inlineStr">
        <is>
          <t>B</t>
        </is>
      </c>
      <c r="AO20" t="inlineStr">
        <is>
          <t>Pass 47 compound scoring</t>
        </is>
      </c>
    </row>
    <row r="21">
      <c r="A21" t="inlineStr">
        <is>
          <t>acteoside</t>
        </is>
      </c>
      <c r="B21" t="inlineStr">
        <is>
          <t>acteoside</t>
        </is>
      </c>
      <c r="D21" t="inlineStr">
        <is>
          <t>phenylethanoid glycoside</t>
        </is>
      </c>
      <c r="E21" t="inlineStr">
        <is>
          <t>Phenylethanoid glycoside associated with antioxidant and anti-inflammatory signaling.</t>
        </is>
      </c>
      <c r="F21" t="inlineStr">
        <is>
          <t>unclassified</t>
        </is>
      </c>
      <c r="W21" t="n">
        <v>2</v>
      </c>
      <c r="X21" t="inlineStr">
        <is>
          <t>Low</t>
        </is>
      </c>
      <c r="Z21" t="inlineStr">
        <is>
          <t>acteoside</t>
        </is>
      </c>
      <c r="AF21" t="inlineStr">
        <is>
          <t>acteoside</t>
        </is>
      </c>
      <c r="AH21" t="inlineStr">
        <is>
          <t>Pass 45 duplicate consolidation</t>
        </is>
      </c>
      <c r="AI21" t="inlineStr">
        <is>
          <t>phenylethanoid glycoside</t>
        </is>
      </c>
      <c r="AJ21" t="inlineStr">
        <is>
          <t>Unknown</t>
        </is>
      </c>
      <c r="AK21" t="inlineStr">
        <is>
          <t>unclassified</t>
        </is>
      </c>
      <c r="AL21" t="inlineStr">
        <is>
          <t>Pass 46 mechanism + evidence consolidation</t>
        </is>
      </c>
      <c r="AM21" t="n">
        <v>3</v>
      </c>
      <c r="AN21" t="inlineStr">
        <is>
          <t>D</t>
        </is>
      </c>
      <c r="AO21" t="inlineStr">
        <is>
          <t>Pass 47 compound scoring</t>
        </is>
      </c>
    </row>
    <row r="22">
      <c r="A22" t="inlineStr">
        <is>
          <t>adenosine</t>
        </is>
      </c>
      <c r="B22" t="inlineStr">
        <is>
          <t>adenosine</t>
        </is>
      </c>
      <c r="D22" t="inlineStr">
        <is>
          <t>polysaccharides</t>
        </is>
      </c>
      <c r="E22" t="inlineStr">
        <is>
          <t>insufficient evidence</t>
        </is>
      </c>
      <c r="F22" t="inlineStr">
        <is>
          <t>unclassified</t>
        </is>
      </c>
      <c r="W22" t="n">
        <v>2</v>
      </c>
      <c r="X22" t="inlineStr">
        <is>
          <t>Low</t>
        </is>
      </c>
      <c r="Z22" t="inlineStr">
        <is>
          <t>adenosine</t>
        </is>
      </c>
      <c r="AF22" t="inlineStr">
        <is>
          <t>adenosine</t>
        </is>
      </c>
      <c r="AH22" t="inlineStr">
        <is>
          <t>Pass 45 duplicate consolidation</t>
        </is>
      </c>
      <c r="AI22" t="inlineStr">
        <is>
          <t>polysaccharides</t>
        </is>
      </c>
      <c r="AJ22" t="inlineStr">
        <is>
          <t>Unknown</t>
        </is>
      </c>
      <c r="AK22" t="inlineStr">
        <is>
          <t>unclassified</t>
        </is>
      </c>
      <c r="AL22" t="inlineStr">
        <is>
          <t>Pass 46 mechanism + evidence consolidation</t>
        </is>
      </c>
      <c r="AM22" t="n">
        <v>3</v>
      </c>
      <c r="AN22" t="inlineStr">
        <is>
          <t>D</t>
        </is>
      </c>
      <c r="AO22" t="inlineStr">
        <is>
          <t>Pass 47 compound scoring</t>
        </is>
      </c>
    </row>
    <row r="23">
      <c r="A23" t="inlineStr">
        <is>
          <t>aegeline</t>
        </is>
      </c>
      <c r="B23" t="inlineStr">
        <is>
          <t>aegeline</t>
        </is>
      </c>
      <c r="D23" t="inlineStr">
        <is>
          <t>coumarins</t>
        </is>
      </c>
      <c r="E23" t="inlineStr">
        <is>
          <t>insufficient evidence</t>
        </is>
      </c>
      <c r="F23" t="inlineStr">
        <is>
          <t>unclassified</t>
        </is>
      </c>
      <c r="W23" t="n">
        <v>2</v>
      </c>
      <c r="X23" t="inlineStr">
        <is>
          <t>Low</t>
        </is>
      </c>
      <c r="Z23" t="inlineStr">
        <is>
          <t>aegeline</t>
        </is>
      </c>
      <c r="AF23" t="inlineStr">
        <is>
          <t>aegeline</t>
        </is>
      </c>
      <c r="AH23" t="inlineStr">
        <is>
          <t>Pass 45 duplicate consolidation</t>
        </is>
      </c>
      <c r="AI23" t="inlineStr">
        <is>
          <t>coumarins</t>
        </is>
      </c>
      <c r="AJ23" t="inlineStr">
        <is>
          <t>Unknown</t>
        </is>
      </c>
      <c r="AK23" t="inlineStr">
        <is>
          <t>unclassified</t>
        </is>
      </c>
      <c r="AL23" t="inlineStr">
        <is>
          <t>Pass 46 mechanism + evidence consolidation</t>
        </is>
      </c>
      <c r="AM23" t="n">
        <v>3</v>
      </c>
      <c r="AN23" t="inlineStr">
        <is>
          <t>D</t>
        </is>
      </c>
      <c r="AO23" t="inlineStr">
        <is>
          <t>Pass 47 compound scoring</t>
        </is>
      </c>
    </row>
    <row r="24">
      <c r="A24" t="inlineStr">
        <is>
          <t>aescin</t>
        </is>
      </c>
      <c r="B24" t="inlineStr">
        <is>
          <t>aescin</t>
        </is>
      </c>
      <c r="D24" t="inlineStr">
        <is>
          <t>other</t>
        </is>
      </c>
      <c r="E24" t="inlineStr">
        <is>
          <t>insufficient evidence</t>
        </is>
      </c>
      <c r="F24" t="inlineStr">
        <is>
          <t>unclassified</t>
        </is>
      </c>
      <c r="W24" t="n">
        <v>2</v>
      </c>
      <c r="X24" t="inlineStr">
        <is>
          <t>Low</t>
        </is>
      </c>
      <c r="Z24" t="inlineStr">
        <is>
          <t>aescin</t>
        </is>
      </c>
      <c r="AF24" t="inlineStr">
        <is>
          <t>aescin</t>
        </is>
      </c>
      <c r="AH24" t="inlineStr">
        <is>
          <t>Pass 45 duplicate consolidation</t>
        </is>
      </c>
      <c r="AI24" t="inlineStr">
        <is>
          <t>other</t>
        </is>
      </c>
      <c r="AJ24" t="inlineStr">
        <is>
          <t>Unknown</t>
        </is>
      </c>
      <c r="AK24" t="inlineStr">
        <is>
          <t>unclassified</t>
        </is>
      </c>
      <c r="AL24" t="inlineStr">
        <is>
          <t>Pass 46 mechanism + evidence consolidation</t>
        </is>
      </c>
      <c r="AM24" t="n">
        <v>3</v>
      </c>
      <c r="AN24" t="inlineStr">
        <is>
          <t>D</t>
        </is>
      </c>
      <c r="AO24" t="inlineStr">
        <is>
          <t>Pass 47 compound scoring</t>
        </is>
      </c>
    </row>
    <row r="25">
      <c r="A25" t="inlineStr">
        <is>
          <t>aesculin</t>
        </is>
      </c>
      <c r="B25" t="inlineStr">
        <is>
          <t>aesculin</t>
        </is>
      </c>
      <c r="D25" t="inlineStr">
        <is>
          <t>other</t>
        </is>
      </c>
      <c r="E25" t="inlineStr">
        <is>
          <t>insufficient evidence</t>
        </is>
      </c>
      <c r="F25" t="inlineStr">
        <is>
          <t>unclassified</t>
        </is>
      </c>
      <c r="W25" t="n">
        <v>2</v>
      </c>
      <c r="X25" t="inlineStr">
        <is>
          <t>Low</t>
        </is>
      </c>
      <c r="Z25" t="inlineStr">
        <is>
          <t>aesculin</t>
        </is>
      </c>
      <c r="AF25" t="inlineStr">
        <is>
          <t>aesculin</t>
        </is>
      </c>
      <c r="AH25" t="inlineStr">
        <is>
          <t>Pass 45 duplicate consolidation</t>
        </is>
      </c>
      <c r="AI25" t="inlineStr">
        <is>
          <t>other</t>
        </is>
      </c>
      <c r="AJ25" t="inlineStr">
        <is>
          <t>Unknown</t>
        </is>
      </c>
      <c r="AK25" t="inlineStr">
        <is>
          <t>unclassified</t>
        </is>
      </c>
      <c r="AL25" t="inlineStr">
        <is>
          <t>Pass 46 mechanism + evidence consolidation</t>
        </is>
      </c>
      <c r="AM25" t="n">
        <v>3</v>
      </c>
      <c r="AN25" t="inlineStr">
        <is>
          <t>D</t>
        </is>
      </c>
      <c r="AO25" t="inlineStr">
        <is>
          <t>Pass 47 compound scoring</t>
        </is>
      </c>
    </row>
    <row r="26">
      <c r="A26" t="inlineStr">
        <is>
          <t>agaric acid</t>
        </is>
      </c>
      <c r="B26" t="inlineStr">
        <is>
          <t>agaric acid</t>
        </is>
      </c>
      <c r="D26" t="inlineStr">
        <is>
          <t>organic acid</t>
        </is>
      </c>
      <c r="E26" t="inlineStr">
        <is>
          <t>Agarikon-associated constituent linked to traditional immune-support positioning.</t>
        </is>
      </c>
      <c r="F26" t="inlineStr">
        <is>
          <t>unclassified</t>
        </is>
      </c>
      <c r="W26" t="n">
        <v>2</v>
      </c>
      <c r="X26" t="inlineStr">
        <is>
          <t>Low</t>
        </is>
      </c>
      <c r="Z26" t="inlineStr">
        <is>
          <t>agaric acid</t>
        </is>
      </c>
      <c r="AF26" t="inlineStr">
        <is>
          <t>agaric acid</t>
        </is>
      </c>
      <c r="AH26" t="inlineStr">
        <is>
          <t>Pass 45 duplicate consolidation</t>
        </is>
      </c>
      <c r="AI26" t="inlineStr">
        <is>
          <t>organic acid</t>
        </is>
      </c>
      <c r="AJ26" t="inlineStr">
        <is>
          <t>Unknown</t>
        </is>
      </c>
      <c r="AK26" t="inlineStr">
        <is>
          <t>unclassified</t>
        </is>
      </c>
      <c r="AL26" t="inlineStr">
        <is>
          <t>Pass 46 mechanism + evidence consolidation</t>
        </is>
      </c>
      <c r="AM26" t="n">
        <v>3</v>
      </c>
      <c r="AN26" t="inlineStr">
        <is>
          <t>D</t>
        </is>
      </c>
      <c r="AO26" t="inlineStr">
        <is>
          <t>Pass 47 compound scoring</t>
        </is>
      </c>
    </row>
    <row r="27">
      <c r="A27" t="inlineStr">
        <is>
          <t>agnuside</t>
        </is>
      </c>
      <c r="B27" t="inlineStr">
        <is>
          <t>agnuside</t>
        </is>
      </c>
      <c r="D27" t="inlineStr">
        <is>
          <t>Agnuside, flavonoids, diterpenes</t>
        </is>
      </c>
      <c r="E27" t="inlineStr">
        <is>
          <t>insufficient evidence</t>
        </is>
      </c>
      <c r="F27" t="inlineStr">
        <is>
          <t>unclassified</t>
        </is>
      </c>
      <c r="W27" t="n">
        <v>2</v>
      </c>
      <c r="X27" t="inlineStr">
        <is>
          <t>Low</t>
        </is>
      </c>
      <c r="Z27" t="inlineStr">
        <is>
          <t>agnuside</t>
        </is>
      </c>
      <c r="AF27" t="inlineStr">
        <is>
          <t>agnuside</t>
        </is>
      </c>
      <c r="AH27" t="inlineStr">
        <is>
          <t>Pass 45 duplicate consolidation</t>
        </is>
      </c>
      <c r="AI27" t="inlineStr">
        <is>
          <t>Agnuside, flavonoids, diterpenes</t>
        </is>
      </c>
      <c r="AJ27" t="inlineStr">
        <is>
          <t>Unknown</t>
        </is>
      </c>
      <c r="AK27" t="inlineStr">
        <is>
          <t>unclassified</t>
        </is>
      </c>
      <c r="AL27" t="inlineStr">
        <is>
          <t>Pass 46 mechanism + evidence consolidation</t>
        </is>
      </c>
      <c r="AM27" t="n">
        <v>3</v>
      </c>
      <c r="AN27" t="inlineStr">
        <is>
          <t>D</t>
        </is>
      </c>
      <c r="AO27" t="inlineStr">
        <is>
          <t>Pass 47 compound scoring</t>
        </is>
      </c>
    </row>
    <row r="28">
      <c r="A28" t="inlineStr">
        <is>
          <t>agrimoniin</t>
        </is>
      </c>
      <c r="B28" t="inlineStr">
        <is>
          <t>agrimoniin</t>
        </is>
      </c>
      <c r="D28" t="inlineStr">
        <is>
          <t>Tannins, agrimoniin, flavonoids</t>
        </is>
      </c>
      <c r="E28" t="inlineStr">
        <is>
          <t>insufficient evidence</t>
        </is>
      </c>
      <c r="F28" t="inlineStr">
        <is>
          <t>unclassified</t>
        </is>
      </c>
      <c r="W28" t="n">
        <v>2</v>
      </c>
      <c r="X28" t="inlineStr">
        <is>
          <t>Low</t>
        </is>
      </c>
      <c r="Z28" t="inlineStr">
        <is>
          <t>agrimoniin</t>
        </is>
      </c>
      <c r="AF28" t="inlineStr">
        <is>
          <t>agrimoniin</t>
        </is>
      </c>
      <c r="AH28" t="inlineStr">
        <is>
          <t>Pass 45 duplicate consolidation</t>
        </is>
      </c>
      <c r="AI28" t="inlineStr">
        <is>
          <t>Tannins, agrimoniin, flavonoids</t>
        </is>
      </c>
      <c r="AJ28" t="inlineStr">
        <is>
          <t>Unknown</t>
        </is>
      </c>
      <c r="AK28" t="inlineStr">
        <is>
          <t>unclassified</t>
        </is>
      </c>
      <c r="AL28" t="inlineStr">
        <is>
          <t>Pass 46 mechanism + evidence consolidation</t>
        </is>
      </c>
      <c r="AM28" t="n">
        <v>3</v>
      </c>
      <c r="AN28" t="inlineStr">
        <is>
          <t>D</t>
        </is>
      </c>
      <c r="AO28" t="inlineStr">
        <is>
          <t>Pass 47 compound scoring</t>
        </is>
      </c>
    </row>
    <row r="29">
      <c r="A29" t="inlineStr">
        <is>
          <t>ajmaline</t>
        </is>
      </c>
      <c r="B29" t="inlineStr">
        <is>
          <t>ajmaline</t>
        </is>
      </c>
      <c r="D29" t="inlineStr">
        <is>
          <t>other</t>
        </is>
      </c>
      <c r="E29" t="inlineStr">
        <is>
          <t>insufficient evidence</t>
        </is>
      </c>
      <c r="F29" t="inlineStr">
        <is>
          <t>unclassified</t>
        </is>
      </c>
      <c r="W29" t="n">
        <v>2</v>
      </c>
      <c r="X29" t="inlineStr">
        <is>
          <t>Low</t>
        </is>
      </c>
      <c r="Z29" t="inlineStr">
        <is>
          <t>ajmaline</t>
        </is>
      </c>
      <c r="AF29" t="inlineStr">
        <is>
          <t>ajmaline</t>
        </is>
      </c>
      <c r="AH29" t="inlineStr">
        <is>
          <t>Pass 45 duplicate consolidation</t>
        </is>
      </c>
      <c r="AI29" t="inlineStr">
        <is>
          <t>other</t>
        </is>
      </c>
      <c r="AJ29" t="inlineStr">
        <is>
          <t>Unknown</t>
        </is>
      </c>
      <c r="AK29" t="inlineStr">
        <is>
          <t>unclassified</t>
        </is>
      </c>
      <c r="AL29" t="inlineStr">
        <is>
          <t>Pass 46 mechanism + evidence consolidation</t>
        </is>
      </c>
      <c r="AM29" t="n">
        <v>3</v>
      </c>
      <c r="AN29" t="inlineStr">
        <is>
          <t>D</t>
        </is>
      </c>
      <c r="AO29" t="inlineStr">
        <is>
          <t>Pass 47 compound scoring</t>
        </is>
      </c>
    </row>
    <row r="30">
      <c r="A30" t="inlineStr">
        <is>
          <t>ajoene</t>
        </is>
      </c>
      <c r="B30" t="inlineStr">
        <is>
          <t>ajoene</t>
        </is>
      </c>
      <c r="D30" t="inlineStr">
        <is>
          <t>other</t>
        </is>
      </c>
      <c r="E30" t="inlineStr">
        <is>
          <t>insufficient evidence</t>
        </is>
      </c>
      <c r="F30" t="inlineStr">
        <is>
          <t>unclassified</t>
        </is>
      </c>
      <c r="W30" t="n">
        <v>2</v>
      </c>
      <c r="X30" t="inlineStr">
        <is>
          <t>Low</t>
        </is>
      </c>
      <c r="Z30" t="inlineStr">
        <is>
          <t>ajoene</t>
        </is>
      </c>
      <c r="AF30" t="inlineStr">
        <is>
          <t>ajoene</t>
        </is>
      </c>
      <c r="AH30" t="inlineStr">
        <is>
          <t>Pass 45 duplicate consolidation</t>
        </is>
      </c>
      <c r="AI30" t="inlineStr">
        <is>
          <t>other</t>
        </is>
      </c>
      <c r="AJ30" t="inlineStr">
        <is>
          <t>Unknown</t>
        </is>
      </c>
      <c r="AK30" t="inlineStr">
        <is>
          <t>unclassified</t>
        </is>
      </c>
      <c r="AL30" t="inlineStr">
        <is>
          <t>Pass 46 mechanism + evidence consolidation</t>
        </is>
      </c>
      <c r="AM30" t="n">
        <v>3</v>
      </c>
      <c r="AN30" t="inlineStr">
        <is>
          <t>D</t>
        </is>
      </c>
      <c r="AO30" t="inlineStr">
        <is>
          <t>Pass 47 compound scoring</t>
        </is>
      </c>
    </row>
    <row r="31">
      <c r="A31" t="inlineStr">
        <is>
          <t>akba</t>
        </is>
      </c>
      <c r="B31" t="inlineStr">
        <is>
          <t>akba</t>
        </is>
      </c>
      <c r="D31" t="inlineStr">
        <is>
          <t>other</t>
        </is>
      </c>
      <c r="E31" t="inlineStr">
        <is>
          <t>insufficient evidence</t>
        </is>
      </c>
      <c r="F31" t="inlineStr">
        <is>
          <t>unclassified</t>
        </is>
      </c>
      <c r="W31" t="n">
        <v>2</v>
      </c>
      <c r="X31" t="inlineStr">
        <is>
          <t>Low</t>
        </is>
      </c>
      <c r="Z31" t="inlineStr">
        <is>
          <t>akba</t>
        </is>
      </c>
      <c r="AF31" t="inlineStr">
        <is>
          <t>akba</t>
        </is>
      </c>
      <c r="AH31" t="inlineStr">
        <is>
          <t>Pass 45 duplicate consolidation</t>
        </is>
      </c>
      <c r="AI31" t="inlineStr">
        <is>
          <t>other</t>
        </is>
      </c>
      <c r="AJ31" t="inlineStr">
        <is>
          <t>Unknown</t>
        </is>
      </c>
      <c r="AK31" t="inlineStr">
        <is>
          <t>unclassified</t>
        </is>
      </c>
      <c r="AL31" t="inlineStr">
        <is>
          <t>Pass 46 mechanism + evidence consolidation</t>
        </is>
      </c>
      <c r="AM31" t="n">
        <v>3</v>
      </c>
      <c r="AN31" t="inlineStr">
        <is>
          <t>D</t>
        </is>
      </c>
      <c r="AO31" t="inlineStr">
        <is>
          <t>Pass 47 compound scoring</t>
        </is>
      </c>
    </row>
    <row r="32">
      <c r="A32" t="inlineStr">
        <is>
          <t>Akuammine</t>
        </is>
      </c>
      <c r="B32" t="inlineStr">
        <is>
          <t>Indole Alkaloid</t>
        </is>
      </c>
      <c r="C32" t="inlineStr">
        <is>
          <t>Picralima nitida</t>
        </is>
      </c>
      <c r="D32" t="inlineStr">
        <is>
          <t>Opioid receptor activity</t>
        </is>
      </c>
      <c r="E32" t="inlineStr">
        <is>
          <t>Animal</t>
        </is>
      </c>
      <c r="F32" t="inlineStr">
        <is>
          <t>analgesic signaling; opioid receptor activity</t>
        </is>
      </c>
      <c r="W32" t="n">
        <v>4</v>
      </c>
      <c r="X32" t="inlineStr">
        <is>
          <t>Medium</t>
        </is>
      </c>
      <c r="Z32" t="inlineStr">
        <is>
          <t>Akuammine</t>
        </is>
      </c>
      <c r="AF32" t="inlineStr">
        <is>
          <t>akuammine</t>
        </is>
      </c>
      <c r="AH32" t="inlineStr">
        <is>
          <t>Pass 45 duplicate consolidation</t>
        </is>
      </c>
      <c r="AI32" t="inlineStr">
        <is>
          <t>Opioid receptor activity</t>
        </is>
      </c>
      <c r="AJ32" t="inlineStr">
        <is>
          <t>Preclinical</t>
        </is>
      </c>
      <c r="AK32" t="inlineStr">
        <is>
          <t>analgesic signaling; opioid receptor activity</t>
        </is>
      </c>
      <c r="AL32" t="inlineStr">
        <is>
          <t>Pass 46 mechanism + evidence consolidation</t>
        </is>
      </c>
      <c r="AM32" t="n">
        <v>5</v>
      </c>
      <c r="AN32" t="inlineStr">
        <is>
          <t>C</t>
        </is>
      </c>
      <c r="AO32" t="inlineStr">
        <is>
          <t>Pass 47 compound scoring</t>
        </is>
      </c>
    </row>
    <row r="33">
      <c r="A33" t="inlineStr">
        <is>
          <t>alangine</t>
        </is>
      </c>
      <c r="B33" t="inlineStr">
        <is>
          <t>alangine</t>
        </is>
      </c>
      <c r="D33" t="inlineStr">
        <is>
          <t>alkaloids</t>
        </is>
      </c>
      <c r="E33" t="inlineStr">
        <is>
          <t>insufficient evidence</t>
        </is>
      </c>
      <c r="F33" t="inlineStr">
        <is>
          <t>unclassified</t>
        </is>
      </c>
      <c r="W33" t="n">
        <v>2</v>
      </c>
      <c r="X33" t="inlineStr">
        <is>
          <t>Low</t>
        </is>
      </c>
      <c r="Z33" t="inlineStr">
        <is>
          <t>alangine</t>
        </is>
      </c>
      <c r="AF33" t="inlineStr">
        <is>
          <t>alangine</t>
        </is>
      </c>
      <c r="AH33" t="inlineStr">
        <is>
          <t>Pass 45 duplicate consolidation</t>
        </is>
      </c>
      <c r="AI33" t="inlineStr">
        <is>
          <t>alkaloids</t>
        </is>
      </c>
      <c r="AJ33" t="inlineStr">
        <is>
          <t>Unknown</t>
        </is>
      </c>
      <c r="AK33" t="inlineStr">
        <is>
          <t>unclassified</t>
        </is>
      </c>
      <c r="AL33" t="inlineStr">
        <is>
          <t>Pass 46 mechanism + evidence consolidation</t>
        </is>
      </c>
      <c r="AM33" t="n">
        <v>3</v>
      </c>
      <c r="AN33" t="inlineStr">
        <is>
          <t>D</t>
        </is>
      </c>
      <c r="AO33" t="inlineStr">
        <is>
          <t>Pass 47 compound scoring</t>
        </is>
      </c>
    </row>
    <row r="34">
      <c r="A34" t="inlineStr">
        <is>
          <t>alantolactone</t>
        </is>
      </c>
      <c r="B34" t="inlineStr">
        <is>
          <t>alantolactone</t>
        </is>
      </c>
      <c r="D34" t="inlineStr">
        <is>
          <t>sesquiterpene lactone</t>
        </is>
      </c>
      <c r="E34" t="inlineStr">
        <is>
          <t>Elecampane constituent associated with respiratory and bitter-digestive positioning.</t>
        </is>
      </c>
      <c r="F34" t="inlineStr">
        <is>
          <t>unclassified</t>
        </is>
      </c>
      <c r="W34" t="n">
        <v>2</v>
      </c>
      <c r="X34" t="inlineStr">
        <is>
          <t>Low</t>
        </is>
      </c>
      <c r="Z34" t="inlineStr">
        <is>
          <t>alantolactone</t>
        </is>
      </c>
      <c r="AF34" t="inlineStr">
        <is>
          <t>alantolactone</t>
        </is>
      </c>
      <c r="AH34" t="inlineStr">
        <is>
          <t>Pass 45 duplicate consolidation</t>
        </is>
      </c>
      <c r="AI34" t="inlineStr">
        <is>
          <t>sesquiterpene lactone</t>
        </is>
      </c>
      <c r="AJ34" t="inlineStr">
        <is>
          <t>Unknown</t>
        </is>
      </c>
      <c r="AK34" t="inlineStr">
        <is>
          <t>unclassified</t>
        </is>
      </c>
      <c r="AL34" t="inlineStr">
        <is>
          <t>Pass 46 mechanism + evidence consolidation</t>
        </is>
      </c>
      <c r="AM34" t="n">
        <v>3</v>
      </c>
      <c r="AN34" t="inlineStr">
        <is>
          <t>D</t>
        </is>
      </c>
      <c r="AO34" t="inlineStr">
        <is>
          <t>Pass 47 compound scoring</t>
        </is>
      </c>
    </row>
    <row r="35">
      <c r="A35" t="inlineStr">
        <is>
          <t>alchorneine</t>
        </is>
      </c>
      <c r="B35" t="inlineStr">
        <is>
          <t>alchorneine</t>
        </is>
      </c>
      <c r="D35" t="inlineStr">
        <is>
          <t>iboga alkaloids</t>
        </is>
      </c>
      <c r="E35" t="inlineStr">
        <is>
          <t>insufficient evidence</t>
        </is>
      </c>
      <c r="F35" t="inlineStr">
        <is>
          <t>unclassified</t>
        </is>
      </c>
      <c r="W35" t="n">
        <v>2</v>
      </c>
      <c r="X35" t="inlineStr">
        <is>
          <t>Low</t>
        </is>
      </c>
      <c r="Z35" t="inlineStr">
        <is>
          <t>alchorneine</t>
        </is>
      </c>
      <c r="AF35" t="inlineStr">
        <is>
          <t>alchorneine</t>
        </is>
      </c>
      <c r="AH35" t="inlineStr">
        <is>
          <t>Pass 45 duplicate consolidation</t>
        </is>
      </c>
      <c r="AI35" t="inlineStr">
        <is>
          <t>iboga alkaloids</t>
        </is>
      </c>
      <c r="AJ35" t="inlineStr">
        <is>
          <t>Unknown</t>
        </is>
      </c>
      <c r="AK35" t="inlineStr">
        <is>
          <t>unclassified</t>
        </is>
      </c>
      <c r="AL35" t="inlineStr">
        <is>
          <t>Pass 46 mechanism + evidence consolidation</t>
        </is>
      </c>
      <c r="AM35" t="n">
        <v>3</v>
      </c>
      <c r="AN35" t="inlineStr">
        <is>
          <t>D</t>
        </is>
      </c>
      <c r="AO35" t="inlineStr">
        <is>
          <t>Pass 47 compound scoring</t>
        </is>
      </c>
    </row>
    <row r="36">
      <c r="A36" t="inlineStr">
        <is>
          <t>allantoin</t>
        </is>
      </c>
      <c r="B36" t="inlineStr">
        <is>
          <t>allantoin</t>
        </is>
      </c>
      <c r="D36" t="inlineStr">
        <is>
          <t>other</t>
        </is>
      </c>
      <c r="E36" t="inlineStr">
        <is>
          <t>insufficient evidence</t>
        </is>
      </c>
      <c r="F36" t="inlineStr">
        <is>
          <t>unclassified</t>
        </is>
      </c>
      <c r="W36" t="n">
        <v>2</v>
      </c>
      <c r="X36" t="inlineStr">
        <is>
          <t>Low</t>
        </is>
      </c>
      <c r="Z36" t="inlineStr">
        <is>
          <t>allantoin</t>
        </is>
      </c>
      <c r="AF36" t="inlineStr">
        <is>
          <t>allantoin</t>
        </is>
      </c>
      <c r="AH36" t="inlineStr">
        <is>
          <t>Pass 45 duplicate consolidation</t>
        </is>
      </c>
      <c r="AI36" t="inlineStr">
        <is>
          <t>other</t>
        </is>
      </c>
      <c r="AJ36" t="inlineStr">
        <is>
          <t>Unknown</t>
        </is>
      </c>
      <c r="AK36" t="inlineStr">
        <is>
          <t>unclassified</t>
        </is>
      </c>
      <c r="AL36" t="inlineStr">
        <is>
          <t>Pass 46 mechanism + evidence consolidation</t>
        </is>
      </c>
      <c r="AM36" t="n">
        <v>3</v>
      </c>
      <c r="AN36" t="inlineStr">
        <is>
          <t>D</t>
        </is>
      </c>
      <c r="AO36" t="inlineStr">
        <is>
          <t>Pass 47 compound scoring</t>
        </is>
      </c>
    </row>
    <row r="37">
      <c r="A37" t="inlineStr">
        <is>
          <t>allicin</t>
        </is>
      </c>
      <c r="B37" t="inlineStr">
        <is>
          <t>allicin</t>
        </is>
      </c>
      <c r="D37" t="inlineStr">
        <is>
          <t>other</t>
        </is>
      </c>
      <c r="E37" t="inlineStr">
        <is>
          <t>insufficient evidence</t>
        </is>
      </c>
      <c r="F37" t="inlineStr">
        <is>
          <t>unclassified</t>
        </is>
      </c>
      <c r="W37" t="n">
        <v>2</v>
      </c>
      <c r="X37" t="inlineStr">
        <is>
          <t>Low</t>
        </is>
      </c>
      <c r="Z37" t="inlineStr">
        <is>
          <t>allicin</t>
        </is>
      </c>
      <c r="AF37" t="inlineStr">
        <is>
          <t>allicin</t>
        </is>
      </c>
      <c r="AH37" t="inlineStr">
        <is>
          <t>Pass 45 duplicate consolidation</t>
        </is>
      </c>
      <c r="AI37" t="inlineStr">
        <is>
          <t>other</t>
        </is>
      </c>
      <c r="AJ37" t="inlineStr">
        <is>
          <t>Unknown</t>
        </is>
      </c>
      <c r="AK37" t="inlineStr">
        <is>
          <t>unclassified</t>
        </is>
      </c>
      <c r="AL37" t="inlineStr">
        <is>
          <t>Pass 46 mechanism + evidence consolidation</t>
        </is>
      </c>
      <c r="AM37" t="n">
        <v>3</v>
      </c>
      <c r="AN37" t="inlineStr">
        <is>
          <t>D</t>
        </is>
      </c>
      <c r="AO37" t="inlineStr">
        <is>
          <t>Pass 47 compound scoring</t>
        </is>
      </c>
    </row>
    <row r="38">
      <c r="A38" t="inlineStr">
        <is>
          <t>allyl isothiocyanate</t>
        </is>
      </c>
      <c r="B38" t="inlineStr">
        <is>
          <t>allyl isothiocyanate</t>
        </is>
      </c>
      <c r="D38" t="inlineStr">
        <is>
          <t>other</t>
        </is>
      </c>
      <c r="E38" t="inlineStr">
        <is>
          <t>insufficient evidence</t>
        </is>
      </c>
      <c r="F38" t="inlineStr">
        <is>
          <t>unclassified</t>
        </is>
      </c>
      <c r="W38" t="n">
        <v>2</v>
      </c>
      <c r="X38" t="inlineStr">
        <is>
          <t>Low</t>
        </is>
      </c>
      <c r="Z38" t="inlineStr">
        <is>
          <t>allyl isothiocyanate</t>
        </is>
      </c>
      <c r="AF38" t="inlineStr">
        <is>
          <t>allyl isothiocyanate</t>
        </is>
      </c>
      <c r="AH38" t="inlineStr">
        <is>
          <t>Pass 45 duplicate consolidation</t>
        </is>
      </c>
      <c r="AI38" t="inlineStr">
        <is>
          <t>other</t>
        </is>
      </c>
      <c r="AJ38" t="inlineStr">
        <is>
          <t>Unknown</t>
        </is>
      </c>
      <c r="AK38" t="inlineStr">
        <is>
          <t>unclassified</t>
        </is>
      </c>
      <c r="AL38" t="inlineStr">
        <is>
          <t>Pass 46 mechanism + evidence consolidation</t>
        </is>
      </c>
      <c r="AM38" t="n">
        <v>3</v>
      </c>
      <c r="AN38" t="inlineStr">
        <is>
          <t>D</t>
        </is>
      </c>
      <c r="AO38" t="inlineStr">
        <is>
          <t>Pass 47 compound scoring</t>
        </is>
      </c>
    </row>
    <row r="39">
      <c r="A39" t="inlineStr">
        <is>
          <t>aloe-emodin</t>
        </is>
      </c>
      <c r="B39" t="inlineStr">
        <is>
          <t>aloe-emodin</t>
        </is>
      </c>
      <c r="D39" t="inlineStr">
        <is>
          <t>anthraquinone</t>
        </is>
      </c>
      <c r="E39" t="inlineStr">
        <is>
          <t>Modulates MAPK and NF-kB pathways</t>
        </is>
      </c>
      <c r="F39" t="inlineStr">
        <is>
          <t>unclassified</t>
        </is>
      </c>
      <c r="W39" t="n">
        <v>2</v>
      </c>
      <c r="X39" t="inlineStr">
        <is>
          <t>Low</t>
        </is>
      </c>
      <c r="Z39" t="inlineStr">
        <is>
          <t>aloe-emodin</t>
        </is>
      </c>
      <c r="AF39" t="inlineStr">
        <is>
          <t>aloe emodin</t>
        </is>
      </c>
      <c r="AH39" t="inlineStr">
        <is>
          <t>Pass 45 duplicate consolidation</t>
        </is>
      </c>
      <c r="AI39" t="inlineStr">
        <is>
          <t>anthraquinone</t>
        </is>
      </c>
      <c r="AJ39" t="inlineStr">
        <is>
          <t>Unknown</t>
        </is>
      </c>
      <c r="AK39" t="inlineStr">
        <is>
          <t>unclassified</t>
        </is>
      </c>
      <c r="AL39" t="inlineStr">
        <is>
          <t>Pass 46 mechanism + evidence consolidation</t>
        </is>
      </c>
      <c r="AM39" t="n">
        <v>3</v>
      </c>
      <c r="AN39" t="inlineStr">
        <is>
          <t>D</t>
        </is>
      </c>
      <c r="AO39" t="inlineStr">
        <is>
          <t>Pass 47 compound scoring</t>
        </is>
      </c>
    </row>
    <row r="40">
      <c r="A40" t="inlineStr">
        <is>
          <t>aloin</t>
        </is>
      </c>
      <c r="B40" t="inlineStr">
        <is>
          <t>aloin</t>
        </is>
      </c>
      <c r="D40" t="inlineStr">
        <is>
          <t>Aloin, polysaccharides, anthraquinones</t>
        </is>
      </c>
      <c r="E40" t="inlineStr">
        <is>
          <t>insufficient evidence</t>
        </is>
      </c>
      <c r="F40" t="inlineStr">
        <is>
          <t>unclassified</t>
        </is>
      </c>
      <c r="W40" t="n">
        <v>2</v>
      </c>
      <c r="X40" t="inlineStr">
        <is>
          <t>Low</t>
        </is>
      </c>
      <c r="Z40" t="inlineStr">
        <is>
          <t>aloin</t>
        </is>
      </c>
      <c r="AF40" t="inlineStr">
        <is>
          <t>aloin</t>
        </is>
      </c>
      <c r="AH40" t="inlineStr">
        <is>
          <t>Pass 45 duplicate consolidation</t>
        </is>
      </c>
      <c r="AI40" t="inlineStr">
        <is>
          <t>Aloin, polysaccharides, anthraquinones</t>
        </is>
      </c>
      <c r="AJ40" t="inlineStr">
        <is>
          <t>Unknown</t>
        </is>
      </c>
      <c r="AK40" t="inlineStr">
        <is>
          <t>unclassified</t>
        </is>
      </c>
      <c r="AL40" t="inlineStr">
        <is>
          <t>Pass 46 mechanism + evidence consolidation</t>
        </is>
      </c>
      <c r="AM40" t="n">
        <v>3</v>
      </c>
      <c r="AN40" t="inlineStr">
        <is>
          <t>D</t>
        </is>
      </c>
      <c r="AO40" t="inlineStr">
        <is>
          <t>Pass 47 compound scoring</t>
        </is>
      </c>
    </row>
    <row r="41">
      <c r="A41" t="inlineStr">
        <is>
          <t>alpha-asarone</t>
        </is>
      </c>
      <c r="B41" t="inlineStr">
        <is>
          <t>alpha-asarone</t>
        </is>
      </c>
      <c r="D41" t="inlineStr">
        <is>
          <t>other</t>
        </is>
      </c>
      <c r="E41" t="inlineStr">
        <is>
          <t>insufficient evidence</t>
        </is>
      </c>
      <c r="F41" t="inlineStr">
        <is>
          <t>adrenergic signaling</t>
        </is>
      </c>
      <c r="W41" t="n">
        <v>2</v>
      </c>
      <c r="X41" t="inlineStr">
        <is>
          <t>Low</t>
        </is>
      </c>
      <c r="Z41" t="inlineStr">
        <is>
          <t>alpha-asarone</t>
        </is>
      </c>
      <c r="AF41" t="inlineStr">
        <is>
          <t>alpha asarone</t>
        </is>
      </c>
      <c r="AH41" t="inlineStr">
        <is>
          <t>Pass 45 duplicate consolidation</t>
        </is>
      </c>
      <c r="AI41" t="inlineStr">
        <is>
          <t>other</t>
        </is>
      </c>
      <c r="AJ41" t="inlineStr">
        <is>
          <t>Unknown</t>
        </is>
      </c>
      <c r="AK41" t="inlineStr">
        <is>
          <t>adrenergic signaling</t>
        </is>
      </c>
      <c r="AL41" t="inlineStr">
        <is>
          <t>Pass 46 mechanism + evidence consolidation</t>
        </is>
      </c>
      <c r="AM41" t="n">
        <v>3</v>
      </c>
      <c r="AN41" t="inlineStr">
        <is>
          <t>D</t>
        </is>
      </c>
      <c r="AO41" t="inlineStr">
        <is>
          <t>Pass 47 compound scoring</t>
        </is>
      </c>
    </row>
    <row r="42">
      <c r="A42" t="inlineStr">
        <is>
          <t>alpha-bisabolol</t>
        </is>
      </c>
      <c r="B42" t="inlineStr">
        <is>
          <t>alpha-bisabolol</t>
        </is>
      </c>
      <c r="C42" t="inlineStr">
        <is>
          <t>Chamomile</t>
        </is>
      </c>
      <c r="D42" t="inlineStr">
        <is>
          <t>other</t>
        </is>
      </c>
      <c r="E42" t="inlineStr">
        <is>
          <t>Chamomile's CNS effects are partly attributed to apigenin, which binds at the central benzodiazepine site associated with GABA_A receptor signaling; other constituents contribute anti-inflammatory and spasmolytic activity.</t>
        </is>
      </c>
      <c r="F42" t="inlineStr">
        <is>
          <t>adrenergic signaling</t>
        </is>
      </c>
      <c r="U42" t="inlineStr">
        <is>
          <t>Pass 13 linked existing compound to additional top herb</t>
        </is>
      </c>
      <c r="W42" t="n">
        <v>2</v>
      </c>
      <c r="X42" t="inlineStr">
        <is>
          <t>Low</t>
        </is>
      </c>
      <c r="Z42" t="inlineStr">
        <is>
          <t>alpha-bisabolol</t>
        </is>
      </c>
      <c r="AF42" t="inlineStr">
        <is>
          <t>alpha bisabolol</t>
        </is>
      </c>
      <c r="AH42" t="inlineStr">
        <is>
          <t>Pass 45 duplicate consolidation</t>
        </is>
      </c>
      <c r="AI42" t="inlineStr">
        <is>
          <t>other</t>
        </is>
      </c>
      <c r="AJ42" t="inlineStr">
        <is>
          <t>Unknown</t>
        </is>
      </c>
      <c r="AK42" t="inlineStr">
        <is>
          <t>adrenergic signaling</t>
        </is>
      </c>
      <c r="AL42" t="inlineStr">
        <is>
          <t>Pass 46 mechanism + evidence consolidation</t>
        </is>
      </c>
      <c r="AM42" t="n">
        <v>3</v>
      </c>
      <c r="AN42" t="inlineStr">
        <is>
          <t>D</t>
        </is>
      </c>
      <c r="AO42" t="inlineStr">
        <is>
          <t>Pass 47 compound scoring</t>
        </is>
      </c>
    </row>
    <row r="43">
      <c r="A43" t="inlineStr">
        <is>
          <t>alpha-gpc l-alpha-glycerylphosphorylcholine</t>
        </is>
      </c>
      <c r="B43" t="inlineStr">
        <is>
          <t>alpha-GPC (L-alpha-glycerylphosphorylcholine)</t>
        </is>
      </c>
      <c r="D43" t="inlineStr">
        <is>
          <t>choline-containing phospholipid metabolite</t>
        </is>
      </c>
      <c r="E43" t="inlineStr">
        <is>
          <t>Highly bioavailable choline donor that increases choline availability for acetylcholine synthesis and phospholipid metabolism; primary value is precursor loading rather than direct receptor pharmacology.</t>
        </is>
      </c>
      <c r="F43" t="inlineStr">
        <is>
          <t>adrenergic signaling</t>
        </is>
      </c>
      <c r="W43" t="n">
        <v>2</v>
      </c>
      <c r="X43" t="inlineStr">
        <is>
          <t>Low</t>
        </is>
      </c>
      <c r="Z43" t="inlineStr">
        <is>
          <t>alpha-gpc l-alpha-glycerylphosphorylcholine</t>
        </is>
      </c>
      <c r="AF43" t="inlineStr">
        <is>
          <t>alpha gpc l alpha glycerylphosphorylcholine</t>
        </is>
      </c>
      <c r="AH43" t="inlineStr">
        <is>
          <t>Pass 45 duplicate consolidation</t>
        </is>
      </c>
      <c r="AI43" t="inlineStr">
        <is>
          <t>choline-containing phospholipid metabolite</t>
        </is>
      </c>
      <c r="AJ43" t="inlineStr">
        <is>
          <t>Unknown</t>
        </is>
      </c>
      <c r="AK43" t="inlineStr">
        <is>
          <t>adrenergic signaling</t>
        </is>
      </c>
      <c r="AL43" t="inlineStr">
        <is>
          <t>Pass 46 mechanism + evidence consolidation</t>
        </is>
      </c>
      <c r="AM43" t="n">
        <v>3</v>
      </c>
      <c r="AN43" t="inlineStr">
        <is>
          <t>D</t>
        </is>
      </c>
      <c r="AO43" t="inlineStr">
        <is>
          <t>Pass 47 compound scoring</t>
        </is>
      </c>
    </row>
    <row r="44">
      <c r="A44" t="inlineStr">
        <is>
          <t>alpha-mangostin</t>
        </is>
      </c>
      <c r="B44" t="inlineStr">
        <is>
          <t>alpha-mangostin</t>
        </is>
      </c>
      <c r="D44" t="inlineStr">
        <is>
          <t>xanthone</t>
        </is>
      </c>
      <c r="E44" t="inlineStr">
        <is>
          <t>Mangosteen xanthone associated with antioxidant and traditional-support positioning.</t>
        </is>
      </c>
      <c r="F44" t="inlineStr">
        <is>
          <t>adrenergic signaling</t>
        </is>
      </c>
      <c r="W44" t="n">
        <v>2</v>
      </c>
      <c r="X44" t="inlineStr">
        <is>
          <t>Low</t>
        </is>
      </c>
      <c r="Z44" t="inlineStr">
        <is>
          <t>alpha-mangostin</t>
        </is>
      </c>
      <c r="AF44" t="inlineStr">
        <is>
          <t>alpha mangostin</t>
        </is>
      </c>
      <c r="AH44" t="inlineStr">
        <is>
          <t>Pass 45 duplicate consolidation</t>
        </is>
      </c>
      <c r="AI44" t="inlineStr">
        <is>
          <t>xanthone</t>
        </is>
      </c>
      <c r="AJ44" t="inlineStr">
        <is>
          <t>Unknown</t>
        </is>
      </c>
      <c r="AK44" t="inlineStr">
        <is>
          <t>adrenergic signaling</t>
        </is>
      </c>
      <c r="AL44" t="inlineStr">
        <is>
          <t>Pass 46 mechanism + evidence consolidation</t>
        </is>
      </c>
      <c r="AM44" t="n">
        <v>3</v>
      </c>
      <c r="AN44" t="inlineStr">
        <is>
          <t>D</t>
        </is>
      </c>
      <c r="AO44" t="inlineStr">
        <is>
          <t>Pass 47 compound scoring</t>
        </is>
      </c>
    </row>
    <row r="45">
      <c r="A45" t="inlineStr">
        <is>
          <t>alpha-pinene</t>
        </is>
      </c>
      <c r="B45" t="inlineStr">
        <is>
          <t>alpha-pinene</t>
        </is>
      </c>
      <c r="D45" t="inlineStr">
        <is>
          <t>terpenes</t>
        </is>
      </c>
      <c r="E45" t="inlineStr">
        <is>
          <t>insufficient evidence</t>
        </is>
      </c>
      <c r="F45" t="inlineStr">
        <is>
          <t>adrenergic signaling</t>
        </is>
      </c>
      <c r="W45" t="n">
        <v>2</v>
      </c>
      <c r="X45" t="inlineStr">
        <is>
          <t>Low</t>
        </is>
      </c>
      <c r="Z45" t="inlineStr">
        <is>
          <t>alpha-pinene</t>
        </is>
      </c>
      <c r="AF45" t="inlineStr">
        <is>
          <t>alpha pinene</t>
        </is>
      </c>
      <c r="AH45" t="inlineStr">
        <is>
          <t>Pass 45 duplicate consolidation</t>
        </is>
      </c>
      <c r="AI45" t="inlineStr">
        <is>
          <t>terpenes</t>
        </is>
      </c>
      <c r="AJ45" t="inlineStr">
        <is>
          <t>Unknown</t>
        </is>
      </c>
      <c r="AK45" t="inlineStr">
        <is>
          <t>adrenergic signaling</t>
        </is>
      </c>
      <c r="AL45" t="inlineStr">
        <is>
          <t>Pass 46 mechanism + evidence consolidation</t>
        </is>
      </c>
      <c r="AM45" t="n">
        <v>3</v>
      </c>
      <c r="AN45" t="inlineStr">
        <is>
          <t>D</t>
        </is>
      </c>
      <c r="AO45" t="inlineStr">
        <is>
          <t>Pass 47 compound scoring</t>
        </is>
      </c>
    </row>
    <row r="46">
      <c r="A46" t="inlineStr">
        <is>
          <t>alpha-terpineol</t>
        </is>
      </c>
      <c r="B46" t="inlineStr">
        <is>
          <t>α-terpineol</t>
        </is>
      </c>
      <c r="D46" t="inlineStr">
        <is>
          <t>other</t>
        </is>
      </c>
      <c r="E46" t="inlineStr">
        <is>
          <t>insufficient evidence</t>
        </is>
      </c>
      <c r="F46" t="inlineStr">
        <is>
          <t>adrenergic signaling</t>
        </is>
      </c>
      <c r="W46" t="n">
        <v>2</v>
      </c>
      <c r="X46" t="inlineStr">
        <is>
          <t>Low</t>
        </is>
      </c>
      <c r="Z46" t="inlineStr">
        <is>
          <t>alpha-terpineol</t>
        </is>
      </c>
      <c r="AF46" t="inlineStr">
        <is>
          <t>alpha terpineol</t>
        </is>
      </c>
      <c r="AH46" t="inlineStr">
        <is>
          <t>Pass 45 duplicate consolidation</t>
        </is>
      </c>
      <c r="AI46" t="inlineStr">
        <is>
          <t>other</t>
        </is>
      </c>
      <c r="AJ46" t="inlineStr">
        <is>
          <t>Unknown</t>
        </is>
      </c>
      <c r="AK46" t="inlineStr">
        <is>
          <t>adrenergic signaling</t>
        </is>
      </c>
      <c r="AL46" t="inlineStr">
        <is>
          <t>Pass 46 mechanism + evidence consolidation</t>
        </is>
      </c>
      <c r="AM46" t="n">
        <v>3</v>
      </c>
      <c r="AN46" t="inlineStr">
        <is>
          <t>D</t>
        </is>
      </c>
      <c r="AO46" t="inlineStr">
        <is>
          <t>Pass 47 compound scoring</t>
        </is>
      </c>
    </row>
    <row r="47">
      <c r="A47" t="inlineStr">
        <is>
          <t>alpha-thujone</t>
        </is>
      </c>
      <c r="B47" t="inlineStr">
        <is>
          <t>alpha-thujone</t>
        </is>
      </c>
      <c r="D47" t="inlineStr">
        <is>
          <t>other</t>
        </is>
      </c>
      <c r="E47" t="inlineStr">
        <is>
          <t>Thujone is associated with GABA_A receptor antagonism; other constituents contribute bitter, digestive, and broader preclinical bioactivities.</t>
        </is>
      </c>
      <c r="F47" t="inlineStr">
        <is>
          <t>adrenergic signaling</t>
        </is>
      </c>
      <c r="W47" t="n">
        <v>2</v>
      </c>
      <c r="X47" t="inlineStr">
        <is>
          <t>Low</t>
        </is>
      </c>
      <c r="Z47" t="inlineStr">
        <is>
          <t>alpha-thujone</t>
        </is>
      </c>
      <c r="AF47" t="inlineStr">
        <is>
          <t>alpha thujone</t>
        </is>
      </c>
      <c r="AH47" t="inlineStr">
        <is>
          <t>Pass 45 duplicate consolidation</t>
        </is>
      </c>
      <c r="AI47" t="inlineStr">
        <is>
          <t>other</t>
        </is>
      </c>
      <c r="AJ47" t="inlineStr">
        <is>
          <t>Clinical</t>
        </is>
      </c>
      <c r="AK47" t="inlineStr">
        <is>
          <t>adrenergic signaling</t>
        </is>
      </c>
      <c r="AL47" t="inlineStr">
        <is>
          <t>Pass 46 mechanism + evidence consolidation</t>
        </is>
      </c>
      <c r="AM47" t="n">
        <v>6</v>
      </c>
      <c r="AN47" t="inlineStr">
        <is>
          <t>C</t>
        </is>
      </c>
      <c r="AO47" t="inlineStr">
        <is>
          <t>Pass 47 compound scoring</t>
        </is>
      </c>
    </row>
    <row r="48">
      <c r="A48" t="inlineStr">
        <is>
          <t>amarogentin</t>
        </is>
      </c>
      <c r="B48" t="inlineStr">
        <is>
          <t>amarogentin</t>
        </is>
      </c>
      <c r="D48" t="inlineStr">
        <is>
          <t>other</t>
        </is>
      </c>
      <c r="E48" t="inlineStr">
        <is>
          <t>insufficient evidence</t>
        </is>
      </c>
      <c r="F48" t="inlineStr">
        <is>
          <t>unclassified</t>
        </is>
      </c>
      <c r="W48" t="n">
        <v>2</v>
      </c>
      <c r="X48" t="inlineStr">
        <is>
          <t>Low</t>
        </is>
      </c>
      <c r="Z48" t="inlineStr">
        <is>
          <t>amarogentin</t>
        </is>
      </c>
      <c r="AF48" t="inlineStr">
        <is>
          <t>amarogentin</t>
        </is>
      </c>
      <c r="AH48" t="inlineStr">
        <is>
          <t>Pass 45 duplicate consolidation</t>
        </is>
      </c>
      <c r="AI48" t="inlineStr">
        <is>
          <t>other</t>
        </is>
      </c>
      <c r="AJ48" t="inlineStr">
        <is>
          <t>Unknown</t>
        </is>
      </c>
      <c r="AK48" t="inlineStr">
        <is>
          <t>unclassified</t>
        </is>
      </c>
      <c r="AL48" t="inlineStr">
        <is>
          <t>Pass 46 mechanism + evidence consolidation</t>
        </is>
      </c>
      <c r="AM48" t="n">
        <v>3</v>
      </c>
      <c r="AN48" t="inlineStr">
        <is>
          <t>D</t>
        </is>
      </c>
      <c r="AO48" t="inlineStr">
        <is>
          <t>Pass 47 compound scoring</t>
        </is>
      </c>
    </row>
    <row r="49">
      <c r="A49" t="inlineStr">
        <is>
          <t>amentoflavone</t>
        </is>
      </c>
      <c r="B49" t="inlineStr">
        <is>
          <t>amentoflavone</t>
        </is>
      </c>
      <c r="D49" t="inlineStr">
        <is>
          <t>biflavonoids</t>
        </is>
      </c>
      <c r="E49" t="inlineStr">
        <is>
          <t>insufficient evidence</t>
        </is>
      </c>
      <c r="F49" t="inlineStr">
        <is>
          <t>unclassified</t>
        </is>
      </c>
      <c r="W49" t="n">
        <v>2</v>
      </c>
      <c r="X49" t="inlineStr">
        <is>
          <t>Low</t>
        </is>
      </c>
      <c r="Z49" t="inlineStr">
        <is>
          <t>amentoflavone</t>
        </is>
      </c>
      <c r="AF49" t="inlineStr">
        <is>
          <t>amentoflavone</t>
        </is>
      </c>
      <c r="AH49" t="inlineStr">
        <is>
          <t>Pass 45 duplicate consolidation</t>
        </is>
      </c>
      <c r="AI49" t="inlineStr">
        <is>
          <t>biflavonoids</t>
        </is>
      </c>
      <c r="AJ49" t="inlineStr">
        <is>
          <t>Unknown</t>
        </is>
      </c>
      <c r="AK49" t="inlineStr">
        <is>
          <t>unclassified</t>
        </is>
      </c>
      <c r="AL49" t="inlineStr">
        <is>
          <t>Pass 46 mechanism + evidence consolidation</t>
        </is>
      </c>
      <c r="AM49" t="n">
        <v>3</v>
      </c>
      <c r="AN49" t="inlineStr">
        <is>
          <t>D</t>
        </is>
      </c>
      <c r="AO49" t="inlineStr">
        <is>
          <t>Pass 47 compound scoring</t>
        </is>
      </c>
    </row>
    <row r="50">
      <c r="A50" t="inlineStr">
        <is>
          <t>anabasine</t>
        </is>
      </c>
      <c r="B50" t="inlineStr">
        <is>
          <t>anabasine</t>
        </is>
      </c>
      <c r="D50" t="inlineStr">
        <is>
          <t>other</t>
        </is>
      </c>
      <c r="E50" t="inlineStr">
        <is>
          <t>Nicotine acts as an agonist at nicotinic acetylcholine receptors, increasing dopamine and norepinephrine release.</t>
        </is>
      </c>
      <c r="F50" t="inlineStr">
        <is>
          <t>unclassified</t>
        </is>
      </c>
      <c r="W50" t="n">
        <v>2</v>
      </c>
      <c r="X50" t="inlineStr">
        <is>
          <t>Low</t>
        </is>
      </c>
      <c r="Z50" t="inlineStr">
        <is>
          <t>anabasine</t>
        </is>
      </c>
      <c r="AF50" t="inlineStr">
        <is>
          <t>anabasine</t>
        </is>
      </c>
      <c r="AH50" t="inlineStr">
        <is>
          <t>Pass 45 duplicate consolidation</t>
        </is>
      </c>
      <c r="AI50" t="inlineStr">
        <is>
          <t>other</t>
        </is>
      </c>
      <c r="AJ50" t="inlineStr">
        <is>
          <t>Unknown</t>
        </is>
      </c>
      <c r="AK50" t="inlineStr">
        <is>
          <t>unclassified</t>
        </is>
      </c>
      <c r="AL50" t="inlineStr">
        <is>
          <t>Pass 46 mechanism + evidence consolidation</t>
        </is>
      </c>
      <c r="AM50" t="n">
        <v>3</v>
      </c>
      <c r="AN50" t="inlineStr">
        <is>
          <t>D</t>
        </is>
      </c>
      <c r="AO50" t="inlineStr">
        <is>
          <t>Pass 47 compound scoring</t>
        </is>
      </c>
    </row>
    <row r="51">
      <c r="A51" t="inlineStr">
        <is>
          <t>Andrographolide</t>
        </is>
      </c>
      <c r="B51" t="inlineStr">
        <is>
          <t>Diterpenoid</t>
        </is>
      </c>
      <c r="C51" t="inlineStr">
        <is>
          <t>Andrographis paniculata</t>
        </is>
      </c>
      <c r="D51" t="inlineStr">
        <is>
          <t>NF-kB inhibition</t>
        </is>
      </c>
      <c r="E51" t="inlineStr">
        <is>
          <t>Human</t>
        </is>
      </c>
      <c r="F51" t="inlineStr">
        <is>
          <t>NF-kB inhibition; anti-inflammatory signaling</t>
        </is>
      </c>
      <c r="W51" t="n">
        <v>4</v>
      </c>
      <c r="X51" t="inlineStr">
        <is>
          <t>High</t>
        </is>
      </c>
      <c r="Z51" t="inlineStr">
        <is>
          <t>Andrographolide</t>
        </is>
      </c>
      <c r="AF51" t="inlineStr">
        <is>
          <t>andrographolide</t>
        </is>
      </c>
      <c r="AH51" t="inlineStr">
        <is>
          <t>Pass 45 duplicate consolidation</t>
        </is>
      </c>
      <c r="AI51" t="inlineStr">
        <is>
          <t>NF-kB inhibition</t>
        </is>
      </c>
      <c r="AJ51" t="inlineStr">
        <is>
          <t>Human</t>
        </is>
      </c>
      <c r="AK51" t="inlineStr">
        <is>
          <t>anti-inflammatory signaling; nf-kb inhibition</t>
        </is>
      </c>
      <c r="AL51" t="inlineStr">
        <is>
          <t>Pass 46 mechanism + evidence consolidation</t>
        </is>
      </c>
      <c r="AM51" t="n">
        <v>8</v>
      </c>
      <c r="AN51" t="inlineStr">
        <is>
          <t>B</t>
        </is>
      </c>
      <c r="AO51" t="inlineStr">
        <is>
          <t>Pass 47 compound scoring</t>
        </is>
      </c>
    </row>
    <row r="52">
      <c r="A52" t="inlineStr">
        <is>
          <t>anethole</t>
        </is>
      </c>
      <c r="B52" t="inlineStr">
        <is>
          <t>anethole</t>
        </is>
      </c>
      <c r="D52" t="inlineStr">
        <is>
          <t>other</t>
        </is>
      </c>
      <c r="E52" t="inlineStr">
        <is>
          <t>insufficient evidence</t>
        </is>
      </c>
      <c r="F52" t="inlineStr">
        <is>
          <t>unclassified</t>
        </is>
      </c>
      <c r="W52" t="n">
        <v>2</v>
      </c>
      <c r="X52" t="inlineStr">
        <is>
          <t>Low</t>
        </is>
      </c>
      <c r="Z52" t="inlineStr">
        <is>
          <t>anethole</t>
        </is>
      </c>
      <c r="AF52" t="inlineStr">
        <is>
          <t>anethole</t>
        </is>
      </c>
      <c r="AH52" t="inlineStr">
        <is>
          <t>Pass 45 duplicate consolidation</t>
        </is>
      </c>
      <c r="AI52" t="inlineStr">
        <is>
          <t>other</t>
        </is>
      </c>
      <c r="AJ52" t="inlineStr">
        <is>
          <t>Unknown</t>
        </is>
      </c>
      <c r="AK52" t="inlineStr">
        <is>
          <t>unclassified</t>
        </is>
      </c>
      <c r="AL52" t="inlineStr">
        <is>
          <t>Pass 46 mechanism + evidence consolidation</t>
        </is>
      </c>
      <c r="AM52" t="n">
        <v>3</v>
      </c>
      <c r="AN52" t="inlineStr">
        <is>
          <t>D</t>
        </is>
      </c>
      <c r="AO52" t="inlineStr">
        <is>
          <t>Pass 47 compound scoring</t>
        </is>
      </c>
    </row>
    <row r="53">
      <c r="A53" t="inlineStr">
        <is>
          <t>angelicin</t>
        </is>
      </c>
      <c r="B53" t="inlineStr">
        <is>
          <t>angelicin</t>
        </is>
      </c>
      <c r="D53" t="inlineStr">
        <is>
          <t>furanocoumarin</t>
        </is>
      </c>
      <c r="E53" t="inlineStr">
        <is>
          <t>Angelica-root constituent associated with aromatic and traditional positioning.</t>
        </is>
      </c>
      <c r="F53" t="inlineStr">
        <is>
          <t>unclassified</t>
        </is>
      </c>
      <c r="W53" t="n">
        <v>2</v>
      </c>
      <c r="X53" t="inlineStr">
        <is>
          <t>Low</t>
        </is>
      </c>
      <c r="Z53" t="inlineStr">
        <is>
          <t>angelicin</t>
        </is>
      </c>
      <c r="AF53" t="inlineStr">
        <is>
          <t>angelicin</t>
        </is>
      </c>
      <c r="AH53" t="inlineStr">
        <is>
          <t>Pass 45 duplicate consolidation</t>
        </is>
      </c>
      <c r="AI53" t="inlineStr">
        <is>
          <t>furanocoumarin</t>
        </is>
      </c>
      <c r="AJ53" t="inlineStr">
        <is>
          <t>Unknown</t>
        </is>
      </c>
      <c r="AK53" t="inlineStr">
        <is>
          <t>unclassified</t>
        </is>
      </c>
      <c r="AL53" t="inlineStr">
        <is>
          <t>Pass 46 mechanism + evidence consolidation</t>
        </is>
      </c>
      <c r="AM53" t="n">
        <v>3</v>
      </c>
      <c r="AN53" t="inlineStr">
        <is>
          <t>D</t>
        </is>
      </c>
      <c r="AO53" t="inlineStr">
        <is>
          <t>Pass 47 compound scoring</t>
        </is>
      </c>
    </row>
    <row r="54">
      <c r="A54" t="inlineStr">
        <is>
          <t>anisomelic acid</t>
        </is>
      </c>
      <c r="B54" t="inlineStr">
        <is>
          <t>anisomelic acid</t>
        </is>
      </c>
      <c r="D54" t="inlineStr">
        <is>
          <t>diterpenes</t>
        </is>
      </c>
      <c r="E54" t="inlineStr">
        <is>
          <t>insufficient evidence</t>
        </is>
      </c>
      <c r="F54" t="inlineStr">
        <is>
          <t>unclassified</t>
        </is>
      </c>
      <c r="W54" t="n">
        <v>2</v>
      </c>
      <c r="X54" t="inlineStr">
        <is>
          <t>Low</t>
        </is>
      </c>
      <c r="Z54" t="inlineStr">
        <is>
          <t>anisomelic acid</t>
        </is>
      </c>
      <c r="AF54" t="inlineStr">
        <is>
          <t>anisomelic acid</t>
        </is>
      </c>
      <c r="AH54" t="inlineStr">
        <is>
          <t>Pass 45 duplicate consolidation</t>
        </is>
      </c>
      <c r="AI54" t="inlineStr">
        <is>
          <t>diterpenes</t>
        </is>
      </c>
      <c r="AJ54" t="inlineStr">
        <is>
          <t>Unknown</t>
        </is>
      </c>
      <c r="AK54" t="inlineStr">
        <is>
          <t>unclassified</t>
        </is>
      </c>
      <c r="AL54" t="inlineStr">
        <is>
          <t>Pass 46 mechanism + evidence consolidation</t>
        </is>
      </c>
      <c r="AM54" t="n">
        <v>3</v>
      </c>
      <c r="AN54" t="inlineStr">
        <is>
          <t>D</t>
        </is>
      </c>
      <c r="AO54" t="inlineStr">
        <is>
          <t>Pass 47 compound scoring</t>
        </is>
      </c>
    </row>
    <row r="55">
      <c r="A55" t="inlineStr">
        <is>
          <t>annonacin</t>
        </is>
      </c>
      <c r="B55" t="inlineStr">
        <is>
          <t>annonacin</t>
        </is>
      </c>
      <c r="D55" t="inlineStr">
        <is>
          <t>other</t>
        </is>
      </c>
      <c r="E55" t="inlineStr">
        <is>
          <t>insufficient evidence</t>
        </is>
      </c>
      <c r="F55" t="inlineStr">
        <is>
          <t>unclassified</t>
        </is>
      </c>
      <c r="W55" t="n">
        <v>2</v>
      </c>
      <c r="X55" t="inlineStr">
        <is>
          <t>Low</t>
        </is>
      </c>
      <c r="Z55" t="inlineStr">
        <is>
          <t>annonacin</t>
        </is>
      </c>
      <c r="AF55" t="inlineStr">
        <is>
          <t>annonacin</t>
        </is>
      </c>
      <c r="AH55" t="inlineStr">
        <is>
          <t>Pass 45 duplicate consolidation</t>
        </is>
      </c>
      <c r="AI55" t="inlineStr">
        <is>
          <t>other</t>
        </is>
      </c>
      <c r="AJ55" t="inlineStr">
        <is>
          <t>Unknown</t>
        </is>
      </c>
      <c r="AK55" t="inlineStr">
        <is>
          <t>unclassified</t>
        </is>
      </c>
      <c r="AL55" t="inlineStr">
        <is>
          <t>Pass 46 mechanism + evidence consolidation</t>
        </is>
      </c>
      <c r="AM55" t="n">
        <v>3</v>
      </c>
      <c r="AN55" t="inlineStr">
        <is>
          <t>D</t>
        </is>
      </c>
      <c r="AO55" t="inlineStr">
        <is>
          <t>Pass 47 compound scoring</t>
        </is>
      </c>
    </row>
    <row r="56">
      <c r="A56" t="inlineStr">
        <is>
          <t>anonaine</t>
        </is>
      </c>
      <c r="B56" t="inlineStr">
        <is>
          <t>anonaine</t>
        </is>
      </c>
      <c r="D56" t="inlineStr">
        <is>
          <t>other</t>
        </is>
      </c>
      <c r="E56" t="inlineStr">
        <is>
          <t>insufficient evidence</t>
        </is>
      </c>
      <c r="F56" t="inlineStr">
        <is>
          <t>unclassified</t>
        </is>
      </c>
      <c r="W56" t="n">
        <v>2</v>
      </c>
      <c r="X56" t="inlineStr">
        <is>
          <t>Low</t>
        </is>
      </c>
      <c r="Z56" t="inlineStr">
        <is>
          <t>anonaine</t>
        </is>
      </c>
      <c r="AF56" t="inlineStr">
        <is>
          <t>anonaine</t>
        </is>
      </c>
      <c r="AH56" t="inlineStr">
        <is>
          <t>Pass 45 duplicate consolidation</t>
        </is>
      </c>
      <c r="AI56" t="inlineStr">
        <is>
          <t>other</t>
        </is>
      </c>
      <c r="AJ56" t="inlineStr">
        <is>
          <t>Unknown</t>
        </is>
      </c>
      <c r="AK56" t="inlineStr">
        <is>
          <t>unclassified</t>
        </is>
      </c>
      <c r="AL56" t="inlineStr">
        <is>
          <t>Pass 46 mechanism + evidence consolidation</t>
        </is>
      </c>
      <c r="AM56" t="n">
        <v>3</v>
      </c>
      <c r="AN56" t="inlineStr">
        <is>
          <t>D</t>
        </is>
      </c>
      <c r="AO56" t="inlineStr">
        <is>
          <t>Pass 47 compound scoring</t>
        </is>
      </c>
    </row>
    <row r="57">
      <c r="A57" t="inlineStr">
        <is>
          <t>anthocyanins delphinidin</t>
        </is>
      </c>
      <c r="B57" t="inlineStr">
        <is>
          <t>anthocyanins (delphinidin</t>
        </is>
      </c>
      <c r="D57" t="inlineStr">
        <is>
          <t>other</t>
        </is>
      </c>
      <c r="E57" t="inlineStr">
        <is>
          <t>Anthocyanins and organic acids contribute antioxidant and ACE-inhibitory activity.</t>
        </is>
      </c>
      <c r="F57" t="inlineStr">
        <is>
          <t>unclassified</t>
        </is>
      </c>
      <c r="W57" t="n">
        <v>2</v>
      </c>
      <c r="X57" t="inlineStr">
        <is>
          <t>Low</t>
        </is>
      </c>
      <c r="Z57" t="inlineStr">
        <is>
          <t>anthocyanins delphinidin</t>
        </is>
      </c>
      <c r="AF57" t="inlineStr">
        <is>
          <t>anthocyanins delphinidin</t>
        </is>
      </c>
      <c r="AH57" t="inlineStr">
        <is>
          <t>Pass 45 duplicate consolidation</t>
        </is>
      </c>
      <c r="AI57" t="inlineStr">
        <is>
          <t>other</t>
        </is>
      </c>
      <c r="AJ57" t="inlineStr">
        <is>
          <t>Unknown</t>
        </is>
      </c>
      <c r="AK57" t="inlineStr">
        <is>
          <t>unclassified</t>
        </is>
      </c>
      <c r="AL57" t="inlineStr">
        <is>
          <t>Pass 46 mechanism + evidence consolidation</t>
        </is>
      </c>
      <c r="AM57" t="n">
        <v>3</v>
      </c>
      <c r="AN57" t="inlineStr">
        <is>
          <t>D</t>
        </is>
      </c>
      <c r="AO57" t="inlineStr">
        <is>
          <t>Pass 47 compound scoring</t>
        </is>
      </c>
    </row>
    <row r="58">
      <c r="A58" t="inlineStr">
        <is>
          <t>Apigenin</t>
        </is>
      </c>
      <c r="B58" t="inlineStr">
        <is>
          <t>Flavonoid</t>
        </is>
      </c>
      <c r="C58" t="inlineStr">
        <is>
          <t>Chamomile</t>
        </is>
      </c>
      <c r="D58" t="inlineStr">
        <is>
          <t>GABA modulation</t>
        </is>
      </c>
      <c r="E58" t="inlineStr">
        <is>
          <t>Chamomile's CNS effects are partly attributed to apigenin, which binds at the central benzodiazepine site associated with GABA_A receptor signaling; other constituents contribute anti-inflammatory and spasmolytic activity.</t>
        </is>
      </c>
      <c r="F58" t="inlineStr">
        <is>
          <t>unclassified; GABA-A modulation; NF-kB inhibition; anxiolytic signaling</t>
        </is>
      </c>
      <c r="U58" t="inlineStr">
        <is>
          <t>Pass 45 merged 2 rows into canonical compound entry</t>
        </is>
      </c>
      <c r="W58" t="n">
        <v>4</v>
      </c>
      <c r="X58" t="inlineStr">
        <is>
          <t>Medium</t>
        </is>
      </c>
      <c r="Z58" t="inlineStr">
        <is>
          <t>Apigenin</t>
        </is>
      </c>
      <c r="AF58" t="inlineStr">
        <is>
          <t>apigenin</t>
        </is>
      </c>
      <c r="AH58" t="inlineStr">
        <is>
          <t>Pass 45 duplicate consolidation</t>
        </is>
      </c>
      <c r="AI58" t="inlineStr">
        <is>
          <t>GABA modulation</t>
        </is>
      </c>
      <c r="AJ58" t="inlineStr">
        <is>
          <t>Unknown</t>
        </is>
      </c>
      <c r="AK58" t="inlineStr">
        <is>
          <t>anxiolytic signaling; gaba-a modulation; nf-kb inhibition; unclassified</t>
        </is>
      </c>
      <c r="AL58" t="inlineStr">
        <is>
          <t>Pass 46 mechanism + evidence consolidation</t>
        </is>
      </c>
      <c r="AM58" t="n">
        <v>6</v>
      </c>
      <c r="AN58" t="inlineStr">
        <is>
          <t>C</t>
        </is>
      </c>
      <c r="AO58" t="inlineStr">
        <is>
          <t>Pass 47 compound scoring</t>
        </is>
      </c>
    </row>
    <row r="59">
      <c r="A59" t="inlineStr">
        <is>
          <t>apomorphine</t>
        </is>
      </c>
      <c r="B59" t="inlineStr">
        <is>
          <t>apomorphine</t>
        </is>
      </c>
      <c r="C59" t="inlineStr">
        <is>
          <t>Blue Lotus</t>
        </is>
      </c>
      <c r="D59" t="inlineStr">
        <is>
          <t>other</t>
        </is>
      </c>
      <c r="E59" t="inlineStr">
        <is>
          <t>Compounds show dopaminergic receptor interaction and mild sedative effects.</t>
        </is>
      </c>
      <c r="F59" t="inlineStr">
        <is>
          <t>unclassified</t>
        </is>
      </c>
      <c r="U59" t="inlineStr">
        <is>
          <t>Pass 13 linked existing compound to additional top herb</t>
        </is>
      </c>
      <c r="W59" t="n">
        <v>2</v>
      </c>
      <c r="X59" t="inlineStr">
        <is>
          <t>Low</t>
        </is>
      </c>
      <c r="Z59" t="inlineStr">
        <is>
          <t>apomorphine</t>
        </is>
      </c>
      <c r="AF59" t="inlineStr">
        <is>
          <t>apomorphine</t>
        </is>
      </c>
      <c r="AH59" t="inlineStr">
        <is>
          <t>Pass 45 duplicate consolidation</t>
        </is>
      </c>
      <c r="AI59" t="inlineStr">
        <is>
          <t>other</t>
        </is>
      </c>
      <c r="AJ59" t="inlineStr">
        <is>
          <t>Unknown</t>
        </is>
      </c>
      <c r="AK59" t="inlineStr">
        <is>
          <t>unclassified</t>
        </is>
      </c>
      <c r="AL59" t="inlineStr">
        <is>
          <t>Pass 46 mechanism + evidence consolidation</t>
        </is>
      </c>
      <c r="AM59" t="n">
        <v>3</v>
      </c>
      <c r="AN59" t="inlineStr">
        <is>
          <t>D</t>
        </is>
      </c>
      <c r="AO59" t="inlineStr">
        <is>
          <t>Pass 47 compound scoring</t>
        </is>
      </c>
    </row>
    <row r="60">
      <c r="A60" t="inlineStr">
        <is>
          <t>arabinoxylans</t>
        </is>
      </c>
      <c r="B60" t="inlineStr">
        <is>
          <t>arabinoxylans</t>
        </is>
      </c>
      <c r="D60" t="inlineStr">
        <is>
          <t>polysaccharides</t>
        </is>
      </c>
      <c r="E60" t="inlineStr">
        <is>
          <t>Fiber polysaccharides from Psyllium relevant to gel formation and gastrointestinal effects.</t>
        </is>
      </c>
      <c r="F60" t="inlineStr">
        <is>
          <t>unclassified</t>
        </is>
      </c>
      <c r="W60" t="n">
        <v>2</v>
      </c>
      <c r="X60" t="inlineStr">
        <is>
          <t>Low</t>
        </is>
      </c>
      <c r="Z60" t="inlineStr">
        <is>
          <t>arabinoxylans</t>
        </is>
      </c>
      <c r="AF60" t="inlineStr">
        <is>
          <t>arabinoxylans</t>
        </is>
      </c>
      <c r="AH60" t="inlineStr">
        <is>
          <t>Pass 45 duplicate consolidation</t>
        </is>
      </c>
      <c r="AI60" t="inlineStr">
        <is>
          <t>polysaccharides</t>
        </is>
      </c>
      <c r="AJ60" t="inlineStr">
        <is>
          <t>Unknown</t>
        </is>
      </c>
      <c r="AK60" t="inlineStr">
        <is>
          <t>unclassified</t>
        </is>
      </c>
      <c r="AL60" t="inlineStr">
        <is>
          <t>Pass 46 mechanism + evidence consolidation</t>
        </is>
      </c>
      <c r="AM60" t="n">
        <v>3</v>
      </c>
      <c r="AN60" t="inlineStr">
        <is>
          <t>D</t>
        </is>
      </c>
      <c r="AO60" t="inlineStr">
        <is>
          <t>Pass 47 compound scoring</t>
        </is>
      </c>
    </row>
    <row r="61">
      <c r="A61" t="inlineStr">
        <is>
          <t>arbutin</t>
        </is>
      </c>
      <c r="B61" t="inlineStr">
        <is>
          <t>arbutin</t>
        </is>
      </c>
      <c r="D61" t="inlineStr">
        <is>
          <t>Arbutin, tannins, methyl salicylate</t>
        </is>
      </c>
      <c r="E61" t="inlineStr">
        <is>
          <t>insufficient evidence</t>
        </is>
      </c>
      <c r="F61" t="inlineStr">
        <is>
          <t>unclassified</t>
        </is>
      </c>
      <c r="W61" t="n">
        <v>2</v>
      </c>
      <c r="X61" t="inlineStr">
        <is>
          <t>Low</t>
        </is>
      </c>
      <c r="Z61" t="inlineStr">
        <is>
          <t>arbutin</t>
        </is>
      </c>
      <c r="AF61" t="inlineStr">
        <is>
          <t>arbutin</t>
        </is>
      </c>
      <c r="AH61" t="inlineStr">
        <is>
          <t>Pass 45 duplicate consolidation</t>
        </is>
      </c>
      <c r="AI61" t="inlineStr">
        <is>
          <t>Arbutin, tannins, methyl salicylate</t>
        </is>
      </c>
      <c r="AJ61" t="inlineStr">
        <is>
          <t>Unknown</t>
        </is>
      </c>
      <c r="AK61" t="inlineStr">
        <is>
          <t>unclassified</t>
        </is>
      </c>
      <c r="AL61" t="inlineStr">
        <is>
          <t>Pass 46 mechanism + evidence consolidation</t>
        </is>
      </c>
      <c r="AM61" t="n">
        <v>3</v>
      </c>
      <c r="AN61" t="inlineStr">
        <is>
          <t>D</t>
        </is>
      </c>
      <c r="AO61" t="inlineStr">
        <is>
          <t>Pass 47 compound scoring</t>
        </is>
      </c>
    </row>
    <row r="62">
      <c r="A62" t="inlineStr">
        <is>
          <t>arctiin</t>
        </is>
      </c>
      <c r="B62" t="inlineStr">
        <is>
          <t>arctiin</t>
        </is>
      </c>
      <c r="D62" t="inlineStr">
        <is>
          <t>other</t>
        </is>
      </c>
      <c r="E62" t="inlineStr">
        <is>
          <t>insufficient evidence</t>
        </is>
      </c>
      <c r="F62" t="inlineStr">
        <is>
          <t>unclassified</t>
        </is>
      </c>
      <c r="W62" t="n">
        <v>2</v>
      </c>
      <c r="X62" t="inlineStr">
        <is>
          <t>Low</t>
        </is>
      </c>
      <c r="Z62" t="inlineStr">
        <is>
          <t>arctiin</t>
        </is>
      </c>
      <c r="AF62" t="inlineStr">
        <is>
          <t>arctiin</t>
        </is>
      </c>
      <c r="AH62" t="inlineStr">
        <is>
          <t>Pass 45 duplicate consolidation</t>
        </is>
      </c>
      <c r="AI62" t="inlineStr">
        <is>
          <t>other</t>
        </is>
      </c>
      <c r="AJ62" t="inlineStr">
        <is>
          <t>Unknown</t>
        </is>
      </c>
      <c r="AK62" t="inlineStr">
        <is>
          <t>unclassified</t>
        </is>
      </c>
      <c r="AL62" t="inlineStr">
        <is>
          <t>Pass 46 mechanism + evidence consolidation</t>
        </is>
      </c>
      <c r="AM62" t="n">
        <v>3</v>
      </c>
      <c r="AN62" t="inlineStr">
        <is>
          <t>D</t>
        </is>
      </c>
      <c r="AO62" t="inlineStr">
        <is>
          <t>Pass 47 compound scoring</t>
        </is>
      </c>
    </row>
    <row r="63">
      <c r="A63" t="inlineStr">
        <is>
          <t>arecaidine</t>
        </is>
      </c>
      <c r="B63" t="inlineStr">
        <is>
          <t>arecaidine</t>
        </is>
      </c>
      <c r="D63" t="inlineStr">
        <is>
          <t>other</t>
        </is>
      </c>
      <c r="E63" t="inlineStr">
        <is>
          <t>insufficient evidence</t>
        </is>
      </c>
      <c r="F63" t="inlineStr">
        <is>
          <t>unclassified</t>
        </is>
      </c>
      <c r="W63" t="n">
        <v>2</v>
      </c>
      <c r="X63" t="inlineStr">
        <is>
          <t>Low</t>
        </is>
      </c>
      <c r="Z63" t="inlineStr">
        <is>
          <t>arecaidine</t>
        </is>
      </c>
      <c r="AF63" t="inlineStr">
        <is>
          <t>arecaidine</t>
        </is>
      </c>
      <c r="AH63" t="inlineStr">
        <is>
          <t>Pass 45 duplicate consolidation</t>
        </is>
      </c>
      <c r="AI63" t="inlineStr">
        <is>
          <t>other</t>
        </is>
      </c>
      <c r="AJ63" t="inlineStr">
        <is>
          <t>Unknown</t>
        </is>
      </c>
      <c r="AK63" t="inlineStr">
        <is>
          <t>unclassified</t>
        </is>
      </c>
      <c r="AL63" t="inlineStr">
        <is>
          <t>Pass 46 mechanism + evidence consolidation</t>
        </is>
      </c>
      <c r="AM63" t="n">
        <v>3</v>
      </c>
      <c r="AN63" t="inlineStr">
        <is>
          <t>D</t>
        </is>
      </c>
      <c r="AO63" t="inlineStr">
        <is>
          <t>Pass 47 compound scoring</t>
        </is>
      </c>
    </row>
    <row r="64">
      <c r="A64" t="inlineStr">
        <is>
          <t>arecoline</t>
        </is>
      </c>
      <c r="B64" t="inlineStr">
        <is>
          <t>arecoline</t>
        </is>
      </c>
      <c r="D64" t="inlineStr">
        <is>
          <t>other</t>
        </is>
      </c>
      <c r="E64" t="inlineStr">
        <is>
          <t>insufficient evidence</t>
        </is>
      </c>
      <c r="F64" t="inlineStr">
        <is>
          <t>unclassified</t>
        </is>
      </c>
      <c r="W64" t="n">
        <v>2</v>
      </c>
      <c r="X64" t="inlineStr">
        <is>
          <t>Low</t>
        </is>
      </c>
      <c r="Z64" t="inlineStr">
        <is>
          <t>arecoline</t>
        </is>
      </c>
      <c r="AF64" t="inlineStr">
        <is>
          <t>arecoline</t>
        </is>
      </c>
      <c r="AH64" t="inlineStr">
        <is>
          <t>Pass 45 duplicate consolidation</t>
        </is>
      </c>
      <c r="AI64" t="inlineStr">
        <is>
          <t>other</t>
        </is>
      </c>
      <c r="AJ64" t="inlineStr">
        <is>
          <t>Unknown</t>
        </is>
      </c>
      <c r="AK64" t="inlineStr">
        <is>
          <t>unclassified</t>
        </is>
      </c>
      <c r="AL64" t="inlineStr">
        <is>
          <t>Pass 46 mechanism + evidence consolidation</t>
        </is>
      </c>
      <c r="AM64" t="n">
        <v>3</v>
      </c>
      <c r="AN64" t="inlineStr">
        <is>
          <t>D</t>
        </is>
      </c>
      <c r="AO64" t="inlineStr">
        <is>
          <t>Pass 47 compound scoring</t>
        </is>
      </c>
    </row>
    <row r="65">
      <c r="A65" t="inlineStr">
        <is>
          <t>Arjunetin</t>
        </is>
      </c>
      <c r="B65" t="inlineStr">
        <is>
          <t>Triterpenoid glycoside</t>
        </is>
      </c>
      <c r="C65" t="inlineStr">
        <is>
          <t>Arjuna</t>
        </is>
      </c>
      <c r="D65" t="inlineStr">
        <is>
          <t>Cardiovascular support</t>
        </is>
      </c>
      <c r="E65" t="inlineStr">
        <is>
          <t>Human/Preclinical</t>
        </is>
      </c>
      <c r="F65" t="inlineStr">
        <is>
          <t>reinforcement</t>
        </is>
      </c>
      <c r="W65" t="n">
        <v>3</v>
      </c>
      <c r="X65" t="inlineStr">
        <is>
          <t>Medium</t>
        </is>
      </c>
      <c r="Z65" t="inlineStr">
        <is>
          <t>Arjunetin</t>
        </is>
      </c>
      <c r="AF65" t="inlineStr">
        <is>
          <t>arjunetin</t>
        </is>
      </c>
      <c r="AH65" t="inlineStr">
        <is>
          <t>Pass 45 duplicate consolidation</t>
        </is>
      </c>
      <c r="AI65" t="inlineStr">
        <is>
          <t>Cardiovascular support</t>
        </is>
      </c>
      <c r="AJ65" t="inlineStr">
        <is>
          <t>Human</t>
        </is>
      </c>
      <c r="AK65" t="inlineStr">
        <is>
          <t>reinforcement</t>
        </is>
      </c>
      <c r="AL65" t="inlineStr">
        <is>
          <t>Pass 46 mechanism + evidence consolidation</t>
        </is>
      </c>
      <c r="AM65" t="n">
        <v>7</v>
      </c>
      <c r="AN65" t="inlineStr">
        <is>
          <t>B</t>
        </is>
      </c>
      <c r="AO65" t="inlineStr">
        <is>
          <t>Pass 47 compound scoring</t>
        </is>
      </c>
    </row>
    <row r="66">
      <c r="A66" t="inlineStr">
        <is>
          <t>Arjungenin</t>
        </is>
      </c>
      <c r="B66" t="inlineStr">
        <is>
          <t>Triterpenoid</t>
        </is>
      </c>
      <c r="C66" t="inlineStr">
        <is>
          <t>Arjuna</t>
        </is>
      </c>
      <c r="D66" t="inlineStr">
        <is>
          <t>Cardiovascular and antioxidant support</t>
        </is>
      </c>
      <c r="E66" t="inlineStr">
        <is>
          <t>Human/Preclinical</t>
        </is>
      </c>
      <c r="F66" t="inlineStr">
        <is>
          <t>reinforcement</t>
        </is>
      </c>
      <c r="W66" t="n">
        <v>3</v>
      </c>
      <c r="X66" t="inlineStr">
        <is>
          <t>Medium</t>
        </is>
      </c>
      <c r="Z66" t="inlineStr">
        <is>
          <t>Arjungenin</t>
        </is>
      </c>
      <c r="AF66" t="inlineStr">
        <is>
          <t>arjungenin</t>
        </is>
      </c>
      <c r="AH66" t="inlineStr">
        <is>
          <t>Pass 45 duplicate consolidation</t>
        </is>
      </c>
      <c r="AI66" t="inlineStr">
        <is>
          <t>Cardiovascular and antioxidant support</t>
        </is>
      </c>
      <c r="AJ66" t="inlineStr">
        <is>
          <t>Human</t>
        </is>
      </c>
      <c r="AK66" t="inlineStr">
        <is>
          <t>reinforcement</t>
        </is>
      </c>
      <c r="AL66" t="inlineStr">
        <is>
          <t>Pass 46 mechanism + evidence consolidation</t>
        </is>
      </c>
      <c r="AM66" t="n">
        <v>7</v>
      </c>
      <c r="AN66" t="inlineStr">
        <is>
          <t>B</t>
        </is>
      </c>
      <c r="AO66" t="inlineStr">
        <is>
          <t>Pass 47 compound scoring</t>
        </is>
      </c>
    </row>
    <row r="67">
      <c r="A67" t="inlineStr">
        <is>
          <t>Arjunic acid</t>
        </is>
      </c>
      <c r="B67" t="inlineStr">
        <is>
          <t>Triterpenoid</t>
        </is>
      </c>
      <c r="C67" t="inlineStr">
        <is>
          <t>Arjuna</t>
        </is>
      </c>
      <c r="D67" t="inlineStr">
        <is>
          <t>Cardiovascular support</t>
        </is>
      </c>
      <c r="E67" t="inlineStr">
        <is>
          <t>Animal</t>
        </is>
      </c>
      <c r="F67" t="inlineStr">
        <is>
          <t>cardiovascular signaling</t>
        </is>
      </c>
      <c r="U67" t="inlineStr">
        <is>
          <t>Pass 13 added real compound for top herb</t>
        </is>
      </c>
      <c r="W67" t="n">
        <v>3</v>
      </c>
      <c r="X67" t="inlineStr">
        <is>
          <t>Low</t>
        </is>
      </c>
      <c r="Z67" t="inlineStr">
        <is>
          <t>Arjunic acid</t>
        </is>
      </c>
      <c r="AF67" t="inlineStr">
        <is>
          <t>arjunic acid</t>
        </is>
      </c>
      <c r="AH67" t="inlineStr">
        <is>
          <t>Pass 45 duplicate consolidation</t>
        </is>
      </c>
      <c r="AI67" t="inlineStr">
        <is>
          <t>Cardiovascular support</t>
        </is>
      </c>
      <c r="AJ67" t="inlineStr">
        <is>
          <t>Preclinical</t>
        </is>
      </c>
      <c r="AK67" t="inlineStr">
        <is>
          <t>cardiovascular signaling</t>
        </is>
      </c>
      <c r="AL67" t="inlineStr">
        <is>
          <t>Pass 46 mechanism + evidence consolidation</t>
        </is>
      </c>
      <c r="AM67" t="n">
        <v>4</v>
      </c>
      <c r="AN67" t="inlineStr">
        <is>
          <t>C</t>
        </is>
      </c>
      <c r="AO67" t="inlineStr">
        <is>
          <t>Pass 47 compound scoring</t>
        </is>
      </c>
    </row>
    <row r="68">
      <c r="A68" t="inlineStr">
        <is>
          <t>arjunolic acid</t>
        </is>
      </c>
      <c r="B68" t="inlineStr">
        <is>
          <t>arjunolic acid</t>
        </is>
      </c>
      <c r="C68" t="inlineStr">
        <is>
          <t>Arjuna</t>
        </is>
      </c>
      <c r="D68" t="inlineStr">
        <is>
          <t>triterpene acid</t>
        </is>
      </c>
      <c r="E68" t="inlineStr">
        <is>
          <t>Arjuna constituent associated with cardiovascular-support positioning.</t>
        </is>
      </c>
      <c r="F68" t="inlineStr">
        <is>
          <t>unclassified</t>
        </is>
      </c>
      <c r="U68" t="inlineStr">
        <is>
          <t>Pass 13 linked existing compound to additional top herb</t>
        </is>
      </c>
      <c r="W68" t="n">
        <v>2</v>
      </c>
      <c r="X68" t="inlineStr">
        <is>
          <t>Low</t>
        </is>
      </c>
      <c r="Z68" t="inlineStr">
        <is>
          <t>arjunolic acid</t>
        </is>
      </c>
      <c r="AF68" t="inlineStr">
        <is>
          <t>arjunolic acid</t>
        </is>
      </c>
      <c r="AH68" t="inlineStr">
        <is>
          <t>Pass 45 duplicate consolidation</t>
        </is>
      </c>
      <c r="AI68" t="inlineStr">
        <is>
          <t>triterpene acid</t>
        </is>
      </c>
      <c r="AJ68" t="inlineStr">
        <is>
          <t>Unknown</t>
        </is>
      </c>
      <c r="AK68" t="inlineStr">
        <is>
          <t>unclassified</t>
        </is>
      </c>
      <c r="AL68" t="inlineStr">
        <is>
          <t>Pass 46 mechanism + evidence consolidation</t>
        </is>
      </c>
      <c r="AM68" t="n">
        <v>3</v>
      </c>
      <c r="AN68" t="inlineStr">
        <is>
          <t>D</t>
        </is>
      </c>
      <c r="AO68" t="inlineStr">
        <is>
          <t>Pass 47 compound scoring</t>
        </is>
      </c>
    </row>
    <row r="69">
      <c r="A69" t="inlineStr">
        <is>
          <t>armepavine</t>
        </is>
      </c>
      <c r="B69" t="inlineStr">
        <is>
          <t>armepavine</t>
        </is>
      </c>
      <c r="D69" t="inlineStr">
        <is>
          <t>other</t>
        </is>
      </c>
      <c r="E69" t="inlineStr">
        <is>
          <t>insufficient evidence</t>
        </is>
      </c>
      <c r="F69" t="inlineStr">
        <is>
          <t>unclassified</t>
        </is>
      </c>
      <c r="W69" t="n">
        <v>2</v>
      </c>
      <c r="X69" t="inlineStr">
        <is>
          <t>Low</t>
        </is>
      </c>
      <c r="Z69" t="inlineStr">
        <is>
          <t>armepavine</t>
        </is>
      </c>
      <c r="AF69" t="inlineStr">
        <is>
          <t>armepavine</t>
        </is>
      </c>
      <c r="AH69" t="inlineStr">
        <is>
          <t>Pass 45 duplicate consolidation</t>
        </is>
      </c>
      <c r="AI69" t="inlineStr">
        <is>
          <t>other</t>
        </is>
      </c>
      <c r="AJ69" t="inlineStr">
        <is>
          <t>Unknown</t>
        </is>
      </c>
      <c r="AK69" t="inlineStr">
        <is>
          <t>unclassified</t>
        </is>
      </c>
      <c r="AL69" t="inlineStr">
        <is>
          <t>Pass 46 mechanism + evidence consolidation</t>
        </is>
      </c>
      <c r="AM69" t="n">
        <v>3</v>
      </c>
      <c r="AN69" t="inlineStr">
        <is>
          <t>D</t>
        </is>
      </c>
      <c r="AO69" t="inlineStr">
        <is>
          <t>Pass 47 compound scoring</t>
        </is>
      </c>
    </row>
    <row r="70">
      <c r="A70" t="inlineStr">
        <is>
          <t>artemisinin</t>
        </is>
      </c>
      <c r="B70" t="inlineStr">
        <is>
          <t>artemisinin</t>
        </is>
      </c>
      <c r="D70" t="inlineStr">
        <is>
          <t>Artemisinin, flavonoids, coumarins</t>
        </is>
      </c>
      <c r="E70" t="inlineStr">
        <is>
          <t>insufficient evidence</t>
        </is>
      </c>
      <c r="F70" t="inlineStr">
        <is>
          <t>unclassified</t>
        </is>
      </c>
      <c r="W70" t="n">
        <v>2</v>
      </c>
      <c r="X70" t="inlineStr">
        <is>
          <t>Low</t>
        </is>
      </c>
      <c r="Z70" t="inlineStr">
        <is>
          <t>artemisinin</t>
        </is>
      </c>
      <c r="AF70" t="inlineStr">
        <is>
          <t>artemisinin</t>
        </is>
      </c>
      <c r="AH70" t="inlineStr">
        <is>
          <t>Pass 45 duplicate consolidation</t>
        </is>
      </c>
      <c r="AI70" t="inlineStr">
        <is>
          <t>Artemisinin, flavonoids, coumarins</t>
        </is>
      </c>
      <c r="AJ70" t="inlineStr">
        <is>
          <t>Unknown</t>
        </is>
      </c>
      <c r="AK70" t="inlineStr">
        <is>
          <t>unclassified</t>
        </is>
      </c>
      <c r="AL70" t="inlineStr">
        <is>
          <t>Pass 46 mechanism + evidence consolidation</t>
        </is>
      </c>
      <c r="AM70" t="n">
        <v>3</v>
      </c>
      <c r="AN70" t="inlineStr">
        <is>
          <t>D</t>
        </is>
      </c>
      <c r="AO70" t="inlineStr">
        <is>
          <t>Pass 47 compound scoring</t>
        </is>
      </c>
    </row>
    <row r="71">
      <c r="A71" t="inlineStr">
        <is>
          <t>asclepiadin</t>
        </is>
      </c>
      <c r="B71" t="inlineStr">
        <is>
          <t>asclepiadin</t>
        </is>
      </c>
      <c r="D71" t="inlineStr">
        <is>
          <t>Asclepiadin, cardiac glycosides, resins</t>
        </is>
      </c>
      <c r="E71" t="inlineStr">
        <is>
          <t>insufficient evidence</t>
        </is>
      </c>
      <c r="F71" t="inlineStr">
        <is>
          <t>unclassified</t>
        </is>
      </c>
      <c r="W71" t="n">
        <v>2</v>
      </c>
      <c r="X71" t="inlineStr">
        <is>
          <t>Low</t>
        </is>
      </c>
      <c r="Z71" t="inlineStr">
        <is>
          <t>asclepiadin</t>
        </is>
      </c>
      <c r="AF71" t="inlineStr">
        <is>
          <t>asclepiadin</t>
        </is>
      </c>
      <c r="AH71" t="inlineStr">
        <is>
          <t>Pass 45 duplicate consolidation</t>
        </is>
      </c>
      <c r="AI71" t="inlineStr">
        <is>
          <t>Asclepiadin, cardiac glycosides, resins</t>
        </is>
      </c>
      <c r="AJ71" t="inlineStr">
        <is>
          <t>Unknown</t>
        </is>
      </c>
      <c r="AK71" t="inlineStr">
        <is>
          <t>unclassified</t>
        </is>
      </c>
      <c r="AL71" t="inlineStr">
        <is>
          <t>Pass 46 mechanism + evidence consolidation</t>
        </is>
      </c>
      <c r="AM71" t="n">
        <v>3</v>
      </c>
      <c r="AN71" t="inlineStr">
        <is>
          <t>D</t>
        </is>
      </c>
      <c r="AO71" t="inlineStr">
        <is>
          <t>Pass 47 compound scoring</t>
        </is>
      </c>
    </row>
    <row r="72">
      <c r="A72" t="inlineStr">
        <is>
          <t>ashwagandha withanolides</t>
        </is>
      </c>
      <c r="B72" t="inlineStr">
        <is>
          <t>ashwagandha (withanolides)</t>
        </is>
      </c>
      <c r="D72" t="inlineStr">
        <is>
          <t>steroidal lactone</t>
        </is>
      </c>
      <c r="E72" t="inlineStr">
        <is>
          <t>Modulates GABAergic and HPA-axis signaling (stress response)</t>
        </is>
      </c>
      <c r="F72" t="inlineStr">
        <is>
          <t>unclassified</t>
        </is>
      </c>
      <c r="W72" t="n">
        <v>2</v>
      </c>
      <c r="X72" t="inlineStr">
        <is>
          <t>Low</t>
        </is>
      </c>
      <c r="Z72" t="inlineStr">
        <is>
          <t>ashwagandha withanolides</t>
        </is>
      </c>
      <c r="AF72" t="inlineStr">
        <is>
          <t>ashwagandha withanolides</t>
        </is>
      </c>
      <c r="AH72" t="inlineStr">
        <is>
          <t>Pass 45 duplicate consolidation</t>
        </is>
      </c>
      <c r="AI72" t="inlineStr">
        <is>
          <t>steroidal lactone</t>
        </is>
      </c>
      <c r="AJ72" t="inlineStr">
        <is>
          <t>Unknown</t>
        </is>
      </c>
      <c r="AK72" t="inlineStr">
        <is>
          <t>unclassified</t>
        </is>
      </c>
      <c r="AL72" t="inlineStr">
        <is>
          <t>Pass 46 mechanism + evidence consolidation</t>
        </is>
      </c>
      <c r="AM72" t="n">
        <v>3</v>
      </c>
      <c r="AN72" t="inlineStr">
        <is>
          <t>D</t>
        </is>
      </c>
      <c r="AO72" t="inlineStr">
        <is>
          <t>Pass 47 compound scoring</t>
        </is>
      </c>
    </row>
    <row r="73">
      <c r="A73" t="inlineStr">
        <is>
          <t>asiatic acid</t>
        </is>
      </c>
      <c r="B73" t="inlineStr">
        <is>
          <t>asiatic acid</t>
        </is>
      </c>
      <c r="D73" t="inlineStr">
        <is>
          <t>organic acid</t>
        </is>
      </c>
      <c r="E73" t="inlineStr">
        <is>
          <t>insufficient evidence</t>
        </is>
      </c>
      <c r="F73" t="inlineStr">
        <is>
          <t>unclassified</t>
        </is>
      </c>
      <c r="W73" t="n">
        <v>2</v>
      </c>
      <c r="X73" t="inlineStr">
        <is>
          <t>Low</t>
        </is>
      </c>
      <c r="Z73" t="inlineStr">
        <is>
          <t>asiatic acid</t>
        </is>
      </c>
      <c r="AF73" t="inlineStr">
        <is>
          <t>asiatic acid</t>
        </is>
      </c>
      <c r="AH73" t="inlineStr">
        <is>
          <t>Pass 45 duplicate consolidation</t>
        </is>
      </c>
      <c r="AI73" t="inlineStr">
        <is>
          <t>organic acid</t>
        </is>
      </c>
      <c r="AJ73" t="inlineStr">
        <is>
          <t>Unknown</t>
        </is>
      </c>
      <c r="AK73" t="inlineStr">
        <is>
          <t>unclassified</t>
        </is>
      </c>
      <c r="AL73" t="inlineStr">
        <is>
          <t>Pass 46 mechanism + evidence consolidation</t>
        </is>
      </c>
      <c r="AM73" t="n">
        <v>3</v>
      </c>
      <c r="AN73" t="inlineStr">
        <is>
          <t>D</t>
        </is>
      </c>
      <c r="AO73" t="inlineStr">
        <is>
          <t>Pass 47 compound scoring</t>
        </is>
      </c>
    </row>
    <row r="74">
      <c r="A74" t="inlineStr">
        <is>
          <t>asiaticoside</t>
        </is>
      </c>
      <c r="B74" t="inlineStr">
        <is>
          <t>asiaticoside</t>
        </is>
      </c>
      <c r="D74" t="inlineStr">
        <is>
          <t>other</t>
        </is>
      </c>
      <c r="E74" t="inlineStr">
        <is>
          <t>insufficient evidence</t>
        </is>
      </c>
      <c r="F74" t="inlineStr">
        <is>
          <t>unclassified</t>
        </is>
      </c>
      <c r="W74" t="n">
        <v>2</v>
      </c>
      <c r="X74" t="inlineStr">
        <is>
          <t>Low</t>
        </is>
      </c>
      <c r="Z74" t="inlineStr">
        <is>
          <t>asiaticoside</t>
        </is>
      </c>
      <c r="AF74" t="inlineStr">
        <is>
          <t>asiaticoside</t>
        </is>
      </c>
      <c r="AH74" t="inlineStr">
        <is>
          <t>Pass 45 duplicate consolidation</t>
        </is>
      </c>
      <c r="AI74" t="inlineStr">
        <is>
          <t>other</t>
        </is>
      </c>
      <c r="AJ74" t="inlineStr">
        <is>
          <t>Unknown</t>
        </is>
      </c>
      <c r="AK74" t="inlineStr">
        <is>
          <t>unclassified</t>
        </is>
      </c>
      <c r="AL74" t="inlineStr">
        <is>
          <t>Pass 46 mechanism + evidence consolidation</t>
        </is>
      </c>
      <c r="AM74" t="n">
        <v>3</v>
      </c>
      <c r="AN74" t="inlineStr">
        <is>
          <t>D</t>
        </is>
      </c>
      <c r="AO74" t="inlineStr">
        <is>
          <t>Pass 47 compound scoring</t>
        </is>
      </c>
    </row>
    <row r="75">
      <c r="A75" t="inlineStr">
        <is>
          <t>asperuloside</t>
        </is>
      </c>
      <c r="B75" t="inlineStr">
        <is>
          <t>asperuloside</t>
        </is>
      </c>
      <c r="D75" t="inlineStr">
        <is>
          <t>Iridoids, tannins, asperuloside</t>
        </is>
      </c>
      <c r="E75" t="inlineStr">
        <is>
          <t>insufficient evidence</t>
        </is>
      </c>
      <c r="F75" t="inlineStr">
        <is>
          <t>unclassified</t>
        </is>
      </c>
      <c r="W75" t="n">
        <v>2</v>
      </c>
      <c r="X75" t="inlineStr">
        <is>
          <t>Low</t>
        </is>
      </c>
      <c r="Z75" t="inlineStr">
        <is>
          <t>asperuloside</t>
        </is>
      </c>
      <c r="AF75" t="inlineStr">
        <is>
          <t>asperuloside</t>
        </is>
      </c>
      <c r="AH75" t="inlineStr">
        <is>
          <t>Pass 45 duplicate consolidation</t>
        </is>
      </c>
      <c r="AI75" t="inlineStr">
        <is>
          <t>Iridoids, tannins, asperuloside</t>
        </is>
      </c>
      <c r="AJ75" t="inlineStr">
        <is>
          <t>Unknown</t>
        </is>
      </c>
      <c r="AK75" t="inlineStr">
        <is>
          <t>unclassified</t>
        </is>
      </c>
      <c r="AL75" t="inlineStr">
        <is>
          <t>Pass 46 mechanism + evidence consolidation</t>
        </is>
      </c>
      <c r="AM75" t="n">
        <v>3</v>
      </c>
      <c r="AN75" t="inlineStr">
        <is>
          <t>D</t>
        </is>
      </c>
      <c r="AO75" t="inlineStr">
        <is>
          <t>Pass 47 compound scoring</t>
        </is>
      </c>
    </row>
    <row r="76">
      <c r="A76" t="inlineStr">
        <is>
          <t>aspidospermine</t>
        </is>
      </c>
      <c r="B76" t="inlineStr">
        <is>
          <t>aspidospermine</t>
        </is>
      </c>
      <c r="D76" t="inlineStr">
        <is>
          <t>yohimbine-type alkaloids</t>
        </is>
      </c>
      <c r="E76" t="inlineStr">
        <is>
          <t>insufficient evidence</t>
        </is>
      </c>
      <c r="F76" t="inlineStr">
        <is>
          <t>unclassified</t>
        </is>
      </c>
      <c r="W76" t="n">
        <v>2</v>
      </c>
      <c r="X76" t="inlineStr">
        <is>
          <t>Low</t>
        </is>
      </c>
      <c r="Z76" t="inlineStr">
        <is>
          <t>aspidospermine</t>
        </is>
      </c>
      <c r="AF76" t="inlineStr">
        <is>
          <t>aspidospermine</t>
        </is>
      </c>
      <c r="AH76" t="inlineStr">
        <is>
          <t>Pass 45 duplicate consolidation</t>
        </is>
      </c>
      <c r="AI76" t="inlineStr">
        <is>
          <t>yohimbine-type alkaloids</t>
        </is>
      </c>
      <c r="AJ76" t="inlineStr">
        <is>
          <t>Unknown</t>
        </is>
      </c>
      <c r="AK76" t="inlineStr">
        <is>
          <t>unclassified</t>
        </is>
      </c>
      <c r="AL76" t="inlineStr">
        <is>
          <t>Pass 46 mechanism + evidence consolidation</t>
        </is>
      </c>
      <c r="AM76" t="n">
        <v>3</v>
      </c>
      <c r="AN76" t="inlineStr">
        <is>
          <t>D</t>
        </is>
      </c>
      <c r="AO76" t="inlineStr">
        <is>
          <t>Pass 47 compound scoring</t>
        </is>
      </c>
    </row>
    <row r="77">
      <c r="A77" t="inlineStr">
        <is>
          <t>astragaloside iv</t>
        </is>
      </c>
      <c r="B77" t="inlineStr">
        <is>
          <t>astragaloside iv</t>
        </is>
      </c>
      <c r="D77" t="inlineStr">
        <is>
          <t>Astragaloside IV, polysaccharides, flavonoids</t>
        </is>
      </c>
      <c r="E77" t="inlineStr">
        <is>
          <t>insufficient evidence</t>
        </is>
      </c>
      <c r="F77" t="inlineStr">
        <is>
          <t>unclassified</t>
        </is>
      </c>
      <c r="W77" t="n">
        <v>2</v>
      </c>
      <c r="X77" t="inlineStr">
        <is>
          <t>Low</t>
        </is>
      </c>
      <c r="Z77" t="inlineStr">
        <is>
          <t>astragaloside iv</t>
        </is>
      </c>
      <c r="AF77" t="inlineStr">
        <is>
          <t>astragaloside iv</t>
        </is>
      </c>
      <c r="AH77" t="inlineStr">
        <is>
          <t>Pass 45 duplicate consolidation</t>
        </is>
      </c>
      <c r="AI77" t="inlineStr">
        <is>
          <t>Astragaloside IV, polysaccharides, flavonoids</t>
        </is>
      </c>
      <c r="AJ77" t="inlineStr">
        <is>
          <t>Unknown</t>
        </is>
      </c>
      <c r="AK77" t="inlineStr">
        <is>
          <t>unclassified</t>
        </is>
      </c>
      <c r="AL77" t="inlineStr">
        <is>
          <t>Pass 46 mechanism + evidence consolidation</t>
        </is>
      </c>
      <c r="AM77" t="n">
        <v>3</v>
      </c>
      <c r="AN77" t="inlineStr">
        <is>
          <t>D</t>
        </is>
      </c>
      <c r="AO77" t="inlineStr">
        <is>
          <t>Pass 47 compound scoring</t>
        </is>
      </c>
    </row>
    <row r="78">
      <c r="A78" t="inlineStr">
        <is>
          <t>atractylenolide i</t>
        </is>
      </c>
      <c r="B78" t="inlineStr">
        <is>
          <t>atractylenolide i</t>
        </is>
      </c>
      <c r="D78" t="inlineStr">
        <is>
          <t>other</t>
        </is>
      </c>
      <c r="E78" t="inlineStr">
        <is>
          <t>insufficient evidence</t>
        </is>
      </c>
      <c r="F78" t="inlineStr">
        <is>
          <t>unclassified</t>
        </is>
      </c>
      <c r="W78" t="n">
        <v>2</v>
      </c>
      <c r="X78" t="inlineStr">
        <is>
          <t>Low</t>
        </is>
      </c>
      <c r="Z78" t="inlineStr">
        <is>
          <t>atractylenolide i</t>
        </is>
      </c>
      <c r="AF78" t="inlineStr">
        <is>
          <t>atractylenolide i</t>
        </is>
      </c>
      <c r="AH78" t="inlineStr">
        <is>
          <t>Pass 45 duplicate consolidation</t>
        </is>
      </c>
      <c r="AI78" t="inlineStr">
        <is>
          <t>other</t>
        </is>
      </c>
      <c r="AJ78" t="inlineStr">
        <is>
          <t>Unknown</t>
        </is>
      </c>
      <c r="AK78" t="inlineStr">
        <is>
          <t>unclassified</t>
        </is>
      </c>
      <c r="AL78" t="inlineStr">
        <is>
          <t>Pass 46 mechanism + evidence consolidation</t>
        </is>
      </c>
      <c r="AM78" t="n">
        <v>3</v>
      </c>
      <c r="AN78" t="inlineStr">
        <is>
          <t>D</t>
        </is>
      </c>
      <c r="AO78" t="inlineStr">
        <is>
          <t>Pass 47 compound scoring</t>
        </is>
      </c>
    </row>
    <row r="79">
      <c r="A79" t="inlineStr">
        <is>
          <t>atractylenolide ii</t>
        </is>
      </c>
      <c r="B79" t="inlineStr">
        <is>
          <t>atractylenolide ii</t>
        </is>
      </c>
      <c r="D79" t="inlineStr">
        <is>
          <t>other</t>
        </is>
      </c>
      <c r="E79" t="inlineStr">
        <is>
          <t>insufficient evidence</t>
        </is>
      </c>
      <c r="F79" t="inlineStr">
        <is>
          <t>unclassified</t>
        </is>
      </c>
      <c r="W79" t="n">
        <v>2</v>
      </c>
      <c r="X79" t="inlineStr">
        <is>
          <t>Low</t>
        </is>
      </c>
      <c r="Z79" t="inlineStr">
        <is>
          <t>atractylenolide ii</t>
        </is>
      </c>
      <c r="AF79" t="inlineStr">
        <is>
          <t>atractylenolide ii</t>
        </is>
      </c>
      <c r="AH79" t="inlineStr">
        <is>
          <t>Pass 45 duplicate consolidation</t>
        </is>
      </c>
      <c r="AI79" t="inlineStr">
        <is>
          <t>other</t>
        </is>
      </c>
      <c r="AJ79" t="inlineStr">
        <is>
          <t>Unknown</t>
        </is>
      </c>
      <c r="AK79" t="inlineStr">
        <is>
          <t>unclassified</t>
        </is>
      </c>
      <c r="AL79" t="inlineStr">
        <is>
          <t>Pass 46 mechanism + evidence consolidation</t>
        </is>
      </c>
      <c r="AM79" t="n">
        <v>3</v>
      </c>
      <c r="AN79" t="inlineStr">
        <is>
          <t>D</t>
        </is>
      </c>
      <c r="AO79" t="inlineStr">
        <is>
          <t>Pass 47 compound scoring</t>
        </is>
      </c>
    </row>
    <row r="80">
      <c r="A80" t="inlineStr">
        <is>
          <t>atractylenolide iii</t>
        </is>
      </c>
      <c r="B80" t="inlineStr">
        <is>
          <t>atractylenolide iii</t>
        </is>
      </c>
      <c r="D80" t="inlineStr">
        <is>
          <t>other</t>
        </is>
      </c>
      <c r="E80" t="inlineStr">
        <is>
          <t>insufficient evidence</t>
        </is>
      </c>
      <c r="F80" t="inlineStr">
        <is>
          <t>unclassified</t>
        </is>
      </c>
      <c r="W80" t="n">
        <v>2</v>
      </c>
      <c r="X80" t="inlineStr">
        <is>
          <t>Low</t>
        </is>
      </c>
      <c r="Z80" t="inlineStr">
        <is>
          <t>atractylenolide iii</t>
        </is>
      </c>
      <c r="AF80" t="inlineStr">
        <is>
          <t>atractylenolide iii</t>
        </is>
      </c>
      <c r="AH80" t="inlineStr">
        <is>
          <t>Pass 45 duplicate consolidation</t>
        </is>
      </c>
      <c r="AI80" t="inlineStr">
        <is>
          <t>other</t>
        </is>
      </c>
      <c r="AJ80" t="inlineStr">
        <is>
          <t>Unknown</t>
        </is>
      </c>
      <c r="AK80" t="inlineStr">
        <is>
          <t>unclassified</t>
        </is>
      </c>
      <c r="AL80" t="inlineStr">
        <is>
          <t>Pass 46 mechanism + evidence consolidation</t>
        </is>
      </c>
      <c r="AM80" t="n">
        <v>3</v>
      </c>
      <c r="AN80" t="inlineStr">
        <is>
          <t>D</t>
        </is>
      </c>
      <c r="AO80" t="inlineStr">
        <is>
          <t>Pass 47 compound scoring</t>
        </is>
      </c>
    </row>
    <row r="81">
      <c r="A81" t="inlineStr">
        <is>
          <t>atractylon</t>
        </is>
      </c>
      <c r="B81" t="inlineStr">
        <is>
          <t>atractylon</t>
        </is>
      </c>
      <c r="D81" t="inlineStr">
        <is>
          <t>other</t>
        </is>
      </c>
      <c r="E81" t="inlineStr">
        <is>
          <t>insufficient evidence</t>
        </is>
      </c>
      <c r="F81" t="inlineStr">
        <is>
          <t>unclassified</t>
        </is>
      </c>
      <c r="W81" t="n">
        <v>2</v>
      </c>
      <c r="X81" t="inlineStr">
        <is>
          <t>Low</t>
        </is>
      </c>
      <c r="Z81" t="inlineStr">
        <is>
          <t>atractylon</t>
        </is>
      </c>
      <c r="AF81" t="inlineStr">
        <is>
          <t>atractylon</t>
        </is>
      </c>
      <c r="AH81" t="inlineStr">
        <is>
          <t>Pass 45 duplicate consolidation</t>
        </is>
      </c>
      <c r="AI81" t="inlineStr">
        <is>
          <t>other</t>
        </is>
      </c>
      <c r="AJ81" t="inlineStr">
        <is>
          <t>Unknown</t>
        </is>
      </c>
      <c r="AK81" t="inlineStr">
        <is>
          <t>unclassified</t>
        </is>
      </c>
      <c r="AL81" t="inlineStr">
        <is>
          <t>Pass 46 mechanism + evidence consolidation</t>
        </is>
      </c>
      <c r="AM81" t="n">
        <v>3</v>
      </c>
      <c r="AN81" t="inlineStr">
        <is>
          <t>D</t>
        </is>
      </c>
      <c r="AO81" t="inlineStr">
        <is>
          <t>Pass 47 compound scoring</t>
        </is>
      </c>
    </row>
    <row r="82">
      <c r="A82" t="inlineStr">
        <is>
          <t>atropine</t>
        </is>
      </c>
      <c r="B82" t="inlineStr">
        <is>
          <t>atropine</t>
        </is>
      </c>
      <c r="D82" t="inlineStr">
        <is>
          <t>alkaloid</t>
        </is>
      </c>
      <c r="E82" t="inlineStr">
        <is>
          <t>Tropane alkaloids block muscarinic acetylcholine receptors causing central and peripheral anticholinergic effects.</t>
        </is>
      </c>
      <c r="F82" t="inlineStr">
        <is>
          <t>unclassified</t>
        </is>
      </c>
      <c r="W82" t="n">
        <v>2</v>
      </c>
      <c r="X82" t="inlineStr">
        <is>
          <t>Low</t>
        </is>
      </c>
      <c r="Z82" t="inlineStr">
        <is>
          <t>atropine</t>
        </is>
      </c>
      <c r="AF82" t="inlineStr">
        <is>
          <t>atropine</t>
        </is>
      </c>
      <c r="AH82" t="inlineStr">
        <is>
          <t>Pass 45 duplicate consolidation</t>
        </is>
      </c>
      <c r="AI82" t="inlineStr">
        <is>
          <t>alkaloid</t>
        </is>
      </c>
      <c r="AJ82" t="inlineStr">
        <is>
          <t>Unknown</t>
        </is>
      </c>
      <c r="AK82" t="inlineStr">
        <is>
          <t>unclassified</t>
        </is>
      </c>
      <c r="AL82" t="inlineStr">
        <is>
          <t>Pass 46 mechanism + evidence consolidation</t>
        </is>
      </c>
      <c r="AM82" t="n">
        <v>3</v>
      </c>
      <c r="AN82" t="inlineStr">
        <is>
          <t>D</t>
        </is>
      </c>
      <c r="AO82" t="inlineStr">
        <is>
          <t>Pass 47 compound scoring</t>
        </is>
      </c>
    </row>
    <row r="83">
      <c r="A83" t="inlineStr">
        <is>
          <t>aucubin</t>
        </is>
      </c>
      <c r="B83" t="inlineStr">
        <is>
          <t>aucubin</t>
        </is>
      </c>
      <c r="D83" t="inlineStr">
        <is>
          <t>other</t>
        </is>
      </c>
      <c r="E83" t="inlineStr">
        <is>
          <t>insufficient evidence</t>
        </is>
      </c>
      <c r="F83" t="inlineStr">
        <is>
          <t>unclassified</t>
        </is>
      </c>
      <c r="W83" t="n">
        <v>2</v>
      </c>
      <c r="X83" t="inlineStr">
        <is>
          <t>Low</t>
        </is>
      </c>
      <c r="Z83" t="inlineStr">
        <is>
          <t>aucubin</t>
        </is>
      </c>
      <c r="AF83" t="inlineStr">
        <is>
          <t>aucubin</t>
        </is>
      </c>
      <c r="AH83" t="inlineStr">
        <is>
          <t>Pass 45 duplicate consolidation</t>
        </is>
      </c>
      <c r="AI83" t="inlineStr">
        <is>
          <t>other</t>
        </is>
      </c>
      <c r="AJ83" t="inlineStr">
        <is>
          <t>Unknown</t>
        </is>
      </c>
      <c r="AK83" t="inlineStr">
        <is>
          <t>unclassified</t>
        </is>
      </c>
      <c r="AL83" t="inlineStr">
        <is>
          <t>Pass 46 mechanism + evidence consolidation</t>
        </is>
      </c>
      <c r="AM83" t="n">
        <v>3</v>
      </c>
      <c r="AN83" t="inlineStr">
        <is>
          <t>D</t>
        </is>
      </c>
      <c r="AO83" t="inlineStr">
        <is>
          <t>Pass 47 compound scoring</t>
        </is>
      </c>
    </row>
    <row r="84">
      <c r="A84" t="inlineStr">
        <is>
          <t>avenacosides</t>
        </is>
      </c>
      <c r="B84" t="inlineStr">
        <is>
          <t>avenacosides</t>
        </is>
      </c>
      <c r="D84" t="inlineStr">
        <is>
          <t>steroidal saponins</t>
        </is>
      </c>
      <c r="E84" t="inlineStr">
        <is>
          <t>Milky-oats constituent group associated with nutritive traditional positioning.</t>
        </is>
      </c>
      <c r="F84" t="inlineStr">
        <is>
          <t>unclassified</t>
        </is>
      </c>
      <c r="W84" t="n">
        <v>2</v>
      </c>
      <c r="X84" t="inlineStr">
        <is>
          <t>Low</t>
        </is>
      </c>
      <c r="Z84" t="inlineStr">
        <is>
          <t>avenacosides</t>
        </is>
      </c>
      <c r="AF84" t="inlineStr">
        <is>
          <t>avenacosides</t>
        </is>
      </c>
      <c r="AH84" t="inlineStr">
        <is>
          <t>Pass 45 duplicate consolidation</t>
        </is>
      </c>
      <c r="AI84" t="inlineStr">
        <is>
          <t>steroidal saponins</t>
        </is>
      </c>
      <c r="AJ84" t="inlineStr">
        <is>
          <t>Unknown</t>
        </is>
      </c>
      <c r="AK84" t="inlineStr">
        <is>
          <t>unclassified</t>
        </is>
      </c>
      <c r="AL84" t="inlineStr">
        <is>
          <t>Pass 46 mechanism + evidence consolidation</t>
        </is>
      </c>
      <c r="AM84" t="n">
        <v>3</v>
      </c>
      <c r="AN84" t="inlineStr">
        <is>
          <t>D</t>
        </is>
      </c>
      <c r="AO84" t="inlineStr">
        <is>
          <t>Pass 47 compound scoring</t>
        </is>
      </c>
    </row>
    <row r="85">
      <c r="A85" t="inlineStr">
        <is>
          <t>avenanthramides</t>
        </is>
      </c>
      <c r="B85" t="inlineStr">
        <is>
          <t>avenanthramides</t>
        </is>
      </c>
      <c r="D85" t="inlineStr">
        <is>
          <t>polyphenols</t>
        </is>
      </c>
      <c r="E85" t="inlineStr">
        <is>
          <t>Oat polyphenols associated with antioxidant and soothing positioning.</t>
        </is>
      </c>
      <c r="F85" t="inlineStr">
        <is>
          <t>unclassified</t>
        </is>
      </c>
      <c r="W85" t="n">
        <v>2</v>
      </c>
      <c r="X85" t="inlineStr">
        <is>
          <t>Low</t>
        </is>
      </c>
      <c r="Z85" t="inlineStr">
        <is>
          <t>avenanthramides</t>
        </is>
      </c>
      <c r="AF85" t="inlineStr">
        <is>
          <t>avenanthramides</t>
        </is>
      </c>
      <c r="AH85" t="inlineStr">
        <is>
          <t>Pass 45 duplicate consolidation</t>
        </is>
      </c>
      <c r="AI85" t="inlineStr">
        <is>
          <t>polyphenols</t>
        </is>
      </c>
      <c r="AJ85" t="inlineStr">
        <is>
          <t>Unknown</t>
        </is>
      </c>
      <c r="AK85" t="inlineStr">
        <is>
          <t>unclassified</t>
        </is>
      </c>
      <c r="AL85" t="inlineStr">
        <is>
          <t>Pass 46 mechanism + evidence consolidation</t>
        </is>
      </c>
      <c r="AM85" t="n">
        <v>3</v>
      </c>
      <c r="AN85" t="inlineStr">
        <is>
          <t>D</t>
        </is>
      </c>
      <c r="AO85" t="inlineStr">
        <is>
          <t>Pass 47 compound scoring</t>
        </is>
      </c>
    </row>
    <row r="86">
      <c r="A86" t="inlineStr">
        <is>
          <t>azadirachtin</t>
        </is>
      </c>
      <c r="B86" t="inlineStr">
        <is>
          <t>azadirachtin</t>
        </is>
      </c>
      <c r="D86" t="inlineStr">
        <is>
          <t>other</t>
        </is>
      </c>
      <c r="E86" t="inlineStr">
        <is>
          <t>insufficient evidence</t>
        </is>
      </c>
      <c r="F86" t="inlineStr">
        <is>
          <t>unclassified</t>
        </is>
      </c>
      <c r="W86" t="n">
        <v>2</v>
      </c>
      <c r="X86" t="inlineStr">
        <is>
          <t>Low</t>
        </is>
      </c>
      <c r="Z86" t="inlineStr">
        <is>
          <t>azadirachtin</t>
        </is>
      </c>
      <c r="AF86" t="inlineStr">
        <is>
          <t>azadirachtin</t>
        </is>
      </c>
      <c r="AH86" t="inlineStr">
        <is>
          <t>Pass 45 duplicate consolidation</t>
        </is>
      </c>
      <c r="AI86" t="inlineStr">
        <is>
          <t>other</t>
        </is>
      </c>
      <c r="AJ86" t="inlineStr">
        <is>
          <t>Unknown</t>
        </is>
      </c>
      <c r="AK86" t="inlineStr">
        <is>
          <t>unclassified</t>
        </is>
      </c>
      <c r="AL86" t="inlineStr">
        <is>
          <t>Pass 46 mechanism + evidence consolidation</t>
        </is>
      </c>
      <c r="AM86" t="n">
        <v>3</v>
      </c>
      <c r="AN86" t="inlineStr">
        <is>
          <t>D</t>
        </is>
      </c>
      <c r="AO86" t="inlineStr">
        <is>
          <t>Pass 47 compound scoring</t>
        </is>
      </c>
    </row>
    <row r="87">
      <c r="A87" t="inlineStr">
        <is>
          <t>bacopaside ii</t>
        </is>
      </c>
      <c r="B87" t="inlineStr">
        <is>
          <t>bacopaside II</t>
        </is>
      </c>
      <c r="D87" t="inlineStr">
        <is>
          <t>triterpenoid saponin</t>
        </is>
      </c>
      <c r="E87" t="inlineStr">
        <is>
          <t>Bacopa saponin associated with synaptic and neuroprotective effects in preclinical work.</t>
        </is>
      </c>
      <c r="F87" t="inlineStr">
        <is>
          <t>unclassified</t>
        </is>
      </c>
      <c r="W87" t="n">
        <v>2</v>
      </c>
      <c r="X87" t="inlineStr">
        <is>
          <t>Low</t>
        </is>
      </c>
      <c r="Z87" t="inlineStr">
        <is>
          <t>bacopaside ii</t>
        </is>
      </c>
      <c r="AF87" t="inlineStr">
        <is>
          <t>bacopaside ii</t>
        </is>
      </c>
      <c r="AH87" t="inlineStr">
        <is>
          <t>Pass 45 duplicate consolidation</t>
        </is>
      </c>
      <c r="AI87" t="inlineStr">
        <is>
          <t>triterpenoid saponin</t>
        </is>
      </c>
      <c r="AJ87" t="inlineStr">
        <is>
          <t>Clinical</t>
        </is>
      </c>
      <c r="AK87" t="inlineStr">
        <is>
          <t>unclassified</t>
        </is>
      </c>
      <c r="AL87" t="inlineStr">
        <is>
          <t>Pass 46 mechanism + evidence consolidation</t>
        </is>
      </c>
      <c r="AM87" t="n">
        <v>6</v>
      </c>
      <c r="AN87" t="inlineStr">
        <is>
          <t>C</t>
        </is>
      </c>
      <c r="AO87" t="inlineStr">
        <is>
          <t>Pass 47 compound scoring</t>
        </is>
      </c>
    </row>
    <row r="88">
      <c r="A88" t="inlineStr">
        <is>
          <t>bacoside a</t>
        </is>
      </c>
      <c r="B88" t="inlineStr">
        <is>
          <t>bacoside A</t>
        </is>
      </c>
      <c r="D88" t="inlineStr">
        <is>
          <t>triterpene saponin</t>
        </is>
      </c>
      <c r="E88" t="inlineStr">
        <is>
          <t>Bacopa constituent linked to cognition support.</t>
        </is>
      </c>
      <c r="F88" t="inlineStr">
        <is>
          <t>unclassified</t>
        </is>
      </c>
      <c r="W88" t="n">
        <v>2</v>
      </c>
      <c r="X88" t="inlineStr">
        <is>
          <t>Low</t>
        </is>
      </c>
      <c r="Z88" t="inlineStr">
        <is>
          <t>bacoside a</t>
        </is>
      </c>
      <c r="AF88" t="inlineStr">
        <is>
          <t>bacoside a</t>
        </is>
      </c>
      <c r="AH88" t="inlineStr">
        <is>
          <t>Pass 45 duplicate consolidation</t>
        </is>
      </c>
      <c r="AI88" t="inlineStr">
        <is>
          <t>triterpene saponin</t>
        </is>
      </c>
      <c r="AJ88" t="inlineStr">
        <is>
          <t>Unknown</t>
        </is>
      </c>
      <c r="AK88" t="inlineStr">
        <is>
          <t>unclassified</t>
        </is>
      </c>
      <c r="AL88" t="inlineStr">
        <is>
          <t>Pass 46 mechanism + evidence consolidation</t>
        </is>
      </c>
      <c r="AM88" t="n">
        <v>3</v>
      </c>
      <c r="AN88" t="inlineStr">
        <is>
          <t>D</t>
        </is>
      </c>
      <c r="AO88" t="inlineStr">
        <is>
          <t>Pass 47 compound scoring</t>
        </is>
      </c>
    </row>
    <row r="89">
      <c r="A89" t="inlineStr">
        <is>
          <t>Baicalein</t>
        </is>
      </c>
      <c r="B89" t="inlineStr">
        <is>
          <t>Flavonoid</t>
        </is>
      </c>
      <c r="C89" t="inlineStr">
        <is>
          <t>Chinese Skullcap</t>
        </is>
      </c>
      <c r="D89" t="inlineStr">
        <is>
          <t>Anti-inflammatory; neuroprotective</t>
        </is>
      </c>
      <c r="E89" t="inlineStr">
        <is>
          <t>American skullcap flavonoids are associated with anticonvulsant and anxiolytic activity; GABAergic signaling and broader neuroinhibitory effects have been proposed in preclinical work.</t>
        </is>
      </c>
      <c r="F89" t="inlineStr">
        <is>
          <t>unclassified; NF-kB inhibition; neuroprotective signaling</t>
        </is>
      </c>
      <c r="U89" t="inlineStr">
        <is>
          <t>Pass 13 normalized herb display names to monograph common names; Pass 45 merged 2 rows into canonical compound entry</t>
        </is>
      </c>
      <c r="W89" t="n">
        <v>4</v>
      </c>
      <c r="X89" t="inlineStr">
        <is>
          <t>Medium</t>
        </is>
      </c>
      <c r="Z89" t="inlineStr">
        <is>
          <t>Baicalein</t>
        </is>
      </c>
      <c r="AF89" t="inlineStr">
        <is>
          <t>baicalein</t>
        </is>
      </c>
      <c r="AH89" t="inlineStr">
        <is>
          <t>Pass 45 duplicate consolidation</t>
        </is>
      </c>
      <c r="AI89" t="inlineStr">
        <is>
          <t>Anti-inflammatory; neuroprotective</t>
        </is>
      </c>
      <c r="AJ89" t="inlineStr">
        <is>
          <t>Clinical</t>
        </is>
      </c>
      <c r="AK89" t="inlineStr">
        <is>
          <t>neuroprotective signaling; nf-kb inhibition; unclassified</t>
        </is>
      </c>
      <c r="AL89" t="inlineStr">
        <is>
          <t>Pass 46 mechanism + evidence consolidation</t>
        </is>
      </c>
      <c r="AM89" t="n">
        <v>8</v>
      </c>
      <c r="AN89" t="inlineStr">
        <is>
          <t>B</t>
        </is>
      </c>
      <c r="AO89" t="inlineStr">
        <is>
          <t>Pass 47 compound scoring</t>
        </is>
      </c>
    </row>
    <row r="90">
      <c r="A90" t="inlineStr">
        <is>
          <t>Baicalin</t>
        </is>
      </c>
      <c r="B90" t="inlineStr">
        <is>
          <t>Flavonoid</t>
        </is>
      </c>
      <c r="C90" t="inlineStr">
        <is>
          <t>Chinese Skullcap</t>
        </is>
      </c>
      <c r="D90" t="inlineStr">
        <is>
          <t>Anti-inflammatory; neuroprotective</t>
        </is>
      </c>
      <c r="E90" t="inlineStr">
        <is>
          <t>American skullcap flavonoids are associated with anticonvulsant and anxiolytic activity; GABAergic signaling and broader neuroinhibitory effects have been proposed in preclinical work.</t>
        </is>
      </c>
      <c r="F90" t="inlineStr">
        <is>
          <t>unclassified; NF-kB inhibition; neuroprotective signaling</t>
        </is>
      </c>
      <c r="U90" t="inlineStr">
        <is>
          <t>Pass 13 normalized herb display names to monograph common names; Pass 45 merged 2 rows into canonical compound entry</t>
        </is>
      </c>
      <c r="W90" t="n">
        <v>4</v>
      </c>
      <c r="X90" t="inlineStr">
        <is>
          <t>Medium</t>
        </is>
      </c>
      <c r="Z90" t="inlineStr">
        <is>
          <t>Baicalin</t>
        </is>
      </c>
      <c r="AF90" t="inlineStr">
        <is>
          <t>baicalin</t>
        </is>
      </c>
      <c r="AH90" t="inlineStr">
        <is>
          <t>Pass 45 duplicate consolidation</t>
        </is>
      </c>
      <c r="AI90" t="inlineStr">
        <is>
          <t>Anti-inflammatory; neuroprotective</t>
        </is>
      </c>
      <c r="AJ90" t="inlineStr">
        <is>
          <t>Clinical</t>
        </is>
      </c>
      <c r="AK90" t="inlineStr">
        <is>
          <t>neuroprotective signaling; nf-kb inhibition; unclassified</t>
        </is>
      </c>
      <c r="AL90" t="inlineStr">
        <is>
          <t>Pass 46 mechanism + evidence consolidation</t>
        </is>
      </c>
      <c r="AM90" t="n">
        <v>8</v>
      </c>
      <c r="AN90" t="inlineStr">
        <is>
          <t>B</t>
        </is>
      </c>
      <c r="AO90" t="inlineStr">
        <is>
          <t>Pass 47 compound scoring</t>
        </is>
      </c>
    </row>
    <row r="91">
      <c r="A91" t="inlineStr">
        <is>
          <t>benzyl benzoate</t>
        </is>
      </c>
      <c r="B91" t="inlineStr">
        <is>
          <t>benzyl benzoate</t>
        </is>
      </c>
      <c r="D91" t="inlineStr">
        <is>
          <t>other</t>
        </is>
      </c>
      <c r="E91" t="inlineStr">
        <is>
          <t>insufficient evidence</t>
        </is>
      </c>
      <c r="F91" t="inlineStr">
        <is>
          <t>unclassified</t>
        </is>
      </c>
      <c r="W91" t="n">
        <v>2</v>
      </c>
      <c r="X91" t="inlineStr">
        <is>
          <t>Low</t>
        </is>
      </c>
      <c r="Z91" t="inlineStr">
        <is>
          <t>benzyl benzoate</t>
        </is>
      </c>
      <c r="AF91" t="inlineStr">
        <is>
          <t>benzyl benzoate</t>
        </is>
      </c>
      <c r="AH91" t="inlineStr">
        <is>
          <t>Pass 45 duplicate consolidation</t>
        </is>
      </c>
      <c r="AI91" t="inlineStr">
        <is>
          <t>other</t>
        </is>
      </c>
      <c r="AJ91" t="inlineStr">
        <is>
          <t>Unknown</t>
        </is>
      </c>
      <c r="AK91" t="inlineStr">
        <is>
          <t>unclassified</t>
        </is>
      </c>
      <c r="AL91" t="inlineStr">
        <is>
          <t>Pass 46 mechanism + evidence consolidation</t>
        </is>
      </c>
      <c r="AM91" t="n">
        <v>3</v>
      </c>
      <c r="AN91" t="inlineStr">
        <is>
          <t>D</t>
        </is>
      </c>
      <c r="AO91" t="inlineStr">
        <is>
          <t>Pass 47 compound scoring</t>
        </is>
      </c>
    </row>
    <row r="92">
      <c r="A92" t="inlineStr">
        <is>
          <t>benzyl isothiocyanate</t>
        </is>
      </c>
      <c r="B92" t="inlineStr">
        <is>
          <t>benzyl isothiocyanate</t>
        </is>
      </c>
      <c r="D92" t="inlineStr">
        <is>
          <t>other</t>
        </is>
      </c>
      <c r="E92" t="inlineStr">
        <is>
          <t>insufficient evidence</t>
        </is>
      </c>
      <c r="F92" t="inlineStr">
        <is>
          <t>unclassified</t>
        </is>
      </c>
      <c r="W92" t="n">
        <v>2</v>
      </c>
      <c r="X92" t="inlineStr">
        <is>
          <t>Low</t>
        </is>
      </c>
      <c r="Z92" t="inlineStr">
        <is>
          <t>benzyl isothiocyanate</t>
        </is>
      </c>
      <c r="AF92" t="inlineStr">
        <is>
          <t>benzyl isothiocyanate</t>
        </is>
      </c>
      <c r="AH92" t="inlineStr">
        <is>
          <t>Pass 45 duplicate consolidation</t>
        </is>
      </c>
      <c r="AI92" t="inlineStr">
        <is>
          <t>other</t>
        </is>
      </c>
      <c r="AJ92" t="inlineStr">
        <is>
          <t>Unknown</t>
        </is>
      </c>
      <c r="AK92" t="inlineStr">
        <is>
          <t>unclassified</t>
        </is>
      </c>
      <c r="AL92" t="inlineStr">
        <is>
          <t>Pass 46 mechanism + evidence consolidation</t>
        </is>
      </c>
      <c r="AM92" t="n">
        <v>3</v>
      </c>
      <c r="AN92" t="inlineStr">
        <is>
          <t>D</t>
        </is>
      </c>
      <c r="AO92" t="inlineStr">
        <is>
          <t>Pass 47 compound scoring</t>
        </is>
      </c>
    </row>
    <row r="93">
      <c r="A93" t="inlineStr">
        <is>
          <t>berbamine</t>
        </is>
      </c>
      <c r="B93" t="inlineStr">
        <is>
          <t>berbamine</t>
        </is>
      </c>
      <c r="D93" t="inlineStr">
        <is>
          <t>other</t>
        </is>
      </c>
      <c r="E93" t="inlineStr">
        <is>
          <t>insufficient evidence</t>
        </is>
      </c>
      <c r="F93" t="inlineStr">
        <is>
          <t>unclassified</t>
        </is>
      </c>
      <c r="W93" t="n">
        <v>2</v>
      </c>
      <c r="X93" t="inlineStr">
        <is>
          <t>Low</t>
        </is>
      </c>
      <c r="Z93" t="inlineStr">
        <is>
          <t>berbamine</t>
        </is>
      </c>
      <c r="AF93" t="inlineStr">
        <is>
          <t>berbamine</t>
        </is>
      </c>
      <c r="AH93" t="inlineStr">
        <is>
          <t>Pass 45 duplicate consolidation</t>
        </is>
      </c>
      <c r="AI93" t="inlineStr">
        <is>
          <t>other</t>
        </is>
      </c>
      <c r="AJ93" t="inlineStr">
        <is>
          <t>Unknown</t>
        </is>
      </c>
      <c r="AK93" t="inlineStr">
        <is>
          <t>unclassified</t>
        </is>
      </c>
      <c r="AL93" t="inlineStr">
        <is>
          <t>Pass 46 mechanism + evidence consolidation</t>
        </is>
      </c>
      <c r="AM93" t="n">
        <v>3</v>
      </c>
      <c r="AN93" t="inlineStr">
        <is>
          <t>D</t>
        </is>
      </c>
      <c r="AO93" t="inlineStr">
        <is>
          <t>Pass 47 compound scoring</t>
        </is>
      </c>
    </row>
    <row r="94">
      <c r="A94" t="inlineStr">
        <is>
          <t>berberine</t>
        </is>
      </c>
      <c r="B94" t="inlineStr">
        <is>
          <t>berberine</t>
        </is>
      </c>
      <c r="D94" t="inlineStr">
        <is>
          <t>alkaloid</t>
        </is>
      </c>
      <c r="E94" t="inlineStr">
        <is>
          <t>Activates AMPK and is reported to inhibit mitochondrial respiratory complex I; downstream effects include modulation of metabolic and inflammatory signaling.</t>
        </is>
      </c>
      <c r="F94" t="inlineStr">
        <is>
          <t>unclassified</t>
        </is>
      </c>
      <c r="W94" t="n">
        <v>2</v>
      </c>
      <c r="X94" t="inlineStr">
        <is>
          <t>Low</t>
        </is>
      </c>
      <c r="Z94" t="inlineStr">
        <is>
          <t>berberine</t>
        </is>
      </c>
      <c r="AF94" t="inlineStr">
        <is>
          <t>berberine</t>
        </is>
      </c>
      <c r="AH94" t="inlineStr">
        <is>
          <t>Pass 45 duplicate consolidation</t>
        </is>
      </c>
      <c r="AI94" t="inlineStr">
        <is>
          <t>alkaloid</t>
        </is>
      </c>
      <c r="AJ94" t="inlineStr">
        <is>
          <t>Unknown</t>
        </is>
      </c>
      <c r="AK94" t="inlineStr">
        <is>
          <t>unclassified</t>
        </is>
      </c>
      <c r="AL94" t="inlineStr">
        <is>
          <t>Pass 46 mechanism + evidence consolidation</t>
        </is>
      </c>
      <c r="AM94" t="n">
        <v>3</v>
      </c>
      <c r="AN94" t="inlineStr">
        <is>
          <t>D</t>
        </is>
      </c>
      <c r="AO94" t="inlineStr">
        <is>
          <t>Pass 47 compound scoring</t>
        </is>
      </c>
    </row>
    <row r="95">
      <c r="A95" t="inlineStr">
        <is>
          <t>beta-amyrin</t>
        </is>
      </c>
      <c r="B95" t="inlineStr">
        <is>
          <t>beta-amyrin</t>
        </is>
      </c>
      <c r="D95" t="inlineStr">
        <is>
          <t>other</t>
        </is>
      </c>
      <c r="E95" t="inlineStr">
        <is>
          <t>insufficient evidence</t>
        </is>
      </c>
      <c r="F95" t="inlineStr">
        <is>
          <t>unclassified</t>
        </is>
      </c>
      <c r="W95" t="n">
        <v>2</v>
      </c>
      <c r="X95" t="inlineStr">
        <is>
          <t>Low</t>
        </is>
      </c>
      <c r="Z95" t="inlineStr">
        <is>
          <t>beta-amyrin</t>
        </is>
      </c>
      <c r="AF95" t="inlineStr">
        <is>
          <t>beta amyrin</t>
        </is>
      </c>
      <c r="AH95" t="inlineStr">
        <is>
          <t>Pass 45 duplicate consolidation</t>
        </is>
      </c>
      <c r="AI95" t="inlineStr">
        <is>
          <t>other</t>
        </is>
      </c>
      <c r="AJ95" t="inlineStr">
        <is>
          <t>Unknown</t>
        </is>
      </c>
      <c r="AK95" t="inlineStr">
        <is>
          <t>unclassified</t>
        </is>
      </c>
      <c r="AL95" t="inlineStr">
        <is>
          <t>Pass 46 mechanism + evidence consolidation</t>
        </is>
      </c>
      <c r="AM95" t="n">
        <v>3</v>
      </c>
      <c r="AN95" t="inlineStr">
        <is>
          <t>D</t>
        </is>
      </c>
      <c r="AO95" t="inlineStr">
        <is>
          <t>Pass 47 compound scoring</t>
        </is>
      </c>
    </row>
    <row r="96">
      <c r="A96" t="inlineStr">
        <is>
          <t>beta-asarone</t>
        </is>
      </c>
      <c r="B96" t="inlineStr">
        <is>
          <t>beta-asarone</t>
        </is>
      </c>
      <c r="D96" t="inlineStr">
        <is>
          <t>other</t>
        </is>
      </c>
      <c r="E96" t="inlineStr">
        <is>
          <t>insufficient evidence</t>
        </is>
      </c>
      <c r="F96" t="inlineStr">
        <is>
          <t>unclassified</t>
        </is>
      </c>
      <c r="W96" t="n">
        <v>2</v>
      </c>
      <c r="X96" t="inlineStr">
        <is>
          <t>Low</t>
        </is>
      </c>
      <c r="Z96" t="inlineStr">
        <is>
          <t>beta-asarone</t>
        </is>
      </c>
      <c r="AF96" t="inlineStr">
        <is>
          <t>beta asarone</t>
        </is>
      </c>
      <c r="AH96" t="inlineStr">
        <is>
          <t>Pass 45 duplicate consolidation</t>
        </is>
      </c>
      <c r="AI96" t="inlineStr">
        <is>
          <t>other</t>
        </is>
      </c>
      <c r="AJ96" t="inlineStr">
        <is>
          <t>Unknown</t>
        </is>
      </c>
      <c r="AK96" t="inlineStr">
        <is>
          <t>unclassified</t>
        </is>
      </c>
      <c r="AL96" t="inlineStr">
        <is>
          <t>Pass 46 mechanism + evidence consolidation</t>
        </is>
      </c>
      <c r="AM96" t="n">
        <v>3</v>
      </c>
      <c r="AN96" t="inlineStr">
        <is>
          <t>D</t>
        </is>
      </c>
      <c r="AO96" t="inlineStr">
        <is>
          <t>Pass 47 compound scoring</t>
        </is>
      </c>
    </row>
    <row r="97">
      <c r="A97" t="inlineStr">
        <is>
          <t>beta-asarone low levels</t>
        </is>
      </c>
      <c r="B97" t="inlineStr">
        <is>
          <t>beta-asarone (low levels)</t>
        </is>
      </c>
      <c r="D97" t="inlineStr">
        <is>
          <t>other</t>
        </is>
      </c>
      <c r="E97" t="inlineStr">
        <is>
          <t>insufficient evidence</t>
        </is>
      </c>
      <c r="F97" t="inlineStr">
        <is>
          <t>unclassified</t>
        </is>
      </c>
      <c r="W97" t="n">
        <v>2</v>
      </c>
      <c r="X97" t="inlineStr">
        <is>
          <t>Low</t>
        </is>
      </c>
      <c r="Z97" t="inlineStr">
        <is>
          <t>beta-asarone low levels</t>
        </is>
      </c>
      <c r="AF97" t="inlineStr">
        <is>
          <t>beta asarone low levels</t>
        </is>
      </c>
      <c r="AH97" t="inlineStr">
        <is>
          <t>Pass 45 duplicate consolidation</t>
        </is>
      </c>
      <c r="AI97" t="inlineStr">
        <is>
          <t>other</t>
        </is>
      </c>
      <c r="AJ97" t="inlineStr">
        <is>
          <t>Unknown</t>
        </is>
      </c>
      <c r="AK97" t="inlineStr">
        <is>
          <t>unclassified</t>
        </is>
      </c>
      <c r="AL97" t="inlineStr">
        <is>
          <t>Pass 46 mechanism + evidence consolidation</t>
        </is>
      </c>
      <c r="AM97" t="n">
        <v>3</v>
      </c>
      <c r="AN97" t="inlineStr">
        <is>
          <t>D</t>
        </is>
      </c>
      <c r="AO97" t="inlineStr">
        <is>
          <t>Pass 47 compound scoring</t>
        </is>
      </c>
    </row>
    <row r="98">
      <c r="A98" t="inlineStr">
        <is>
          <t>beta-boswellic acid</t>
        </is>
      </c>
      <c r="B98" t="inlineStr">
        <is>
          <t>beta-boswellic acid</t>
        </is>
      </c>
      <c r="D98" t="inlineStr">
        <is>
          <t>organic acid</t>
        </is>
      </c>
      <c r="E98" t="inlineStr">
        <is>
          <t>Boswellic acids, especially AKBA, act as relatively selective 5-lipoxygenase inhibitors and reduce leukotriene synthesis in inflammatory pathways.</t>
        </is>
      </c>
      <c r="F98" t="inlineStr">
        <is>
          <t>unclassified</t>
        </is>
      </c>
      <c r="W98" t="n">
        <v>2</v>
      </c>
      <c r="X98" t="inlineStr">
        <is>
          <t>Low</t>
        </is>
      </c>
      <c r="Z98" t="inlineStr">
        <is>
          <t>beta-boswellic acid</t>
        </is>
      </c>
      <c r="AF98" t="inlineStr">
        <is>
          <t>beta boswellic acid</t>
        </is>
      </c>
      <c r="AH98" t="inlineStr">
        <is>
          <t>Pass 45 duplicate consolidation</t>
        </is>
      </c>
      <c r="AI98" t="inlineStr">
        <is>
          <t>organic acid</t>
        </is>
      </c>
      <c r="AJ98" t="inlineStr">
        <is>
          <t>Unknown</t>
        </is>
      </c>
      <c r="AK98" t="inlineStr">
        <is>
          <t>unclassified</t>
        </is>
      </c>
      <c r="AL98" t="inlineStr">
        <is>
          <t>Pass 46 mechanism + evidence consolidation</t>
        </is>
      </c>
      <c r="AM98" t="n">
        <v>3</v>
      </c>
      <c r="AN98" t="inlineStr">
        <is>
          <t>D</t>
        </is>
      </c>
      <c r="AO98" t="inlineStr">
        <is>
          <t>Pass 47 compound scoring</t>
        </is>
      </c>
    </row>
    <row r="99">
      <c r="A99" t="inlineStr">
        <is>
          <t>beta-caryophyllene</t>
        </is>
      </c>
      <c r="B99" t="inlineStr">
        <is>
          <t>beta-caryophyllene</t>
        </is>
      </c>
      <c r="D99" t="inlineStr">
        <is>
          <t>other</t>
        </is>
      </c>
      <c r="E99" t="inlineStr">
        <is>
          <t>insufficient evidence</t>
        </is>
      </c>
      <c r="F99" t="inlineStr">
        <is>
          <t>unclassified</t>
        </is>
      </c>
      <c r="W99" t="n">
        <v>2</v>
      </c>
      <c r="X99" t="inlineStr">
        <is>
          <t>Low</t>
        </is>
      </c>
      <c r="Z99" t="inlineStr">
        <is>
          <t>beta-caryophyllene</t>
        </is>
      </c>
      <c r="AF99" t="inlineStr">
        <is>
          <t>beta caryophyllene</t>
        </is>
      </c>
      <c r="AH99" t="inlineStr">
        <is>
          <t>Pass 45 duplicate consolidation</t>
        </is>
      </c>
      <c r="AI99" t="inlineStr">
        <is>
          <t>other</t>
        </is>
      </c>
      <c r="AJ99" t="inlineStr">
        <is>
          <t>Unknown</t>
        </is>
      </c>
      <c r="AK99" t="inlineStr">
        <is>
          <t>unclassified</t>
        </is>
      </c>
      <c r="AL99" t="inlineStr">
        <is>
          <t>Pass 46 mechanism + evidence consolidation</t>
        </is>
      </c>
      <c r="AM99" t="n">
        <v>3</v>
      </c>
      <c r="AN99" t="inlineStr">
        <is>
          <t>D</t>
        </is>
      </c>
      <c r="AO99" t="inlineStr">
        <is>
          <t>Pass 47 compound scoring</t>
        </is>
      </c>
    </row>
    <row r="100">
      <c r="A100" t="inlineStr">
        <is>
          <t>beta-glucans</t>
        </is>
      </c>
      <c r="B100" t="inlineStr">
        <is>
          <t>beta-glucans</t>
        </is>
      </c>
      <c r="D100" t="inlineStr">
        <is>
          <t>polysaccharide</t>
        </is>
      </c>
      <c r="E100" t="inlineStr">
        <is>
          <t>Fungal polysaccharides linked to immune modulation.</t>
        </is>
      </c>
      <c r="F100" t="inlineStr">
        <is>
          <t>unclassified</t>
        </is>
      </c>
      <c r="W100" t="n">
        <v>2</v>
      </c>
      <c r="X100" t="inlineStr">
        <is>
          <t>Low</t>
        </is>
      </c>
      <c r="Z100" t="inlineStr">
        <is>
          <t>beta-glucans</t>
        </is>
      </c>
      <c r="AF100" t="inlineStr">
        <is>
          <t>beta glucans</t>
        </is>
      </c>
      <c r="AH100" t="inlineStr">
        <is>
          <t>Pass 45 duplicate consolidation</t>
        </is>
      </c>
      <c r="AI100" t="inlineStr">
        <is>
          <t>polysaccharide</t>
        </is>
      </c>
      <c r="AJ100" t="inlineStr">
        <is>
          <t>Unknown</t>
        </is>
      </c>
      <c r="AK100" t="inlineStr">
        <is>
          <t>unclassified</t>
        </is>
      </c>
      <c r="AL100" t="inlineStr">
        <is>
          <t>Pass 46 mechanism + evidence consolidation</t>
        </is>
      </c>
      <c r="AM100" t="n">
        <v>3</v>
      </c>
      <c r="AN100" t="inlineStr">
        <is>
          <t>D</t>
        </is>
      </c>
      <c r="AO100" t="inlineStr">
        <is>
          <t>Pass 47 compound scoring</t>
        </is>
      </c>
    </row>
    <row r="101">
      <c r="A101" t="inlineStr">
        <is>
          <t>beta-lapachone</t>
        </is>
      </c>
      <c r="B101" t="inlineStr">
        <is>
          <t>beta-lapachone</t>
        </is>
      </c>
      <c r="D101" t="inlineStr">
        <is>
          <t>other</t>
        </is>
      </c>
      <c r="E101" t="inlineStr">
        <is>
          <t>insufficient evidence</t>
        </is>
      </c>
      <c r="F101" t="inlineStr">
        <is>
          <t>unclassified</t>
        </is>
      </c>
      <c r="W101" t="n">
        <v>2</v>
      </c>
      <c r="X101" t="inlineStr">
        <is>
          <t>Low</t>
        </is>
      </c>
      <c r="Z101" t="inlineStr">
        <is>
          <t>beta-lapachone</t>
        </is>
      </c>
      <c r="AF101" t="inlineStr">
        <is>
          <t>beta lapachone</t>
        </is>
      </c>
      <c r="AH101" t="inlineStr">
        <is>
          <t>Pass 45 duplicate consolidation</t>
        </is>
      </c>
      <c r="AI101" t="inlineStr">
        <is>
          <t>other</t>
        </is>
      </c>
      <c r="AJ101" t="inlineStr">
        <is>
          <t>Unknown</t>
        </is>
      </c>
      <c r="AK101" t="inlineStr">
        <is>
          <t>unclassified</t>
        </is>
      </c>
      <c r="AL101" t="inlineStr">
        <is>
          <t>Pass 46 mechanism + evidence consolidation</t>
        </is>
      </c>
      <c r="AM101" t="n">
        <v>3</v>
      </c>
      <c r="AN101" t="inlineStr">
        <is>
          <t>D</t>
        </is>
      </c>
      <c r="AO101" t="inlineStr">
        <is>
          <t>Pass 47 compound scoring</t>
        </is>
      </c>
    </row>
    <row r="102">
      <c r="A102" t="inlineStr">
        <is>
          <t>beta-sitosterol</t>
        </is>
      </c>
      <c r="B102" t="inlineStr">
        <is>
          <t>beta-sitosterol</t>
        </is>
      </c>
      <c r="C102" t="inlineStr">
        <is>
          <t>β-sitosterol</t>
        </is>
      </c>
      <c r="D102" t="inlineStr">
        <is>
          <t>phytosterol</t>
        </is>
      </c>
      <c r="E102" t="inlineStr">
        <is>
          <t>Beta-sitosterol is a phytosterol associated with anti-inflammatory and androgen-related signaling effects in saw palmetto and other botanicals; in clinical literature it is also studied for lower urinary tract symptom support.</t>
        </is>
      </c>
      <c r="F102" t="inlineStr">
        <is>
          <t>unclassified</t>
        </is>
      </c>
      <c r="W102" t="n">
        <v>2</v>
      </c>
      <c r="X102" t="inlineStr">
        <is>
          <t>Low</t>
        </is>
      </c>
      <c r="Z102" t="inlineStr">
        <is>
          <t>beta-sitosterol</t>
        </is>
      </c>
      <c r="AF102" t="inlineStr">
        <is>
          <t>beta sitosterol</t>
        </is>
      </c>
      <c r="AH102" t="inlineStr">
        <is>
          <t>Pass 45 duplicate consolidation</t>
        </is>
      </c>
      <c r="AI102" t="inlineStr">
        <is>
          <t>phytosterol</t>
        </is>
      </c>
      <c r="AJ102" t="inlineStr">
        <is>
          <t>Clinical</t>
        </is>
      </c>
      <c r="AK102" t="inlineStr">
        <is>
          <t>unclassified</t>
        </is>
      </c>
      <c r="AL102" t="inlineStr">
        <is>
          <t>Pass 46 mechanism + evidence consolidation</t>
        </is>
      </c>
      <c r="AM102" t="n">
        <v>6</v>
      </c>
      <c r="AN102" t="inlineStr">
        <is>
          <t>C</t>
        </is>
      </c>
      <c r="AO102" t="inlineStr">
        <is>
          <t>Pass 47 compound scoring</t>
        </is>
      </c>
    </row>
    <row r="103">
      <c r="A103" t="inlineStr">
        <is>
          <t>beta-thujone</t>
        </is>
      </c>
      <c r="B103" t="inlineStr">
        <is>
          <t>beta-thujone</t>
        </is>
      </c>
      <c r="D103" t="inlineStr">
        <is>
          <t>other</t>
        </is>
      </c>
      <c r="E103" t="inlineStr">
        <is>
          <t>Thujone is associated with GABA_A receptor antagonism; other constituents contribute bitter, digestive, and broader preclinical bioactivities.</t>
        </is>
      </c>
      <c r="F103" t="inlineStr">
        <is>
          <t>unclassified</t>
        </is>
      </c>
      <c r="W103" t="n">
        <v>2</v>
      </c>
      <c r="X103" t="inlineStr">
        <is>
          <t>Low</t>
        </is>
      </c>
      <c r="Z103" t="inlineStr">
        <is>
          <t>beta-thujone</t>
        </is>
      </c>
      <c r="AF103" t="inlineStr">
        <is>
          <t>beta thujone</t>
        </is>
      </c>
      <c r="AH103" t="inlineStr">
        <is>
          <t>Pass 45 duplicate consolidation</t>
        </is>
      </c>
      <c r="AI103" t="inlineStr">
        <is>
          <t>other</t>
        </is>
      </c>
      <c r="AJ103" t="inlineStr">
        <is>
          <t>Clinical</t>
        </is>
      </c>
      <c r="AK103" t="inlineStr">
        <is>
          <t>unclassified</t>
        </is>
      </c>
      <c r="AL103" t="inlineStr">
        <is>
          <t>Pass 46 mechanism + evidence consolidation</t>
        </is>
      </c>
      <c r="AM103" t="n">
        <v>6</v>
      </c>
      <c r="AN103" t="inlineStr">
        <is>
          <t>C</t>
        </is>
      </c>
      <c r="AO103" t="inlineStr">
        <is>
          <t>Pass 47 compound scoring</t>
        </is>
      </c>
    </row>
    <row r="104">
      <c r="A104" t="inlineStr">
        <is>
          <t>betulinic acid</t>
        </is>
      </c>
      <c r="B104" t="inlineStr">
        <is>
          <t>betulinic acid</t>
        </is>
      </c>
      <c r="D104" t="inlineStr">
        <is>
          <t>polysaccharides</t>
        </is>
      </c>
      <c r="E104" t="inlineStr">
        <is>
          <t>insufficient evidence</t>
        </is>
      </c>
      <c r="F104" t="inlineStr">
        <is>
          <t>unclassified</t>
        </is>
      </c>
      <c r="W104" t="n">
        <v>2</v>
      </c>
      <c r="X104" t="inlineStr">
        <is>
          <t>Low</t>
        </is>
      </c>
      <c r="Z104" t="inlineStr">
        <is>
          <t>betulinic acid</t>
        </is>
      </c>
      <c r="AF104" t="inlineStr">
        <is>
          <t>betulinic acid</t>
        </is>
      </c>
      <c r="AH104" t="inlineStr">
        <is>
          <t>Pass 45 duplicate consolidation</t>
        </is>
      </c>
      <c r="AI104" t="inlineStr">
        <is>
          <t>polysaccharides</t>
        </is>
      </c>
      <c r="AJ104" t="inlineStr">
        <is>
          <t>Unknown</t>
        </is>
      </c>
      <c r="AK104" t="inlineStr">
        <is>
          <t>unclassified</t>
        </is>
      </c>
      <c r="AL104" t="inlineStr">
        <is>
          <t>Pass 46 mechanism + evidence consolidation</t>
        </is>
      </c>
      <c r="AM104" t="n">
        <v>3</v>
      </c>
      <c r="AN104" t="inlineStr">
        <is>
          <t>D</t>
        </is>
      </c>
      <c r="AO104" t="inlineStr">
        <is>
          <t>Pass 47 compound scoring</t>
        </is>
      </c>
    </row>
    <row r="105">
      <c r="A105" t="inlineStr">
        <is>
          <t>Bilobalide</t>
        </is>
      </c>
      <c r="B105" t="inlineStr">
        <is>
          <t>bilobalide</t>
        </is>
      </c>
      <c r="C105" t="inlineStr">
        <is>
          <t>Ginkgo Biloba</t>
        </is>
      </c>
      <c r="D105" t="inlineStr">
        <is>
          <t>flavonol glycosides</t>
        </is>
      </c>
      <c r="E105" t="inlineStr">
        <is>
          <t>Ginkgolides antagonize platelet-activating factor (PAF) receptors; bilobalide modulates GABAergic and glutamatergic transmission.</t>
        </is>
      </c>
      <c r="F105" t="inlineStr">
        <is>
          <t>unclassified; mitochondrial support; neuroprotective signaling</t>
        </is>
      </c>
      <c r="U105" t="inlineStr">
        <is>
          <t>Pass 13 normalized herb display names to monograph common names; Pass 45 merged 2 rows into canonical compound entry</t>
        </is>
      </c>
      <c r="W105" t="n">
        <v>3</v>
      </c>
      <c r="X105" t="inlineStr">
        <is>
          <t>Low</t>
        </is>
      </c>
      <c r="Z105" t="inlineStr">
        <is>
          <t>Bilobalide</t>
        </is>
      </c>
      <c r="AF105" t="inlineStr">
        <is>
          <t>bilobalide</t>
        </is>
      </c>
      <c r="AH105" t="inlineStr">
        <is>
          <t>Pass 45 duplicate consolidation</t>
        </is>
      </c>
      <c r="AI105" t="inlineStr">
        <is>
          <t>flavonol glycosides</t>
        </is>
      </c>
      <c r="AJ105" t="inlineStr">
        <is>
          <t>Unknown</t>
        </is>
      </c>
      <c r="AK105" t="inlineStr">
        <is>
          <t>mitochondrial support; neuroprotective signaling; unclassified</t>
        </is>
      </c>
      <c r="AL105" t="inlineStr">
        <is>
          <t>Pass 46 mechanism + evidence consolidation</t>
        </is>
      </c>
      <c r="AM105" t="n">
        <v>5</v>
      </c>
      <c r="AN105" t="inlineStr">
        <is>
          <t>C</t>
        </is>
      </c>
      <c r="AO105" t="inlineStr">
        <is>
          <t>Pass 47 compound scoring</t>
        </is>
      </c>
    </row>
    <row r="106">
      <c r="A106" t="inlineStr">
        <is>
          <t>bilobetin</t>
        </is>
      </c>
      <c r="B106" t="inlineStr">
        <is>
          <t>bilobetin</t>
        </is>
      </c>
      <c r="D106" t="inlineStr">
        <is>
          <t>biflavonoid</t>
        </is>
      </c>
      <c r="E106" t="inlineStr">
        <is>
          <t>proposed mechanism based on preclinical data: anti-inflammatory and redox-modulating activity reported in Ginkgo constituent studies; isolated-compound evidence is preclinical.</t>
        </is>
      </c>
      <c r="F106" t="inlineStr">
        <is>
          <t>unclassified</t>
        </is>
      </c>
      <c r="W106" t="n">
        <v>2</v>
      </c>
      <c r="X106" t="inlineStr">
        <is>
          <t>Low</t>
        </is>
      </c>
      <c r="Z106" t="inlineStr">
        <is>
          <t>bilobetin</t>
        </is>
      </c>
      <c r="AF106" t="inlineStr">
        <is>
          <t>bilobetin</t>
        </is>
      </c>
      <c r="AH106" t="inlineStr">
        <is>
          <t>Pass 45 duplicate consolidation</t>
        </is>
      </c>
      <c r="AI106" t="inlineStr">
        <is>
          <t>biflavonoid</t>
        </is>
      </c>
      <c r="AJ106" t="inlineStr">
        <is>
          <t>Clinical</t>
        </is>
      </c>
      <c r="AK106" t="inlineStr">
        <is>
          <t>unclassified</t>
        </is>
      </c>
      <c r="AL106" t="inlineStr">
        <is>
          <t>Pass 46 mechanism + evidence consolidation</t>
        </is>
      </c>
      <c r="AM106" t="n">
        <v>6</v>
      </c>
      <c r="AN106" t="inlineStr">
        <is>
          <t>C</t>
        </is>
      </c>
      <c r="AO106" t="inlineStr">
        <is>
          <t>Pass 47 compound scoring</t>
        </is>
      </c>
    </row>
    <row r="107">
      <c r="A107" t="inlineStr">
        <is>
          <t>bisabolol</t>
        </is>
      </c>
      <c r="B107" t="inlineStr">
        <is>
          <t>bisabolol</t>
        </is>
      </c>
      <c r="D107" t="inlineStr">
        <is>
          <t>other</t>
        </is>
      </c>
      <c r="E107" t="inlineStr">
        <is>
          <t>insufficient evidence</t>
        </is>
      </c>
      <c r="F107" t="inlineStr">
        <is>
          <t>unclassified</t>
        </is>
      </c>
      <c r="W107" t="n">
        <v>2</v>
      </c>
      <c r="X107" t="inlineStr">
        <is>
          <t>Low</t>
        </is>
      </c>
      <c r="Z107" t="inlineStr">
        <is>
          <t>bisabolol</t>
        </is>
      </c>
      <c r="AF107" t="inlineStr">
        <is>
          <t>bisabolol</t>
        </is>
      </c>
      <c r="AH107" t="inlineStr">
        <is>
          <t>Pass 45 duplicate consolidation</t>
        </is>
      </c>
      <c r="AI107" t="inlineStr">
        <is>
          <t>other</t>
        </is>
      </c>
      <c r="AJ107" t="inlineStr">
        <is>
          <t>Unknown</t>
        </is>
      </c>
      <c r="AK107" t="inlineStr">
        <is>
          <t>unclassified</t>
        </is>
      </c>
      <c r="AL107" t="inlineStr">
        <is>
          <t>Pass 46 mechanism + evidence consolidation</t>
        </is>
      </c>
      <c r="AM107" t="n">
        <v>3</v>
      </c>
      <c r="AN107" t="inlineStr">
        <is>
          <t>D</t>
        </is>
      </c>
      <c r="AO107" t="inlineStr">
        <is>
          <t>Pass 47 compound scoring</t>
        </is>
      </c>
    </row>
    <row r="108">
      <c r="A108" t="inlineStr">
        <is>
          <t>Bisdemethoxycurcumin</t>
        </is>
      </c>
      <c r="B108" t="inlineStr">
        <is>
          <t>bisdemethoxycurcumin</t>
        </is>
      </c>
      <c r="C108" t="inlineStr">
        <is>
          <t>Turmeric</t>
        </is>
      </c>
      <c r="D108" t="inlineStr">
        <is>
          <t>provisional_from_herb_monograph</t>
        </is>
      </c>
      <c r="E108" t="inlineStr">
        <is>
          <t>Human</t>
        </is>
      </c>
      <c r="F108" t="inlineStr">
        <is>
          <t>unclassified</t>
        </is>
      </c>
      <c r="U108" t="inlineStr">
        <is>
          <t>Pass 13 normalized herb display names to monograph common names; Pass 45 merged 2 rows into canonical compound entry</t>
        </is>
      </c>
      <c r="W108" t="n">
        <v>2</v>
      </c>
      <c r="X108" t="inlineStr">
        <is>
          <t>Low</t>
        </is>
      </c>
      <c r="Z108" t="inlineStr">
        <is>
          <t>Bisdemethoxycurcumin</t>
        </is>
      </c>
      <c r="AF108" t="inlineStr">
        <is>
          <t>bisdemethoxycurcumin</t>
        </is>
      </c>
      <c r="AH108" t="inlineStr">
        <is>
          <t>Pass 45 duplicate consolidation</t>
        </is>
      </c>
      <c r="AI108" t="inlineStr">
        <is>
          <t>provisional_from_herb_monograph</t>
        </is>
      </c>
      <c r="AJ108" t="inlineStr">
        <is>
          <t>Human</t>
        </is>
      </c>
      <c r="AK108" t="inlineStr">
        <is>
          <t>unclassified</t>
        </is>
      </c>
      <c r="AL108" t="inlineStr">
        <is>
          <t>Pass 46 mechanism + evidence consolidation</t>
        </is>
      </c>
      <c r="AM108" t="n">
        <v>7</v>
      </c>
      <c r="AN108" t="inlineStr">
        <is>
          <t>B</t>
        </is>
      </c>
      <c r="AO108" t="inlineStr">
        <is>
          <t>Pass 47 compound scoring</t>
        </is>
      </c>
    </row>
    <row r="109">
      <c r="A109" t="inlineStr">
        <is>
          <t>boldine</t>
        </is>
      </c>
      <c r="B109" t="inlineStr">
        <is>
          <t>boldine</t>
        </is>
      </c>
      <c r="D109" t="inlineStr">
        <is>
          <t>aporphine alkaloid</t>
        </is>
      </c>
      <c r="E109" t="inlineStr">
        <is>
          <t>Boldo alkaloid associated with digestive and hepatobiliary-support positioning.</t>
        </is>
      </c>
      <c r="F109" t="inlineStr">
        <is>
          <t>unclassified</t>
        </is>
      </c>
      <c r="W109" t="n">
        <v>2</v>
      </c>
      <c r="X109" t="inlineStr">
        <is>
          <t>Low</t>
        </is>
      </c>
      <c r="Z109" t="inlineStr">
        <is>
          <t>boldine</t>
        </is>
      </c>
      <c r="AF109" t="inlineStr">
        <is>
          <t>boldine</t>
        </is>
      </c>
      <c r="AH109" t="inlineStr">
        <is>
          <t>Pass 45 duplicate consolidation</t>
        </is>
      </c>
      <c r="AI109" t="inlineStr">
        <is>
          <t>aporphine alkaloid</t>
        </is>
      </c>
      <c r="AJ109" t="inlineStr">
        <is>
          <t>Unknown</t>
        </is>
      </c>
      <c r="AK109" t="inlineStr">
        <is>
          <t>unclassified</t>
        </is>
      </c>
      <c r="AL109" t="inlineStr">
        <is>
          <t>Pass 46 mechanism + evidence consolidation</t>
        </is>
      </c>
      <c r="AM109" t="n">
        <v>3</v>
      </c>
      <c r="AN109" t="inlineStr">
        <is>
          <t>D</t>
        </is>
      </c>
      <c r="AO109" t="inlineStr">
        <is>
          <t>Pass 47 compound scoring</t>
        </is>
      </c>
    </row>
    <row r="110">
      <c r="A110" t="inlineStr">
        <is>
          <t>bonducin</t>
        </is>
      </c>
      <c r="B110" t="inlineStr">
        <is>
          <t>bonducin</t>
        </is>
      </c>
      <c r="D110" t="inlineStr">
        <is>
          <t>Bonducin, saponins, diterpenes</t>
        </is>
      </c>
      <c r="E110" t="inlineStr">
        <is>
          <t>insufficient evidence</t>
        </is>
      </c>
      <c r="F110" t="inlineStr">
        <is>
          <t>unclassified</t>
        </is>
      </c>
      <c r="W110" t="n">
        <v>2</v>
      </c>
      <c r="X110" t="inlineStr">
        <is>
          <t>Low</t>
        </is>
      </c>
      <c r="Z110" t="inlineStr">
        <is>
          <t>bonducin</t>
        </is>
      </c>
      <c r="AF110" t="inlineStr">
        <is>
          <t>bonducin</t>
        </is>
      </c>
      <c r="AH110" t="inlineStr">
        <is>
          <t>Pass 45 duplicate consolidation</t>
        </is>
      </c>
      <c r="AI110" t="inlineStr">
        <is>
          <t>Bonducin, saponins, diterpenes</t>
        </is>
      </c>
      <c r="AJ110" t="inlineStr">
        <is>
          <t>Unknown</t>
        </is>
      </c>
      <c r="AK110" t="inlineStr">
        <is>
          <t>unclassified</t>
        </is>
      </c>
      <c r="AL110" t="inlineStr">
        <is>
          <t>Pass 46 mechanism + evidence consolidation</t>
        </is>
      </c>
      <c r="AM110" t="n">
        <v>3</v>
      </c>
      <c r="AN110" t="inlineStr">
        <is>
          <t>D</t>
        </is>
      </c>
      <c r="AO110" t="inlineStr">
        <is>
          <t>Pass 47 compound scoring</t>
        </is>
      </c>
    </row>
    <row r="111">
      <c r="A111" t="inlineStr">
        <is>
          <t>brunfelsamidine</t>
        </is>
      </c>
      <c r="B111" t="inlineStr">
        <is>
          <t>brunfelsamidine</t>
        </is>
      </c>
      <c r="D111" t="inlineStr">
        <is>
          <t>alkaloids</t>
        </is>
      </c>
      <c r="E111" t="inlineStr">
        <is>
          <t>insufficient evidence</t>
        </is>
      </c>
      <c r="F111" t="inlineStr">
        <is>
          <t>unclassified</t>
        </is>
      </c>
      <c r="W111" t="n">
        <v>2</v>
      </c>
      <c r="X111" t="inlineStr">
        <is>
          <t>Low</t>
        </is>
      </c>
      <c r="Z111" t="inlineStr">
        <is>
          <t>brunfelsamidine</t>
        </is>
      </c>
      <c r="AF111" t="inlineStr">
        <is>
          <t>brunfelsamidine</t>
        </is>
      </c>
      <c r="AH111" t="inlineStr">
        <is>
          <t>Pass 45 duplicate consolidation</t>
        </is>
      </c>
      <c r="AI111" t="inlineStr">
        <is>
          <t>alkaloids</t>
        </is>
      </c>
      <c r="AJ111" t="inlineStr">
        <is>
          <t>Unknown</t>
        </is>
      </c>
      <c r="AK111" t="inlineStr">
        <is>
          <t>unclassified</t>
        </is>
      </c>
      <c r="AL111" t="inlineStr">
        <is>
          <t>Pass 46 mechanism + evidence consolidation</t>
        </is>
      </c>
      <c r="AM111" t="n">
        <v>3</v>
      </c>
      <c r="AN111" t="inlineStr">
        <is>
          <t>D</t>
        </is>
      </c>
      <c r="AO111" t="inlineStr">
        <is>
          <t>Pass 47 compound scoring</t>
        </is>
      </c>
    </row>
    <row r="112">
      <c r="A112" t="inlineStr">
        <is>
          <t>bryonin</t>
        </is>
      </c>
      <c r="B112" t="inlineStr">
        <is>
          <t>bryonin</t>
        </is>
      </c>
      <c r="D112" t="inlineStr">
        <is>
          <t>other</t>
        </is>
      </c>
      <c r="E112" t="inlineStr">
        <is>
          <t>insufficient evidence</t>
        </is>
      </c>
      <c r="F112" t="inlineStr">
        <is>
          <t>unclassified</t>
        </is>
      </c>
      <c r="W112" t="n">
        <v>2</v>
      </c>
      <c r="X112" t="inlineStr">
        <is>
          <t>Low</t>
        </is>
      </c>
      <c r="Z112" t="inlineStr">
        <is>
          <t>bryonin</t>
        </is>
      </c>
      <c r="AF112" t="inlineStr">
        <is>
          <t>bryonin</t>
        </is>
      </c>
      <c r="AH112" t="inlineStr">
        <is>
          <t>Pass 45 duplicate consolidation</t>
        </is>
      </c>
      <c r="AI112" t="inlineStr">
        <is>
          <t>other</t>
        </is>
      </c>
      <c r="AJ112" t="inlineStr">
        <is>
          <t>Unknown</t>
        </is>
      </c>
      <c r="AK112" t="inlineStr">
        <is>
          <t>unclassified</t>
        </is>
      </c>
      <c r="AL112" t="inlineStr">
        <is>
          <t>Pass 46 mechanism + evidence consolidation</t>
        </is>
      </c>
      <c r="AM112" t="n">
        <v>3</v>
      </c>
      <c r="AN112" t="inlineStr">
        <is>
          <t>D</t>
        </is>
      </c>
      <c r="AO112" t="inlineStr">
        <is>
          <t>Pass 47 compound scoring</t>
        </is>
      </c>
    </row>
    <row r="113">
      <c r="A113" t="inlineStr">
        <is>
          <t>bufotenin</t>
        </is>
      </c>
      <c r="B113" t="inlineStr">
        <is>
          <t>bufotenin</t>
        </is>
      </c>
      <c r="D113" t="inlineStr">
        <is>
          <t>other</t>
        </is>
      </c>
      <c r="E113" t="inlineStr">
        <is>
          <t>Tryptamines act on serotonergic receptors, especially 5-HT2A, producing psychedelic effects.</t>
        </is>
      </c>
      <c r="F113" t="inlineStr">
        <is>
          <t>unclassified</t>
        </is>
      </c>
      <c r="W113" t="n">
        <v>2</v>
      </c>
      <c r="X113" t="inlineStr">
        <is>
          <t>Low</t>
        </is>
      </c>
      <c r="Z113" t="inlineStr">
        <is>
          <t>bufotenin</t>
        </is>
      </c>
      <c r="AF113" t="inlineStr">
        <is>
          <t>bufotenin</t>
        </is>
      </c>
      <c r="AH113" t="inlineStr">
        <is>
          <t>Pass 45 duplicate consolidation</t>
        </is>
      </c>
      <c r="AI113" t="inlineStr">
        <is>
          <t>other</t>
        </is>
      </c>
      <c r="AJ113" t="inlineStr">
        <is>
          <t>Unknown</t>
        </is>
      </c>
      <c r="AK113" t="inlineStr">
        <is>
          <t>unclassified</t>
        </is>
      </c>
      <c r="AL113" t="inlineStr">
        <is>
          <t>Pass 46 mechanism + evidence consolidation</t>
        </is>
      </c>
      <c r="AM113" t="n">
        <v>3</v>
      </c>
      <c r="AN113" t="inlineStr">
        <is>
          <t>D</t>
        </is>
      </c>
      <c r="AO113" t="inlineStr">
        <is>
          <t>Pass 47 compound scoring</t>
        </is>
      </c>
    </row>
    <row r="114">
      <c r="A114" t="inlineStr">
        <is>
          <t>bulbocapnine</t>
        </is>
      </c>
      <c r="B114" t="inlineStr">
        <is>
          <t>bulbocapnine</t>
        </is>
      </c>
      <c r="D114" t="inlineStr">
        <is>
          <t>other</t>
        </is>
      </c>
      <c r="E114" t="inlineStr">
        <is>
          <t>insufficient evidence</t>
        </is>
      </c>
      <c r="F114" t="inlineStr">
        <is>
          <t>unclassified</t>
        </is>
      </c>
      <c r="W114" t="n">
        <v>2</v>
      </c>
      <c r="X114" t="inlineStr">
        <is>
          <t>Low</t>
        </is>
      </c>
      <c r="Z114" t="inlineStr">
        <is>
          <t>bulbocapnine</t>
        </is>
      </c>
      <c r="AF114" t="inlineStr">
        <is>
          <t>bulbocapnine</t>
        </is>
      </c>
      <c r="AH114" t="inlineStr">
        <is>
          <t>Pass 45 duplicate consolidation</t>
        </is>
      </c>
      <c r="AI114" t="inlineStr">
        <is>
          <t>other</t>
        </is>
      </c>
      <c r="AJ114" t="inlineStr">
        <is>
          <t>Unknown</t>
        </is>
      </c>
      <c r="AK114" t="inlineStr">
        <is>
          <t>unclassified</t>
        </is>
      </c>
      <c r="AL114" t="inlineStr">
        <is>
          <t>Pass 46 mechanism + evidence consolidation</t>
        </is>
      </c>
      <c r="AM114" t="n">
        <v>3</v>
      </c>
      <c r="AN114" t="inlineStr">
        <is>
          <t>D</t>
        </is>
      </c>
      <c r="AO114" t="inlineStr">
        <is>
          <t>Pass 47 compound scoring</t>
        </is>
      </c>
    </row>
    <row r="115">
      <c r="A115" t="inlineStr">
        <is>
          <t>buphanidrine</t>
        </is>
      </c>
      <c r="B115" t="inlineStr">
        <is>
          <t>buphanidrine</t>
        </is>
      </c>
      <c r="D115" t="inlineStr">
        <is>
          <t>alkaloids</t>
        </is>
      </c>
      <c r="E115" t="inlineStr">
        <is>
          <t>insufficient evidence</t>
        </is>
      </c>
      <c r="F115" t="inlineStr">
        <is>
          <t>unclassified</t>
        </is>
      </c>
      <c r="W115" t="n">
        <v>2</v>
      </c>
      <c r="X115" t="inlineStr">
        <is>
          <t>Low</t>
        </is>
      </c>
      <c r="Z115" t="inlineStr">
        <is>
          <t>buphanidrine</t>
        </is>
      </c>
      <c r="AF115" t="inlineStr">
        <is>
          <t>buphanidrine</t>
        </is>
      </c>
      <c r="AH115" t="inlineStr">
        <is>
          <t>Pass 45 duplicate consolidation</t>
        </is>
      </c>
      <c r="AI115" t="inlineStr">
        <is>
          <t>alkaloids</t>
        </is>
      </c>
      <c r="AJ115" t="inlineStr">
        <is>
          <t>Unknown</t>
        </is>
      </c>
      <c r="AK115" t="inlineStr">
        <is>
          <t>unclassified</t>
        </is>
      </c>
      <c r="AL115" t="inlineStr">
        <is>
          <t>Pass 46 mechanism + evidence consolidation</t>
        </is>
      </c>
      <c r="AM115" t="n">
        <v>3</v>
      </c>
      <c r="AN115" t="inlineStr">
        <is>
          <t>D</t>
        </is>
      </c>
      <c r="AO115" t="inlineStr">
        <is>
          <t>Pass 47 compound scoring</t>
        </is>
      </c>
    </row>
    <row r="116">
      <c r="A116" t="inlineStr">
        <is>
          <t>cafestol</t>
        </is>
      </c>
      <c r="B116" t="inlineStr">
        <is>
          <t>cafestol</t>
        </is>
      </c>
      <c r="D116" t="inlineStr">
        <is>
          <t>other</t>
        </is>
      </c>
      <c r="E116" t="inlineStr">
        <is>
          <t>Coffee's stimulant effects are driven primarily by caffeine, which acts as a nonselective adenosine receptor antagonist; chlorogenic acids and diterpenes contribute additional antioxidant and metabolic effects.</t>
        </is>
      </c>
      <c r="F116" t="inlineStr">
        <is>
          <t>unclassified</t>
        </is>
      </c>
      <c r="W116" t="n">
        <v>2</v>
      </c>
      <c r="X116" t="inlineStr">
        <is>
          <t>Low</t>
        </is>
      </c>
      <c r="Z116" t="inlineStr">
        <is>
          <t>cafestol</t>
        </is>
      </c>
      <c r="AF116" t="inlineStr">
        <is>
          <t>cafestol</t>
        </is>
      </c>
      <c r="AH116" t="inlineStr">
        <is>
          <t>Pass 45 duplicate consolidation</t>
        </is>
      </c>
      <c r="AI116" t="inlineStr">
        <is>
          <t>other</t>
        </is>
      </c>
      <c r="AJ116" t="inlineStr">
        <is>
          <t>Unknown</t>
        </is>
      </c>
      <c r="AK116" t="inlineStr">
        <is>
          <t>unclassified</t>
        </is>
      </c>
      <c r="AL116" t="inlineStr">
        <is>
          <t>Pass 46 mechanism + evidence consolidation</t>
        </is>
      </c>
      <c r="AM116" t="n">
        <v>3</v>
      </c>
      <c r="AN116" t="inlineStr">
        <is>
          <t>D</t>
        </is>
      </c>
      <c r="AO116" t="inlineStr">
        <is>
          <t>Pass 47 compound scoring</t>
        </is>
      </c>
    </row>
    <row r="117">
      <c r="A117" t="inlineStr">
        <is>
          <t>caffeic acid</t>
        </is>
      </c>
      <c r="B117" t="inlineStr">
        <is>
          <t>caffeic acid</t>
        </is>
      </c>
      <c r="D117" t="inlineStr">
        <is>
          <t>provisional_from_herb_monograph</t>
        </is>
      </c>
      <c r="F117" t="inlineStr">
        <is>
          <t>unclassified</t>
        </is>
      </c>
      <c r="W117" t="n">
        <v>2</v>
      </c>
      <c r="X117" t="inlineStr">
        <is>
          <t>Low</t>
        </is>
      </c>
      <c r="Z117" t="inlineStr">
        <is>
          <t>caffeic acid</t>
        </is>
      </c>
      <c r="AF117" t="inlineStr">
        <is>
          <t>caffeic acid</t>
        </is>
      </c>
      <c r="AH117" t="inlineStr">
        <is>
          <t>Pass 45 duplicate consolidation</t>
        </is>
      </c>
      <c r="AI117" t="inlineStr">
        <is>
          <t>provisional_from_herb_monograph</t>
        </is>
      </c>
      <c r="AJ117" t="inlineStr">
        <is>
          <t>Unknown</t>
        </is>
      </c>
      <c r="AK117" t="inlineStr">
        <is>
          <t>unclassified</t>
        </is>
      </c>
      <c r="AL117" t="inlineStr">
        <is>
          <t>Pass 46 mechanism + evidence consolidation</t>
        </is>
      </c>
      <c r="AM117" t="n">
        <v>3</v>
      </c>
      <c r="AN117" t="inlineStr">
        <is>
          <t>D</t>
        </is>
      </c>
      <c r="AO117" t="inlineStr">
        <is>
          <t>Pass 47 compound scoring</t>
        </is>
      </c>
    </row>
    <row r="118">
      <c r="A118" t="inlineStr">
        <is>
          <t>Caffeine</t>
        </is>
      </c>
      <c r="B118" t="inlineStr">
        <is>
          <t>Alkaloid</t>
        </is>
      </c>
      <c r="C118" t="inlineStr">
        <is>
          <t>Green Tea</t>
        </is>
      </c>
      <c r="D118" t="inlineStr">
        <is>
          <t>Adenosine antagonist</t>
        </is>
      </c>
      <c r="E118" t="inlineStr">
        <is>
          <t>Coffee's stimulant effects are driven primarily by caffeine, which acts as a nonselective adenosine receptor antagonist; chlorogenic acids and diterpenes contribute additional antioxidant and metabolic effects.</t>
        </is>
      </c>
      <c r="F118" t="inlineStr">
        <is>
          <t>unclassified; adenosine A1 antagonism; adenosine A2A antagonism; stimulant CNS signaling</t>
        </is>
      </c>
      <c r="U118" t="inlineStr">
        <is>
          <t>Pass 13 normalized herb display names to monograph common names; Pass 45 merged 2 rows into canonical compound entry</t>
        </is>
      </c>
      <c r="W118" t="n">
        <v>5</v>
      </c>
      <c r="X118" t="inlineStr">
        <is>
          <t>High</t>
        </is>
      </c>
      <c r="Z118" t="inlineStr">
        <is>
          <t>Caffeine</t>
        </is>
      </c>
      <c r="AF118" t="inlineStr">
        <is>
          <t>caffeine</t>
        </is>
      </c>
      <c r="AH118" t="inlineStr">
        <is>
          <t>Pass 45 duplicate consolidation</t>
        </is>
      </c>
      <c r="AI118" t="inlineStr">
        <is>
          <t>Adenosine antagonist</t>
        </is>
      </c>
      <c r="AJ118" t="inlineStr">
        <is>
          <t>Unknown</t>
        </is>
      </c>
      <c r="AK118" t="inlineStr">
        <is>
          <t>adenosine a1 antagonism; adenosine a2a antagonism; stimulant cns signaling; unclassified</t>
        </is>
      </c>
      <c r="AL118" t="inlineStr">
        <is>
          <t>Pass 46 mechanism + evidence consolidation</t>
        </is>
      </c>
      <c r="AM118" t="n">
        <v>6</v>
      </c>
      <c r="AN118" t="inlineStr">
        <is>
          <t>C</t>
        </is>
      </c>
      <c r="AO118" t="inlineStr">
        <is>
          <t>Pass 47 compound scoring</t>
        </is>
      </c>
    </row>
    <row r="119">
      <c r="A119" t="inlineStr">
        <is>
          <t>calotropin</t>
        </is>
      </c>
      <c r="B119" t="inlineStr">
        <is>
          <t>calotropin</t>
        </is>
      </c>
      <c r="D119" t="inlineStr">
        <is>
          <t>cardiac glycosides</t>
        </is>
      </c>
      <c r="E119" t="inlineStr">
        <is>
          <t>insufficient evidence</t>
        </is>
      </c>
      <c r="F119" t="inlineStr">
        <is>
          <t>unclassified</t>
        </is>
      </c>
      <c r="W119" t="n">
        <v>2</v>
      </c>
      <c r="X119" t="inlineStr">
        <is>
          <t>Low</t>
        </is>
      </c>
      <c r="Z119" t="inlineStr">
        <is>
          <t>calotropin</t>
        </is>
      </c>
      <c r="AF119" t="inlineStr">
        <is>
          <t>calotropin</t>
        </is>
      </c>
      <c r="AH119" t="inlineStr">
        <is>
          <t>Pass 45 duplicate consolidation</t>
        </is>
      </c>
      <c r="AI119" t="inlineStr">
        <is>
          <t>cardiac glycosides</t>
        </is>
      </c>
      <c r="AJ119" t="inlineStr">
        <is>
          <t>Unknown</t>
        </is>
      </c>
      <c r="AK119" t="inlineStr">
        <is>
          <t>unclassified</t>
        </is>
      </c>
      <c r="AL119" t="inlineStr">
        <is>
          <t>Pass 46 mechanism + evidence consolidation</t>
        </is>
      </c>
      <c r="AM119" t="n">
        <v>3</v>
      </c>
      <c r="AN119" t="inlineStr">
        <is>
          <t>D</t>
        </is>
      </c>
      <c r="AO119" t="inlineStr">
        <is>
          <t>Pass 47 compound scoring</t>
        </is>
      </c>
    </row>
    <row r="120">
      <c r="A120" t="inlineStr">
        <is>
          <t>camphor</t>
        </is>
      </c>
      <c r="B120" t="inlineStr">
        <is>
          <t>camphor</t>
        </is>
      </c>
      <c r="D120" t="inlineStr">
        <is>
          <t>other</t>
        </is>
      </c>
      <c r="E120" t="inlineStr">
        <is>
          <t>insufficient evidence</t>
        </is>
      </c>
      <c r="F120" t="inlineStr">
        <is>
          <t>unclassified</t>
        </is>
      </c>
      <c r="W120" t="n">
        <v>2</v>
      </c>
      <c r="X120" t="inlineStr">
        <is>
          <t>Low</t>
        </is>
      </c>
      <c r="Z120" t="inlineStr">
        <is>
          <t>camphor</t>
        </is>
      </c>
      <c r="AF120" t="inlineStr">
        <is>
          <t>camphor</t>
        </is>
      </c>
      <c r="AH120" t="inlineStr">
        <is>
          <t>Pass 45 duplicate consolidation</t>
        </is>
      </c>
      <c r="AI120" t="inlineStr">
        <is>
          <t>other</t>
        </is>
      </c>
      <c r="AJ120" t="inlineStr">
        <is>
          <t>Unknown</t>
        </is>
      </c>
      <c r="AK120" t="inlineStr">
        <is>
          <t>unclassified</t>
        </is>
      </c>
      <c r="AL120" t="inlineStr">
        <is>
          <t>Pass 46 mechanism + evidence consolidation</t>
        </is>
      </c>
      <c r="AM120" t="n">
        <v>3</v>
      </c>
      <c r="AN120" t="inlineStr">
        <is>
          <t>D</t>
        </is>
      </c>
      <c r="AO120" t="inlineStr">
        <is>
          <t>Pass 47 compound scoring</t>
        </is>
      </c>
    </row>
    <row r="121">
      <c r="A121" t="inlineStr">
        <is>
          <t>cannabidiol</t>
        </is>
      </c>
      <c r="B121" t="inlineStr">
        <is>
          <t>cannabidiol</t>
        </is>
      </c>
      <c r="D121" t="inlineStr">
        <is>
          <t>other</t>
        </is>
      </c>
      <c r="E121" t="inlineStr">
        <is>
          <t>insufficient evidence</t>
        </is>
      </c>
      <c r="F121" t="inlineStr">
        <is>
          <t>unclassified</t>
        </is>
      </c>
      <c r="W121" t="n">
        <v>2</v>
      </c>
      <c r="X121" t="inlineStr">
        <is>
          <t>Low</t>
        </is>
      </c>
      <c r="Z121" t="inlineStr">
        <is>
          <t>cannabidiol</t>
        </is>
      </c>
      <c r="AF121" t="inlineStr">
        <is>
          <t>cannabidiol</t>
        </is>
      </c>
      <c r="AH121" t="inlineStr">
        <is>
          <t>Pass 45 duplicate consolidation</t>
        </is>
      </c>
      <c r="AI121" t="inlineStr">
        <is>
          <t>other</t>
        </is>
      </c>
      <c r="AJ121" t="inlineStr">
        <is>
          <t>Unknown</t>
        </is>
      </c>
      <c r="AK121" t="inlineStr">
        <is>
          <t>unclassified</t>
        </is>
      </c>
      <c r="AL121" t="inlineStr">
        <is>
          <t>Pass 46 mechanism + evidence consolidation</t>
        </is>
      </c>
      <c r="AM121" t="n">
        <v>3</v>
      </c>
      <c r="AN121" t="inlineStr">
        <is>
          <t>D</t>
        </is>
      </c>
      <c r="AO121" t="inlineStr">
        <is>
          <t>Pass 47 compound scoring</t>
        </is>
      </c>
    </row>
    <row r="122">
      <c r="A122" t="inlineStr">
        <is>
          <t>capsaicin</t>
        </is>
      </c>
      <c r="B122" t="inlineStr">
        <is>
          <t>capsaicin</t>
        </is>
      </c>
      <c r="D122" t="inlineStr">
        <is>
          <t>capsaicinoid</t>
        </is>
      </c>
      <c r="E122" t="inlineStr">
        <is>
          <t>Capsaicinoids, especially capsaicin, act primarily as TRPV1 agonists; downstream effects include sensory neuron activation followed by desensitization and antinociceptive effects.</t>
        </is>
      </c>
      <c r="F122" t="inlineStr">
        <is>
          <t>unclassified</t>
        </is>
      </c>
      <c r="W122" t="n">
        <v>2</v>
      </c>
      <c r="X122" t="inlineStr">
        <is>
          <t>Low</t>
        </is>
      </c>
      <c r="Z122" t="inlineStr">
        <is>
          <t>capsaicin</t>
        </is>
      </c>
      <c r="AF122" t="inlineStr">
        <is>
          <t>capsaicin</t>
        </is>
      </c>
      <c r="AH122" t="inlineStr">
        <is>
          <t>Pass 45 duplicate consolidation</t>
        </is>
      </c>
      <c r="AI122" t="inlineStr">
        <is>
          <t>capsaicinoid</t>
        </is>
      </c>
      <c r="AJ122" t="inlineStr">
        <is>
          <t>Unknown</t>
        </is>
      </c>
      <c r="AK122" t="inlineStr">
        <is>
          <t>unclassified</t>
        </is>
      </c>
      <c r="AL122" t="inlineStr">
        <is>
          <t>Pass 46 mechanism + evidence consolidation</t>
        </is>
      </c>
      <c r="AM122" t="n">
        <v>3</v>
      </c>
      <c r="AN122" t="inlineStr">
        <is>
          <t>D</t>
        </is>
      </c>
      <c r="AO122" t="inlineStr">
        <is>
          <t>Pass 47 compound scoring</t>
        </is>
      </c>
    </row>
    <row r="123">
      <c r="A123" t="inlineStr">
        <is>
          <t>capsanthin</t>
        </is>
      </c>
      <c r="B123" t="inlineStr">
        <is>
          <t>capsanthin</t>
        </is>
      </c>
      <c r="D123" t="inlineStr">
        <is>
          <t>other</t>
        </is>
      </c>
      <c r="E123" t="inlineStr">
        <is>
          <t>Capsaicinoids, especially capsaicin, act primarily as TRPV1 agonists; downstream effects include sensory neuron activation followed by desensitization and antinociceptive effects.</t>
        </is>
      </c>
      <c r="F123" t="inlineStr">
        <is>
          <t>unclassified</t>
        </is>
      </c>
      <c r="W123" t="n">
        <v>2</v>
      </c>
      <c r="X123" t="inlineStr">
        <is>
          <t>Low</t>
        </is>
      </c>
      <c r="Z123" t="inlineStr">
        <is>
          <t>capsanthin</t>
        </is>
      </c>
      <c r="AF123" t="inlineStr">
        <is>
          <t>capsanthin</t>
        </is>
      </c>
      <c r="AH123" t="inlineStr">
        <is>
          <t>Pass 45 duplicate consolidation</t>
        </is>
      </c>
      <c r="AI123" t="inlineStr">
        <is>
          <t>other</t>
        </is>
      </c>
      <c r="AJ123" t="inlineStr">
        <is>
          <t>Unknown</t>
        </is>
      </c>
      <c r="AK123" t="inlineStr">
        <is>
          <t>unclassified</t>
        </is>
      </c>
      <c r="AL123" t="inlineStr">
        <is>
          <t>Pass 46 mechanism + evidence consolidation</t>
        </is>
      </c>
      <c r="AM123" t="n">
        <v>3</v>
      </c>
      <c r="AN123" t="inlineStr">
        <is>
          <t>D</t>
        </is>
      </c>
      <c r="AO123" t="inlineStr">
        <is>
          <t>Pass 47 compound scoring</t>
        </is>
      </c>
    </row>
    <row r="124">
      <c r="A124" t="inlineStr">
        <is>
          <t>capsorubin</t>
        </is>
      </c>
      <c r="B124" t="inlineStr">
        <is>
          <t>capsorubin</t>
        </is>
      </c>
      <c r="D124" t="inlineStr">
        <is>
          <t>other</t>
        </is>
      </c>
      <c r="E124" t="inlineStr">
        <is>
          <t>Capsaicinoids, especially capsaicin, act primarily as TRPV1 agonists; downstream effects include sensory neuron activation followed by desensitization and antinociceptive effects.</t>
        </is>
      </c>
      <c r="F124" t="inlineStr">
        <is>
          <t>unclassified</t>
        </is>
      </c>
      <c r="W124" t="n">
        <v>2</v>
      </c>
      <c r="X124" t="inlineStr">
        <is>
          <t>Low</t>
        </is>
      </c>
      <c r="Z124" t="inlineStr">
        <is>
          <t>capsorubin</t>
        </is>
      </c>
      <c r="AF124" t="inlineStr">
        <is>
          <t>capsorubin</t>
        </is>
      </c>
      <c r="AH124" t="inlineStr">
        <is>
          <t>Pass 45 duplicate consolidation</t>
        </is>
      </c>
      <c r="AI124" t="inlineStr">
        <is>
          <t>other</t>
        </is>
      </c>
      <c r="AJ124" t="inlineStr">
        <is>
          <t>Unknown</t>
        </is>
      </c>
      <c r="AK124" t="inlineStr">
        <is>
          <t>unclassified</t>
        </is>
      </c>
      <c r="AL124" t="inlineStr">
        <is>
          <t>Pass 46 mechanism + evidence consolidation</t>
        </is>
      </c>
      <c r="AM124" t="n">
        <v>3</v>
      </c>
      <c r="AN124" t="inlineStr">
        <is>
          <t>D</t>
        </is>
      </c>
      <c r="AO124" t="inlineStr">
        <is>
          <t>Pass 47 compound scoring</t>
        </is>
      </c>
    </row>
    <row r="125">
      <c r="A125" t="inlineStr">
        <is>
          <t>cardanol</t>
        </is>
      </c>
      <c r="B125" t="inlineStr">
        <is>
          <t>cardanol</t>
        </is>
      </c>
      <c r="D125" t="inlineStr">
        <is>
          <t>other</t>
        </is>
      </c>
      <c r="E125" t="inlineStr">
        <is>
          <t>insufficient evidence</t>
        </is>
      </c>
      <c r="F125" t="inlineStr">
        <is>
          <t>unclassified</t>
        </is>
      </c>
      <c r="W125" t="n">
        <v>2</v>
      </c>
      <c r="X125" t="inlineStr">
        <is>
          <t>Low</t>
        </is>
      </c>
      <c r="Z125" t="inlineStr">
        <is>
          <t>cardanol</t>
        </is>
      </c>
      <c r="AF125" t="inlineStr">
        <is>
          <t>cardanol</t>
        </is>
      </c>
      <c r="AH125" t="inlineStr">
        <is>
          <t>Pass 45 duplicate consolidation</t>
        </is>
      </c>
      <c r="AI125" t="inlineStr">
        <is>
          <t>other</t>
        </is>
      </c>
      <c r="AJ125" t="inlineStr">
        <is>
          <t>Unknown</t>
        </is>
      </c>
      <c r="AK125" t="inlineStr">
        <is>
          <t>unclassified</t>
        </is>
      </c>
      <c r="AL125" t="inlineStr">
        <is>
          <t>Pass 46 mechanism + evidence consolidation</t>
        </is>
      </c>
      <c r="AM125" t="n">
        <v>3</v>
      </c>
      <c r="AN125" t="inlineStr">
        <is>
          <t>D</t>
        </is>
      </c>
      <c r="AO125" t="inlineStr">
        <is>
          <t>Pass 47 compound scoring</t>
        </is>
      </c>
    </row>
    <row r="126">
      <c r="A126" t="inlineStr">
        <is>
          <t>cardol</t>
        </is>
      </c>
      <c r="B126" t="inlineStr">
        <is>
          <t>cardol</t>
        </is>
      </c>
      <c r="D126" t="inlineStr">
        <is>
          <t>other</t>
        </is>
      </c>
      <c r="E126" t="inlineStr">
        <is>
          <t>insufficient evidence</t>
        </is>
      </c>
      <c r="F126" t="inlineStr">
        <is>
          <t>unclassified</t>
        </is>
      </c>
      <c r="W126" t="n">
        <v>2</v>
      </c>
      <c r="X126" t="inlineStr">
        <is>
          <t>Low</t>
        </is>
      </c>
      <c r="Z126" t="inlineStr">
        <is>
          <t>cardol</t>
        </is>
      </c>
      <c r="AF126" t="inlineStr">
        <is>
          <t>cardol</t>
        </is>
      </c>
      <c r="AH126" t="inlineStr">
        <is>
          <t>Pass 45 duplicate consolidation</t>
        </is>
      </c>
      <c r="AI126" t="inlineStr">
        <is>
          <t>other</t>
        </is>
      </c>
      <c r="AJ126" t="inlineStr">
        <is>
          <t>Unknown</t>
        </is>
      </c>
      <c r="AK126" t="inlineStr">
        <is>
          <t>unclassified</t>
        </is>
      </c>
      <c r="AL126" t="inlineStr">
        <is>
          <t>Pass 46 mechanism + evidence consolidation</t>
        </is>
      </c>
      <c r="AM126" t="n">
        <v>3</v>
      </c>
      <c r="AN126" t="inlineStr">
        <is>
          <t>D</t>
        </is>
      </c>
      <c r="AO126" t="inlineStr">
        <is>
          <t>Pass 47 compound scoring</t>
        </is>
      </c>
    </row>
    <row r="127">
      <c r="A127" t="inlineStr">
        <is>
          <t>Carnosic acid</t>
        </is>
      </c>
      <c r="B127" t="inlineStr">
        <is>
          <t>carnosic acid</t>
        </is>
      </c>
      <c r="C127" t="inlineStr">
        <is>
          <t>Rosmarinus officinalis</t>
        </is>
      </c>
      <c r="D127" t="inlineStr">
        <is>
          <t>Antioxidant; neuroprotective</t>
        </is>
      </c>
      <c r="E127" t="inlineStr">
        <is>
          <t>insufficient evidence</t>
        </is>
      </c>
      <c r="F127" t="inlineStr">
        <is>
          <t>unclassified; oxidative stress reduction; neuroprotective signaling</t>
        </is>
      </c>
      <c r="U127" t="inlineStr">
        <is>
          <t>Pass 45 merged 2 rows into canonical compound entry</t>
        </is>
      </c>
      <c r="W127" t="n">
        <v>4</v>
      </c>
      <c r="X127" t="inlineStr">
        <is>
          <t>Medium</t>
        </is>
      </c>
      <c r="Z127" t="inlineStr">
        <is>
          <t>Carnosic acid</t>
        </is>
      </c>
      <c r="AF127" t="inlineStr">
        <is>
          <t>carnosic acid</t>
        </is>
      </c>
      <c r="AH127" t="inlineStr">
        <is>
          <t>Pass 45 duplicate consolidation</t>
        </is>
      </c>
      <c r="AI127" t="inlineStr">
        <is>
          <t>Antioxidant; neuroprotective</t>
        </is>
      </c>
      <c r="AJ127" t="inlineStr">
        <is>
          <t>Unknown</t>
        </is>
      </c>
      <c r="AK127" t="inlineStr">
        <is>
          <t>neuroprotective signaling; oxidative stress reduction; unclassified</t>
        </is>
      </c>
      <c r="AL127" t="inlineStr">
        <is>
          <t>Pass 46 mechanism + evidence consolidation</t>
        </is>
      </c>
      <c r="AM127" t="n">
        <v>5</v>
      </c>
      <c r="AN127" t="inlineStr">
        <is>
          <t>C</t>
        </is>
      </c>
      <c r="AO127" t="inlineStr">
        <is>
          <t>Pass 47 compound scoring</t>
        </is>
      </c>
    </row>
    <row r="128">
      <c r="A128" t="inlineStr">
        <is>
          <t>Carnosol</t>
        </is>
      </c>
      <c r="B128" t="inlineStr">
        <is>
          <t>Polyphenol</t>
        </is>
      </c>
      <c r="C128" t="inlineStr">
        <is>
          <t>Rosmarinus officinalis</t>
        </is>
      </c>
      <c r="D128" t="inlineStr">
        <is>
          <t>Antioxidant; anti-inflammatory</t>
        </is>
      </c>
      <c r="E128" t="inlineStr">
        <is>
          <t>Human/Animal</t>
        </is>
      </c>
      <c r="F128" t="inlineStr">
        <is>
          <t>NF-kB inhibition; oxidative stress reduction</t>
        </is>
      </c>
      <c r="W128" t="n">
        <v>4</v>
      </c>
      <c r="X128" t="inlineStr">
        <is>
          <t>Medium</t>
        </is>
      </c>
      <c r="Z128" t="inlineStr">
        <is>
          <t>Carnosol</t>
        </is>
      </c>
      <c r="AF128" t="inlineStr">
        <is>
          <t>carnosol</t>
        </is>
      </c>
      <c r="AH128" t="inlineStr">
        <is>
          <t>Pass 45 duplicate consolidation</t>
        </is>
      </c>
      <c r="AI128" t="inlineStr">
        <is>
          <t>Antioxidant; anti-inflammatory</t>
        </is>
      </c>
      <c r="AJ128" t="inlineStr">
        <is>
          <t>Human</t>
        </is>
      </c>
      <c r="AK128" t="inlineStr">
        <is>
          <t>nf-kb inhibition; oxidative stress reduction</t>
        </is>
      </c>
      <c r="AL128" t="inlineStr">
        <is>
          <t>Pass 46 mechanism + evidence consolidation</t>
        </is>
      </c>
      <c r="AM128" t="n">
        <v>8</v>
      </c>
      <c r="AN128" t="inlineStr">
        <is>
          <t>B</t>
        </is>
      </c>
      <c r="AO128" t="inlineStr">
        <is>
          <t>Pass 47 compound scoring</t>
        </is>
      </c>
    </row>
    <row r="129">
      <c r="A129" t="inlineStr">
        <is>
          <t>carpaine</t>
        </is>
      </c>
      <c r="B129" t="inlineStr">
        <is>
          <t>carpaine</t>
        </is>
      </c>
      <c r="D129" t="inlineStr">
        <is>
          <t>other</t>
        </is>
      </c>
      <c r="E129" t="inlineStr">
        <is>
          <t>insufficient evidence</t>
        </is>
      </c>
      <c r="F129" t="inlineStr">
        <is>
          <t>unclassified</t>
        </is>
      </c>
      <c r="W129" t="n">
        <v>2</v>
      </c>
      <c r="X129" t="inlineStr">
        <is>
          <t>Low</t>
        </is>
      </c>
      <c r="Z129" t="inlineStr">
        <is>
          <t>carpaine</t>
        </is>
      </c>
      <c r="AF129" t="inlineStr">
        <is>
          <t>carpaine</t>
        </is>
      </c>
      <c r="AH129" t="inlineStr">
        <is>
          <t>Pass 45 duplicate consolidation</t>
        </is>
      </c>
      <c r="AI129" t="inlineStr">
        <is>
          <t>other</t>
        </is>
      </c>
      <c r="AJ129" t="inlineStr">
        <is>
          <t>Unknown</t>
        </is>
      </c>
      <c r="AK129" t="inlineStr">
        <is>
          <t>unclassified</t>
        </is>
      </c>
      <c r="AL129" t="inlineStr">
        <is>
          <t>Pass 46 mechanism + evidence consolidation</t>
        </is>
      </c>
      <c r="AM129" t="n">
        <v>3</v>
      </c>
      <c r="AN129" t="inlineStr">
        <is>
          <t>D</t>
        </is>
      </c>
      <c r="AO129" t="inlineStr">
        <is>
          <t>Pass 47 compound scoring</t>
        </is>
      </c>
    </row>
    <row r="130">
      <c r="A130" t="inlineStr">
        <is>
          <t>carvacrol</t>
        </is>
      </c>
      <c r="B130" t="inlineStr">
        <is>
          <t>carvacrol</t>
        </is>
      </c>
      <c r="C130" t="inlineStr">
        <is>
          <t>Ajwain</t>
        </is>
      </c>
      <c r="D130" t="inlineStr">
        <is>
          <t>phenolic monoterpenoid</t>
        </is>
      </c>
      <c r="E130" t="inlineStr">
        <is>
          <t>Activates TRPV3 and TRPA1; broader anti-inflammatory signaling is supported in preclinical/review literature.</t>
        </is>
      </c>
      <c r="F130" t="inlineStr">
        <is>
          <t>unclassified</t>
        </is>
      </c>
      <c r="U130" t="inlineStr">
        <is>
          <t>Pass 13 linked existing compound to additional top herb</t>
        </is>
      </c>
      <c r="W130" t="n">
        <v>2</v>
      </c>
      <c r="X130" t="inlineStr">
        <is>
          <t>Low</t>
        </is>
      </c>
      <c r="Z130" t="inlineStr">
        <is>
          <t>carvacrol</t>
        </is>
      </c>
      <c r="AF130" t="inlineStr">
        <is>
          <t>carvacrol</t>
        </is>
      </c>
      <c r="AH130" t="inlineStr">
        <is>
          <t>Pass 45 duplicate consolidation</t>
        </is>
      </c>
      <c r="AI130" t="inlineStr">
        <is>
          <t>phenolic monoterpenoid</t>
        </is>
      </c>
      <c r="AJ130" t="inlineStr">
        <is>
          <t>Clinical</t>
        </is>
      </c>
      <c r="AK130" t="inlineStr">
        <is>
          <t>unclassified</t>
        </is>
      </c>
      <c r="AL130" t="inlineStr">
        <is>
          <t>Pass 46 mechanism + evidence consolidation</t>
        </is>
      </c>
      <c r="AM130" t="n">
        <v>6</v>
      </c>
      <c r="AN130" t="inlineStr">
        <is>
          <t>C</t>
        </is>
      </c>
      <c r="AO130" t="inlineStr">
        <is>
          <t>Pass 47 compound scoring</t>
        </is>
      </c>
    </row>
    <row r="131">
      <c r="A131" t="inlineStr">
        <is>
          <t>carvone</t>
        </is>
      </c>
      <c r="B131" t="inlineStr">
        <is>
          <t>carvone</t>
        </is>
      </c>
      <c r="D131" t="inlineStr">
        <is>
          <t>other</t>
        </is>
      </c>
      <c r="E131" t="inlineStr">
        <is>
          <t>insufficient evidence</t>
        </is>
      </c>
      <c r="F131" t="inlineStr">
        <is>
          <t>unclassified</t>
        </is>
      </c>
      <c r="W131" t="n">
        <v>2</v>
      </c>
      <c r="X131" t="inlineStr">
        <is>
          <t>Low</t>
        </is>
      </c>
      <c r="Z131" t="inlineStr">
        <is>
          <t>carvone</t>
        </is>
      </c>
      <c r="AF131" t="inlineStr">
        <is>
          <t>carvone</t>
        </is>
      </c>
      <c r="AH131" t="inlineStr">
        <is>
          <t>Pass 45 duplicate consolidation</t>
        </is>
      </c>
      <c r="AI131" t="inlineStr">
        <is>
          <t>other</t>
        </is>
      </c>
      <c r="AJ131" t="inlineStr">
        <is>
          <t>Unknown</t>
        </is>
      </c>
      <c r="AK131" t="inlineStr">
        <is>
          <t>unclassified</t>
        </is>
      </c>
      <c r="AL131" t="inlineStr">
        <is>
          <t>Pass 46 mechanism + evidence consolidation</t>
        </is>
      </c>
      <c r="AM131" t="n">
        <v>3</v>
      </c>
      <c r="AN131" t="inlineStr">
        <is>
          <t>D</t>
        </is>
      </c>
      <c r="AO131" t="inlineStr">
        <is>
          <t>Pass 47 compound scoring</t>
        </is>
      </c>
    </row>
    <row r="132">
      <c r="A132" t="inlineStr">
        <is>
          <t>casimiroedine</t>
        </is>
      </c>
      <c r="B132" t="inlineStr">
        <is>
          <t>casimiroedine</t>
        </is>
      </c>
      <c r="D132" t="inlineStr">
        <is>
          <t>other</t>
        </is>
      </c>
      <c r="E132" t="inlineStr">
        <is>
          <t>insufficient evidence</t>
        </is>
      </c>
      <c r="F132" t="inlineStr">
        <is>
          <t>unclassified</t>
        </is>
      </c>
      <c r="W132" t="n">
        <v>2</v>
      </c>
      <c r="X132" t="inlineStr">
        <is>
          <t>Low</t>
        </is>
      </c>
      <c r="Z132" t="inlineStr">
        <is>
          <t>casimiroedine</t>
        </is>
      </c>
      <c r="AF132" t="inlineStr">
        <is>
          <t>casimiroedine</t>
        </is>
      </c>
      <c r="AH132" t="inlineStr">
        <is>
          <t>Pass 45 duplicate consolidation</t>
        </is>
      </c>
      <c r="AI132" t="inlineStr">
        <is>
          <t>other</t>
        </is>
      </c>
      <c r="AJ132" t="inlineStr">
        <is>
          <t>Unknown</t>
        </is>
      </c>
      <c r="AK132" t="inlineStr">
        <is>
          <t>unclassified</t>
        </is>
      </c>
      <c r="AL132" t="inlineStr">
        <is>
          <t>Pass 46 mechanism + evidence consolidation</t>
        </is>
      </c>
      <c r="AM132" t="n">
        <v>3</v>
      </c>
      <c r="AN132" t="inlineStr">
        <is>
          <t>D</t>
        </is>
      </c>
      <c r="AO132" t="inlineStr">
        <is>
          <t>Pass 47 compound scoring</t>
        </is>
      </c>
    </row>
    <row r="133">
      <c r="A133" t="inlineStr">
        <is>
          <t>casticin</t>
        </is>
      </c>
      <c r="B133" t="inlineStr">
        <is>
          <t>casticin</t>
        </is>
      </c>
      <c r="D133" t="inlineStr">
        <is>
          <t>Casticin, flavonoids, iridoids</t>
        </is>
      </c>
      <c r="E133" t="inlineStr">
        <is>
          <t>insufficient evidence</t>
        </is>
      </c>
      <c r="F133" t="inlineStr">
        <is>
          <t>unclassified</t>
        </is>
      </c>
      <c r="W133" t="n">
        <v>2</v>
      </c>
      <c r="X133" t="inlineStr">
        <is>
          <t>Low</t>
        </is>
      </c>
      <c r="Z133" t="inlineStr">
        <is>
          <t>casticin</t>
        </is>
      </c>
      <c r="AF133" t="inlineStr">
        <is>
          <t>casticin</t>
        </is>
      </c>
      <c r="AH133" t="inlineStr">
        <is>
          <t>Pass 45 duplicate consolidation</t>
        </is>
      </c>
      <c r="AI133" t="inlineStr">
        <is>
          <t>Casticin, flavonoids, iridoids</t>
        </is>
      </c>
      <c r="AJ133" t="inlineStr">
        <is>
          <t>Unknown</t>
        </is>
      </c>
      <c r="AK133" t="inlineStr">
        <is>
          <t>unclassified</t>
        </is>
      </c>
      <c r="AL133" t="inlineStr">
        <is>
          <t>Pass 46 mechanism + evidence consolidation</t>
        </is>
      </c>
      <c r="AM133" t="n">
        <v>3</v>
      </c>
      <c r="AN133" t="inlineStr">
        <is>
          <t>D</t>
        </is>
      </c>
      <c r="AO133" t="inlineStr">
        <is>
          <t>Pass 47 compound scoring</t>
        </is>
      </c>
    </row>
    <row r="134">
      <c r="A134" t="inlineStr">
        <is>
          <t>catalpol</t>
        </is>
      </c>
      <c r="B134" t="inlineStr">
        <is>
          <t>catalpol</t>
        </is>
      </c>
      <c r="D134" t="inlineStr">
        <is>
          <t>iridoid glycoside</t>
        </is>
      </c>
      <c r="E134" t="inlineStr">
        <is>
          <t>Iridoid glycoside from Rehmannia associated with metabolic and neuroprotective signaling in preclinical literature.</t>
        </is>
      </c>
      <c r="F134" t="inlineStr">
        <is>
          <t>unclassified</t>
        </is>
      </c>
      <c r="W134" t="n">
        <v>2</v>
      </c>
      <c r="X134" t="inlineStr">
        <is>
          <t>Low</t>
        </is>
      </c>
      <c r="Z134" t="inlineStr">
        <is>
          <t>catalpol</t>
        </is>
      </c>
      <c r="AF134" t="inlineStr">
        <is>
          <t>catalpol</t>
        </is>
      </c>
      <c r="AH134" t="inlineStr">
        <is>
          <t>Pass 45 duplicate consolidation</t>
        </is>
      </c>
      <c r="AI134" t="inlineStr">
        <is>
          <t>iridoid glycoside</t>
        </is>
      </c>
      <c r="AJ134" t="inlineStr">
        <is>
          <t>Clinical</t>
        </is>
      </c>
      <c r="AK134" t="inlineStr">
        <is>
          <t>unclassified</t>
        </is>
      </c>
      <c r="AL134" t="inlineStr">
        <is>
          <t>Pass 46 mechanism + evidence consolidation</t>
        </is>
      </c>
      <c r="AM134" t="n">
        <v>6</v>
      </c>
      <c r="AN134" t="inlineStr">
        <is>
          <t>C</t>
        </is>
      </c>
      <c r="AO134" t="inlineStr">
        <is>
          <t>Pass 47 compound scoring</t>
        </is>
      </c>
    </row>
    <row r="135">
      <c r="A135" t="inlineStr">
        <is>
          <t>Catechin</t>
        </is>
      </c>
      <c r="B135" t="inlineStr">
        <is>
          <t>Polyphenol</t>
        </is>
      </c>
      <c r="C135" t="inlineStr">
        <is>
          <t>Green Tea</t>
        </is>
      </c>
      <c r="D135" t="inlineStr">
        <is>
          <t>Antioxidant</t>
        </is>
      </c>
      <c r="E135" t="inlineStr">
        <is>
          <t>Human/Animal</t>
        </is>
      </c>
      <c r="F135" t="inlineStr">
        <is>
          <t>oxidative stress reduction</t>
        </is>
      </c>
      <c r="U135" t="inlineStr">
        <is>
          <t>Pass 13 added real compound for top herb</t>
        </is>
      </c>
      <c r="W135" t="n">
        <v>3</v>
      </c>
      <c r="X135" t="inlineStr">
        <is>
          <t>Medium</t>
        </is>
      </c>
      <c r="Z135" t="inlineStr">
        <is>
          <t>Catechin</t>
        </is>
      </c>
      <c r="AF135" t="inlineStr">
        <is>
          <t>catechin</t>
        </is>
      </c>
      <c r="AH135" t="inlineStr">
        <is>
          <t>Pass 45 duplicate consolidation</t>
        </is>
      </c>
      <c r="AI135" t="inlineStr">
        <is>
          <t>Antioxidant</t>
        </is>
      </c>
      <c r="AJ135" t="inlineStr">
        <is>
          <t>Human</t>
        </is>
      </c>
      <c r="AK135" t="inlineStr">
        <is>
          <t>oxidative stress reduction</t>
        </is>
      </c>
      <c r="AL135" t="inlineStr">
        <is>
          <t>Pass 46 mechanism + evidence consolidation</t>
        </is>
      </c>
      <c r="AM135" t="n">
        <v>7</v>
      </c>
      <c r="AN135" t="inlineStr">
        <is>
          <t>B</t>
        </is>
      </c>
      <c r="AO135" t="inlineStr">
        <is>
          <t>Pass 47 compound scoring</t>
        </is>
      </c>
    </row>
    <row r="136">
      <c r="A136" t="inlineStr">
        <is>
          <t>catechins</t>
        </is>
      </c>
      <c r="B136" t="inlineStr">
        <is>
          <t>catechins (egcg)</t>
        </is>
      </c>
      <c r="D136" t="inlineStr">
        <is>
          <t>flavonoid</t>
        </is>
      </c>
      <c r="E136" t="inlineStr">
        <is>
          <t>EGCG inhibits catechol-O-methyltransferase (COMT) and activates AMPK; caffeine antagonizes adenosine A1 and A2A receptors.</t>
        </is>
      </c>
      <c r="F136" t="inlineStr">
        <is>
          <t>unclassified</t>
        </is>
      </c>
      <c r="W136" t="n">
        <v>2</v>
      </c>
      <c r="X136" t="inlineStr">
        <is>
          <t>Low</t>
        </is>
      </c>
      <c r="Z136" t="inlineStr">
        <is>
          <t>catechins</t>
        </is>
      </c>
      <c r="AF136" t="inlineStr">
        <is>
          <t>catechins</t>
        </is>
      </c>
      <c r="AH136" t="inlineStr">
        <is>
          <t>Pass 45 duplicate consolidation</t>
        </is>
      </c>
      <c r="AI136" t="inlineStr">
        <is>
          <t>flavonoid</t>
        </is>
      </c>
      <c r="AJ136" t="inlineStr">
        <is>
          <t>Unknown</t>
        </is>
      </c>
      <c r="AK136" t="inlineStr">
        <is>
          <t>unclassified</t>
        </is>
      </c>
      <c r="AL136" t="inlineStr">
        <is>
          <t>Pass 46 mechanism + evidence consolidation</t>
        </is>
      </c>
      <c r="AM136" t="n">
        <v>3</v>
      </c>
      <c r="AN136" t="inlineStr">
        <is>
          <t>D</t>
        </is>
      </c>
      <c r="AO136" t="inlineStr">
        <is>
          <t>Pass 47 compound scoring</t>
        </is>
      </c>
    </row>
    <row r="137">
      <c r="A137" t="inlineStr">
        <is>
          <t>cathine</t>
        </is>
      </c>
      <c r="B137" t="inlineStr">
        <is>
          <t>cathine</t>
        </is>
      </c>
      <c r="D137" t="inlineStr">
        <is>
          <t>other</t>
        </is>
      </c>
      <c r="E137" t="inlineStr">
        <is>
          <t>insufficient evidence</t>
        </is>
      </c>
      <c r="F137" t="inlineStr">
        <is>
          <t>unclassified</t>
        </is>
      </c>
      <c r="W137" t="n">
        <v>2</v>
      </c>
      <c r="X137" t="inlineStr">
        <is>
          <t>Low</t>
        </is>
      </c>
      <c r="Z137" t="inlineStr">
        <is>
          <t>cathine</t>
        </is>
      </c>
      <c r="AF137" t="inlineStr">
        <is>
          <t>cathine</t>
        </is>
      </c>
      <c r="AH137" t="inlineStr">
        <is>
          <t>Pass 45 duplicate consolidation</t>
        </is>
      </c>
      <c r="AI137" t="inlineStr">
        <is>
          <t>other</t>
        </is>
      </c>
      <c r="AJ137" t="inlineStr">
        <is>
          <t>Unknown</t>
        </is>
      </c>
      <c r="AK137" t="inlineStr">
        <is>
          <t>unclassified</t>
        </is>
      </c>
      <c r="AL137" t="inlineStr">
        <is>
          <t>Pass 46 mechanism + evidence consolidation</t>
        </is>
      </c>
      <c r="AM137" t="n">
        <v>3</v>
      </c>
      <c r="AN137" t="inlineStr">
        <is>
          <t>D</t>
        </is>
      </c>
      <c r="AO137" t="inlineStr">
        <is>
          <t>Pass 47 compound scoring</t>
        </is>
      </c>
    </row>
    <row r="138">
      <c r="A138" t="inlineStr">
        <is>
          <t>cathinone</t>
        </is>
      </c>
      <c r="B138" t="inlineStr">
        <is>
          <t>cathinone</t>
        </is>
      </c>
      <c r="D138" t="inlineStr">
        <is>
          <t>other</t>
        </is>
      </c>
      <c r="E138" t="inlineStr">
        <is>
          <t>insufficient evidence</t>
        </is>
      </c>
      <c r="F138" t="inlineStr">
        <is>
          <t>unclassified</t>
        </is>
      </c>
      <c r="W138" t="n">
        <v>2</v>
      </c>
      <c r="X138" t="inlineStr">
        <is>
          <t>Low</t>
        </is>
      </c>
      <c r="Z138" t="inlineStr">
        <is>
          <t>cathinone</t>
        </is>
      </c>
      <c r="AF138" t="inlineStr">
        <is>
          <t>cathinone</t>
        </is>
      </c>
      <c r="AH138" t="inlineStr">
        <is>
          <t>Pass 45 duplicate consolidation</t>
        </is>
      </c>
      <c r="AI138" t="inlineStr">
        <is>
          <t>other</t>
        </is>
      </c>
      <c r="AJ138" t="inlineStr">
        <is>
          <t>Unknown</t>
        </is>
      </c>
      <c r="AK138" t="inlineStr">
        <is>
          <t>unclassified</t>
        </is>
      </c>
      <c r="AL138" t="inlineStr">
        <is>
          <t>Pass 46 mechanism + evidence consolidation</t>
        </is>
      </c>
      <c r="AM138" t="n">
        <v>3</v>
      </c>
      <c r="AN138" t="inlineStr">
        <is>
          <t>D</t>
        </is>
      </c>
      <c r="AO138" t="inlineStr">
        <is>
          <t>Pass 47 compound scoring</t>
        </is>
      </c>
    </row>
    <row r="139">
      <c r="A139" t="inlineStr">
        <is>
          <t>cbd</t>
        </is>
      </c>
      <c r="B139" t="inlineStr">
        <is>
          <t>cbd</t>
        </is>
      </c>
      <c r="D139" t="inlineStr">
        <is>
          <t>terpenes</t>
        </is>
      </c>
      <c r="E139" t="inlineStr">
        <is>
          <t>THC acts at CB1 receptors; terpenes may modulate neurotransmitter systems and pharmacokinetics.</t>
        </is>
      </c>
      <c r="F139" t="inlineStr">
        <is>
          <t>unclassified</t>
        </is>
      </c>
      <c r="W139" t="n">
        <v>2</v>
      </c>
      <c r="X139" t="inlineStr">
        <is>
          <t>Low</t>
        </is>
      </c>
      <c r="Z139" t="inlineStr">
        <is>
          <t>cbd</t>
        </is>
      </c>
      <c r="AF139" t="inlineStr">
        <is>
          <t>cbd</t>
        </is>
      </c>
      <c r="AH139" t="inlineStr">
        <is>
          <t>Pass 45 duplicate consolidation</t>
        </is>
      </c>
      <c r="AI139" t="inlineStr">
        <is>
          <t>terpenes</t>
        </is>
      </c>
      <c r="AJ139" t="inlineStr">
        <is>
          <t>Unknown</t>
        </is>
      </c>
      <c r="AK139" t="inlineStr">
        <is>
          <t>unclassified</t>
        </is>
      </c>
      <c r="AL139" t="inlineStr">
        <is>
          <t>Pass 46 mechanism + evidence consolidation</t>
        </is>
      </c>
      <c r="AM139" t="n">
        <v>3</v>
      </c>
      <c r="AN139" t="inlineStr">
        <is>
          <t>D</t>
        </is>
      </c>
      <c r="AO139" t="inlineStr">
        <is>
          <t>Pass 47 compound scoring</t>
        </is>
      </c>
    </row>
    <row r="140">
      <c r="A140" t="inlineStr">
        <is>
          <t>celapagin</t>
        </is>
      </c>
      <c r="B140" t="inlineStr">
        <is>
          <t>celapagin</t>
        </is>
      </c>
      <c r="D140" t="inlineStr">
        <is>
          <t>other</t>
        </is>
      </c>
      <c r="E140" t="inlineStr">
        <is>
          <t>insufficient evidence</t>
        </is>
      </c>
      <c r="F140" t="inlineStr">
        <is>
          <t>unclassified</t>
        </is>
      </c>
      <c r="W140" t="n">
        <v>2</v>
      </c>
      <c r="X140" t="inlineStr">
        <is>
          <t>Low</t>
        </is>
      </c>
      <c r="Z140" t="inlineStr">
        <is>
          <t>celapagin</t>
        </is>
      </c>
      <c r="AF140" t="inlineStr">
        <is>
          <t>celapagin</t>
        </is>
      </c>
      <c r="AH140" t="inlineStr">
        <is>
          <t>Pass 45 duplicate consolidation</t>
        </is>
      </c>
      <c r="AI140" t="inlineStr">
        <is>
          <t>other</t>
        </is>
      </c>
      <c r="AJ140" t="inlineStr">
        <is>
          <t>Unknown</t>
        </is>
      </c>
      <c r="AK140" t="inlineStr">
        <is>
          <t>unclassified</t>
        </is>
      </c>
      <c r="AL140" t="inlineStr">
        <is>
          <t>Pass 46 mechanism + evidence consolidation</t>
        </is>
      </c>
      <c r="AM140" t="n">
        <v>3</v>
      </c>
      <c r="AN140" t="inlineStr">
        <is>
          <t>D</t>
        </is>
      </c>
      <c r="AO140" t="inlineStr">
        <is>
          <t>Pass 47 compound scoring</t>
        </is>
      </c>
    </row>
    <row r="141">
      <c r="A141" t="inlineStr">
        <is>
          <t>celapanin</t>
        </is>
      </c>
      <c r="B141" t="inlineStr">
        <is>
          <t>celapanin</t>
        </is>
      </c>
      <c r="D141" t="inlineStr">
        <is>
          <t>other</t>
        </is>
      </c>
      <c r="E141" t="inlineStr">
        <is>
          <t>insufficient evidence</t>
        </is>
      </c>
      <c r="F141" t="inlineStr">
        <is>
          <t>unclassified</t>
        </is>
      </c>
      <c r="W141" t="n">
        <v>2</v>
      </c>
      <c r="X141" t="inlineStr">
        <is>
          <t>Low</t>
        </is>
      </c>
      <c r="Z141" t="inlineStr">
        <is>
          <t>celapanin</t>
        </is>
      </c>
      <c r="AF141" t="inlineStr">
        <is>
          <t>celapanin</t>
        </is>
      </c>
      <c r="AH141" t="inlineStr">
        <is>
          <t>Pass 45 duplicate consolidation</t>
        </is>
      </c>
      <c r="AI141" t="inlineStr">
        <is>
          <t>other</t>
        </is>
      </c>
      <c r="AJ141" t="inlineStr">
        <is>
          <t>Unknown</t>
        </is>
      </c>
      <c r="AK141" t="inlineStr">
        <is>
          <t>unclassified</t>
        </is>
      </c>
      <c r="AL141" t="inlineStr">
        <is>
          <t>Pass 46 mechanism + evidence consolidation</t>
        </is>
      </c>
      <c r="AM141" t="n">
        <v>3</v>
      </c>
      <c r="AN141" t="inlineStr">
        <is>
          <t>D</t>
        </is>
      </c>
      <c r="AO141" t="inlineStr">
        <is>
          <t>Pass 47 compound scoring</t>
        </is>
      </c>
    </row>
    <row r="142">
      <c r="A142" t="inlineStr">
        <is>
          <t>Celastrine</t>
        </is>
      </c>
      <c r="B142" t="inlineStr">
        <is>
          <t>celastrine</t>
        </is>
      </c>
      <c r="C142" t="inlineStr">
        <is>
          <t>Celastrus paniculatus</t>
        </is>
      </c>
      <c r="D142" t="inlineStr">
        <is>
          <t>Neuroactive</t>
        </is>
      </c>
      <c r="E142" t="inlineStr">
        <is>
          <t>insufficient evidence</t>
        </is>
      </c>
      <c r="F142" t="inlineStr">
        <is>
          <t>unclassified</t>
        </is>
      </c>
      <c r="U142" t="inlineStr">
        <is>
          <t>Pass 45 merged 2 rows into canonical compound entry</t>
        </is>
      </c>
      <c r="W142" t="n">
        <v>2</v>
      </c>
      <c r="X142" t="inlineStr">
        <is>
          <t>Low</t>
        </is>
      </c>
      <c r="Z142" t="inlineStr">
        <is>
          <t>Celastrine</t>
        </is>
      </c>
      <c r="AF142" t="inlineStr">
        <is>
          <t>celastrine</t>
        </is>
      </c>
      <c r="AH142" t="inlineStr">
        <is>
          <t>Pass 45 duplicate consolidation</t>
        </is>
      </c>
      <c r="AI142" t="inlineStr">
        <is>
          <t>Neuroactive</t>
        </is>
      </c>
      <c r="AJ142" t="inlineStr">
        <is>
          <t>Unknown</t>
        </is>
      </c>
      <c r="AK142" t="inlineStr">
        <is>
          <t>unclassified</t>
        </is>
      </c>
      <c r="AL142" t="inlineStr">
        <is>
          <t>Pass 46 mechanism + evidence consolidation</t>
        </is>
      </c>
      <c r="AM142" t="n">
        <v>3</v>
      </c>
      <c r="AN142" t="inlineStr">
        <is>
          <t>D</t>
        </is>
      </c>
      <c r="AO142" t="inlineStr">
        <is>
          <t>Pass 47 compound scoring</t>
        </is>
      </c>
    </row>
    <row r="143">
      <c r="A143" t="inlineStr">
        <is>
          <t>cephaeline</t>
        </is>
      </c>
      <c r="B143" t="inlineStr">
        <is>
          <t>cephaeline</t>
        </is>
      </c>
      <c r="D143" t="inlineStr">
        <is>
          <t>Emetine, cephaeline, alkaloids</t>
        </is>
      </c>
      <c r="E143" t="inlineStr">
        <is>
          <t>insufficient evidence</t>
        </is>
      </c>
      <c r="F143" t="inlineStr">
        <is>
          <t>unclassified</t>
        </is>
      </c>
      <c r="W143" t="n">
        <v>2</v>
      </c>
      <c r="X143" t="inlineStr">
        <is>
          <t>Low</t>
        </is>
      </c>
      <c r="Z143" t="inlineStr">
        <is>
          <t>cephaeline</t>
        </is>
      </c>
      <c r="AF143" t="inlineStr">
        <is>
          <t>cephaeline</t>
        </is>
      </c>
      <c r="AH143" t="inlineStr">
        <is>
          <t>Pass 45 duplicate consolidation</t>
        </is>
      </c>
      <c r="AI143" t="inlineStr">
        <is>
          <t>Emetine, cephaeline, alkaloids</t>
        </is>
      </c>
      <c r="AJ143" t="inlineStr">
        <is>
          <t>Unknown</t>
        </is>
      </c>
      <c r="AK143" t="inlineStr">
        <is>
          <t>unclassified</t>
        </is>
      </c>
      <c r="AL143" t="inlineStr">
        <is>
          <t>Pass 46 mechanism + evidence consolidation</t>
        </is>
      </c>
      <c r="AM143" t="n">
        <v>3</v>
      </c>
      <c r="AN143" t="inlineStr">
        <is>
          <t>D</t>
        </is>
      </c>
      <c r="AO143" t="inlineStr">
        <is>
          <t>Pass 47 compound scoring</t>
        </is>
      </c>
    </row>
    <row r="144">
      <c r="A144" t="inlineStr">
        <is>
          <t>cepharanthine</t>
        </is>
      </c>
      <c r="B144" t="inlineStr">
        <is>
          <t>cepharanthine</t>
        </is>
      </c>
      <c r="D144" t="inlineStr">
        <is>
          <t>biscoclaurine alkaloids</t>
        </is>
      </c>
      <c r="E144" t="inlineStr">
        <is>
          <t>insufficient evidence</t>
        </is>
      </c>
      <c r="F144" t="inlineStr">
        <is>
          <t>unclassified</t>
        </is>
      </c>
      <c r="W144" t="n">
        <v>2</v>
      </c>
      <c r="X144" t="inlineStr">
        <is>
          <t>Low</t>
        </is>
      </c>
      <c r="Z144" t="inlineStr">
        <is>
          <t>cepharanthine</t>
        </is>
      </c>
      <c r="AF144" t="inlineStr">
        <is>
          <t>cepharanthine</t>
        </is>
      </c>
      <c r="AH144" t="inlineStr">
        <is>
          <t>Pass 45 duplicate consolidation</t>
        </is>
      </c>
      <c r="AI144" t="inlineStr">
        <is>
          <t>biscoclaurine alkaloids</t>
        </is>
      </c>
      <c r="AJ144" t="inlineStr">
        <is>
          <t>Unknown</t>
        </is>
      </c>
      <c r="AK144" t="inlineStr">
        <is>
          <t>unclassified</t>
        </is>
      </c>
      <c r="AL144" t="inlineStr">
        <is>
          <t>Pass 46 mechanism + evidence consolidation</t>
        </is>
      </c>
      <c r="AM144" t="n">
        <v>3</v>
      </c>
      <c r="AN144" t="inlineStr">
        <is>
          <t>D</t>
        </is>
      </c>
      <c r="AO144" t="inlineStr">
        <is>
          <t>Pass 47 compound scoring</t>
        </is>
      </c>
    </row>
    <row r="145">
      <c r="A145" t="inlineStr">
        <is>
          <t>chamazulene</t>
        </is>
      </c>
      <c r="B145" t="inlineStr">
        <is>
          <t>chamazulene</t>
        </is>
      </c>
      <c r="C145" t="inlineStr">
        <is>
          <t>Chamomile</t>
        </is>
      </c>
      <c r="D145" t="inlineStr">
        <is>
          <t>other</t>
        </is>
      </c>
      <c r="E145" t="inlineStr">
        <is>
          <t>Chamomile's CNS effects are partly attributed to apigenin, which binds at the central benzodiazepine site associated with GABA_A receptor signaling; other constituents contribute anti-inflammatory and spasmolytic activity.</t>
        </is>
      </c>
      <c r="F145" t="inlineStr">
        <is>
          <t>unclassified</t>
        </is>
      </c>
      <c r="U145" t="inlineStr">
        <is>
          <t>Pass 13 linked existing compound to additional top herb</t>
        </is>
      </c>
      <c r="W145" t="n">
        <v>2</v>
      </c>
      <c r="X145" t="inlineStr">
        <is>
          <t>Low</t>
        </is>
      </c>
      <c r="Z145" t="inlineStr">
        <is>
          <t>chamazulene</t>
        </is>
      </c>
      <c r="AF145" t="inlineStr">
        <is>
          <t>chamazulene</t>
        </is>
      </c>
      <c r="AH145" t="inlineStr">
        <is>
          <t>Pass 45 duplicate consolidation</t>
        </is>
      </c>
      <c r="AI145" t="inlineStr">
        <is>
          <t>other</t>
        </is>
      </c>
      <c r="AJ145" t="inlineStr">
        <is>
          <t>Unknown</t>
        </is>
      </c>
      <c r="AK145" t="inlineStr">
        <is>
          <t>unclassified</t>
        </is>
      </c>
      <c r="AL145" t="inlineStr">
        <is>
          <t>Pass 46 mechanism + evidence consolidation</t>
        </is>
      </c>
      <c r="AM145" t="n">
        <v>3</v>
      </c>
      <c r="AN145" t="inlineStr">
        <is>
          <t>D</t>
        </is>
      </c>
      <c r="AO145" t="inlineStr">
        <is>
          <t>Pass 47 compound scoring</t>
        </is>
      </c>
    </row>
    <row r="146">
      <c r="A146" t="inlineStr">
        <is>
          <t>charantin</t>
        </is>
      </c>
      <c r="B146" t="inlineStr">
        <is>
          <t>charantin</t>
        </is>
      </c>
      <c r="D146" t="inlineStr">
        <is>
          <t>other</t>
        </is>
      </c>
      <c r="E146" t="inlineStr">
        <is>
          <t>insufficient evidence</t>
        </is>
      </c>
      <c r="F146" t="inlineStr">
        <is>
          <t>unclassified</t>
        </is>
      </c>
      <c r="W146" t="n">
        <v>2</v>
      </c>
      <c r="X146" t="inlineStr">
        <is>
          <t>Low</t>
        </is>
      </c>
      <c r="Z146" t="inlineStr">
        <is>
          <t>charantin</t>
        </is>
      </c>
      <c r="AF146" t="inlineStr">
        <is>
          <t>charantin</t>
        </is>
      </c>
      <c r="AH146" t="inlineStr">
        <is>
          <t>Pass 45 duplicate consolidation</t>
        </is>
      </c>
      <c r="AI146" t="inlineStr">
        <is>
          <t>other</t>
        </is>
      </c>
      <c r="AJ146" t="inlineStr">
        <is>
          <t>Unknown</t>
        </is>
      </c>
      <c r="AK146" t="inlineStr">
        <is>
          <t>unclassified</t>
        </is>
      </c>
      <c r="AL146" t="inlineStr">
        <is>
          <t>Pass 46 mechanism + evidence consolidation</t>
        </is>
      </c>
      <c r="AM146" t="n">
        <v>3</v>
      </c>
      <c r="AN146" t="inlineStr">
        <is>
          <t>D</t>
        </is>
      </c>
      <c r="AO146" t="inlineStr">
        <is>
          <t>Pass 47 compound scoring</t>
        </is>
      </c>
    </row>
    <row r="147">
      <c r="A147" t="inlineStr">
        <is>
          <t>Chavicine</t>
        </is>
      </c>
      <c r="B147" t="inlineStr">
        <is>
          <t>Alkaloid</t>
        </is>
      </c>
      <c r="C147" t="inlineStr">
        <is>
          <t>Black Pepper</t>
        </is>
      </c>
      <c r="D147" t="inlineStr">
        <is>
          <t>Bioavailability-related pungent alkaloid activity</t>
        </is>
      </c>
      <c r="E147" t="inlineStr">
        <is>
          <t>Animal</t>
        </is>
      </c>
      <c r="F147" t="inlineStr">
        <is>
          <t>bioavailability modulation</t>
        </is>
      </c>
      <c r="U147" t="inlineStr">
        <is>
          <t>Pass 13 added real compound for top herb</t>
        </is>
      </c>
      <c r="W147" t="n">
        <v>3</v>
      </c>
      <c r="X147" t="inlineStr">
        <is>
          <t>Low</t>
        </is>
      </c>
      <c r="Z147" t="inlineStr">
        <is>
          <t>Chavicine</t>
        </is>
      </c>
      <c r="AF147" t="inlineStr">
        <is>
          <t>chavicine</t>
        </is>
      </c>
      <c r="AH147" t="inlineStr">
        <is>
          <t>Pass 45 duplicate consolidation</t>
        </is>
      </c>
      <c r="AI147" t="inlineStr">
        <is>
          <t>Bioavailability-related pungent alkaloid activity</t>
        </is>
      </c>
      <c r="AJ147" t="inlineStr">
        <is>
          <t>Preclinical</t>
        </is>
      </c>
      <c r="AK147" t="inlineStr">
        <is>
          <t>bioavailability modulation</t>
        </is>
      </c>
      <c r="AL147" t="inlineStr">
        <is>
          <t>Pass 46 mechanism + evidence consolidation</t>
        </is>
      </c>
      <c r="AM147" t="n">
        <v>4</v>
      </c>
      <c r="AN147" t="inlineStr">
        <is>
          <t>C</t>
        </is>
      </c>
      <c r="AO147" t="inlineStr">
        <is>
          <t>Pass 47 compound scoring</t>
        </is>
      </c>
    </row>
    <row r="148">
      <c r="A148" t="inlineStr">
        <is>
          <t>chavicol</t>
        </is>
      </c>
      <c r="B148" t="inlineStr">
        <is>
          <t>chavicol</t>
        </is>
      </c>
      <c r="D148" t="inlineStr">
        <is>
          <t>other</t>
        </is>
      </c>
      <c r="E148" t="inlineStr">
        <is>
          <t>insufficient evidence</t>
        </is>
      </c>
      <c r="F148" t="inlineStr">
        <is>
          <t>unclassified</t>
        </is>
      </c>
      <c r="W148" t="n">
        <v>2</v>
      </c>
      <c r="X148" t="inlineStr">
        <is>
          <t>Low</t>
        </is>
      </c>
      <c r="Z148" t="inlineStr">
        <is>
          <t>chavicol</t>
        </is>
      </c>
      <c r="AF148" t="inlineStr">
        <is>
          <t>chavicol</t>
        </is>
      </c>
      <c r="AH148" t="inlineStr">
        <is>
          <t>Pass 45 duplicate consolidation</t>
        </is>
      </c>
      <c r="AI148" t="inlineStr">
        <is>
          <t>other</t>
        </is>
      </c>
      <c r="AJ148" t="inlineStr">
        <is>
          <t>Unknown</t>
        </is>
      </c>
      <c r="AK148" t="inlineStr">
        <is>
          <t>unclassified</t>
        </is>
      </c>
      <c r="AL148" t="inlineStr">
        <is>
          <t>Pass 46 mechanism + evidence consolidation</t>
        </is>
      </c>
      <c r="AM148" t="n">
        <v>3</v>
      </c>
      <c r="AN148" t="inlineStr">
        <is>
          <t>D</t>
        </is>
      </c>
      <c r="AO148" t="inlineStr">
        <is>
          <t>Pass 47 compound scoring</t>
        </is>
      </c>
    </row>
    <row r="149">
      <c r="A149" t="inlineStr">
        <is>
          <t>chelerythrine</t>
        </is>
      </c>
      <c r="B149" t="inlineStr">
        <is>
          <t>chelerythrine</t>
        </is>
      </c>
      <c r="D149" t="inlineStr">
        <is>
          <t>other</t>
        </is>
      </c>
      <c r="E149" t="inlineStr">
        <is>
          <t>insufficient evidence</t>
        </is>
      </c>
      <c r="F149" t="inlineStr">
        <is>
          <t>unclassified</t>
        </is>
      </c>
      <c r="W149" t="n">
        <v>2</v>
      </c>
      <c r="X149" t="inlineStr">
        <is>
          <t>Low</t>
        </is>
      </c>
      <c r="Z149" t="inlineStr">
        <is>
          <t>chelerythrine</t>
        </is>
      </c>
      <c r="AF149" t="inlineStr">
        <is>
          <t>chelerythrine</t>
        </is>
      </c>
      <c r="AH149" t="inlineStr">
        <is>
          <t>Pass 45 duplicate consolidation</t>
        </is>
      </c>
      <c r="AI149" t="inlineStr">
        <is>
          <t>other</t>
        </is>
      </c>
      <c r="AJ149" t="inlineStr">
        <is>
          <t>Unknown</t>
        </is>
      </c>
      <c r="AK149" t="inlineStr">
        <is>
          <t>unclassified</t>
        </is>
      </c>
      <c r="AL149" t="inlineStr">
        <is>
          <t>Pass 46 mechanism + evidence consolidation</t>
        </is>
      </c>
      <c r="AM149" t="n">
        <v>3</v>
      </c>
      <c r="AN149" t="inlineStr">
        <is>
          <t>D</t>
        </is>
      </c>
      <c r="AO149" t="inlineStr">
        <is>
          <t>Pass 47 compound scoring</t>
        </is>
      </c>
    </row>
    <row r="150">
      <c r="A150" t="inlineStr">
        <is>
          <t>chelidonine</t>
        </is>
      </c>
      <c r="B150" t="inlineStr">
        <is>
          <t>chelidonine</t>
        </is>
      </c>
      <c r="D150" t="inlineStr">
        <is>
          <t>Chelidonine, berberine, alkaloids</t>
        </is>
      </c>
      <c r="E150" t="inlineStr">
        <is>
          <t>insufficient evidence</t>
        </is>
      </c>
      <c r="F150" t="inlineStr">
        <is>
          <t>unclassified</t>
        </is>
      </c>
      <c r="W150" t="n">
        <v>2</v>
      </c>
      <c r="X150" t="inlineStr">
        <is>
          <t>Low</t>
        </is>
      </c>
      <c r="Z150" t="inlineStr">
        <is>
          <t>chelidonine</t>
        </is>
      </c>
      <c r="AF150" t="inlineStr">
        <is>
          <t>chelidonine</t>
        </is>
      </c>
      <c r="AH150" t="inlineStr">
        <is>
          <t>Pass 45 duplicate consolidation</t>
        </is>
      </c>
      <c r="AI150" t="inlineStr">
        <is>
          <t>Chelidonine, berberine, alkaloids</t>
        </is>
      </c>
      <c r="AJ150" t="inlineStr">
        <is>
          <t>Unknown</t>
        </is>
      </c>
      <c r="AK150" t="inlineStr">
        <is>
          <t>unclassified</t>
        </is>
      </c>
      <c r="AL150" t="inlineStr">
        <is>
          <t>Pass 46 mechanism + evidence consolidation</t>
        </is>
      </c>
      <c r="AM150" t="n">
        <v>3</v>
      </c>
      <c r="AN150" t="inlineStr">
        <is>
          <t>D</t>
        </is>
      </c>
      <c r="AO150" t="inlineStr">
        <is>
          <t>Pass 47 compound scoring</t>
        </is>
      </c>
    </row>
    <row r="151">
      <c r="A151" t="inlineStr">
        <is>
          <t>chicoric acid</t>
        </is>
      </c>
      <c r="B151" t="inlineStr">
        <is>
          <t>chicoric acid</t>
        </is>
      </c>
      <c r="D151" t="inlineStr">
        <is>
          <t>provisional_from_herb_monograph</t>
        </is>
      </c>
      <c r="F151" t="inlineStr">
        <is>
          <t>unclassified</t>
        </is>
      </c>
      <c r="W151" t="n">
        <v>2</v>
      </c>
      <c r="X151" t="inlineStr">
        <is>
          <t>Low</t>
        </is>
      </c>
      <c r="Z151" t="inlineStr">
        <is>
          <t>chicoric acid</t>
        </is>
      </c>
      <c r="AF151" t="inlineStr">
        <is>
          <t>chicoric acid</t>
        </is>
      </c>
      <c r="AH151" t="inlineStr">
        <is>
          <t>Pass 45 duplicate consolidation</t>
        </is>
      </c>
      <c r="AI151" t="inlineStr">
        <is>
          <t>provisional_from_herb_monograph</t>
        </is>
      </c>
      <c r="AJ151" t="inlineStr">
        <is>
          <t>Unknown</t>
        </is>
      </c>
      <c r="AK151" t="inlineStr">
        <is>
          <t>unclassified</t>
        </is>
      </c>
      <c r="AL151" t="inlineStr">
        <is>
          <t>Pass 46 mechanism + evidence consolidation</t>
        </is>
      </c>
      <c r="AM151" t="n">
        <v>3</v>
      </c>
      <c r="AN151" t="inlineStr">
        <is>
          <t>D</t>
        </is>
      </c>
      <c r="AO151" t="inlineStr">
        <is>
          <t>Pass 47 compound scoring</t>
        </is>
      </c>
    </row>
    <row r="152">
      <c r="A152" t="inlineStr">
        <is>
          <t>chlorogenic acid</t>
        </is>
      </c>
      <c r="B152" t="inlineStr">
        <is>
          <t>chlorogenic acid</t>
        </is>
      </c>
      <c r="D152" t="inlineStr">
        <is>
          <t>flavonoids; triterpenes</t>
        </is>
      </c>
      <c r="E152" t="inlineStr">
        <is>
          <t>insufficient evidence</t>
        </is>
      </c>
      <c r="F152" t="inlineStr">
        <is>
          <t>unclassified</t>
        </is>
      </c>
      <c r="W152" t="n">
        <v>2</v>
      </c>
      <c r="X152" t="inlineStr">
        <is>
          <t>Low</t>
        </is>
      </c>
      <c r="Z152" t="inlineStr">
        <is>
          <t>chlorogenic acid</t>
        </is>
      </c>
      <c r="AF152" t="inlineStr">
        <is>
          <t>chlorogenic acid</t>
        </is>
      </c>
      <c r="AH152" t="inlineStr">
        <is>
          <t>Pass 45 duplicate consolidation</t>
        </is>
      </c>
      <c r="AI152" t="inlineStr">
        <is>
          <t>flavonoids; triterpenes</t>
        </is>
      </c>
      <c r="AJ152" t="inlineStr">
        <is>
          <t>Unknown</t>
        </is>
      </c>
      <c r="AK152" t="inlineStr">
        <is>
          <t>unclassified</t>
        </is>
      </c>
      <c r="AL152" t="inlineStr">
        <is>
          <t>Pass 46 mechanism + evidence consolidation</t>
        </is>
      </c>
      <c r="AM152" t="n">
        <v>3</v>
      </c>
      <c r="AN152" t="inlineStr">
        <is>
          <t>D</t>
        </is>
      </c>
      <c r="AO152" t="inlineStr">
        <is>
          <t>Pass 47 compound scoring</t>
        </is>
      </c>
    </row>
    <row r="153">
      <c r="A153" t="inlineStr">
        <is>
          <t>choline</t>
        </is>
      </c>
      <c r="B153" t="inlineStr">
        <is>
          <t>choline</t>
        </is>
      </c>
      <c r="D153" t="inlineStr">
        <is>
          <t>essential nutrient</t>
        </is>
      </c>
      <c r="E153" t="inlineStr">
        <is>
          <t>Precursor for acetylcholine synthesis and phosphatidylcholine membrane formation; involved in methyl-group metabolism.</t>
        </is>
      </c>
      <c r="F153" t="inlineStr">
        <is>
          <t>unclassified</t>
        </is>
      </c>
      <c r="W153" t="n">
        <v>2</v>
      </c>
      <c r="X153" t="inlineStr">
        <is>
          <t>Low</t>
        </is>
      </c>
      <c r="Z153" t="inlineStr">
        <is>
          <t>choline</t>
        </is>
      </c>
      <c r="AF153" t="inlineStr">
        <is>
          <t>choline</t>
        </is>
      </c>
      <c r="AH153" t="inlineStr">
        <is>
          <t>Pass 45 duplicate consolidation</t>
        </is>
      </c>
      <c r="AI153" t="inlineStr">
        <is>
          <t>essential nutrient</t>
        </is>
      </c>
      <c r="AJ153" t="inlineStr">
        <is>
          <t>Unknown</t>
        </is>
      </c>
      <c r="AK153" t="inlineStr">
        <is>
          <t>unclassified</t>
        </is>
      </c>
      <c r="AL153" t="inlineStr">
        <is>
          <t>Pass 46 mechanism + evidence consolidation</t>
        </is>
      </c>
      <c r="AM153" t="n">
        <v>3</v>
      </c>
      <c r="AN153" t="inlineStr">
        <is>
          <t>D</t>
        </is>
      </c>
      <c r="AO153" t="inlineStr">
        <is>
          <t>Pass 47 compound scoring</t>
        </is>
      </c>
    </row>
    <row r="154">
      <c r="A154" t="inlineStr">
        <is>
          <t>chrysin</t>
        </is>
      </c>
      <c r="B154" t="inlineStr">
        <is>
          <t>chrysin</t>
        </is>
      </c>
      <c r="D154" t="inlineStr">
        <is>
          <t>flavonoid</t>
        </is>
      </c>
      <c r="E154" t="inlineStr">
        <is>
          <t>Passionflower constituent linked to calming relevance.</t>
        </is>
      </c>
      <c r="F154" t="inlineStr">
        <is>
          <t>unclassified</t>
        </is>
      </c>
      <c r="W154" t="n">
        <v>2</v>
      </c>
      <c r="X154" t="inlineStr">
        <is>
          <t>Low</t>
        </is>
      </c>
      <c r="Z154" t="inlineStr">
        <is>
          <t>chrysin</t>
        </is>
      </c>
      <c r="AF154" t="inlineStr">
        <is>
          <t>chrysin</t>
        </is>
      </c>
      <c r="AH154" t="inlineStr">
        <is>
          <t>Pass 45 duplicate consolidation</t>
        </is>
      </c>
      <c r="AI154" t="inlineStr">
        <is>
          <t>flavonoid</t>
        </is>
      </c>
      <c r="AJ154" t="inlineStr">
        <is>
          <t>Unknown</t>
        </is>
      </c>
      <c r="AK154" t="inlineStr">
        <is>
          <t>unclassified</t>
        </is>
      </c>
      <c r="AL154" t="inlineStr">
        <is>
          <t>Pass 46 mechanism + evidence consolidation</t>
        </is>
      </c>
      <c r="AM154" t="n">
        <v>3</v>
      </c>
      <c r="AN154" t="inlineStr">
        <is>
          <t>D</t>
        </is>
      </c>
      <c r="AO154" t="inlineStr">
        <is>
          <t>Pass 47 compound scoring</t>
        </is>
      </c>
    </row>
    <row r="155">
      <c r="A155" t="inlineStr">
        <is>
          <t>chrysoeriol</t>
        </is>
      </c>
      <c r="B155" t="inlineStr">
        <is>
          <t>chrysoeriol</t>
        </is>
      </c>
      <c r="D155" t="inlineStr">
        <is>
          <t>other</t>
        </is>
      </c>
      <c r="E155" t="inlineStr">
        <is>
          <t>insufficient evidence</t>
        </is>
      </c>
      <c r="F155" t="inlineStr">
        <is>
          <t>unclassified</t>
        </is>
      </c>
      <c r="W155" t="n">
        <v>2</v>
      </c>
      <c r="X155" t="inlineStr">
        <is>
          <t>Low</t>
        </is>
      </c>
      <c r="Z155" t="inlineStr">
        <is>
          <t>chrysoeriol</t>
        </is>
      </c>
      <c r="AF155" t="inlineStr">
        <is>
          <t>chrysoeriol</t>
        </is>
      </c>
      <c r="AH155" t="inlineStr">
        <is>
          <t>Pass 45 duplicate consolidation</t>
        </is>
      </c>
      <c r="AI155" t="inlineStr">
        <is>
          <t>other</t>
        </is>
      </c>
      <c r="AJ155" t="inlineStr">
        <is>
          <t>Unknown</t>
        </is>
      </c>
      <c r="AK155" t="inlineStr">
        <is>
          <t>unclassified</t>
        </is>
      </c>
      <c r="AL155" t="inlineStr">
        <is>
          <t>Pass 46 mechanism + evidence consolidation</t>
        </is>
      </c>
      <c r="AM155" t="n">
        <v>3</v>
      </c>
      <c r="AN155" t="inlineStr">
        <is>
          <t>D</t>
        </is>
      </c>
      <c r="AO155" t="inlineStr">
        <is>
          <t>Pass 47 compound scoring</t>
        </is>
      </c>
    </row>
    <row r="156">
      <c r="A156" t="inlineStr">
        <is>
          <t>chrysophanol</t>
        </is>
      </c>
      <c r="B156" t="inlineStr">
        <is>
          <t>chrysophanol</t>
        </is>
      </c>
      <c r="D156" t="inlineStr">
        <is>
          <t>other</t>
        </is>
      </c>
      <c r="E156" t="inlineStr">
        <is>
          <t>insufficient evidence</t>
        </is>
      </c>
      <c r="F156" t="inlineStr">
        <is>
          <t>unclassified</t>
        </is>
      </c>
      <c r="W156" t="n">
        <v>2</v>
      </c>
      <c r="X156" t="inlineStr">
        <is>
          <t>Low</t>
        </is>
      </c>
      <c r="Z156" t="inlineStr">
        <is>
          <t>chrysophanol</t>
        </is>
      </c>
      <c r="AF156" t="inlineStr">
        <is>
          <t>chrysophanol</t>
        </is>
      </c>
      <c r="AH156" t="inlineStr">
        <is>
          <t>Pass 45 duplicate consolidation</t>
        </is>
      </c>
      <c r="AI156" t="inlineStr">
        <is>
          <t>other</t>
        </is>
      </c>
      <c r="AJ156" t="inlineStr">
        <is>
          <t>Unknown</t>
        </is>
      </c>
      <c r="AK156" t="inlineStr">
        <is>
          <t>unclassified</t>
        </is>
      </c>
      <c r="AL156" t="inlineStr">
        <is>
          <t>Pass 46 mechanism + evidence consolidation</t>
        </is>
      </c>
      <c r="AM156" t="n">
        <v>3</v>
      </c>
      <c r="AN156" t="inlineStr">
        <is>
          <t>D</t>
        </is>
      </c>
      <c r="AO156" t="inlineStr">
        <is>
          <t>Pass 47 compound scoring</t>
        </is>
      </c>
    </row>
    <row r="157">
      <c r="A157" t="inlineStr">
        <is>
          <t>chymopapain</t>
        </is>
      </c>
      <c r="B157" t="inlineStr">
        <is>
          <t>chymopapain</t>
        </is>
      </c>
      <c r="D157" t="inlineStr">
        <is>
          <t>other</t>
        </is>
      </c>
      <c r="E157" t="inlineStr">
        <is>
          <t>insufficient evidence</t>
        </is>
      </c>
      <c r="F157" t="inlineStr">
        <is>
          <t>unclassified</t>
        </is>
      </c>
      <c r="W157" t="n">
        <v>2</v>
      </c>
      <c r="X157" t="inlineStr">
        <is>
          <t>Low</t>
        </is>
      </c>
      <c r="Z157" t="inlineStr">
        <is>
          <t>chymopapain</t>
        </is>
      </c>
      <c r="AF157" t="inlineStr">
        <is>
          <t>chymopapain</t>
        </is>
      </c>
      <c r="AH157" t="inlineStr">
        <is>
          <t>Pass 45 duplicate consolidation</t>
        </is>
      </c>
      <c r="AI157" t="inlineStr">
        <is>
          <t>other</t>
        </is>
      </c>
      <c r="AJ157" t="inlineStr">
        <is>
          <t>Unknown</t>
        </is>
      </c>
      <c r="AK157" t="inlineStr">
        <is>
          <t>unclassified</t>
        </is>
      </c>
      <c r="AL157" t="inlineStr">
        <is>
          <t>Pass 46 mechanism + evidence consolidation</t>
        </is>
      </c>
      <c r="AM157" t="n">
        <v>3</v>
      </c>
      <c r="AN157" t="inlineStr">
        <is>
          <t>D</t>
        </is>
      </c>
      <c r="AO157" t="inlineStr">
        <is>
          <t>Pass 47 compound scoring</t>
        </is>
      </c>
    </row>
    <row r="158">
      <c r="A158" t="inlineStr">
        <is>
          <t>Cimicifugoside</t>
        </is>
      </c>
      <c r="B158" t="inlineStr">
        <is>
          <t>Triterpene glycoside</t>
        </is>
      </c>
      <c r="C158" t="inlineStr">
        <is>
          <t>Black Cohosh</t>
        </is>
      </c>
      <c r="D158" t="inlineStr">
        <is>
          <t>Hormonal and serotonergic support</t>
        </is>
      </c>
      <c r="E158" t="inlineStr">
        <is>
          <t>Animal</t>
        </is>
      </c>
      <c r="F158" t="inlineStr">
        <is>
          <t>serotonergic signaling; anti-inflammatory signaling</t>
        </is>
      </c>
      <c r="U158" t="inlineStr">
        <is>
          <t>Pass 13 added real compound for top herb</t>
        </is>
      </c>
      <c r="W158" t="n">
        <v>3</v>
      </c>
      <c r="X158" t="inlineStr">
        <is>
          <t>Low</t>
        </is>
      </c>
      <c r="Z158" t="inlineStr">
        <is>
          <t>Cimicifugoside</t>
        </is>
      </c>
      <c r="AF158" t="inlineStr">
        <is>
          <t>cimicifugoside</t>
        </is>
      </c>
      <c r="AH158" t="inlineStr">
        <is>
          <t>Pass 45 duplicate consolidation</t>
        </is>
      </c>
      <c r="AI158" t="inlineStr">
        <is>
          <t>Hormonal and serotonergic support</t>
        </is>
      </c>
      <c r="AJ158" t="inlineStr">
        <is>
          <t>Preclinical</t>
        </is>
      </c>
      <c r="AK158" t="inlineStr">
        <is>
          <t>anti-inflammatory signaling; serotonergic signaling</t>
        </is>
      </c>
      <c r="AL158" t="inlineStr">
        <is>
          <t>Pass 46 mechanism + evidence consolidation</t>
        </is>
      </c>
      <c r="AM158" t="n">
        <v>5</v>
      </c>
      <c r="AN158" t="inlineStr">
        <is>
          <t>C</t>
        </is>
      </c>
      <c r="AO158" t="inlineStr">
        <is>
          <t>Pass 47 compound scoring</t>
        </is>
      </c>
    </row>
    <row r="159">
      <c r="A159" t="inlineStr">
        <is>
          <t>cimifugoside</t>
        </is>
      </c>
      <c r="B159" t="inlineStr">
        <is>
          <t>cimifugoside</t>
        </is>
      </c>
      <c r="D159" t="inlineStr">
        <is>
          <t>triterpene glycoside</t>
        </is>
      </c>
      <c r="E159" t="inlineStr">
        <is>
          <t>Proposed mechanism based on preclinical data: cimifugoside is a black cohosh triterpene glycoside that may contribute to anti-inflammatory and anti-proliferative activity seen in Actaea racemosa extracts. Human mechanism data are not established.</t>
        </is>
      </c>
      <c r="F159" t="inlineStr">
        <is>
          <t>unclassified</t>
        </is>
      </c>
      <c r="W159" t="n">
        <v>2</v>
      </c>
      <c r="X159" t="inlineStr">
        <is>
          <t>Low</t>
        </is>
      </c>
      <c r="Z159" t="inlineStr">
        <is>
          <t>cimifugoside</t>
        </is>
      </c>
      <c r="AF159" t="inlineStr">
        <is>
          <t>cimifugoside</t>
        </is>
      </c>
      <c r="AH159" t="inlineStr">
        <is>
          <t>Pass 45 duplicate consolidation</t>
        </is>
      </c>
      <c r="AI159" t="inlineStr">
        <is>
          <t>triterpene glycoside</t>
        </is>
      </c>
      <c r="AJ159" t="inlineStr">
        <is>
          <t>Human</t>
        </is>
      </c>
      <c r="AK159" t="inlineStr">
        <is>
          <t>unclassified</t>
        </is>
      </c>
      <c r="AL159" t="inlineStr">
        <is>
          <t>Pass 46 mechanism + evidence consolidation</t>
        </is>
      </c>
      <c r="AM159" t="n">
        <v>7</v>
      </c>
      <c r="AN159" t="inlineStr">
        <is>
          <t>B</t>
        </is>
      </c>
      <c r="AO159" t="inlineStr">
        <is>
          <t>Pass 47 compound scoring</t>
        </is>
      </c>
    </row>
    <row r="160">
      <c r="A160" t="inlineStr">
        <is>
          <t>cineole</t>
        </is>
      </c>
      <c r="B160" t="inlineStr">
        <is>
          <t>cineole</t>
        </is>
      </c>
      <c r="D160" t="inlineStr">
        <is>
          <t>other</t>
        </is>
      </c>
      <c r="E160" t="inlineStr">
        <is>
          <t>insufficient evidence</t>
        </is>
      </c>
      <c r="F160" t="inlineStr">
        <is>
          <t>unclassified</t>
        </is>
      </c>
      <c r="W160" t="n">
        <v>2</v>
      </c>
      <c r="X160" t="inlineStr">
        <is>
          <t>Low</t>
        </is>
      </c>
      <c r="Z160" t="inlineStr">
        <is>
          <t>cineole</t>
        </is>
      </c>
      <c r="AF160" t="inlineStr">
        <is>
          <t>cineole</t>
        </is>
      </c>
      <c r="AH160" t="inlineStr">
        <is>
          <t>Pass 45 duplicate consolidation</t>
        </is>
      </c>
      <c r="AI160" t="inlineStr">
        <is>
          <t>other</t>
        </is>
      </c>
      <c r="AJ160" t="inlineStr">
        <is>
          <t>Unknown</t>
        </is>
      </c>
      <c r="AK160" t="inlineStr">
        <is>
          <t>unclassified</t>
        </is>
      </c>
      <c r="AL160" t="inlineStr">
        <is>
          <t>Pass 46 mechanism + evidence consolidation</t>
        </is>
      </c>
      <c r="AM160" t="n">
        <v>3</v>
      </c>
      <c r="AN160" t="inlineStr">
        <is>
          <t>D</t>
        </is>
      </c>
      <c r="AO160" t="inlineStr">
        <is>
          <t>Pass 47 compound scoring</t>
        </is>
      </c>
    </row>
    <row r="161">
      <c r="A161" t="inlineStr">
        <is>
          <t>cinnamaldehyde</t>
        </is>
      </c>
      <c r="B161" t="inlineStr">
        <is>
          <t>cinnamaldehyde</t>
        </is>
      </c>
      <c r="D161" t="inlineStr">
        <is>
          <t>Cinnamaldehyde, eugenol, coumarin (low)</t>
        </is>
      </c>
      <c r="E161" t="inlineStr">
        <is>
          <t>insufficient evidence</t>
        </is>
      </c>
      <c r="F161" t="inlineStr">
        <is>
          <t>unclassified</t>
        </is>
      </c>
      <c r="W161" t="n">
        <v>2</v>
      </c>
      <c r="X161" t="inlineStr">
        <is>
          <t>Low</t>
        </is>
      </c>
      <c r="Z161" t="inlineStr">
        <is>
          <t>cinnamaldehyde</t>
        </is>
      </c>
      <c r="AF161" t="inlineStr">
        <is>
          <t>cinnamaldehyde</t>
        </is>
      </c>
      <c r="AH161" t="inlineStr">
        <is>
          <t>Pass 45 duplicate consolidation</t>
        </is>
      </c>
      <c r="AI161" t="inlineStr">
        <is>
          <t>Cinnamaldehyde, eugenol, coumarin (low)</t>
        </is>
      </c>
      <c r="AJ161" t="inlineStr">
        <is>
          <t>Unknown</t>
        </is>
      </c>
      <c r="AK161" t="inlineStr">
        <is>
          <t>unclassified</t>
        </is>
      </c>
      <c r="AL161" t="inlineStr">
        <is>
          <t>Pass 46 mechanism + evidence consolidation</t>
        </is>
      </c>
      <c r="AM161" t="n">
        <v>3</v>
      </c>
      <c r="AN161" t="inlineStr">
        <is>
          <t>D</t>
        </is>
      </c>
      <c r="AO161" t="inlineStr">
        <is>
          <t>Pass 47 compound scoring</t>
        </is>
      </c>
    </row>
    <row r="162">
      <c r="A162" t="inlineStr">
        <is>
          <t>cinnamoylcocaine</t>
        </is>
      </c>
      <c r="B162" t="inlineStr">
        <is>
          <t>cinnamoylcocaine</t>
        </is>
      </c>
      <c r="D162" t="inlineStr">
        <is>
          <t>other</t>
        </is>
      </c>
      <c r="E162" t="inlineStr">
        <is>
          <t>insufficient evidence</t>
        </is>
      </c>
      <c r="F162" t="inlineStr">
        <is>
          <t>unclassified</t>
        </is>
      </c>
      <c r="W162" t="n">
        <v>2</v>
      </c>
      <c r="X162" t="inlineStr">
        <is>
          <t>Low</t>
        </is>
      </c>
      <c r="Z162" t="inlineStr">
        <is>
          <t>cinnamoylcocaine</t>
        </is>
      </c>
      <c r="AF162" t="inlineStr">
        <is>
          <t>cinnamoylcocaine</t>
        </is>
      </c>
      <c r="AH162" t="inlineStr">
        <is>
          <t>Pass 45 duplicate consolidation</t>
        </is>
      </c>
      <c r="AI162" t="inlineStr">
        <is>
          <t>other</t>
        </is>
      </c>
      <c r="AJ162" t="inlineStr">
        <is>
          <t>Unknown</t>
        </is>
      </c>
      <c r="AK162" t="inlineStr">
        <is>
          <t>unclassified</t>
        </is>
      </c>
      <c r="AL162" t="inlineStr">
        <is>
          <t>Pass 46 mechanism + evidence consolidation</t>
        </is>
      </c>
      <c r="AM162" t="n">
        <v>3</v>
      </c>
      <c r="AN162" t="inlineStr">
        <is>
          <t>D</t>
        </is>
      </c>
      <c r="AO162" t="inlineStr">
        <is>
          <t>Pass 47 compound scoring</t>
        </is>
      </c>
    </row>
    <row r="163">
      <c r="A163" t="inlineStr">
        <is>
          <t>cis-cinnamoylcocaine</t>
        </is>
      </c>
      <c r="B163" t="inlineStr">
        <is>
          <t>cis-cinnamoylcocaine</t>
        </is>
      </c>
      <c r="D163" t="inlineStr">
        <is>
          <t>other</t>
        </is>
      </c>
      <c r="E163" t="inlineStr">
        <is>
          <t>insufficient evidence</t>
        </is>
      </c>
      <c r="F163" t="inlineStr">
        <is>
          <t>unclassified</t>
        </is>
      </c>
      <c r="W163" t="n">
        <v>2</v>
      </c>
      <c r="X163" t="inlineStr">
        <is>
          <t>Low</t>
        </is>
      </c>
      <c r="Z163" t="inlineStr">
        <is>
          <t>cis-cinnamoylcocaine</t>
        </is>
      </c>
      <c r="AF163" t="inlineStr">
        <is>
          <t>cis cinnamoylcocaine</t>
        </is>
      </c>
      <c r="AH163" t="inlineStr">
        <is>
          <t>Pass 45 duplicate consolidation</t>
        </is>
      </c>
      <c r="AI163" t="inlineStr">
        <is>
          <t>other</t>
        </is>
      </c>
      <c r="AJ163" t="inlineStr">
        <is>
          <t>Unknown</t>
        </is>
      </c>
      <c r="AK163" t="inlineStr">
        <is>
          <t>unclassified</t>
        </is>
      </c>
      <c r="AL163" t="inlineStr">
        <is>
          <t>Pass 46 mechanism + evidence consolidation</t>
        </is>
      </c>
      <c r="AM163" t="n">
        <v>3</v>
      </c>
      <c r="AN163" t="inlineStr">
        <is>
          <t>D</t>
        </is>
      </c>
      <c r="AO163" t="inlineStr">
        <is>
          <t>Pass 47 compound scoring</t>
        </is>
      </c>
    </row>
    <row r="164">
      <c r="A164" t="inlineStr">
        <is>
          <t>citicoline cdp-choline</t>
        </is>
      </c>
      <c r="B164" t="inlineStr">
        <is>
          <t>citicoline (CDP-choline)</t>
        </is>
      </c>
      <c r="D164" t="inlineStr">
        <is>
          <t>endogenous nucleotide derivative</t>
        </is>
      </c>
      <c r="E164" t="inlineStr">
        <is>
          <t>Choline donor and cytidine-containing intermediate in phosphatidylcholine synthesis that supports acetylcholine precursor biology and membrane phospholipid turnover.</t>
        </is>
      </c>
      <c r="F164" t="inlineStr">
        <is>
          <t>unclassified</t>
        </is>
      </c>
      <c r="W164" t="n">
        <v>2</v>
      </c>
      <c r="X164" t="inlineStr">
        <is>
          <t>Low</t>
        </is>
      </c>
      <c r="Z164" t="inlineStr">
        <is>
          <t>citicoline cdp-choline</t>
        </is>
      </c>
      <c r="AF164" t="inlineStr">
        <is>
          <t>citicoline cdp choline</t>
        </is>
      </c>
      <c r="AH164" t="inlineStr">
        <is>
          <t>Pass 45 duplicate consolidation</t>
        </is>
      </c>
      <c r="AI164" t="inlineStr">
        <is>
          <t>endogenous nucleotide derivative</t>
        </is>
      </c>
      <c r="AJ164" t="inlineStr">
        <is>
          <t>Unknown</t>
        </is>
      </c>
      <c r="AK164" t="inlineStr">
        <is>
          <t>unclassified</t>
        </is>
      </c>
      <c r="AL164" t="inlineStr">
        <is>
          <t>Pass 46 mechanism + evidence consolidation</t>
        </is>
      </c>
      <c r="AM164" t="n">
        <v>3</v>
      </c>
      <c r="AN164" t="inlineStr">
        <is>
          <t>D</t>
        </is>
      </c>
      <c r="AO164" t="inlineStr">
        <is>
          <t>Pass 47 compound scoring</t>
        </is>
      </c>
    </row>
    <row r="165">
      <c r="A165" t="inlineStr">
        <is>
          <t>citral</t>
        </is>
      </c>
      <c r="B165" t="inlineStr">
        <is>
          <t>citral</t>
        </is>
      </c>
      <c r="D165" t="inlineStr">
        <is>
          <t>monoterpenoid aldehyde</t>
        </is>
      </c>
      <c r="E165" t="inlineStr">
        <is>
          <t>Preclinical work supports TRP-channel-linked nociception modulation and anti-inflammatory cytokine reduction.</t>
        </is>
      </c>
      <c r="F165" t="inlineStr">
        <is>
          <t>unclassified</t>
        </is>
      </c>
      <c r="W165" t="n">
        <v>2</v>
      </c>
      <c r="X165" t="inlineStr">
        <is>
          <t>Low</t>
        </is>
      </c>
      <c r="Z165" t="inlineStr">
        <is>
          <t>citral</t>
        </is>
      </c>
      <c r="AF165" t="inlineStr">
        <is>
          <t>citral</t>
        </is>
      </c>
      <c r="AH165" t="inlineStr">
        <is>
          <t>Pass 45 duplicate consolidation</t>
        </is>
      </c>
      <c r="AI165" t="inlineStr">
        <is>
          <t>monoterpenoid aldehyde</t>
        </is>
      </c>
      <c r="AJ165" t="inlineStr">
        <is>
          <t>Clinical</t>
        </is>
      </c>
      <c r="AK165" t="inlineStr">
        <is>
          <t>unclassified</t>
        </is>
      </c>
      <c r="AL165" t="inlineStr">
        <is>
          <t>Pass 46 mechanism + evidence consolidation</t>
        </is>
      </c>
      <c r="AM165" t="n">
        <v>6</v>
      </c>
      <c r="AN165" t="inlineStr">
        <is>
          <t>C</t>
        </is>
      </c>
      <c r="AO165" t="inlineStr">
        <is>
          <t>Pass 47 compound scoring</t>
        </is>
      </c>
    </row>
    <row r="166">
      <c r="A166" t="inlineStr">
        <is>
          <t>citric acid</t>
        </is>
      </c>
      <c r="B166" t="inlineStr">
        <is>
          <t>citric acid</t>
        </is>
      </c>
      <c r="D166" t="inlineStr">
        <is>
          <t>Limonene, flavonoids, citric acid</t>
        </is>
      </c>
      <c r="E166" t="inlineStr">
        <is>
          <t>insufficient evidence</t>
        </is>
      </c>
      <c r="F166" t="inlineStr">
        <is>
          <t>unclassified</t>
        </is>
      </c>
      <c r="W166" t="n">
        <v>2</v>
      </c>
      <c r="X166" t="inlineStr">
        <is>
          <t>Low</t>
        </is>
      </c>
      <c r="Z166" t="inlineStr">
        <is>
          <t>citric acid</t>
        </is>
      </c>
      <c r="AF166" t="inlineStr">
        <is>
          <t>citric acid</t>
        </is>
      </c>
      <c r="AH166" t="inlineStr">
        <is>
          <t>Pass 45 duplicate consolidation</t>
        </is>
      </c>
      <c r="AI166" t="inlineStr">
        <is>
          <t>Limonene, flavonoids, citric acid</t>
        </is>
      </c>
      <c r="AJ166" t="inlineStr">
        <is>
          <t>Unknown</t>
        </is>
      </c>
      <c r="AK166" t="inlineStr">
        <is>
          <t>unclassified</t>
        </is>
      </c>
      <c r="AL166" t="inlineStr">
        <is>
          <t>Pass 46 mechanism + evidence consolidation</t>
        </is>
      </c>
      <c r="AM166" t="n">
        <v>3</v>
      </c>
      <c r="AN166" t="inlineStr">
        <is>
          <t>D</t>
        </is>
      </c>
      <c r="AO166" t="inlineStr">
        <is>
          <t>Pass 47 compound scoring</t>
        </is>
      </c>
    </row>
    <row r="167">
      <c r="A167" t="inlineStr">
        <is>
          <t>citronellal</t>
        </is>
      </c>
      <c r="B167" t="inlineStr">
        <is>
          <t>citronellal</t>
        </is>
      </c>
      <c r="D167" t="inlineStr">
        <is>
          <t>other</t>
        </is>
      </c>
      <c r="E167" t="inlineStr">
        <is>
          <t>insufficient evidence</t>
        </is>
      </c>
      <c r="F167" t="inlineStr">
        <is>
          <t>unclassified</t>
        </is>
      </c>
      <c r="W167" t="n">
        <v>2</v>
      </c>
      <c r="X167" t="inlineStr">
        <is>
          <t>Low</t>
        </is>
      </c>
      <c r="Z167" t="inlineStr">
        <is>
          <t>citronellal</t>
        </is>
      </c>
      <c r="AF167" t="inlineStr">
        <is>
          <t>citronellal</t>
        </is>
      </c>
      <c r="AH167" t="inlineStr">
        <is>
          <t>Pass 45 duplicate consolidation</t>
        </is>
      </c>
      <c r="AI167" t="inlineStr">
        <is>
          <t>other</t>
        </is>
      </c>
      <c r="AJ167" t="inlineStr">
        <is>
          <t>Unknown</t>
        </is>
      </c>
      <c r="AK167" t="inlineStr">
        <is>
          <t>unclassified</t>
        </is>
      </c>
      <c r="AL167" t="inlineStr">
        <is>
          <t>Pass 46 mechanism + evidence consolidation</t>
        </is>
      </c>
      <c r="AM167" t="n">
        <v>3</v>
      </c>
      <c r="AN167" t="inlineStr">
        <is>
          <t>D</t>
        </is>
      </c>
      <c r="AO167" t="inlineStr">
        <is>
          <t>Pass 47 compound scoring</t>
        </is>
      </c>
    </row>
    <row r="168">
      <c r="A168" t="inlineStr">
        <is>
          <t>cocaine</t>
        </is>
      </c>
      <c r="B168" t="inlineStr">
        <is>
          <t>cocaine</t>
        </is>
      </c>
      <c r="D168" t="inlineStr">
        <is>
          <t>other</t>
        </is>
      </c>
      <c r="E168" t="inlineStr">
        <is>
          <t>insufficient evidence</t>
        </is>
      </c>
      <c r="F168" t="inlineStr">
        <is>
          <t>unclassified</t>
        </is>
      </c>
      <c r="W168" t="n">
        <v>2</v>
      </c>
      <c r="X168" t="inlineStr">
        <is>
          <t>Low</t>
        </is>
      </c>
      <c r="Z168" t="inlineStr">
        <is>
          <t>cocaine</t>
        </is>
      </c>
      <c r="AF168" t="inlineStr">
        <is>
          <t>cocaine</t>
        </is>
      </c>
      <c r="AH168" t="inlineStr">
        <is>
          <t>Pass 45 duplicate consolidation</t>
        </is>
      </c>
      <c r="AI168" t="inlineStr">
        <is>
          <t>other</t>
        </is>
      </c>
      <c r="AJ168" t="inlineStr">
        <is>
          <t>Unknown</t>
        </is>
      </c>
      <c r="AK168" t="inlineStr">
        <is>
          <t>unclassified</t>
        </is>
      </c>
      <c r="AL168" t="inlineStr">
        <is>
          <t>Pass 46 mechanism + evidence consolidation</t>
        </is>
      </c>
      <c r="AM168" t="n">
        <v>3</v>
      </c>
      <c r="AN168" t="inlineStr">
        <is>
          <t>D</t>
        </is>
      </c>
      <c r="AO168" t="inlineStr">
        <is>
          <t>Pass 47 compound scoring</t>
        </is>
      </c>
    </row>
    <row r="169">
      <c r="A169" t="inlineStr">
        <is>
          <t>codeine</t>
        </is>
      </c>
      <c r="B169" t="inlineStr">
        <is>
          <t>codeine</t>
        </is>
      </c>
      <c r="D169" t="inlineStr">
        <is>
          <t>other</t>
        </is>
      </c>
      <c r="E169" t="inlineStr">
        <is>
          <t>insufficient evidence</t>
        </is>
      </c>
      <c r="F169" t="inlineStr">
        <is>
          <t>unclassified</t>
        </is>
      </c>
      <c r="W169" t="n">
        <v>2</v>
      </c>
      <c r="X169" t="inlineStr">
        <is>
          <t>Low</t>
        </is>
      </c>
      <c r="Z169" t="inlineStr">
        <is>
          <t>codeine</t>
        </is>
      </c>
      <c r="AF169" t="inlineStr">
        <is>
          <t>codeine</t>
        </is>
      </c>
      <c r="AH169" t="inlineStr">
        <is>
          <t>Pass 45 duplicate consolidation</t>
        </is>
      </c>
      <c r="AI169" t="inlineStr">
        <is>
          <t>other</t>
        </is>
      </c>
      <c r="AJ169" t="inlineStr">
        <is>
          <t>Unknown</t>
        </is>
      </c>
      <c r="AK169" t="inlineStr">
        <is>
          <t>unclassified</t>
        </is>
      </c>
      <c r="AL169" t="inlineStr">
        <is>
          <t>Pass 46 mechanism + evidence consolidation</t>
        </is>
      </c>
      <c r="AM169" t="n">
        <v>3</v>
      </c>
      <c r="AN169" t="inlineStr">
        <is>
          <t>D</t>
        </is>
      </c>
      <c r="AO169" t="inlineStr">
        <is>
          <t>Pass 47 compound scoring</t>
        </is>
      </c>
    </row>
    <row r="170">
      <c r="A170" t="inlineStr">
        <is>
          <t>columbamine</t>
        </is>
      </c>
      <c r="B170" t="inlineStr">
        <is>
          <t>columbamine</t>
        </is>
      </c>
      <c r="D170" t="inlineStr">
        <is>
          <t>protopine alkaloids</t>
        </is>
      </c>
      <c r="E170" t="inlineStr">
        <is>
          <t>insufficient evidence</t>
        </is>
      </c>
      <c r="F170" t="inlineStr">
        <is>
          <t>unclassified</t>
        </is>
      </c>
      <c r="W170" t="n">
        <v>2</v>
      </c>
      <c r="X170" t="inlineStr">
        <is>
          <t>Low</t>
        </is>
      </c>
      <c r="Z170" t="inlineStr">
        <is>
          <t>columbamine</t>
        </is>
      </c>
      <c r="AF170" t="inlineStr">
        <is>
          <t>columbamine</t>
        </is>
      </c>
      <c r="AH170" t="inlineStr">
        <is>
          <t>Pass 45 duplicate consolidation</t>
        </is>
      </c>
      <c r="AI170" t="inlineStr">
        <is>
          <t>protopine alkaloids</t>
        </is>
      </c>
      <c r="AJ170" t="inlineStr">
        <is>
          <t>Unknown</t>
        </is>
      </c>
      <c r="AK170" t="inlineStr">
        <is>
          <t>unclassified</t>
        </is>
      </c>
      <c r="AL170" t="inlineStr">
        <is>
          <t>Pass 46 mechanism + evidence consolidation</t>
        </is>
      </c>
      <c r="AM170" t="n">
        <v>3</v>
      </c>
      <c r="AN170" t="inlineStr">
        <is>
          <t>D</t>
        </is>
      </c>
      <c r="AO170" t="inlineStr">
        <is>
          <t>Pass 47 compound scoring</t>
        </is>
      </c>
    </row>
    <row r="171">
      <c r="A171" t="inlineStr">
        <is>
          <t>conhydrine</t>
        </is>
      </c>
      <c r="B171" t="inlineStr">
        <is>
          <t>conhydrine</t>
        </is>
      </c>
      <c r="D171" t="inlineStr">
        <is>
          <t>Coniine, conhydrine, piperidine alkaloids</t>
        </is>
      </c>
      <c r="E171" t="inlineStr">
        <is>
          <t>insufficient evidence</t>
        </is>
      </c>
      <c r="F171" t="inlineStr">
        <is>
          <t>unclassified</t>
        </is>
      </c>
      <c r="W171" t="n">
        <v>2</v>
      </c>
      <c r="X171" t="inlineStr">
        <is>
          <t>Low</t>
        </is>
      </c>
      <c r="Z171" t="inlineStr">
        <is>
          <t>conhydrine</t>
        </is>
      </c>
      <c r="AF171" t="inlineStr">
        <is>
          <t>conhydrine</t>
        </is>
      </c>
      <c r="AH171" t="inlineStr">
        <is>
          <t>Pass 45 duplicate consolidation</t>
        </is>
      </c>
      <c r="AI171" t="inlineStr">
        <is>
          <t>Coniine, conhydrine, piperidine alkaloids</t>
        </is>
      </c>
      <c r="AJ171" t="inlineStr">
        <is>
          <t>Unknown</t>
        </is>
      </c>
      <c r="AK171" t="inlineStr">
        <is>
          <t>unclassified</t>
        </is>
      </c>
      <c r="AL171" t="inlineStr">
        <is>
          <t>Pass 46 mechanism + evidence consolidation</t>
        </is>
      </c>
      <c r="AM171" t="n">
        <v>3</v>
      </c>
      <c r="AN171" t="inlineStr">
        <is>
          <t>D</t>
        </is>
      </c>
      <c r="AO171" t="inlineStr">
        <is>
          <t>Pass 47 compound scoring</t>
        </is>
      </c>
    </row>
    <row r="172">
      <c r="A172" t="inlineStr">
        <is>
          <t>coniine</t>
        </is>
      </c>
      <c r="B172" t="inlineStr">
        <is>
          <t>coniine</t>
        </is>
      </c>
      <c r="D172" t="inlineStr">
        <is>
          <t>Coniine, conhydrine, piperidine alkaloids</t>
        </is>
      </c>
      <c r="E172" t="inlineStr">
        <is>
          <t>insufficient evidence</t>
        </is>
      </c>
      <c r="F172" t="inlineStr">
        <is>
          <t>unclassified</t>
        </is>
      </c>
      <c r="W172" t="n">
        <v>2</v>
      </c>
      <c r="X172" t="inlineStr">
        <is>
          <t>Low</t>
        </is>
      </c>
      <c r="Z172" t="inlineStr">
        <is>
          <t>coniine</t>
        </is>
      </c>
      <c r="AF172" t="inlineStr">
        <is>
          <t>coniine</t>
        </is>
      </c>
      <c r="AH172" t="inlineStr">
        <is>
          <t>Pass 45 duplicate consolidation</t>
        </is>
      </c>
      <c r="AI172" t="inlineStr">
        <is>
          <t>Coniine, conhydrine, piperidine alkaloids</t>
        </is>
      </c>
      <c r="AJ172" t="inlineStr">
        <is>
          <t>Unknown</t>
        </is>
      </c>
      <c r="AK172" t="inlineStr">
        <is>
          <t>unclassified</t>
        </is>
      </c>
      <c r="AL172" t="inlineStr">
        <is>
          <t>Pass 46 mechanism + evidence consolidation</t>
        </is>
      </c>
      <c r="AM172" t="n">
        <v>3</v>
      </c>
      <c r="AN172" t="inlineStr">
        <is>
          <t>D</t>
        </is>
      </c>
      <c r="AO172" t="inlineStr">
        <is>
          <t>Pass 47 compound scoring</t>
        </is>
      </c>
    </row>
    <row r="173">
      <c r="A173" t="inlineStr">
        <is>
          <t>convallatoxin</t>
        </is>
      </c>
      <c r="B173" t="inlineStr">
        <is>
          <t>convallatoxin</t>
        </is>
      </c>
      <c r="D173" t="inlineStr">
        <is>
          <t>Convallatoxin, convalloside (cardiac glycosides)</t>
        </is>
      </c>
      <c r="E173" t="inlineStr">
        <is>
          <t>insufficient evidence</t>
        </is>
      </c>
      <c r="F173" t="inlineStr">
        <is>
          <t>unclassified</t>
        </is>
      </c>
      <c r="W173" t="n">
        <v>2</v>
      </c>
      <c r="X173" t="inlineStr">
        <is>
          <t>Low</t>
        </is>
      </c>
      <c r="Z173" t="inlineStr">
        <is>
          <t>convallatoxin</t>
        </is>
      </c>
      <c r="AF173" t="inlineStr">
        <is>
          <t>convallatoxin</t>
        </is>
      </c>
      <c r="AH173" t="inlineStr">
        <is>
          <t>Pass 45 duplicate consolidation</t>
        </is>
      </c>
      <c r="AI173" t="inlineStr">
        <is>
          <t>Convallatoxin, convalloside (cardiac glycosides)</t>
        </is>
      </c>
      <c r="AJ173" t="inlineStr">
        <is>
          <t>Unknown</t>
        </is>
      </c>
      <c r="AK173" t="inlineStr">
        <is>
          <t>unclassified</t>
        </is>
      </c>
      <c r="AL173" t="inlineStr">
        <is>
          <t>Pass 46 mechanism + evidence consolidation</t>
        </is>
      </c>
      <c r="AM173" t="n">
        <v>3</v>
      </c>
      <c r="AN173" t="inlineStr">
        <is>
          <t>D</t>
        </is>
      </c>
      <c r="AO173" t="inlineStr">
        <is>
          <t>Pass 47 compound scoring</t>
        </is>
      </c>
    </row>
    <row r="174">
      <c r="A174" t="inlineStr">
        <is>
          <t>convalloside cardiac glycosides</t>
        </is>
      </c>
      <c r="B174" t="inlineStr">
        <is>
          <t>convalloside (cardiac glycosides)</t>
        </is>
      </c>
      <c r="D174" t="inlineStr">
        <is>
          <t>Convallatoxin, convalloside (cardiac glycosides)</t>
        </is>
      </c>
      <c r="E174" t="inlineStr">
        <is>
          <t>insufficient evidence</t>
        </is>
      </c>
      <c r="F174" t="inlineStr">
        <is>
          <t>unclassified</t>
        </is>
      </c>
      <c r="W174" t="n">
        <v>2</v>
      </c>
      <c r="X174" t="inlineStr">
        <is>
          <t>Low</t>
        </is>
      </c>
      <c r="Z174" t="inlineStr">
        <is>
          <t>convalloside cardiac glycosides</t>
        </is>
      </c>
      <c r="AF174" t="inlineStr">
        <is>
          <t>convalloside cardiac glycosides</t>
        </is>
      </c>
      <c r="AH174" t="inlineStr">
        <is>
          <t>Pass 45 duplicate consolidation</t>
        </is>
      </c>
      <c r="AI174" t="inlineStr">
        <is>
          <t>Convallatoxin, convalloside (cardiac glycosides)</t>
        </is>
      </c>
      <c r="AJ174" t="inlineStr">
        <is>
          <t>Unknown</t>
        </is>
      </c>
      <c r="AK174" t="inlineStr">
        <is>
          <t>unclassified</t>
        </is>
      </c>
      <c r="AL174" t="inlineStr">
        <is>
          <t>Pass 46 mechanism + evidence consolidation</t>
        </is>
      </c>
      <c r="AM174" t="n">
        <v>3</v>
      </c>
      <c r="AN174" t="inlineStr">
        <is>
          <t>D</t>
        </is>
      </c>
      <c r="AO174" t="inlineStr">
        <is>
          <t>Pass 47 compound scoring</t>
        </is>
      </c>
    </row>
    <row r="175">
      <c r="A175" t="inlineStr">
        <is>
          <t>convolvine</t>
        </is>
      </c>
      <c r="B175" t="inlineStr">
        <is>
          <t>convolvine</t>
        </is>
      </c>
      <c r="D175" t="inlineStr">
        <is>
          <t>alkaloid</t>
        </is>
      </c>
      <c r="E175" t="inlineStr">
        <is>
          <t>Shankhpushpi constituent associated with traditional calming/cognitive positioning.</t>
        </is>
      </c>
      <c r="F175" t="inlineStr">
        <is>
          <t>unclassified</t>
        </is>
      </c>
      <c r="W175" t="n">
        <v>2</v>
      </c>
      <c r="X175" t="inlineStr">
        <is>
          <t>Low</t>
        </is>
      </c>
      <c r="Z175" t="inlineStr">
        <is>
          <t>convolvine</t>
        </is>
      </c>
      <c r="AF175" t="inlineStr">
        <is>
          <t>convolvine</t>
        </is>
      </c>
      <c r="AH175" t="inlineStr">
        <is>
          <t>Pass 45 duplicate consolidation</t>
        </is>
      </c>
      <c r="AI175" t="inlineStr">
        <is>
          <t>alkaloid</t>
        </is>
      </c>
      <c r="AJ175" t="inlineStr">
        <is>
          <t>Unknown</t>
        </is>
      </c>
      <c r="AK175" t="inlineStr">
        <is>
          <t>unclassified</t>
        </is>
      </c>
      <c r="AL175" t="inlineStr">
        <is>
          <t>Pass 46 mechanism + evidence consolidation</t>
        </is>
      </c>
      <c r="AM175" t="n">
        <v>3</v>
      </c>
      <c r="AN175" t="inlineStr">
        <is>
          <t>D</t>
        </is>
      </c>
      <c r="AO175" t="inlineStr">
        <is>
          <t>Pass 47 compound scoring</t>
        </is>
      </c>
    </row>
    <row r="176">
      <c r="A176" t="inlineStr">
        <is>
          <t>copalic acid</t>
        </is>
      </c>
      <c r="B176" t="inlineStr">
        <is>
          <t>copalic acid</t>
        </is>
      </c>
      <c r="D176" t="inlineStr">
        <is>
          <t>diterpenes</t>
        </is>
      </c>
      <c r="E176" t="inlineStr">
        <is>
          <t>insufficient evidence</t>
        </is>
      </c>
      <c r="F176" t="inlineStr">
        <is>
          <t>unclassified</t>
        </is>
      </c>
      <c r="W176" t="n">
        <v>2</v>
      </c>
      <c r="X176" t="inlineStr">
        <is>
          <t>Low</t>
        </is>
      </c>
      <c r="Z176" t="inlineStr">
        <is>
          <t>copalic acid</t>
        </is>
      </c>
      <c r="AF176" t="inlineStr">
        <is>
          <t>copalic acid</t>
        </is>
      </c>
      <c r="AH176" t="inlineStr">
        <is>
          <t>Pass 45 duplicate consolidation</t>
        </is>
      </c>
      <c r="AI176" t="inlineStr">
        <is>
          <t>diterpenes</t>
        </is>
      </c>
      <c r="AJ176" t="inlineStr">
        <is>
          <t>Unknown</t>
        </is>
      </c>
      <c r="AK176" t="inlineStr">
        <is>
          <t>unclassified</t>
        </is>
      </c>
      <c r="AL176" t="inlineStr">
        <is>
          <t>Pass 46 mechanism + evidence consolidation</t>
        </is>
      </c>
      <c r="AM176" t="n">
        <v>3</v>
      </c>
      <c r="AN176" t="inlineStr">
        <is>
          <t>D</t>
        </is>
      </c>
      <c r="AO176" t="inlineStr">
        <is>
          <t>Pass 47 compound scoring</t>
        </is>
      </c>
    </row>
    <row r="177">
      <c r="A177" t="inlineStr">
        <is>
          <t>coptisine</t>
        </is>
      </c>
      <c r="B177" t="inlineStr">
        <is>
          <t>coptisine</t>
        </is>
      </c>
      <c r="D177" t="inlineStr">
        <is>
          <t>other</t>
        </is>
      </c>
      <c r="E177" t="inlineStr">
        <is>
          <t>insufficient evidence</t>
        </is>
      </c>
      <c r="F177" t="inlineStr">
        <is>
          <t>unclassified</t>
        </is>
      </c>
      <c r="W177" t="n">
        <v>2</v>
      </c>
      <c r="X177" t="inlineStr">
        <is>
          <t>Low</t>
        </is>
      </c>
      <c r="Z177" t="inlineStr">
        <is>
          <t>coptisine</t>
        </is>
      </c>
      <c r="AF177" t="inlineStr">
        <is>
          <t>coptisine</t>
        </is>
      </c>
      <c r="AH177" t="inlineStr">
        <is>
          <t>Pass 45 duplicate consolidation</t>
        </is>
      </c>
      <c r="AI177" t="inlineStr">
        <is>
          <t>other</t>
        </is>
      </c>
      <c r="AJ177" t="inlineStr">
        <is>
          <t>Unknown</t>
        </is>
      </c>
      <c r="AK177" t="inlineStr">
        <is>
          <t>unclassified</t>
        </is>
      </c>
      <c r="AL177" t="inlineStr">
        <is>
          <t>Pass 46 mechanism + evidence consolidation</t>
        </is>
      </c>
      <c r="AM177" t="n">
        <v>3</v>
      </c>
      <c r="AN177" t="inlineStr">
        <is>
          <t>D</t>
        </is>
      </c>
      <c r="AO177" t="inlineStr">
        <is>
          <t>Pass 47 compound scoring</t>
        </is>
      </c>
    </row>
    <row r="178">
      <c r="A178" t="inlineStr">
        <is>
          <t>cordycepin</t>
        </is>
      </c>
      <c r="B178" t="inlineStr">
        <is>
          <t>cordycepin</t>
        </is>
      </c>
      <c r="D178" t="inlineStr">
        <is>
          <t>polysaccharides</t>
        </is>
      </c>
      <c r="E178" t="inlineStr">
        <is>
          <t>insufficient evidence</t>
        </is>
      </c>
      <c r="F178" t="inlineStr">
        <is>
          <t>unclassified</t>
        </is>
      </c>
      <c r="W178" t="n">
        <v>2</v>
      </c>
      <c r="X178" t="inlineStr">
        <is>
          <t>Low</t>
        </is>
      </c>
      <c r="Z178" t="inlineStr">
        <is>
          <t>cordycepin</t>
        </is>
      </c>
      <c r="AF178" t="inlineStr">
        <is>
          <t>cordycepin</t>
        </is>
      </c>
      <c r="AH178" t="inlineStr">
        <is>
          <t>Pass 45 duplicate consolidation</t>
        </is>
      </c>
      <c r="AI178" t="inlineStr">
        <is>
          <t>polysaccharides</t>
        </is>
      </c>
      <c r="AJ178" t="inlineStr">
        <is>
          <t>Unknown</t>
        </is>
      </c>
      <c r="AK178" t="inlineStr">
        <is>
          <t>unclassified</t>
        </is>
      </c>
      <c r="AL178" t="inlineStr">
        <is>
          <t>Pass 46 mechanism + evidence consolidation</t>
        </is>
      </c>
      <c r="AM178" t="n">
        <v>3</v>
      </c>
      <c r="AN178" t="inlineStr">
        <is>
          <t>D</t>
        </is>
      </c>
      <c r="AO178" t="inlineStr">
        <is>
          <t>Pass 47 compound scoring</t>
        </is>
      </c>
    </row>
    <row r="179">
      <c r="A179" t="inlineStr">
        <is>
          <t>coronaridine</t>
        </is>
      </c>
      <c r="B179" t="inlineStr">
        <is>
          <t>coronaridine</t>
        </is>
      </c>
      <c r="D179" t="inlineStr">
        <is>
          <t>indole alkaloids</t>
        </is>
      </c>
      <c r="E179" t="inlineStr">
        <is>
          <t>insufficient evidence</t>
        </is>
      </c>
      <c r="F179" t="inlineStr">
        <is>
          <t>unclassified</t>
        </is>
      </c>
      <c r="W179" t="n">
        <v>2</v>
      </c>
      <c r="X179" t="inlineStr">
        <is>
          <t>Low</t>
        </is>
      </c>
      <c r="Z179" t="inlineStr">
        <is>
          <t>coronaridine</t>
        </is>
      </c>
      <c r="AF179" t="inlineStr">
        <is>
          <t>coronaridine</t>
        </is>
      </c>
      <c r="AH179" t="inlineStr">
        <is>
          <t>Pass 45 duplicate consolidation</t>
        </is>
      </c>
      <c r="AI179" t="inlineStr">
        <is>
          <t>indole alkaloids</t>
        </is>
      </c>
      <c r="AJ179" t="inlineStr">
        <is>
          <t>Unknown</t>
        </is>
      </c>
      <c r="AK179" t="inlineStr">
        <is>
          <t>unclassified</t>
        </is>
      </c>
      <c r="AL179" t="inlineStr">
        <is>
          <t>Pass 46 mechanism + evidence consolidation</t>
        </is>
      </c>
      <c r="AM179" t="n">
        <v>3</v>
      </c>
      <c r="AN179" t="inlineStr">
        <is>
          <t>D</t>
        </is>
      </c>
      <c r="AO179" t="inlineStr">
        <is>
          <t>Pass 47 compound scoring</t>
        </is>
      </c>
    </row>
    <row r="180">
      <c r="A180" t="inlineStr">
        <is>
          <t>corosolic acid</t>
        </is>
      </c>
      <c r="B180" t="inlineStr">
        <is>
          <t>corosolic acid</t>
        </is>
      </c>
      <c r="D180" t="inlineStr">
        <is>
          <t>triterpene acid</t>
        </is>
      </c>
      <c r="E180" t="inlineStr">
        <is>
          <t>Banaba constituent associated with glycemic-support positioning.</t>
        </is>
      </c>
      <c r="F180" t="inlineStr">
        <is>
          <t>unclassified</t>
        </is>
      </c>
      <c r="W180" t="n">
        <v>2</v>
      </c>
      <c r="X180" t="inlineStr">
        <is>
          <t>Low</t>
        </is>
      </c>
      <c r="Z180" t="inlineStr">
        <is>
          <t>corosolic acid</t>
        </is>
      </c>
      <c r="AF180" t="inlineStr">
        <is>
          <t>corosolic acid</t>
        </is>
      </c>
      <c r="AH180" t="inlineStr">
        <is>
          <t>Pass 45 duplicate consolidation</t>
        </is>
      </c>
      <c r="AI180" t="inlineStr">
        <is>
          <t>triterpene acid</t>
        </is>
      </c>
      <c r="AJ180" t="inlineStr">
        <is>
          <t>Unknown</t>
        </is>
      </c>
      <c r="AK180" t="inlineStr">
        <is>
          <t>unclassified</t>
        </is>
      </c>
      <c r="AL180" t="inlineStr">
        <is>
          <t>Pass 46 mechanism + evidence consolidation</t>
        </is>
      </c>
      <c r="AM180" t="n">
        <v>3</v>
      </c>
      <c r="AN180" t="inlineStr">
        <is>
          <t>D</t>
        </is>
      </c>
      <c r="AO180" t="inlineStr">
        <is>
          <t>Pass 47 compound scoring</t>
        </is>
      </c>
    </row>
    <row r="181">
      <c r="A181" t="inlineStr">
        <is>
          <t>corydaline</t>
        </is>
      </c>
      <c r="B181" t="inlineStr">
        <is>
          <t>corydaline</t>
        </is>
      </c>
      <c r="D181" t="inlineStr">
        <is>
          <t>other</t>
        </is>
      </c>
      <c r="E181" t="inlineStr">
        <is>
          <t>insufficient evidence</t>
        </is>
      </c>
      <c r="F181" t="inlineStr">
        <is>
          <t>unclassified</t>
        </is>
      </c>
      <c r="W181" t="n">
        <v>2</v>
      </c>
      <c r="X181" t="inlineStr">
        <is>
          <t>Low</t>
        </is>
      </c>
      <c r="Z181" t="inlineStr">
        <is>
          <t>corydaline</t>
        </is>
      </c>
      <c r="AF181" t="inlineStr">
        <is>
          <t>corydaline</t>
        </is>
      </c>
      <c r="AH181" t="inlineStr">
        <is>
          <t>Pass 45 duplicate consolidation</t>
        </is>
      </c>
      <c r="AI181" t="inlineStr">
        <is>
          <t>other</t>
        </is>
      </c>
      <c r="AJ181" t="inlineStr">
        <is>
          <t>Unknown</t>
        </is>
      </c>
      <c r="AK181" t="inlineStr">
        <is>
          <t>unclassified</t>
        </is>
      </c>
      <c r="AL181" t="inlineStr">
        <is>
          <t>Pass 46 mechanism + evidence consolidation</t>
        </is>
      </c>
      <c r="AM181" t="n">
        <v>3</v>
      </c>
      <c r="AN181" t="inlineStr">
        <is>
          <t>D</t>
        </is>
      </c>
      <c r="AO181" t="inlineStr">
        <is>
          <t>Pass 47 compound scoring</t>
        </is>
      </c>
    </row>
    <row r="182">
      <c r="A182" t="inlineStr">
        <is>
          <t>crocetin</t>
        </is>
      </c>
      <c r="B182" t="inlineStr">
        <is>
          <t>crocetin</t>
        </is>
      </c>
      <c r="D182" t="inlineStr">
        <is>
          <t>other</t>
        </is>
      </c>
      <c r="E182" t="inlineStr">
        <is>
          <t>insufficient evidence</t>
        </is>
      </c>
      <c r="F182" t="inlineStr">
        <is>
          <t>unclassified</t>
        </is>
      </c>
      <c r="W182" t="n">
        <v>2</v>
      </c>
      <c r="X182" t="inlineStr">
        <is>
          <t>Low</t>
        </is>
      </c>
      <c r="Z182" t="inlineStr">
        <is>
          <t>crocetin</t>
        </is>
      </c>
      <c r="AF182" t="inlineStr">
        <is>
          <t>crocetin</t>
        </is>
      </c>
      <c r="AH182" t="inlineStr">
        <is>
          <t>Pass 45 duplicate consolidation</t>
        </is>
      </c>
      <c r="AI182" t="inlineStr">
        <is>
          <t>other</t>
        </is>
      </c>
      <c r="AJ182" t="inlineStr">
        <is>
          <t>Unknown</t>
        </is>
      </c>
      <c r="AK182" t="inlineStr">
        <is>
          <t>unclassified</t>
        </is>
      </c>
      <c r="AL182" t="inlineStr">
        <is>
          <t>Pass 46 mechanism + evidence consolidation</t>
        </is>
      </c>
      <c r="AM182" t="n">
        <v>3</v>
      </c>
      <c r="AN182" t="inlineStr">
        <is>
          <t>D</t>
        </is>
      </c>
      <c r="AO182" t="inlineStr">
        <is>
          <t>Pass 47 compound scoring</t>
        </is>
      </c>
    </row>
    <row r="183">
      <c r="A183" t="inlineStr">
        <is>
          <t>crocin</t>
        </is>
      </c>
      <c r="B183" t="inlineStr">
        <is>
          <t>crocin</t>
        </is>
      </c>
      <c r="D183" t="inlineStr">
        <is>
          <t>other</t>
        </is>
      </c>
      <c r="E183" t="inlineStr">
        <is>
          <t>insufficient evidence</t>
        </is>
      </c>
      <c r="F183" t="inlineStr">
        <is>
          <t>unclassified</t>
        </is>
      </c>
      <c r="W183" t="n">
        <v>2</v>
      </c>
      <c r="X183" t="inlineStr">
        <is>
          <t>Low</t>
        </is>
      </c>
      <c r="Z183" t="inlineStr">
        <is>
          <t>crocin</t>
        </is>
      </c>
      <c r="AF183" t="inlineStr">
        <is>
          <t>crocin</t>
        </is>
      </c>
      <c r="AH183" t="inlineStr">
        <is>
          <t>Pass 45 duplicate consolidation</t>
        </is>
      </c>
      <c r="AI183" t="inlineStr">
        <is>
          <t>other</t>
        </is>
      </c>
      <c r="AJ183" t="inlineStr">
        <is>
          <t>Unknown</t>
        </is>
      </c>
      <c r="AK183" t="inlineStr">
        <is>
          <t>unclassified</t>
        </is>
      </c>
      <c r="AL183" t="inlineStr">
        <is>
          <t>Pass 46 mechanism + evidence consolidation</t>
        </is>
      </c>
      <c r="AM183" t="n">
        <v>3</v>
      </c>
      <c r="AN183" t="inlineStr">
        <is>
          <t>D</t>
        </is>
      </c>
      <c r="AO183" t="inlineStr">
        <is>
          <t>Pass 47 compound scoring</t>
        </is>
      </c>
    </row>
    <row r="184">
      <c r="A184" t="inlineStr">
        <is>
          <t>cryogenine vertine</t>
        </is>
      </c>
      <c r="B184" t="inlineStr">
        <is>
          <t>cryogenine (vertine)</t>
        </is>
      </c>
      <c r="D184" t="inlineStr">
        <is>
          <t>other</t>
        </is>
      </c>
      <c r="E184" t="inlineStr">
        <is>
          <t>Heimia alkaloids, especially vertine (cryogenine), show ataractic, antispasmodic, and anti-inflammatory activity in preclinical work; precise human psychoactive receptor targets remain unresolved.</t>
        </is>
      </c>
      <c r="F184" t="inlineStr">
        <is>
          <t>unclassified</t>
        </is>
      </c>
      <c r="W184" t="n">
        <v>2</v>
      </c>
      <c r="X184" t="inlineStr">
        <is>
          <t>Low</t>
        </is>
      </c>
      <c r="Z184" t="inlineStr">
        <is>
          <t>cryogenine vertine</t>
        </is>
      </c>
      <c r="AF184" t="inlineStr">
        <is>
          <t>cryogenine vertine</t>
        </is>
      </c>
      <c r="AH184" t="inlineStr">
        <is>
          <t>Pass 45 duplicate consolidation</t>
        </is>
      </c>
      <c r="AI184" t="inlineStr">
        <is>
          <t>other</t>
        </is>
      </c>
      <c r="AJ184" t="inlineStr">
        <is>
          <t>Human</t>
        </is>
      </c>
      <c r="AK184" t="inlineStr">
        <is>
          <t>unclassified</t>
        </is>
      </c>
      <c r="AL184" t="inlineStr">
        <is>
          <t>Pass 46 mechanism + evidence consolidation</t>
        </is>
      </c>
      <c r="AM184" t="n">
        <v>7</v>
      </c>
      <c r="AN184" t="inlineStr">
        <is>
          <t>B</t>
        </is>
      </c>
      <c r="AO184" t="inlineStr">
        <is>
          <t>Pass 47 compound scoring</t>
        </is>
      </c>
    </row>
    <row r="185">
      <c r="A185" t="inlineStr">
        <is>
          <t>curcumin</t>
        </is>
      </c>
      <c r="B185" t="inlineStr">
        <is>
          <t>curcumin</t>
        </is>
      </c>
      <c r="D185" t="inlineStr">
        <is>
          <t>phenolic</t>
        </is>
      </c>
      <c r="E185" t="inlineStr">
        <is>
          <t>Pleiotropic anti-inflammatory polyphenol associated with suppression of NF-kB and other inflammatory signaling; many reported targets exist, but oral PK limitations complicate translation.</t>
        </is>
      </c>
      <c r="F185" t="inlineStr">
        <is>
          <t>unclassified</t>
        </is>
      </c>
      <c r="W185" t="n">
        <v>2</v>
      </c>
      <c r="X185" t="inlineStr">
        <is>
          <t>Low</t>
        </is>
      </c>
      <c r="Z185" t="inlineStr">
        <is>
          <t>curcumin</t>
        </is>
      </c>
      <c r="AF185" t="inlineStr">
        <is>
          <t>curcumin</t>
        </is>
      </c>
      <c r="AH185" t="inlineStr">
        <is>
          <t>Pass 45 duplicate consolidation</t>
        </is>
      </c>
      <c r="AI185" t="inlineStr">
        <is>
          <t>phenolic</t>
        </is>
      </c>
      <c r="AJ185" t="inlineStr">
        <is>
          <t>Unknown</t>
        </is>
      </c>
      <c r="AK185" t="inlineStr">
        <is>
          <t>unclassified</t>
        </is>
      </c>
      <c r="AL185" t="inlineStr">
        <is>
          <t>Pass 46 mechanism + evidence consolidation</t>
        </is>
      </c>
      <c r="AM185" t="n">
        <v>3</v>
      </c>
      <c r="AN185" t="inlineStr">
        <is>
          <t>D</t>
        </is>
      </c>
      <c r="AO185" t="inlineStr">
        <is>
          <t>Pass 47 compound scoring</t>
        </is>
      </c>
    </row>
    <row r="186">
      <c r="A186" t="inlineStr">
        <is>
          <t>curcuminoids</t>
        </is>
      </c>
      <c r="B186" t="inlineStr">
        <is>
          <t>curcuminoids</t>
        </is>
      </c>
      <c r="D186" t="inlineStr">
        <is>
          <t>polyphenol</t>
        </is>
      </c>
      <c r="E186" t="inlineStr">
        <is>
          <t>Inhibits NF-kB and COX-2 signaling</t>
        </is>
      </c>
      <c r="F186" t="inlineStr">
        <is>
          <t>unclassified</t>
        </is>
      </c>
      <c r="W186" t="n">
        <v>2</v>
      </c>
      <c r="X186" t="inlineStr">
        <is>
          <t>Low</t>
        </is>
      </c>
      <c r="Z186" t="inlineStr">
        <is>
          <t>curcuminoids</t>
        </is>
      </c>
      <c r="AF186" t="inlineStr">
        <is>
          <t>curcuminoids</t>
        </is>
      </c>
      <c r="AH186" t="inlineStr">
        <is>
          <t>Pass 45 duplicate consolidation</t>
        </is>
      </c>
      <c r="AI186" t="inlineStr">
        <is>
          <t>polyphenol</t>
        </is>
      </c>
      <c r="AJ186" t="inlineStr">
        <is>
          <t>Unknown</t>
        </is>
      </c>
      <c r="AK186" t="inlineStr">
        <is>
          <t>unclassified</t>
        </is>
      </c>
      <c r="AL186" t="inlineStr">
        <is>
          <t>Pass 46 mechanism + evidence consolidation</t>
        </is>
      </c>
      <c r="AM186" t="n">
        <v>3</v>
      </c>
      <c r="AN186" t="inlineStr">
        <is>
          <t>D</t>
        </is>
      </c>
      <c r="AO186" t="inlineStr">
        <is>
          <t>Pass 47 compound scoring</t>
        </is>
      </c>
    </row>
    <row r="187">
      <c r="A187" t="inlineStr">
        <is>
          <t>curcuminoids curcumin</t>
        </is>
      </c>
      <c r="B187" t="inlineStr">
        <is>
          <t>curcuminoids (curcumin)</t>
        </is>
      </c>
      <c r="D187" t="inlineStr">
        <is>
          <t>other</t>
        </is>
      </c>
      <c r="E187" t="inlineStr">
        <is>
          <t>insufficient evidence</t>
        </is>
      </c>
      <c r="F187" t="inlineStr">
        <is>
          <t>unclassified</t>
        </is>
      </c>
      <c r="W187" t="n">
        <v>2</v>
      </c>
      <c r="X187" t="inlineStr">
        <is>
          <t>Low</t>
        </is>
      </c>
      <c r="Z187" t="inlineStr">
        <is>
          <t>curcuminoids curcumin</t>
        </is>
      </c>
      <c r="AF187" t="inlineStr">
        <is>
          <t>curcuminoids curcumin</t>
        </is>
      </c>
      <c r="AH187" t="inlineStr">
        <is>
          <t>Pass 45 duplicate consolidation</t>
        </is>
      </c>
      <c r="AI187" t="inlineStr">
        <is>
          <t>other</t>
        </is>
      </c>
      <c r="AJ187" t="inlineStr">
        <is>
          <t>Unknown</t>
        </is>
      </c>
      <c r="AK187" t="inlineStr">
        <is>
          <t>unclassified</t>
        </is>
      </c>
      <c r="AL187" t="inlineStr">
        <is>
          <t>Pass 46 mechanism + evidence consolidation</t>
        </is>
      </c>
      <c r="AM187" t="n">
        <v>3</v>
      </c>
      <c r="AN187" t="inlineStr">
        <is>
          <t>D</t>
        </is>
      </c>
      <c r="AO187" t="inlineStr">
        <is>
          <t>Pass 47 compound scoring</t>
        </is>
      </c>
    </row>
    <row r="188">
      <c r="A188" t="inlineStr">
        <is>
          <t>cuscohygrine</t>
        </is>
      </c>
      <c r="B188" t="inlineStr">
        <is>
          <t>cuscohygrine</t>
        </is>
      </c>
      <c r="D188" t="inlineStr">
        <is>
          <t>other</t>
        </is>
      </c>
      <c r="E188" t="inlineStr">
        <is>
          <t>insufficient evidence</t>
        </is>
      </c>
      <c r="F188" t="inlineStr">
        <is>
          <t>unclassified</t>
        </is>
      </c>
      <c r="W188" t="n">
        <v>2</v>
      </c>
      <c r="X188" t="inlineStr">
        <is>
          <t>Low</t>
        </is>
      </c>
      <c r="Z188" t="inlineStr">
        <is>
          <t>cuscohygrine</t>
        </is>
      </c>
      <c r="AF188" t="inlineStr">
        <is>
          <t>cuscohygrine</t>
        </is>
      </c>
      <c r="AH188" t="inlineStr">
        <is>
          <t>Pass 45 duplicate consolidation</t>
        </is>
      </c>
      <c r="AI188" t="inlineStr">
        <is>
          <t>other</t>
        </is>
      </c>
      <c r="AJ188" t="inlineStr">
        <is>
          <t>Unknown</t>
        </is>
      </c>
      <c r="AK188" t="inlineStr">
        <is>
          <t>unclassified</t>
        </is>
      </c>
      <c r="AL188" t="inlineStr">
        <is>
          <t>Pass 46 mechanism + evidence consolidation</t>
        </is>
      </c>
      <c r="AM188" t="n">
        <v>3</v>
      </c>
      <c r="AN188" t="inlineStr">
        <is>
          <t>D</t>
        </is>
      </c>
      <c r="AO188" t="inlineStr">
        <is>
          <t>Pass 47 compound scoring</t>
        </is>
      </c>
    </row>
    <row r="189">
      <c r="A189" t="inlineStr">
        <is>
          <t>cyanidin</t>
        </is>
      </c>
      <c r="B189" t="inlineStr">
        <is>
          <t>cyanidin</t>
        </is>
      </c>
      <c r="D189" t="inlineStr">
        <is>
          <t>other</t>
        </is>
      </c>
      <c r="E189" t="inlineStr">
        <is>
          <t>Anthocyanins and organic acids contribute antioxidant and ACE-inhibitory activity.</t>
        </is>
      </c>
      <c r="F189" t="inlineStr">
        <is>
          <t>unclassified</t>
        </is>
      </c>
      <c r="W189" t="n">
        <v>2</v>
      </c>
      <c r="X189" t="inlineStr">
        <is>
          <t>Low</t>
        </is>
      </c>
      <c r="Z189" t="inlineStr">
        <is>
          <t>cyanidin</t>
        </is>
      </c>
      <c r="AF189" t="inlineStr">
        <is>
          <t>cyanidin</t>
        </is>
      </c>
      <c r="AH189" t="inlineStr">
        <is>
          <t>Pass 45 duplicate consolidation</t>
        </is>
      </c>
      <c r="AI189" t="inlineStr">
        <is>
          <t>other</t>
        </is>
      </c>
      <c r="AJ189" t="inlineStr">
        <is>
          <t>Unknown</t>
        </is>
      </c>
      <c r="AK189" t="inlineStr">
        <is>
          <t>unclassified</t>
        </is>
      </c>
      <c r="AL189" t="inlineStr">
        <is>
          <t>Pass 46 mechanism + evidence consolidation</t>
        </is>
      </c>
      <c r="AM189" t="n">
        <v>3</v>
      </c>
      <c r="AN189" t="inlineStr">
        <is>
          <t>D</t>
        </is>
      </c>
      <c r="AO189" t="inlineStr">
        <is>
          <t>Pass 47 compound scoring</t>
        </is>
      </c>
    </row>
    <row r="190">
      <c r="A190" t="inlineStr">
        <is>
          <t>cynarin</t>
        </is>
      </c>
      <c r="B190" t="inlineStr">
        <is>
          <t>cynarin</t>
        </is>
      </c>
      <c r="D190" t="inlineStr">
        <is>
          <t>Cynarin, caffeoylquinic acids, flavonoids</t>
        </is>
      </c>
      <c r="E190" t="inlineStr">
        <is>
          <t>insufficient evidence</t>
        </is>
      </c>
      <c r="F190" t="inlineStr">
        <is>
          <t>unclassified</t>
        </is>
      </c>
      <c r="W190" t="n">
        <v>2</v>
      </c>
      <c r="X190" t="inlineStr">
        <is>
          <t>Low</t>
        </is>
      </c>
      <c r="Z190" t="inlineStr">
        <is>
          <t>cynarin</t>
        </is>
      </c>
      <c r="AF190" t="inlineStr">
        <is>
          <t>cynarin</t>
        </is>
      </c>
      <c r="AH190" t="inlineStr">
        <is>
          <t>Pass 45 duplicate consolidation</t>
        </is>
      </c>
      <c r="AI190" t="inlineStr">
        <is>
          <t>Cynarin, caffeoylquinic acids, flavonoids</t>
        </is>
      </c>
      <c r="AJ190" t="inlineStr">
        <is>
          <t>Unknown</t>
        </is>
      </c>
      <c r="AK190" t="inlineStr">
        <is>
          <t>unclassified</t>
        </is>
      </c>
      <c r="AL190" t="inlineStr">
        <is>
          <t>Pass 46 mechanism + evidence consolidation</t>
        </is>
      </c>
      <c r="AM190" t="n">
        <v>3</v>
      </c>
      <c r="AN190" t="inlineStr">
        <is>
          <t>D</t>
        </is>
      </c>
      <c r="AO190" t="inlineStr">
        <is>
          <t>Pass 47 compound scoring</t>
        </is>
      </c>
    </row>
    <row r="191">
      <c r="A191" t="inlineStr">
        <is>
          <t>cyperene</t>
        </is>
      </c>
      <c r="B191" t="inlineStr">
        <is>
          <t>cyperene</t>
        </is>
      </c>
      <c r="D191" t="inlineStr">
        <is>
          <t>Cyperene, flavonoids, sesquiterpenes</t>
        </is>
      </c>
      <c r="E191" t="inlineStr">
        <is>
          <t>insufficient evidence</t>
        </is>
      </c>
      <c r="F191" t="inlineStr">
        <is>
          <t>unclassified</t>
        </is>
      </c>
      <c r="W191" t="n">
        <v>2</v>
      </c>
      <c r="X191" t="inlineStr">
        <is>
          <t>Low</t>
        </is>
      </c>
      <c r="Z191" t="inlineStr">
        <is>
          <t>cyperene</t>
        </is>
      </c>
      <c r="AF191" t="inlineStr">
        <is>
          <t>cyperene</t>
        </is>
      </c>
      <c r="AH191" t="inlineStr">
        <is>
          <t>Pass 45 duplicate consolidation</t>
        </is>
      </c>
      <c r="AI191" t="inlineStr">
        <is>
          <t>Cyperene, flavonoids, sesquiterpenes</t>
        </is>
      </c>
      <c r="AJ191" t="inlineStr">
        <is>
          <t>Unknown</t>
        </is>
      </c>
      <c r="AK191" t="inlineStr">
        <is>
          <t>unclassified</t>
        </is>
      </c>
      <c r="AL191" t="inlineStr">
        <is>
          <t>Pass 46 mechanism + evidence consolidation</t>
        </is>
      </c>
      <c r="AM191" t="n">
        <v>3</v>
      </c>
      <c r="AN191" t="inlineStr">
        <is>
          <t>D</t>
        </is>
      </c>
      <c r="AO191" t="inlineStr">
        <is>
          <t>Pass 47 compound scoring</t>
        </is>
      </c>
    </row>
    <row r="192">
      <c r="A192" t="inlineStr">
        <is>
          <t>d-pinitol</t>
        </is>
      </c>
      <c r="B192" t="inlineStr">
        <is>
          <t>D-pinitol</t>
        </is>
      </c>
      <c r="D192" t="inlineStr">
        <is>
          <t>inositol derivative</t>
        </is>
      </c>
      <c r="E192" t="inlineStr">
        <is>
          <t>Carob constituent associated with metabolic-support positioning.</t>
        </is>
      </c>
      <c r="F192" t="inlineStr">
        <is>
          <t>unclassified</t>
        </is>
      </c>
      <c r="W192" t="n">
        <v>2</v>
      </c>
      <c r="X192" t="inlineStr">
        <is>
          <t>Low</t>
        </is>
      </c>
      <c r="Z192" t="inlineStr">
        <is>
          <t>d-pinitol</t>
        </is>
      </c>
      <c r="AF192" t="inlineStr">
        <is>
          <t>d pinitol</t>
        </is>
      </c>
      <c r="AH192" t="inlineStr">
        <is>
          <t>Pass 45 duplicate consolidation</t>
        </is>
      </c>
      <c r="AI192" t="inlineStr">
        <is>
          <t>inositol derivative</t>
        </is>
      </c>
      <c r="AJ192" t="inlineStr">
        <is>
          <t>Unknown</t>
        </is>
      </c>
      <c r="AK192" t="inlineStr">
        <is>
          <t>unclassified</t>
        </is>
      </c>
      <c r="AL192" t="inlineStr">
        <is>
          <t>Pass 46 mechanism + evidence consolidation</t>
        </is>
      </c>
      <c r="AM192" t="n">
        <v>3</v>
      </c>
      <c r="AN192" t="inlineStr">
        <is>
          <t>D</t>
        </is>
      </c>
      <c r="AO192" t="inlineStr">
        <is>
          <t>Pass 47 compound scoring</t>
        </is>
      </c>
    </row>
    <row r="193">
      <c r="A193" t="inlineStr">
        <is>
          <t>daidzein</t>
        </is>
      </c>
      <c r="B193" t="inlineStr">
        <is>
          <t>daidzein</t>
        </is>
      </c>
      <c r="D193" t="inlineStr">
        <is>
          <t>other</t>
        </is>
      </c>
      <c r="E193" t="inlineStr">
        <is>
          <t>insufficient evidence</t>
        </is>
      </c>
      <c r="F193" t="inlineStr">
        <is>
          <t>unclassified</t>
        </is>
      </c>
      <c r="W193" t="n">
        <v>2</v>
      </c>
      <c r="X193" t="inlineStr">
        <is>
          <t>Low</t>
        </is>
      </c>
      <c r="Z193" t="inlineStr">
        <is>
          <t>daidzein</t>
        </is>
      </c>
      <c r="AF193" t="inlineStr">
        <is>
          <t>daidzein</t>
        </is>
      </c>
      <c r="AH193" t="inlineStr">
        <is>
          <t>Pass 45 duplicate consolidation</t>
        </is>
      </c>
      <c r="AI193" t="inlineStr">
        <is>
          <t>other</t>
        </is>
      </c>
      <c r="AJ193" t="inlineStr">
        <is>
          <t>Unknown</t>
        </is>
      </c>
      <c r="AK193" t="inlineStr">
        <is>
          <t>unclassified</t>
        </is>
      </c>
      <c r="AL193" t="inlineStr">
        <is>
          <t>Pass 46 mechanism + evidence consolidation</t>
        </is>
      </c>
      <c r="AM193" t="n">
        <v>3</v>
      </c>
      <c r="AN193" t="inlineStr">
        <is>
          <t>D</t>
        </is>
      </c>
      <c r="AO193" t="inlineStr">
        <is>
          <t>Pass 47 compound scoring</t>
        </is>
      </c>
    </row>
    <row r="194">
      <c r="A194" t="inlineStr">
        <is>
          <t>damnacanthal</t>
        </is>
      </c>
      <c r="B194" t="inlineStr">
        <is>
          <t>damnacanthal</t>
        </is>
      </c>
      <c r="D194" t="inlineStr">
        <is>
          <t>Scopoletin, damnacanthal, polysaccharides</t>
        </is>
      </c>
      <c r="E194" t="inlineStr">
        <is>
          <t>insufficient evidence</t>
        </is>
      </c>
      <c r="F194" t="inlineStr">
        <is>
          <t>unclassified</t>
        </is>
      </c>
      <c r="W194" t="n">
        <v>2</v>
      </c>
      <c r="X194" t="inlineStr">
        <is>
          <t>Low</t>
        </is>
      </c>
      <c r="Z194" t="inlineStr">
        <is>
          <t>damnacanthal</t>
        </is>
      </c>
      <c r="AF194" t="inlineStr">
        <is>
          <t>damnacanthal</t>
        </is>
      </c>
      <c r="AH194" t="inlineStr">
        <is>
          <t>Pass 45 duplicate consolidation</t>
        </is>
      </c>
      <c r="AI194" t="inlineStr">
        <is>
          <t>Scopoletin, damnacanthal, polysaccharides</t>
        </is>
      </c>
      <c r="AJ194" t="inlineStr">
        <is>
          <t>Unknown</t>
        </is>
      </c>
      <c r="AK194" t="inlineStr">
        <is>
          <t>unclassified</t>
        </is>
      </c>
      <c r="AL194" t="inlineStr">
        <is>
          <t>Pass 46 mechanism + evidence consolidation</t>
        </is>
      </c>
      <c r="AM194" t="n">
        <v>3</v>
      </c>
      <c r="AN194" t="inlineStr">
        <is>
          <t>D</t>
        </is>
      </c>
      <c r="AO194" t="inlineStr">
        <is>
          <t>Pass 47 compound scoring</t>
        </is>
      </c>
    </row>
    <row r="195">
      <c r="A195" t="inlineStr">
        <is>
          <t>Dehydrocorybulbine</t>
        </is>
      </c>
      <c r="B195" t="inlineStr">
        <is>
          <t>dehydrocorybulbine</t>
        </is>
      </c>
      <c r="C195" t="inlineStr">
        <is>
          <t>Corydalis yanhusuo</t>
        </is>
      </c>
      <c r="D195" t="inlineStr">
        <is>
          <t>Dopaminergic modulation</t>
        </is>
      </c>
      <c r="E195" t="inlineStr">
        <is>
          <t>insufficient evidence</t>
        </is>
      </c>
      <c r="F195" t="inlineStr">
        <is>
          <t>unclassified; analgesic signaling; dopamine signaling</t>
        </is>
      </c>
      <c r="U195" t="inlineStr">
        <is>
          <t>Pass 45 merged 2 rows into canonical compound entry</t>
        </is>
      </c>
      <c r="W195" t="n">
        <v>4</v>
      </c>
      <c r="X195" t="inlineStr">
        <is>
          <t>Medium</t>
        </is>
      </c>
      <c r="Z195" t="inlineStr">
        <is>
          <t>Dehydrocorybulbine</t>
        </is>
      </c>
      <c r="AF195" t="inlineStr">
        <is>
          <t>dehydrocorybulbine</t>
        </is>
      </c>
      <c r="AH195" t="inlineStr">
        <is>
          <t>Pass 45 duplicate consolidation</t>
        </is>
      </c>
      <c r="AI195" t="inlineStr">
        <is>
          <t>Dopaminergic modulation</t>
        </is>
      </c>
      <c r="AJ195" t="inlineStr">
        <is>
          <t>Unknown</t>
        </is>
      </c>
      <c r="AK195" t="inlineStr">
        <is>
          <t>analgesic signaling; dopamine signaling; unclassified</t>
        </is>
      </c>
      <c r="AL195" t="inlineStr">
        <is>
          <t>Pass 46 mechanism + evidence consolidation</t>
        </is>
      </c>
      <c r="AM195" t="n">
        <v>5</v>
      </c>
      <c r="AN195" t="inlineStr">
        <is>
          <t>C</t>
        </is>
      </c>
      <c r="AO195" t="inlineStr">
        <is>
          <t>Pass 47 compound scoring</t>
        </is>
      </c>
    </row>
    <row r="196">
      <c r="A196" t="inlineStr">
        <is>
          <t>dehydrocorydalmine</t>
        </is>
      </c>
      <c r="B196" t="inlineStr">
        <is>
          <t>dehydrocorydalmine</t>
        </is>
      </c>
      <c r="D196" t="inlineStr">
        <is>
          <t>protopine alkaloids</t>
        </is>
      </c>
      <c r="E196" t="inlineStr">
        <is>
          <t>insufficient evidence</t>
        </is>
      </c>
      <c r="F196" t="inlineStr">
        <is>
          <t>unclassified</t>
        </is>
      </c>
      <c r="W196" t="n">
        <v>2</v>
      </c>
      <c r="X196" t="inlineStr">
        <is>
          <t>Low</t>
        </is>
      </c>
      <c r="Z196" t="inlineStr">
        <is>
          <t>dehydrocorydalmine</t>
        </is>
      </c>
      <c r="AF196" t="inlineStr">
        <is>
          <t>dehydrocorydalmine</t>
        </is>
      </c>
      <c r="AH196" t="inlineStr">
        <is>
          <t>Pass 45 duplicate consolidation</t>
        </is>
      </c>
      <c r="AI196" t="inlineStr">
        <is>
          <t>protopine alkaloids</t>
        </is>
      </c>
      <c r="AJ196" t="inlineStr">
        <is>
          <t>Unknown</t>
        </is>
      </c>
      <c r="AK196" t="inlineStr">
        <is>
          <t>unclassified</t>
        </is>
      </c>
      <c r="AL196" t="inlineStr">
        <is>
          <t>Pass 46 mechanism + evidence consolidation</t>
        </is>
      </c>
      <c r="AM196" t="n">
        <v>3</v>
      </c>
      <c r="AN196" t="inlineStr">
        <is>
          <t>D</t>
        </is>
      </c>
      <c r="AO196" t="inlineStr">
        <is>
          <t>Pass 47 compound scoring</t>
        </is>
      </c>
    </row>
    <row r="197">
      <c r="A197" t="inlineStr">
        <is>
          <t>Demethoxycurcumin</t>
        </is>
      </c>
      <c r="B197" t="inlineStr">
        <is>
          <t>demethoxycurcumin</t>
        </is>
      </c>
      <c r="C197" t="inlineStr">
        <is>
          <t>Turmeric</t>
        </is>
      </c>
      <c r="D197" t="inlineStr">
        <is>
          <t>provisional_from_herb_monograph</t>
        </is>
      </c>
      <c r="E197" t="inlineStr">
        <is>
          <t>Human</t>
        </is>
      </c>
      <c r="F197" t="inlineStr">
        <is>
          <t>unclassified</t>
        </is>
      </c>
      <c r="U197" t="inlineStr">
        <is>
          <t>Pass 13 normalized herb display names to monograph common names; Pass 45 merged 2 rows into canonical compound entry</t>
        </is>
      </c>
      <c r="W197" t="n">
        <v>2</v>
      </c>
      <c r="X197" t="inlineStr">
        <is>
          <t>Low</t>
        </is>
      </c>
      <c r="Z197" t="inlineStr">
        <is>
          <t>Demethoxycurcumin</t>
        </is>
      </c>
      <c r="AF197" t="inlineStr">
        <is>
          <t>demethoxycurcumin</t>
        </is>
      </c>
      <c r="AH197" t="inlineStr">
        <is>
          <t>Pass 45 duplicate consolidation</t>
        </is>
      </c>
      <c r="AI197" t="inlineStr">
        <is>
          <t>provisional_from_herb_monograph</t>
        </is>
      </c>
      <c r="AJ197" t="inlineStr">
        <is>
          <t>Human</t>
        </is>
      </c>
      <c r="AK197" t="inlineStr">
        <is>
          <t>unclassified</t>
        </is>
      </c>
      <c r="AL197" t="inlineStr">
        <is>
          <t>Pass 46 mechanism + evidence consolidation</t>
        </is>
      </c>
      <c r="AM197" t="n">
        <v>7</v>
      </c>
      <c r="AN197" t="inlineStr">
        <is>
          <t>B</t>
        </is>
      </c>
      <c r="AO197" t="inlineStr">
        <is>
          <t>Pass 47 compound scoring</t>
        </is>
      </c>
    </row>
    <row r="198">
      <c r="A198" t="inlineStr">
        <is>
          <t>dendrobine</t>
        </is>
      </c>
      <c r="B198" t="inlineStr">
        <is>
          <t>dendrobine</t>
        </is>
      </c>
      <c r="D198" t="inlineStr">
        <is>
          <t>alkaloids</t>
        </is>
      </c>
      <c r="E198" t="inlineStr">
        <is>
          <t>insufficient evidence</t>
        </is>
      </c>
      <c r="F198" t="inlineStr">
        <is>
          <t>unclassified</t>
        </is>
      </c>
      <c r="W198" t="n">
        <v>2</v>
      </c>
      <c r="X198" t="inlineStr">
        <is>
          <t>Low</t>
        </is>
      </c>
      <c r="Z198" t="inlineStr">
        <is>
          <t>dendrobine</t>
        </is>
      </c>
      <c r="AF198" t="inlineStr">
        <is>
          <t>dendrobine</t>
        </is>
      </c>
      <c r="AH198" t="inlineStr">
        <is>
          <t>Pass 45 duplicate consolidation</t>
        </is>
      </c>
      <c r="AI198" t="inlineStr">
        <is>
          <t>alkaloids</t>
        </is>
      </c>
      <c r="AJ198" t="inlineStr">
        <is>
          <t>Unknown</t>
        </is>
      </c>
      <c r="AK198" t="inlineStr">
        <is>
          <t>unclassified</t>
        </is>
      </c>
      <c r="AL198" t="inlineStr">
        <is>
          <t>Pass 46 mechanism + evidence consolidation</t>
        </is>
      </c>
      <c r="AM198" t="n">
        <v>3</v>
      </c>
      <c r="AN198" t="inlineStr">
        <is>
          <t>D</t>
        </is>
      </c>
      <c r="AO198" t="inlineStr">
        <is>
          <t>Pass 47 compound scoring</t>
        </is>
      </c>
    </row>
    <row r="199">
      <c r="A199" t="inlineStr">
        <is>
          <t>deoxymiroestrol</t>
        </is>
      </c>
      <c r="B199" t="inlineStr">
        <is>
          <t>deoxymiroestrol</t>
        </is>
      </c>
      <c r="D199" t="inlineStr">
        <is>
          <t>other</t>
        </is>
      </c>
      <c r="E199" t="inlineStr">
        <is>
          <t>insufficient evidence</t>
        </is>
      </c>
      <c r="F199" t="inlineStr">
        <is>
          <t>unclassified</t>
        </is>
      </c>
      <c r="W199" t="n">
        <v>2</v>
      </c>
      <c r="X199" t="inlineStr">
        <is>
          <t>Low</t>
        </is>
      </c>
      <c r="Z199" t="inlineStr">
        <is>
          <t>deoxymiroestrol</t>
        </is>
      </c>
      <c r="AF199" t="inlineStr">
        <is>
          <t>deoxymiroestrol</t>
        </is>
      </c>
      <c r="AH199" t="inlineStr">
        <is>
          <t>Pass 45 duplicate consolidation</t>
        </is>
      </c>
      <c r="AI199" t="inlineStr">
        <is>
          <t>other</t>
        </is>
      </c>
      <c r="AJ199" t="inlineStr">
        <is>
          <t>Unknown</t>
        </is>
      </c>
      <c r="AK199" t="inlineStr">
        <is>
          <t>unclassified</t>
        </is>
      </c>
      <c r="AL199" t="inlineStr">
        <is>
          <t>Pass 46 mechanism + evidence consolidation</t>
        </is>
      </c>
      <c r="AM199" t="n">
        <v>3</v>
      </c>
      <c r="AN199" t="inlineStr">
        <is>
          <t>D</t>
        </is>
      </c>
      <c r="AO199" t="inlineStr">
        <is>
          <t>Pass 47 compound scoring</t>
        </is>
      </c>
    </row>
    <row r="200">
      <c r="A200" t="inlineStr">
        <is>
          <t>desmethoxyyangonin</t>
        </is>
      </c>
      <c r="B200" t="inlineStr">
        <is>
          <t>desmethoxyyangonin</t>
        </is>
      </c>
      <c r="D200" t="inlineStr">
        <is>
          <t>other</t>
        </is>
      </c>
      <c r="E200" t="inlineStr">
        <is>
          <t>Kavalactones modulate GABA_A receptor activity, inhibit voltage-gated sodium and calcium channels, and influence dopamine signaling.</t>
        </is>
      </c>
      <c r="F200" t="inlineStr">
        <is>
          <t>unclassified</t>
        </is>
      </c>
      <c r="W200" t="n">
        <v>2</v>
      </c>
      <c r="X200" t="inlineStr">
        <is>
          <t>Low</t>
        </is>
      </c>
      <c r="Z200" t="inlineStr">
        <is>
          <t>desmethoxyyangonin</t>
        </is>
      </c>
      <c r="AF200" t="inlineStr">
        <is>
          <t>desmethoxyyangonin</t>
        </is>
      </c>
      <c r="AH200" t="inlineStr">
        <is>
          <t>Pass 45 duplicate consolidation</t>
        </is>
      </c>
      <c r="AI200" t="inlineStr">
        <is>
          <t>other</t>
        </is>
      </c>
      <c r="AJ200" t="inlineStr">
        <is>
          <t>Unknown</t>
        </is>
      </c>
      <c r="AK200" t="inlineStr">
        <is>
          <t>unclassified</t>
        </is>
      </c>
      <c r="AL200" t="inlineStr">
        <is>
          <t>Pass 46 mechanism + evidence consolidation</t>
        </is>
      </c>
      <c r="AM200" t="n">
        <v>3</v>
      </c>
      <c r="AN200" t="inlineStr">
        <is>
          <t>D</t>
        </is>
      </c>
      <c r="AO200" t="inlineStr">
        <is>
          <t>Pass 47 compound scoring</t>
        </is>
      </c>
    </row>
    <row r="201">
      <c r="A201" t="inlineStr">
        <is>
          <t>Desmethylicaritin</t>
        </is>
      </c>
      <c r="C201" t="inlineStr">
        <is>
          <t>Epimedium</t>
        </is>
      </c>
      <c r="Z201" t="inlineStr">
        <is>
          <t>Desmethylicaritin</t>
        </is>
      </c>
      <c r="AF201" t="inlineStr">
        <is>
          <t>desmethylicaritin</t>
        </is>
      </c>
      <c r="AH201" t="inlineStr">
        <is>
          <t>Pass 45 duplicate consolidation</t>
        </is>
      </c>
      <c r="AJ201" t="inlineStr">
        <is>
          <t>Unknown</t>
        </is>
      </c>
      <c r="AL201" t="inlineStr">
        <is>
          <t>Pass 46 mechanism + evidence consolidation</t>
        </is>
      </c>
      <c r="AM201" t="n">
        <v>1</v>
      </c>
      <c r="AN201" t="inlineStr">
        <is>
          <t>D</t>
        </is>
      </c>
      <c r="AO201" t="inlineStr">
        <is>
          <t>Pass 47 compound scoring</t>
        </is>
      </c>
    </row>
    <row r="202">
      <c r="A202" t="inlineStr">
        <is>
          <t>diallyl disulfide</t>
        </is>
      </c>
      <c r="B202" t="inlineStr">
        <is>
          <t>diallyl disulfide</t>
        </is>
      </c>
      <c r="D202" t="inlineStr">
        <is>
          <t>provisional_from_herb_monograph</t>
        </is>
      </c>
      <c r="F202" t="inlineStr">
        <is>
          <t>unclassified</t>
        </is>
      </c>
      <c r="W202" t="n">
        <v>2</v>
      </c>
      <c r="X202" t="inlineStr">
        <is>
          <t>Low</t>
        </is>
      </c>
      <c r="Z202" t="inlineStr">
        <is>
          <t>diallyl disulfide</t>
        </is>
      </c>
      <c r="AF202" t="inlineStr">
        <is>
          <t>diallyl disulfide</t>
        </is>
      </c>
      <c r="AH202" t="inlineStr">
        <is>
          <t>Pass 45 duplicate consolidation</t>
        </is>
      </c>
      <c r="AI202" t="inlineStr">
        <is>
          <t>provisional_from_herb_monograph</t>
        </is>
      </c>
      <c r="AJ202" t="inlineStr">
        <is>
          <t>Unknown</t>
        </is>
      </c>
      <c r="AK202" t="inlineStr">
        <is>
          <t>unclassified</t>
        </is>
      </c>
      <c r="AL202" t="inlineStr">
        <is>
          <t>Pass 46 mechanism + evidence consolidation</t>
        </is>
      </c>
      <c r="AM202" t="n">
        <v>3</v>
      </c>
      <c r="AN202" t="inlineStr">
        <is>
          <t>D</t>
        </is>
      </c>
      <c r="AO202" t="inlineStr">
        <is>
          <t>Pass 47 compound scoring</t>
        </is>
      </c>
    </row>
    <row r="203">
      <c r="A203" t="inlineStr">
        <is>
          <t>diallyl sulfide</t>
        </is>
      </c>
      <c r="B203" t="inlineStr">
        <is>
          <t>diallyl sulfide</t>
        </is>
      </c>
      <c r="D203" t="inlineStr">
        <is>
          <t>provisional_from_herb_monograph</t>
        </is>
      </c>
      <c r="F203" t="inlineStr">
        <is>
          <t>unclassified</t>
        </is>
      </c>
      <c r="W203" t="n">
        <v>2</v>
      </c>
      <c r="X203" t="inlineStr">
        <is>
          <t>Low</t>
        </is>
      </c>
      <c r="Z203" t="inlineStr">
        <is>
          <t>diallyl sulfide</t>
        </is>
      </c>
      <c r="AF203" t="inlineStr">
        <is>
          <t>diallyl sulfide</t>
        </is>
      </c>
      <c r="AH203" t="inlineStr">
        <is>
          <t>Pass 45 duplicate consolidation</t>
        </is>
      </c>
      <c r="AI203" t="inlineStr">
        <is>
          <t>provisional_from_herb_monograph</t>
        </is>
      </c>
      <c r="AJ203" t="inlineStr">
        <is>
          <t>Unknown</t>
        </is>
      </c>
      <c r="AK203" t="inlineStr">
        <is>
          <t>unclassified</t>
        </is>
      </c>
      <c r="AL203" t="inlineStr">
        <is>
          <t>Pass 46 mechanism + evidence consolidation</t>
        </is>
      </c>
      <c r="AM203" t="n">
        <v>3</v>
      </c>
      <c r="AN203" t="inlineStr">
        <is>
          <t>D</t>
        </is>
      </c>
      <c r="AO203" t="inlineStr">
        <is>
          <t>Pass 47 compound scoring</t>
        </is>
      </c>
    </row>
    <row r="204">
      <c r="A204" t="inlineStr">
        <is>
          <t>diallyl trisulfide</t>
        </is>
      </c>
      <c r="B204" t="inlineStr">
        <is>
          <t>diallyl trisulfide</t>
        </is>
      </c>
      <c r="D204" t="inlineStr">
        <is>
          <t>provisional_from_herb_monograph</t>
        </is>
      </c>
      <c r="F204" t="inlineStr">
        <is>
          <t>unclassified</t>
        </is>
      </c>
      <c r="W204" t="n">
        <v>2</v>
      </c>
      <c r="X204" t="inlineStr">
        <is>
          <t>Low</t>
        </is>
      </c>
      <c r="Z204" t="inlineStr">
        <is>
          <t>diallyl trisulfide</t>
        </is>
      </c>
      <c r="AF204" t="inlineStr">
        <is>
          <t>diallyl trisulfide</t>
        </is>
      </c>
      <c r="AH204" t="inlineStr">
        <is>
          <t>Pass 45 duplicate consolidation</t>
        </is>
      </c>
      <c r="AI204" t="inlineStr">
        <is>
          <t>provisional_from_herb_monograph</t>
        </is>
      </c>
      <c r="AJ204" t="inlineStr">
        <is>
          <t>Unknown</t>
        </is>
      </c>
      <c r="AK204" t="inlineStr">
        <is>
          <t>unclassified</t>
        </is>
      </c>
      <c r="AL204" t="inlineStr">
        <is>
          <t>Pass 46 mechanism + evidence consolidation</t>
        </is>
      </c>
      <c r="AM204" t="n">
        <v>3</v>
      </c>
      <c r="AN204" t="inlineStr">
        <is>
          <t>D</t>
        </is>
      </c>
      <c r="AO204" t="inlineStr">
        <is>
          <t>Pass 47 compound scoring</t>
        </is>
      </c>
    </row>
    <row r="205">
      <c r="A205" t="inlineStr">
        <is>
          <t>dibenzyl trisulfide</t>
        </is>
      </c>
      <c r="B205" t="inlineStr">
        <is>
          <t>dibenzyl trisulfide</t>
        </is>
      </c>
      <c r="D205" t="inlineStr">
        <is>
          <t>other</t>
        </is>
      </c>
      <c r="E205" t="inlineStr">
        <is>
          <t>insufficient evidence</t>
        </is>
      </c>
      <c r="F205" t="inlineStr">
        <is>
          <t>unclassified</t>
        </is>
      </c>
      <c r="W205" t="n">
        <v>2</v>
      </c>
      <c r="X205" t="inlineStr">
        <is>
          <t>Low</t>
        </is>
      </c>
      <c r="Z205" t="inlineStr">
        <is>
          <t>dibenzyl trisulfide</t>
        </is>
      </c>
      <c r="AF205" t="inlineStr">
        <is>
          <t>dibenzyl trisulfide</t>
        </is>
      </c>
      <c r="AH205" t="inlineStr">
        <is>
          <t>Pass 45 duplicate consolidation</t>
        </is>
      </c>
      <c r="AI205" t="inlineStr">
        <is>
          <t>other</t>
        </is>
      </c>
      <c r="AJ205" t="inlineStr">
        <is>
          <t>Unknown</t>
        </is>
      </c>
      <c r="AK205" t="inlineStr">
        <is>
          <t>unclassified</t>
        </is>
      </c>
      <c r="AL205" t="inlineStr">
        <is>
          <t>Pass 46 mechanism + evidence consolidation</t>
        </is>
      </c>
      <c r="AM205" t="n">
        <v>3</v>
      </c>
      <c r="AN205" t="inlineStr">
        <is>
          <t>D</t>
        </is>
      </c>
      <c r="AO205" t="inlineStr">
        <is>
          <t>Pass 47 compound scoring</t>
        </is>
      </c>
    </row>
    <row r="206">
      <c r="A206" t="inlineStr">
        <is>
          <t>digitoxin</t>
        </is>
      </c>
      <c r="B206" t="inlineStr">
        <is>
          <t>digitoxin</t>
        </is>
      </c>
      <c r="D206" t="inlineStr">
        <is>
          <t>other</t>
        </is>
      </c>
      <c r="E206" t="inlineStr">
        <is>
          <t>insufficient evidence</t>
        </is>
      </c>
      <c r="F206" t="inlineStr">
        <is>
          <t>unclassified</t>
        </is>
      </c>
      <c r="W206" t="n">
        <v>2</v>
      </c>
      <c r="X206" t="inlineStr">
        <is>
          <t>Low</t>
        </is>
      </c>
      <c r="Z206" t="inlineStr">
        <is>
          <t>digitoxin</t>
        </is>
      </c>
      <c r="AF206" t="inlineStr">
        <is>
          <t>digitoxin</t>
        </is>
      </c>
      <c r="AH206" t="inlineStr">
        <is>
          <t>Pass 45 duplicate consolidation</t>
        </is>
      </c>
      <c r="AI206" t="inlineStr">
        <is>
          <t>other</t>
        </is>
      </c>
      <c r="AJ206" t="inlineStr">
        <is>
          <t>Unknown</t>
        </is>
      </c>
      <c r="AK206" t="inlineStr">
        <is>
          <t>unclassified</t>
        </is>
      </c>
      <c r="AL206" t="inlineStr">
        <is>
          <t>Pass 46 mechanism + evidence consolidation</t>
        </is>
      </c>
      <c r="AM206" t="n">
        <v>3</v>
      </c>
      <c r="AN206" t="inlineStr">
        <is>
          <t>D</t>
        </is>
      </c>
      <c r="AO206" t="inlineStr">
        <is>
          <t>Pass 47 compound scoring</t>
        </is>
      </c>
    </row>
    <row r="207">
      <c r="A207" t="inlineStr">
        <is>
          <t>digoxin</t>
        </is>
      </c>
      <c r="B207" t="inlineStr">
        <is>
          <t>digoxin</t>
        </is>
      </c>
      <c r="D207" t="inlineStr">
        <is>
          <t>other</t>
        </is>
      </c>
      <c r="E207" t="inlineStr">
        <is>
          <t>insufficient evidence</t>
        </is>
      </c>
      <c r="F207" t="inlineStr">
        <is>
          <t>unclassified</t>
        </is>
      </c>
      <c r="W207" t="n">
        <v>2</v>
      </c>
      <c r="X207" t="inlineStr">
        <is>
          <t>Low</t>
        </is>
      </c>
      <c r="Z207" t="inlineStr">
        <is>
          <t>digoxin</t>
        </is>
      </c>
      <c r="AF207" t="inlineStr">
        <is>
          <t>digoxin</t>
        </is>
      </c>
      <c r="AH207" t="inlineStr">
        <is>
          <t>Pass 45 duplicate consolidation</t>
        </is>
      </c>
      <c r="AI207" t="inlineStr">
        <is>
          <t>other</t>
        </is>
      </c>
      <c r="AJ207" t="inlineStr">
        <is>
          <t>Unknown</t>
        </is>
      </c>
      <c r="AK207" t="inlineStr">
        <is>
          <t>unclassified</t>
        </is>
      </c>
      <c r="AL207" t="inlineStr">
        <is>
          <t>Pass 46 mechanism + evidence consolidation</t>
        </is>
      </c>
      <c r="AM207" t="n">
        <v>3</v>
      </c>
      <c r="AN207" t="inlineStr">
        <is>
          <t>D</t>
        </is>
      </c>
      <c r="AO207" t="inlineStr">
        <is>
          <t>Pass 47 compound scoring</t>
        </is>
      </c>
    </row>
    <row r="208">
      <c r="A208" t="inlineStr">
        <is>
          <t>dihydrocapsaicin</t>
        </is>
      </c>
      <c r="B208" t="inlineStr">
        <is>
          <t>dihydrocapsaicin</t>
        </is>
      </c>
      <c r="D208" t="inlineStr">
        <is>
          <t>other</t>
        </is>
      </c>
      <c r="E208" t="inlineStr">
        <is>
          <t>Capsaicinoids, especially capsaicin, act primarily as TRPV1 agonists; downstream effects include sensory neuron activation followed by desensitization and antinociceptive effects.</t>
        </is>
      </c>
      <c r="F208" t="inlineStr">
        <is>
          <t>unclassified</t>
        </is>
      </c>
      <c r="W208" t="n">
        <v>2</v>
      </c>
      <c r="X208" t="inlineStr">
        <is>
          <t>Low</t>
        </is>
      </c>
      <c r="Z208" t="inlineStr">
        <is>
          <t>dihydrocapsaicin</t>
        </is>
      </c>
      <c r="AF208" t="inlineStr">
        <is>
          <t>dihydrocapsaicin</t>
        </is>
      </c>
      <c r="AH208" t="inlineStr">
        <is>
          <t>Pass 45 duplicate consolidation</t>
        </is>
      </c>
      <c r="AI208" t="inlineStr">
        <is>
          <t>other</t>
        </is>
      </c>
      <c r="AJ208" t="inlineStr">
        <is>
          <t>Unknown</t>
        </is>
      </c>
      <c r="AK208" t="inlineStr">
        <is>
          <t>unclassified</t>
        </is>
      </c>
      <c r="AL208" t="inlineStr">
        <is>
          <t>Pass 46 mechanism + evidence consolidation</t>
        </is>
      </c>
      <c r="AM208" t="n">
        <v>3</v>
      </c>
      <c r="AN208" t="inlineStr">
        <is>
          <t>D</t>
        </is>
      </c>
      <c r="AO208" t="inlineStr">
        <is>
          <t>Pass 47 compound scoring</t>
        </is>
      </c>
    </row>
    <row r="209">
      <c r="A209" t="inlineStr">
        <is>
          <t>dihydrohelenalin</t>
        </is>
      </c>
      <c r="B209" t="inlineStr">
        <is>
          <t>dihydrohelenalin</t>
        </is>
      </c>
      <c r="D209" t="inlineStr">
        <is>
          <t>sesquiterpene lactones</t>
        </is>
      </c>
      <c r="E209" t="inlineStr">
        <is>
          <t>insufficient evidence</t>
        </is>
      </c>
      <c r="F209" t="inlineStr">
        <is>
          <t>unclassified</t>
        </is>
      </c>
      <c r="W209" t="n">
        <v>2</v>
      </c>
      <c r="X209" t="inlineStr">
        <is>
          <t>Low</t>
        </is>
      </c>
      <c r="Z209" t="inlineStr">
        <is>
          <t>dihydrohelenalin</t>
        </is>
      </c>
      <c r="AF209" t="inlineStr">
        <is>
          <t>dihydrohelenalin</t>
        </is>
      </c>
      <c r="AH209" t="inlineStr">
        <is>
          <t>Pass 45 duplicate consolidation</t>
        </is>
      </c>
      <c r="AI209" t="inlineStr">
        <is>
          <t>sesquiterpene lactones</t>
        </is>
      </c>
      <c r="AJ209" t="inlineStr">
        <is>
          <t>Unknown</t>
        </is>
      </c>
      <c r="AK209" t="inlineStr">
        <is>
          <t>unclassified</t>
        </is>
      </c>
      <c r="AL209" t="inlineStr">
        <is>
          <t>Pass 46 mechanism + evidence consolidation</t>
        </is>
      </c>
      <c r="AM209" t="n">
        <v>3</v>
      </c>
      <c r="AN209" t="inlineStr">
        <is>
          <t>D</t>
        </is>
      </c>
      <c r="AO209" t="inlineStr">
        <is>
          <t>Pass 47 compound scoring</t>
        </is>
      </c>
    </row>
    <row r="210">
      <c r="A210" t="inlineStr">
        <is>
          <t>dihydrokavain</t>
        </is>
      </c>
      <c r="B210" t="inlineStr">
        <is>
          <t>dihydrokavain</t>
        </is>
      </c>
      <c r="D210" t="inlineStr">
        <is>
          <t>other</t>
        </is>
      </c>
      <c r="E210" t="inlineStr">
        <is>
          <t>Kavalactones modulate GABA_A receptor activity, inhibit voltage-gated sodium and calcium channels, and influence dopamine signaling.</t>
        </is>
      </c>
      <c r="F210" t="inlineStr">
        <is>
          <t>unclassified</t>
        </is>
      </c>
      <c r="W210" t="n">
        <v>2</v>
      </c>
      <c r="X210" t="inlineStr">
        <is>
          <t>Low</t>
        </is>
      </c>
      <c r="Z210" t="inlineStr">
        <is>
          <t>dihydrokavain</t>
        </is>
      </c>
      <c r="AF210" t="inlineStr">
        <is>
          <t>dihydrokavain</t>
        </is>
      </c>
      <c r="AH210" t="inlineStr">
        <is>
          <t>Pass 45 duplicate consolidation</t>
        </is>
      </c>
      <c r="AI210" t="inlineStr">
        <is>
          <t>other</t>
        </is>
      </c>
      <c r="AJ210" t="inlineStr">
        <is>
          <t>Unknown</t>
        </is>
      </c>
      <c r="AK210" t="inlineStr">
        <is>
          <t>unclassified</t>
        </is>
      </c>
      <c r="AL210" t="inlineStr">
        <is>
          <t>Pass 46 mechanism + evidence consolidation</t>
        </is>
      </c>
      <c r="AM210" t="n">
        <v>3</v>
      </c>
      <c r="AN210" t="inlineStr">
        <is>
          <t>D</t>
        </is>
      </c>
      <c r="AO210" t="inlineStr">
        <is>
          <t>Pass 47 compound scoring</t>
        </is>
      </c>
    </row>
    <row r="211">
      <c r="A211" t="inlineStr">
        <is>
          <t>dihydromethysticin</t>
        </is>
      </c>
      <c r="B211" t="inlineStr">
        <is>
          <t>dihydromethysticin</t>
        </is>
      </c>
      <c r="D211" t="inlineStr">
        <is>
          <t>other</t>
        </is>
      </c>
      <c r="E211" t="inlineStr">
        <is>
          <t>Kavalactones modulate GABA_A receptor activity, inhibit voltage-gated sodium and calcium channels, and influence dopamine signaling.</t>
        </is>
      </c>
      <c r="F211" t="inlineStr">
        <is>
          <t>unclassified</t>
        </is>
      </c>
      <c r="W211" t="n">
        <v>2</v>
      </c>
      <c r="X211" t="inlineStr">
        <is>
          <t>Low</t>
        </is>
      </c>
      <c r="Z211" t="inlineStr">
        <is>
          <t>dihydromethysticin</t>
        </is>
      </c>
      <c r="AF211" t="inlineStr">
        <is>
          <t>dihydromethysticin</t>
        </is>
      </c>
      <c r="AH211" t="inlineStr">
        <is>
          <t>Pass 45 duplicate consolidation</t>
        </is>
      </c>
      <c r="AI211" t="inlineStr">
        <is>
          <t>other</t>
        </is>
      </c>
      <c r="AJ211" t="inlineStr">
        <is>
          <t>Unknown</t>
        </is>
      </c>
      <c r="AK211" t="inlineStr">
        <is>
          <t>unclassified</t>
        </is>
      </c>
      <c r="AL211" t="inlineStr">
        <is>
          <t>Pass 46 mechanism + evidence consolidation</t>
        </is>
      </c>
      <c r="AM211" t="n">
        <v>3</v>
      </c>
      <c r="AN211" t="inlineStr">
        <is>
          <t>D</t>
        </is>
      </c>
      <c r="AO211" t="inlineStr">
        <is>
          <t>Pass 47 compound scoring</t>
        </is>
      </c>
    </row>
    <row r="212">
      <c r="A212" t="inlineStr">
        <is>
          <t>dillapiole</t>
        </is>
      </c>
      <c r="B212" t="inlineStr">
        <is>
          <t>dillapiole</t>
        </is>
      </c>
      <c r="D212" t="inlineStr">
        <is>
          <t>essential oils</t>
        </is>
      </c>
      <c r="E212" t="inlineStr">
        <is>
          <t>insufficient evidence</t>
        </is>
      </c>
      <c r="F212" t="inlineStr">
        <is>
          <t>unclassified</t>
        </is>
      </c>
      <c r="W212" t="n">
        <v>2</v>
      </c>
      <c r="X212" t="inlineStr">
        <is>
          <t>Low</t>
        </is>
      </c>
      <c r="Z212" t="inlineStr">
        <is>
          <t>dillapiole</t>
        </is>
      </c>
      <c r="AF212" t="inlineStr">
        <is>
          <t>dillapiole</t>
        </is>
      </c>
      <c r="AH212" t="inlineStr">
        <is>
          <t>Pass 45 duplicate consolidation</t>
        </is>
      </c>
      <c r="AI212" t="inlineStr">
        <is>
          <t>essential oils</t>
        </is>
      </c>
      <c r="AJ212" t="inlineStr">
        <is>
          <t>Unknown</t>
        </is>
      </c>
      <c r="AK212" t="inlineStr">
        <is>
          <t>unclassified</t>
        </is>
      </c>
      <c r="AL212" t="inlineStr">
        <is>
          <t>Pass 46 mechanism + evidence consolidation</t>
        </is>
      </c>
      <c r="AM212" t="n">
        <v>3</v>
      </c>
      <c r="AN212" t="inlineStr">
        <is>
          <t>D</t>
        </is>
      </c>
      <c r="AO212" t="inlineStr">
        <is>
          <t>Pass 47 compound scoring</t>
        </is>
      </c>
    </row>
    <row r="213">
      <c r="A213" t="inlineStr">
        <is>
          <t>dmt</t>
        </is>
      </c>
      <c r="B213" t="inlineStr">
        <is>
          <t>dmt</t>
        </is>
      </c>
      <c r="D213" t="inlineStr">
        <is>
          <t>alkaloid</t>
        </is>
      </c>
      <c r="E213" t="inlineStr">
        <is>
          <t>Tryptamines act on serotonergic receptors, especially 5-HT2A, producing psychedelic effects.</t>
        </is>
      </c>
      <c r="F213" t="inlineStr">
        <is>
          <t>unclassified</t>
        </is>
      </c>
      <c r="W213" t="n">
        <v>2</v>
      </c>
      <c r="X213" t="inlineStr">
        <is>
          <t>Low</t>
        </is>
      </c>
      <c r="Z213" t="inlineStr">
        <is>
          <t>dmt</t>
        </is>
      </c>
      <c r="AF213" t="inlineStr">
        <is>
          <t>dmt</t>
        </is>
      </c>
      <c r="AH213" t="inlineStr">
        <is>
          <t>Pass 45 duplicate consolidation</t>
        </is>
      </c>
      <c r="AI213" t="inlineStr">
        <is>
          <t>alkaloid</t>
        </is>
      </c>
      <c r="AJ213" t="inlineStr">
        <is>
          <t>Unknown</t>
        </is>
      </c>
      <c r="AK213" t="inlineStr">
        <is>
          <t>unclassified</t>
        </is>
      </c>
      <c r="AL213" t="inlineStr">
        <is>
          <t>Pass 46 mechanism + evidence consolidation</t>
        </is>
      </c>
      <c r="AM213" t="n">
        <v>3</v>
      </c>
      <c r="AN213" t="inlineStr">
        <is>
          <t>D</t>
        </is>
      </c>
      <c r="AO213" t="inlineStr">
        <is>
          <t>Pass 47 compound scoring</t>
        </is>
      </c>
    </row>
    <row r="214">
      <c r="A214" t="inlineStr">
        <is>
          <t>Dopamine</t>
        </is>
      </c>
      <c r="B214" t="inlineStr">
        <is>
          <t>Neurotransmitter</t>
        </is>
      </c>
      <c r="C214" t="inlineStr">
        <is>
          <t>Mucuna pruriens</t>
        </is>
      </c>
      <c r="D214" t="inlineStr">
        <is>
          <t>Neurotransmitter</t>
        </is>
      </c>
      <c r="E214" t="inlineStr">
        <is>
          <t>Human</t>
        </is>
      </c>
      <c r="F214" t="inlineStr">
        <is>
          <t>dopamine signaling</t>
        </is>
      </c>
      <c r="W214" t="n">
        <v>5</v>
      </c>
      <c r="X214" t="inlineStr">
        <is>
          <t>High</t>
        </is>
      </c>
      <c r="Z214" t="inlineStr">
        <is>
          <t>Dopamine</t>
        </is>
      </c>
      <c r="AF214" t="inlineStr">
        <is>
          <t>dopamine</t>
        </is>
      </c>
      <c r="AH214" t="inlineStr">
        <is>
          <t>Pass 45 duplicate consolidation</t>
        </is>
      </c>
      <c r="AI214" t="inlineStr">
        <is>
          <t>Neurotransmitter</t>
        </is>
      </c>
      <c r="AJ214" t="inlineStr">
        <is>
          <t>Human</t>
        </is>
      </c>
      <c r="AK214" t="inlineStr">
        <is>
          <t>dopamine signaling</t>
        </is>
      </c>
      <c r="AL214" t="inlineStr">
        <is>
          <t>Pass 46 mechanism + evidence consolidation</t>
        </is>
      </c>
      <c r="AM214" t="n">
        <v>7</v>
      </c>
      <c r="AN214" t="inlineStr">
        <is>
          <t>B</t>
        </is>
      </c>
      <c r="AO214" t="inlineStr">
        <is>
          <t>Pass 47 compound scoring</t>
        </is>
      </c>
    </row>
    <row r="215">
      <c r="A215" t="inlineStr">
        <is>
          <t>ecdysterone</t>
        </is>
      </c>
      <c r="B215" t="inlineStr">
        <is>
          <t>ecdysterone</t>
        </is>
      </c>
      <c r="D215" t="inlineStr">
        <is>
          <t>ecdysteroid</t>
        </is>
      </c>
      <c r="E215" t="inlineStr">
        <is>
          <t>Maral-root constituent associated with adaptogenic and performance-adjacent positioning.</t>
        </is>
      </c>
      <c r="F215" t="inlineStr">
        <is>
          <t>unclassified</t>
        </is>
      </c>
      <c r="W215" t="n">
        <v>2</v>
      </c>
      <c r="X215" t="inlineStr">
        <is>
          <t>Low</t>
        </is>
      </c>
      <c r="Z215" t="inlineStr">
        <is>
          <t>ecdysterone</t>
        </is>
      </c>
      <c r="AF215" t="inlineStr">
        <is>
          <t>ecdysterone</t>
        </is>
      </c>
      <c r="AH215" t="inlineStr">
        <is>
          <t>Pass 45 duplicate consolidation</t>
        </is>
      </c>
      <c r="AI215" t="inlineStr">
        <is>
          <t>ecdysteroid</t>
        </is>
      </c>
      <c r="AJ215" t="inlineStr">
        <is>
          <t>Unknown</t>
        </is>
      </c>
      <c r="AK215" t="inlineStr">
        <is>
          <t>unclassified</t>
        </is>
      </c>
      <c r="AL215" t="inlineStr">
        <is>
          <t>Pass 46 mechanism + evidence consolidation</t>
        </is>
      </c>
      <c r="AM215" t="n">
        <v>3</v>
      </c>
      <c r="AN215" t="inlineStr">
        <is>
          <t>D</t>
        </is>
      </c>
      <c r="AO215" t="inlineStr">
        <is>
          <t>Pass 47 compound scoring</t>
        </is>
      </c>
    </row>
    <row r="216">
      <c r="A216" t="inlineStr">
        <is>
          <t>ECG</t>
        </is>
      </c>
      <c r="B216" t="inlineStr">
        <is>
          <t>Polyphenol</t>
        </is>
      </c>
      <c r="C216" t="inlineStr">
        <is>
          <t>Green Tea</t>
        </is>
      </c>
      <c r="D216" t="inlineStr">
        <is>
          <t>Antioxidant</t>
        </is>
      </c>
      <c r="E216" t="inlineStr">
        <is>
          <t>Human/Animal</t>
        </is>
      </c>
      <c r="F216" t="inlineStr">
        <is>
          <t>oxidative stress reduction</t>
        </is>
      </c>
      <c r="U216" t="inlineStr">
        <is>
          <t>Pass 13 added real compound for top herb</t>
        </is>
      </c>
      <c r="W216" t="n">
        <v>3</v>
      </c>
      <c r="X216" t="inlineStr">
        <is>
          <t>Medium</t>
        </is>
      </c>
      <c r="Z216" t="inlineStr">
        <is>
          <t>ECG</t>
        </is>
      </c>
      <c r="AF216" t="inlineStr">
        <is>
          <t>ecg</t>
        </is>
      </c>
      <c r="AH216" t="inlineStr">
        <is>
          <t>Pass 45 duplicate consolidation</t>
        </is>
      </c>
      <c r="AI216" t="inlineStr">
        <is>
          <t>Antioxidant</t>
        </is>
      </c>
      <c r="AJ216" t="inlineStr">
        <is>
          <t>Human</t>
        </is>
      </c>
      <c r="AK216" t="inlineStr">
        <is>
          <t>oxidative stress reduction</t>
        </is>
      </c>
      <c r="AL216" t="inlineStr">
        <is>
          <t>Pass 46 mechanism + evidence consolidation</t>
        </is>
      </c>
      <c r="AM216" t="n">
        <v>7</v>
      </c>
      <c r="AN216" t="inlineStr">
        <is>
          <t>B</t>
        </is>
      </c>
      <c r="AO216" t="inlineStr">
        <is>
          <t>Pass 47 compound scoring</t>
        </is>
      </c>
    </row>
    <row r="217">
      <c r="A217" t="inlineStr">
        <is>
          <t>echinacoside</t>
        </is>
      </c>
      <c r="B217" t="inlineStr">
        <is>
          <t>echinacoside</t>
        </is>
      </c>
      <c r="D217" t="inlineStr">
        <is>
          <t>provisional_from_herb_monograph</t>
        </is>
      </c>
      <c r="F217" t="inlineStr">
        <is>
          <t>unclassified</t>
        </is>
      </c>
      <c r="W217" t="n">
        <v>2</v>
      </c>
      <c r="X217" t="inlineStr">
        <is>
          <t>Low</t>
        </is>
      </c>
      <c r="Z217" t="inlineStr">
        <is>
          <t>echinacoside</t>
        </is>
      </c>
      <c r="AF217" t="inlineStr">
        <is>
          <t>echinacoside</t>
        </is>
      </c>
      <c r="AH217" t="inlineStr">
        <is>
          <t>Pass 45 duplicate consolidation</t>
        </is>
      </c>
      <c r="AI217" t="inlineStr">
        <is>
          <t>provisional_from_herb_monograph</t>
        </is>
      </c>
      <c r="AJ217" t="inlineStr">
        <is>
          <t>Unknown</t>
        </is>
      </c>
      <c r="AK217" t="inlineStr">
        <is>
          <t>unclassified</t>
        </is>
      </c>
      <c r="AL217" t="inlineStr">
        <is>
          <t>Pass 46 mechanism + evidence consolidation</t>
        </is>
      </c>
      <c r="AM217" t="n">
        <v>3</v>
      </c>
      <c r="AN217" t="inlineStr">
        <is>
          <t>D</t>
        </is>
      </c>
      <c r="AO217" t="inlineStr">
        <is>
          <t>Pass 47 compound scoring</t>
        </is>
      </c>
    </row>
    <row r="218">
      <c r="A218" t="inlineStr">
        <is>
          <t>ecliptine</t>
        </is>
      </c>
      <c r="B218" t="inlineStr">
        <is>
          <t>ecliptine</t>
        </is>
      </c>
      <c r="D218" t="inlineStr">
        <is>
          <t>Wedelolactone, ecliptine, flavonoids</t>
        </is>
      </c>
      <c r="E218" t="inlineStr">
        <is>
          <t>insufficient evidence</t>
        </is>
      </c>
      <c r="F218" t="inlineStr">
        <is>
          <t>unclassified</t>
        </is>
      </c>
      <c r="W218" t="n">
        <v>2</v>
      </c>
      <c r="X218" t="inlineStr">
        <is>
          <t>Low</t>
        </is>
      </c>
      <c r="Z218" t="inlineStr">
        <is>
          <t>ecliptine</t>
        </is>
      </c>
      <c r="AF218" t="inlineStr">
        <is>
          <t>ecliptine</t>
        </is>
      </c>
      <c r="AH218" t="inlineStr">
        <is>
          <t>Pass 45 duplicate consolidation</t>
        </is>
      </c>
      <c r="AI218" t="inlineStr">
        <is>
          <t>Wedelolactone, ecliptine, flavonoids</t>
        </is>
      </c>
      <c r="AJ218" t="inlineStr">
        <is>
          <t>Unknown</t>
        </is>
      </c>
      <c r="AK218" t="inlineStr">
        <is>
          <t>unclassified</t>
        </is>
      </c>
      <c r="AL218" t="inlineStr">
        <is>
          <t>Pass 46 mechanism + evidence consolidation</t>
        </is>
      </c>
      <c r="AM218" t="n">
        <v>3</v>
      </c>
      <c r="AN218" t="inlineStr">
        <is>
          <t>D</t>
        </is>
      </c>
      <c r="AO218" t="inlineStr">
        <is>
          <t>Pass 47 compound scoring</t>
        </is>
      </c>
    </row>
    <row r="219">
      <c r="A219" t="inlineStr">
        <is>
          <t>EGCG</t>
        </is>
      </c>
      <c r="B219" t="inlineStr">
        <is>
          <t>Polyphenol</t>
        </is>
      </c>
      <c r="C219" t="inlineStr">
        <is>
          <t>Green Tea</t>
        </is>
      </c>
      <c r="D219" t="inlineStr">
        <is>
          <t>Antioxidant; metabolic</t>
        </is>
      </c>
      <c r="E219" t="inlineStr">
        <is>
          <t>Human</t>
        </is>
      </c>
      <c r="F219" t="inlineStr">
        <is>
          <t>oxidative stress reduction; AMPK activation</t>
        </is>
      </c>
      <c r="U219" t="inlineStr">
        <is>
          <t>Pass 13 added real compound for top herb</t>
        </is>
      </c>
      <c r="W219" t="n">
        <v>4</v>
      </c>
      <c r="X219" t="inlineStr">
        <is>
          <t>Medium</t>
        </is>
      </c>
      <c r="Z219" t="inlineStr">
        <is>
          <t>EGCG</t>
        </is>
      </c>
      <c r="AF219" t="inlineStr">
        <is>
          <t>egcg</t>
        </is>
      </c>
      <c r="AH219" t="inlineStr">
        <is>
          <t>Pass 45 duplicate consolidation</t>
        </is>
      </c>
      <c r="AI219" t="inlineStr">
        <is>
          <t>Antioxidant; metabolic</t>
        </is>
      </c>
      <c r="AJ219" t="inlineStr">
        <is>
          <t>Human</t>
        </is>
      </c>
      <c r="AK219" t="inlineStr">
        <is>
          <t>ampk activation; oxidative stress reduction</t>
        </is>
      </c>
      <c r="AL219" t="inlineStr">
        <is>
          <t>Pass 46 mechanism + evidence consolidation</t>
        </is>
      </c>
      <c r="AM219" t="n">
        <v>8</v>
      </c>
      <c r="AN219" t="inlineStr">
        <is>
          <t>B</t>
        </is>
      </c>
      <c r="AO219" t="inlineStr">
        <is>
          <t>Pass 47 compound scoring</t>
        </is>
      </c>
    </row>
    <row r="220">
      <c r="A220" t="inlineStr">
        <is>
          <t>eleutherosides</t>
        </is>
      </c>
      <c r="B220" t="inlineStr">
        <is>
          <t>eleutherosides</t>
        </is>
      </c>
      <c r="D220" t="inlineStr">
        <is>
          <t>glycosides</t>
        </is>
      </c>
      <c r="E220" t="inlineStr">
        <is>
          <t>Marker glycosides from Eleuthero associated with adaptogenic and stress-response literature.</t>
        </is>
      </c>
      <c r="F220" t="inlineStr">
        <is>
          <t>unclassified</t>
        </is>
      </c>
      <c r="W220" t="n">
        <v>2</v>
      </c>
      <c r="X220" t="inlineStr">
        <is>
          <t>Low</t>
        </is>
      </c>
      <c r="Z220" t="inlineStr">
        <is>
          <t>eleutherosides</t>
        </is>
      </c>
      <c r="AF220" t="inlineStr">
        <is>
          <t>eleutherosides</t>
        </is>
      </c>
      <c r="AH220" t="inlineStr">
        <is>
          <t>Pass 45 duplicate consolidation</t>
        </is>
      </c>
      <c r="AI220" t="inlineStr">
        <is>
          <t>glycosides</t>
        </is>
      </c>
      <c r="AJ220" t="inlineStr">
        <is>
          <t>Unknown</t>
        </is>
      </c>
      <c r="AK220" t="inlineStr">
        <is>
          <t>unclassified</t>
        </is>
      </c>
      <c r="AL220" t="inlineStr">
        <is>
          <t>Pass 46 mechanism + evidence consolidation</t>
        </is>
      </c>
      <c r="AM220" t="n">
        <v>3</v>
      </c>
      <c r="AN220" t="inlineStr">
        <is>
          <t>D</t>
        </is>
      </c>
      <c r="AO220" t="inlineStr">
        <is>
          <t>Pass 47 compound scoring</t>
        </is>
      </c>
    </row>
    <row r="221">
      <c r="A221" t="inlineStr">
        <is>
          <t>ellagic acid</t>
        </is>
      </c>
      <c r="B221" t="inlineStr">
        <is>
          <t>ellagic acid</t>
        </is>
      </c>
      <c r="D221" t="inlineStr">
        <is>
          <t>polyphenol</t>
        </is>
      </c>
      <c r="E221" t="inlineStr">
        <is>
          <t>Antioxidant and anti-inflammatory signaling</t>
        </is>
      </c>
      <c r="F221" t="inlineStr">
        <is>
          <t>unclassified</t>
        </is>
      </c>
      <c r="W221" t="n">
        <v>2</v>
      </c>
      <c r="X221" t="inlineStr">
        <is>
          <t>Low</t>
        </is>
      </c>
      <c r="Z221" t="inlineStr">
        <is>
          <t>ellagic acid</t>
        </is>
      </c>
      <c r="AF221" t="inlineStr">
        <is>
          <t>ellagic acid</t>
        </is>
      </c>
      <c r="AH221" t="inlineStr">
        <is>
          <t>Pass 45 duplicate consolidation</t>
        </is>
      </c>
      <c r="AI221" t="inlineStr">
        <is>
          <t>polyphenol</t>
        </is>
      </c>
      <c r="AJ221" t="inlineStr">
        <is>
          <t>Unknown</t>
        </is>
      </c>
      <c r="AK221" t="inlineStr">
        <is>
          <t>unclassified</t>
        </is>
      </c>
      <c r="AL221" t="inlineStr">
        <is>
          <t>Pass 46 mechanism + evidence consolidation</t>
        </is>
      </c>
      <c r="AM221" t="n">
        <v>3</v>
      </c>
      <c r="AN221" t="inlineStr">
        <is>
          <t>D</t>
        </is>
      </c>
      <c r="AO221" t="inlineStr">
        <is>
          <t>Pass 47 compound scoring</t>
        </is>
      </c>
    </row>
    <row r="222">
      <c r="A222" t="inlineStr">
        <is>
          <t>emetine</t>
        </is>
      </c>
      <c r="B222" t="inlineStr">
        <is>
          <t>emetine</t>
        </is>
      </c>
      <c r="D222" t="inlineStr">
        <is>
          <t>Emetine, cephaeline, alkaloids</t>
        </is>
      </c>
      <c r="E222" t="inlineStr">
        <is>
          <t>insufficient evidence</t>
        </is>
      </c>
      <c r="F222" t="inlineStr">
        <is>
          <t>unclassified</t>
        </is>
      </c>
      <c r="W222" t="n">
        <v>2</v>
      </c>
      <c r="X222" t="inlineStr">
        <is>
          <t>Low</t>
        </is>
      </c>
      <c r="Z222" t="inlineStr">
        <is>
          <t>emetine</t>
        </is>
      </c>
      <c r="AF222" t="inlineStr">
        <is>
          <t>emetine</t>
        </is>
      </c>
      <c r="AH222" t="inlineStr">
        <is>
          <t>Pass 45 duplicate consolidation</t>
        </is>
      </c>
      <c r="AI222" t="inlineStr">
        <is>
          <t>Emetine, cephaeline, alkaloids</t>
        </is>
      </c>
      <c r="AJ222" t="inlineStr">
        <is>
          <t>Unknown</t>
        </is>
      </c>
      <c r="AK222" t="inlineStr">
        <is>
          <t>unclassified</t>
        </is>
      </c>
      <c r="AL222" t="inlineStr">
        <is>
          <t>Pass 46 mechanism + evidence consolidation</t>
        </is>
      </c>
      <c r="AM222" t="n">
        <v>3</v>
      </c>
      <c r="AN222" t="inlineStr">
        <is>
          <t>D</t>
        </is>
      </c>
      <c r="AO222" t="inlineStr">
        <is>
          <t>Pass 47 compound scoring</t>
        </is>
      </c>
    </row>
    <row r="223">
      <c r="A223" t="inlineStr">
        <is>
          <t>emodin</t>
        </is>
      </c>
      <c r="B223" t="inlineStr">
        <is>
          <t>emodin</t>
        </is>
      </c>
      <c r="D223" t="inlineStr">
        <is>
          <t>anthraquinone</t>
        </is>
      </c>
      <c r="E223" t="inlineStr">
        <is>
          <t>NF-kB-linked anti-inflammatory signaling plus broader apoptosis/kinase-pathway effects.</t>
        </is>
      </c>
      <c r="F223" t="inlineStr">
        <is>
          <t>unclassified</t>
        </is>
      </c>
      <c r="W223" t="n">
        <v>2</v>
      </c>
      <c r="X223" t="inlineStr">
        <is>
          <t>Low</t>
        </is>
      </c>
      <c r="Z223" t="inlineStr">
        <is>
          <t>emodin</t>
        </is>
      </c>
      <c r="AF223" t="inlineStr">
        <is>
          <t>emodin</t>
        </is>
      </c>
      <c r="AH223" t="inlineStr">
        <is>
          <t>Pass 45 duplicate consolidation</t>
        </is>
      </c>
      <c r="AI223" t="inlineStr">
        <is>
          <t>anthraquinone</t>
        </is>
      </c>
      <c r="AJ223" t="inlineStr">
        <is>
          <t>Unknown</t>
        </is>
      </c>
      <c r="AK223" t="inlineStr">
        <is>
          <t>unclassified</t>
        </is>
      </c>
      <c r="AL223" t="inlineStr">
        <is>
          <t>Pass 46 mechanism + evidence consolidation</t>
        </is>
      </c>
      <c r="AM223" t="n">
        <v>3</v>
      </c>
      <c r="AN223" t="inlineStr">
        <is>
          <t>D</t>
        </is>
      </c>
      <c r="AO223" t="inlineStr">
        <is>
          <t>Pass 47 compound scoring</t>
        </is>
      </c>
    </row>
    <row r="224">
      <c r="A224" t="inlineStr">
        <is>
          <t>ephedrine</t>
        </is>
      </c>
      <c r="B224" t="inlineStr">
        <is>
          <t>ephedrine</t>
        </is>
      </c>
      <c r="D224" t="inlineStr">
        <is>
          <t>other</t>
        </is>
      </c>
      <c r="E224" t="inlineStr">
        <is>
          <t>Ephedrine alkaloids act as mixed sympathomimetics, directly stimulating alpha- and beta-adrenergic receptors and indirectly increasing synaptic norepinephrine.</t>
        </is>
      </c>
      <c r="F224" t="inlineStr">
        <is>
          <t>unclassified</t>
        </is>
      </c>
      <c r="W224" t="n">
        <v>2</v>
      </c>
      <c r="X224" t="inlineStr">
        <is>
          <t>Low</t>
        </is>
      </c>
      <c r="Z224" t="inlineStr">
        <is>
          <t>ephedrine</t>
        </is>
      </c>
      <c r="AF224" t="inlineStr">
        <is>
          <t>ephedrine</t>
        </is>
      </c>
      <c r="AH224" t="inlineStr">
        <is>
          <t>Pass 45 duplicate consolidation</t>
        </is>
      </c>
      <c r="AI224" t="inlineStr">
        <is>
          <t>other</t>
        </is>
      </c>
      <c r="AJ224" t="inlineStr">
        <is>
          <t>Unknown</t>
        </is>
      </c>
      <c r="AK224" t="inlineStr">
        <is>
          <t>unclassified</t>
        </is>
      </c>
      <c r="AL224" t="inlineStr">
        <is>
          <t>Pass 46 mechanism + evidence consolidation</t>
        </is>
      </c>
      <c r="AM224" t="n">
        <v>3</v>
      </c>
      <c r="AN224" t="inlineStr">
        <is>
          <t>D</t>
        </is>
      </c>
      <c r="AO224" t="inlineStr">
        <is>
          <t>Pass 47 compound scoring</t>
        </is>
      </c>
    </row>
    <row r="225">
      <c r="A225" t="inlineStr">
        <is>
          <t>Epicatechin</t>
        </is>
      </c>
      <c r="B225" t="inlineStr">
        <is>
          <t>Phytochemical</t>
        </is>
      </c>
      <c r="C225" t="inlineStr">
        <is>
          <t>Green Tea</t>
        </is>
      </c>
      <c r="D225" t="inlineStr">
        <is>
          <t>Active compound</t>
        </is>
      </c>
      <c r="E225" t="inlineStr">
        <is>
          <t>insufficient evidence</t>
        </is>
      </c>
      <c r="F225" t="inlineStr">
        <is>
          <t>unclassified; core pharmacology</t>
        </is>
      </c>
      <c r="U225" t="inlineStr">
        <is>
          <t>Pass 45 merged 2 rows into canonical compound entry</t>
        </is>
      </c>
      <c r="W225" t="n">
        <v>2</v>
      </c>
      <c r="X225" t="inlineStr">
        <is>
          <t>Low</t>
        </is>
      </c>
      <c r="Z225" t="inlineStr">
        <is>
          <t>Epicatechin</t>
        </is>
      </c>
      <c r="AF225" t="inlineStr">
        <is>
          <t>epicatechin</t>
        </is>
      </c>
      <c r="AH225" t="inlineStr">
        <is>
          <t>Pass 45 duplicate consolidation</t>
        </is>
      </c>
      <c r="AI225" t="inlineStr">
        <is>
          <t>Active compound</t>
        </is>
      </c>
      <c r="AJ225" t="inlineStr">
        <is>
          <t>Unknown</t>
        </is>
      </c>
      <c r="AK225" t="inlineStr">
        <is>
          <t>core pharmacology; unclassified</t>
        </is>
      </c>
      <c r="AL225" t="inlineStr">
        <is>
          <t>Pass 46 mechanism + evidence consolidation</t>
        </is>
      </c>
      <c r="AM225" t="n">
        <v>4</v>
      </c>
      <c r="AN225" t="inlineStr">
        <is>
          <t>C</t>
        </is>
      </c>
      <c r="AO225" t="inlineStr">
        <is>
          <t>Pass 47 compound scoring</t>
        </is>
      </c>
    </row>
    <row r="226">
      <c r="A226" t="inlineStr">
        <is>
          <t>Epimedin A</t>
        </is>
      </c>
      <c r="B226" t="inlineStr">
        <is>
          <t>Flavonoid</t>
        </is>
      </c>
      <c r="C226" t="inlineStr">
        <is>
          <t>Epimedium</t>
        </is>
      </c>
      <c r="D226" t="inlineStr">
        <is>
          <t>Nitric oxide and libido support</t>
        </is>
      </c>
      <c r="E226" t="inlineStr">
        <is>
          <t>Animal</t>
        </is>
      </c>
      <c r="F226" t="inlineStr">
        <is>
          <t>nitric oxide signaling</t>
        </is>
      </c>
      <c r="U226" t="inlineStr">
        <is>
          <t>Pass 13 added real compound for top herb</t>
        </is>
      </c>
      <c r="W226" t="n">
        <v>3</v>
      </c>
      <c r="X226" t="inlineStr">
        <is>
          <t>Low</t>
        </is>
      </c>
      <c r="Z226" t="inlineStr">
        <is>
          <t>Epimedin A</t>
        </is>
      </c>
      <c r="AF226" t="inlineStr">
        <is>
          <t>epimedin a</t>
        </is>
      </c>
      <c r="AH226" t="inlineStr">
        <is>
          <t>Pass 45 duplicate consolidation</t>
        </is>
      </c>
      <c r="AI226" t="inlineStr">
        <is>
          <t>Nitric oxide and libido support</t>
        </is>
      </c>
      <c r="AJ226" t="inlineStr">
        <is>
          <t>Preclinical</t>
        </is>
      </c>
      <c r="AK226" t="inlineStr">
        <is>
          <t>nitric oxide signaling</t>
        </is>
      </c>
      <c r="AL226" t="inlineStr">
        <is>
          <t>Pass 46 mechanism + evidence consolidation</t>
        </is>
      </c>
      <c r="AM226" t="n">
        <v>4</v>
      </c>
      <c r="AN226" t="inlineStr">
        <is>
          <t>C</t>
        </is>
      </c>
      <c r="AO226" t="inlineStr">
        <is>
          <t>Pass 47 compound scoring</t>
        </is>
      </c>
    </row>
    <row r="227">
      <c r="A227" t="inlineStr">
        <is>
          <t>Epimedin B</t>
        </is>
      </c>
      <c r="B227" t="inlineStr">
        <is>
          <t>Flavonoid</t>
        </is>
      </c>
      <c r="C227" t="inlineStr">
        <is>
          <t>Epimedium</t>
        </is>
      </c>
      <c r="D227" t="inlineStr">
        <is>
          <t>Nitric oxide and libido support</t>
        </is>
      </c>
      <c r="E227" t="inlineStr">
        <is>
          <t>Animal</t>
        </is>
      </c>
      <c r="F227" t="inlineStr">
        <is>
          <t>nitric oxide signaling</t>
        </is>
      </c>
      <c r="U227" t="inlineStr">
        <is>
          <t>Pass 13 added real compound for top herb</t>
        </is>
      </c>
      <c r="W227" t="n">
        <v>3</v>
      </c>
      <c r="X227" t="inlineStr">
        <is>
          <t>Low</t>
        </is>
      </c>
      <c r="Z227" t="inlineStr">
        <is>
          <t>Epimedin B</t>
        </is>
      </c>
      <c r="AF227" t="inlineStr">
        <is>
          <t>epimedin b</t>
        </is>
      </c>
      <c r="AH227" t="inlineStr">
        <is>
          <t>Pass 45 duplicate consolidation</t>
        </is>
      </c>
      <c r="AI227" t="inlineStr">
        <is>
          <t>Nitric oxide and libido support</t>
        </is>
      </c>
      <c r="AJ227" t="inlineStr">
        <is>
          <t>Preclinical</t>
        </is>
      </c>
      <c r="AK227" t="inlineStr">
        <is>
          <t>nitric oxide signaling</t>
        </is>
      </c>
      <c r="AL227" t="inlineStr">
        <is>
          <t>Pass 46 mechanism + evidence consolidation</t>
        </is>
      </c>
      <c r="AM227" t="n">
        <v>4</v>
      </c>
      <c r="AN227" t="inlineStr">
        <is>
          <t>C</t>
        </is>
      </c>
      <c r="AO227" t="inlineStr">
        <is>
          <t>Pass 47 compound scoring</t>
        </is>
      </c>
    </row>
    <row r="228">
      <c r="A228" t="inlineStr">
        <is>
          <t>Epimedin C</t>
        </is>
      </c>
      <c r="B228" t="inlineStr">
        <is>
          <t>Flavonoid</t>
        </is>
      </c>
      <c r="C228" t="inlineStr">
        <is>
          <t>Epimedium</t>
        </is>
      </c>
      <c r="D228" t="inlineStr">
        <is>
          <t>Nitric oxide and libido support</t>
        </is>
      </c>
      <c r="E228" t="inlineStr">
        <is>
          <t>Animal</t>
        </is>
      </c>
      <c r="F228" t="inlineStr">
        <is>
          <t>nitric oxide signaling</t>
        </is>
      </c>
      <c r="U228" t="inlineStr">
        <is>
          <t>Pass 13 added real compound for top herb</t>
        </is>
      </c>
      <c r="W228" t="n">
        <v>3</v>
      </c>
      <c r="X228" t="inlineStr">
        <is>
          <t>Low</t>
        </is>
      </c>
      <c r="Z228" t="inlineStr">
        <is>
          <t>Epimedin C</t>
        </is>
      </c>
      <c r="AF228" t="inlineStr">
        <is>
          <t>epimedin c</t>
        </is>
      </c>
      <c r="AH228" t="inlineStr">
        <is>
          <t>Pass 45 duplicate consolidation</t>
        </is>
      </c>
      <c r="AI228" t="inlineStr">
        <is>
          <t>Nitric oxide and libido support</t>
        </is>
      </c>
      <c r="AJ228" t="inlineStr">
        <is>
          <t>Preclinical</t>
        </is>
      </c>
      <c r="AK228" t="inlineStr">
        <is>
          <t>nitric oxide signaling</t>
        </is>
      </c>
      <c r="AL228" t="inlineStr">
        <is>
          <t>Pass 46 mechanism + evidence consolidation</t>
        </is>
      </c>
      <c r="AM228" t="n">
        <v>4</v>
      </c>
      <c r="AN228" t="inlineStr">
        <is>
          <t>C</t>
        </is>
      </c>
      <c r="AO228" t="inlineStr">
        <is>
          <t>Pass 47 compound scoring</t>
        </is>
      </c>
    </row>
    <row r="229">
      <c r="A229" t="inlineStr">
        <is>
          <t>ergine</t>
        </is>
      </c>
      <c r="B229" t="inlineStr">
        <is>
          <t>ergine (lsa)</t>
        </is>
      </c>
      <c r="D229" t="inlineStr">
        <is>
          <t>ergoline alkaloids</t>
        </is>
      </c>
      <c r="E229" t="inlineStr">
        <is>
          <t>insufficient evidence</t>
        </is>
      </c>
      <c r="F229" t="inlineStr">
        <is>
          <t>unclassified</t>
        </is>
      </c>
      <c r="W229" t="n">
        <v>2</v>
      </c>
      <c r="X229" t="inlineStr">
        <is>
          <t>Low</t>
        </is>
      </c>
      <c r="Z229" t="inlineStr">
        <is>
          <t>ergine</t>
        </is>
      </c>
      <c r="AF229" t="inlineStr">
        <is>
          <t>ergine</t>
        </is>
      </c>
      <c r="AH229" t="inlineStr">
        <is>
          <t>Pass 45 duplicate consolidation</t>
        </is>
      </c>
      <c r="AI229" t="inlineStr">
        <is>
          <t>ergoline alkaloids</t>
        </is>
      </c>
      <c r="AJ229" t="inlineStr">
        <is>
          <t>Unknown</t>
        </is>
      </c>
      <c r="AK229" t="inlineStr">
        <is>
          <t>unclassified</t>
        </is>
      </c>
      <c r="AL229" t="inlineStr">
        <is>
          <t>Pass 46 mechanism + evidence consolidation</t>
        </is>
      </c>
      <c r="AM229" t="n">
        <v>3</v>
      </c>
      <c r="AN229" t="inlineStr">
        <is>
          <t>D</t>
        </is>
      </c>
      <c r="AO229" t="inlineStr">
        <is>
          <t>Pass 47 compound scoring</t>
        </is>
      </c>
    </row>
    <row r="230">
      <c r="A230" t="inlineStr">
        <is>
          <t>erinacines</t>
        </is>
      </c>
      <c r="B230" t="inlineStr">
        <is>
          <t>erinacines</t>
        </is>
      </c>
      <c r="D230" t="inlineStr">
        <is>
          <t>diterpenoids</t>
        </is>
      </c>
      <c r="E230" t="inlineStr">
        <is>
          <t>Lion's Mane diterpenoids associated with neurotrophic signaling in preclinical work.</t>
        </is>
      </c>
      <c r="F230" t="inlineStr">
        <is>
          <t>unclassified</t>
        </is>
      </c>
      <c r="W230" t="n">
        <v>2</v>
      </c>
      <c r="X230" t="inlineStr">
        <is>
          <t>Low</t>
        </is>
      </c>
      <c r="Z230" t="inlineStr">
        <is>
          <t>erinacines</t>
        </is>
      </c>
      <c r="AF230" t="inlineStr">
        <is>
          <t>erinacines</t>
        </is>
      </c>
      <c r="AH230" t="inlineStr">
        <is>
          <t>Pass 45 duplicate consolidation</t>
        </is>
      </c>
      <c r="AI230" t="inlineStr">
        <is>
          <t>diterpenoids</t>
        </is>
      </c>
      <c r="AJ230" t="inlineStr">
        <is>
          <t>Clinical</t>
        </is>
      </c>
      <c r="AK230" t="inlineStr">
        <is>
          <t>unclassified</t>
        </is>
      </c>
      <c r="AL230" t="inlineStr">
        <is>
          <t>Pass 46 mechanism + evidence consolidation</t>
        </is>
      </c>
      <c r="AM230" t="n">
        <v>6</v>
      </c>
      <c r="AN230" t="inlineStr">
        <is>
          <t>C</t>
        </is>
      </c>
      <c r="AO230" t="inlineStr">
        <is>
          <t>Pass 47 compound scoring</t>
        </is>
      </c>
    </row>
    <row r="231">
      <c r="A231" t="inlineStr">
        <is>
          <t>eryngial</t>
        </is>
      </c>
      <c r="B231" t="inlineStr">
        <is>
          <t>eryngial</t>
        </is>
      </c>
      <c r="D231" t="inlineStr">
        <is>
          <t>phenolic acids</t>
        </is>
      </c>
      <c r="E231" t="inlineStr">
        <is>
          <t>insufficient evidence</t>
        </is>
      </c>
      <c r="F231" t="inlineStr">
        <is>
          <t>unclassified</t>
        </is>
      </c>
      <c r="W231" t="n">
        <v>2</v>
      </c>
      <c r="X231" t="inlineStr">
        <is>
          <t>Low</t>
        </is>
      </c>
      <c r="Z231" t="inlineStr">
        <is>
          <t>eryngial</t>
        </is>
      </c>
      <c r="AF231" t="inlineStr">
        <is>
          <t>eryngial</t>
        </is>
      </c>
      <c r="AH231" t="inlineStr">
        <is>
          <t>Pass 45 duplicate consolidation</t>
        </is>
      </c>
      <c r="AI231" t="inlineStr">
        <is>
          <t>phenolic acids</t>
        </is>
      </c>
      <c r="AJ231" t="inlineStr">
        <is>
          <t>Unknown</t>
        </is>
      </c>
      <c r="AK231" t="inlineStr">
        <is>
          <t>unclassified</t>
        </is>
      </c>
      <c r="AL231" t="inlineStr">
        <is>
          <t>Pass 46 mechanism + evidence consolidation</t>
        </is>
      </c>
      <c r="AM231" t="n">
        <v>3</v>
      </c>
      <c r="AN231" t="inlineStr">
        <is>
          <t>D</t>
        </is>
      </c>
      <c r="AO231" t="inlineStr">
        <is>
          <t>Pass 47 compound scoring</t>
        </is>
      </c>
    </row>
    <row r="232">
      <c r="A232" t="inlineStr">
        <is>
          <t>esculetin</t>
        </is>
      </c>
      <c r="B232" t="inlineStr">
        <is>
          <t>esculetin</t>
        </is>
      </c>
      <c r="D232" t="inlineStr">
        <is>
          <t>other</t>
        </is>
      </c>
      <c r="E232" t="inlineStr">
        <is>
          <t>insufficient evidence</t>
        </is>
      </c>
      <c r="F232" t="inlineStr">
        <is>
          <t>unclassified</t>
        </is>
      </c>
      <c r="W232" t="n">
        <v>2</v>
      </c>
      <c r="X232" t="inlineStr">
        <is>
          <t>Low</t>
        </is>
      </c>
      <c r="Z232" t="inlineStr">
        <is>
          <t>esculetin</t>
        </is>
      </c>
      <c r="AF232" t="inlineStr">
        <is>
          <t>esculetin</t>
        </is>
      </c>
      <c r="AH232" t="inlineStr">
        <is>
          <t>Pass 45 duplicate consolidation</t>
        </is>
      </c>
      <c r="AI232" t="inlineStr">
        <is>
          <t>other</t>
        </is>
      </c>
      <c r="AJ232" t="inlineStr">
        <is>
          <t>Unknown</t>
        </is>
      </c>
      <c r="AK232" t="inlineStr">
        <is>
          <t>unclassified</t>
        </is>
      </c>
      <c r="AL232" t="inlineStr">
        <is>
          <t>Pass 46 mechanism + evidence consolidation</t>
        </is>
      </c>
      <c r="AM232" t="n">
        <v>3</v>
      </c>
      <c r="AN232" t="inlineStr">
        <is>
          <t>D</t>
        </is>
      </c>
      <c r="AO232" t="inlineStr">
        <is>
          <t>Pass 47 compound scoring</t>
        </is>
      </c>
    </row>
    <row r="233">
      <c r="A233" t="inlineStr">
        <is>
          <t>estragole</t>
        </is>
      </c>
      <c r="B233" t="inlineStr">
        <is>
          <t>estragole</t>
        </is>
      </c>
      <c r="D233" t="inlineStr">
        <is>
          <t>other</t>
        </is>
      </c>
      <c r="E233" t="inlineStr">
        <is>
          <t>insufficient evidence</t>
        </is>
      </c>
      <c r="F233" t="inlineStr">
        <is>
          <t>unclassified</t>
        </is>
      </c>
      <c r="W233" t="n">
        <v>2</v>
      </c>
      <c r="X233" t="inlineStr">
        <is>
          <t>Low</t>
        </is>
      </c>
      <c r="Z233" t="inlineStr">
        <is>
          <t>estragole</t>
        </is>
      </c>
      <c r="AF233" t="inlineStr">
        <is>
          <t>estragole</t>
        </is>
      </c>
      <c r="AH233" t="inlineStr">
        <is>
          <t>Pass 45 duplicate consolidation</t>
        </is>
      </c>
      <c r="AI233" t="inlineStr">
        <is>
          <t>other</t>
        </is>
      </c>
      <c r="AJ233" t="inlineStr">
        <is>
          <t>Unknown</t>
        </is>
      </c>
      <c r="AK233" t="inlineStr">
        <is>
          <t>unclassified</t>
        </is>
      </c>
      <c r="AL233" t="inlineStr">
        <is>
          <t>Pass 46 mechanism + evidence consolidation</t>
        </is>
      </c>
      <c r="AM233" t="n">
        <v>3</v>
      </c>
      <c r="AN233" t="inlineStr">
        <is>
          <t>D</t>
        </is>
      </c>
      <c r="AO233" t="inlineStr">
        <is>
          <t>Pass 47 compound scoring</t>
        </is>
      </c>
    </row>
    <row r="234">
      <c r="A234" t="inlineStr">
        <is>
          <t>ethyl cinnamate</t>
        </is>
      </c>
      <c r="B234" t="inlineStr">
        <is>
          <t>ethyl cinnamate</t>
        </is>
      </c>
      <c r="D234" t="inlineStr">
        <is>
          <t>Ethyl cinnamate, kaempferol, essential oils</t>
        </is>
      </c>
      <c r="E234" t="inlineStr">
        <is>
          <t>insufficient evidence</t>
        </is>
      </c>
      <c r="F234" t="inlineStr">
        <is>
          <t>unclassified</t>
        </is>
      </c>
      <c r="W234" t="n">
        <v>2</v>
      </c>
      <c r="X234" t="inlineStr">
        <is>
          <t>Low</t>
        </is>
      </c>
      <c r="Z234" t="inlineStr">
        <is>
          <t>ethyl cinnamate</t>
        </is>
      </c>
      <c r="AF234" t="inlineStr">
        <is>
          <t>ethyl cinnamate</t>
        </is>
      </c>
      <c r="AH234" t="inlineStr">
        <is>
          <t>Pass 45 duplicate consolidation</t>
        </is>
      </c>
      <c r="AI234" t="inlineStr">
        <is>
          <t>Ethyl cinnamate, kaempferol, essential oils</t>
        </is>
      </c>
      <c r="AJ234" t="inlineStr">
        <is>
          <t>Unknown</t>
        </is>
      </c>
      <c r="AK234" t="inlineStr">
        <is>
          <t>unclassified</t>
        </is>
      </c>
      <c r="AL234" t="inlineStr">
        <is>
          <t>Pass 46 mechanism + evidence consolidation</t>
        </is>
      </c>
      <c r="AM234" t="n">
        <v>3</v>
      </c>
      <c r="AN234" t="inlineStr">
        <is>
          <t>D</t>
        </is>
      </c>
      <c r="AO234" t="inlineStr">
        <is>
          <t>Pass 47 compound scoring</t>
        </is>
      </c>
    </row>
    <row r="235">
      <c r="A235" t="inlineStr">
        <is>
          <t>eucalyptol</t>
        </is>
      </c>
      <c r="B235" t="inlineStr">
        <is>
          <t>eucalyptol</t>
        </is>
      </c>
      <c r="D235" t="inlineStr">
        <is>
          <t>monoterpene</t>
        </is>
      </c>
      <c r="E235" t="inlineStr">
        <is>
          <t>Primary active compound.</t>
        </is>
      </c>
      <c r="F235" t="inlineStr">
        <is>
          <t>unclassified</t>
        </is>
      </c>
      <c r="W235" t="n">
        <v>2</v>
      </c>
      <c r="X235" t="inlineStr">
        <is>
          <t>Low</t>
        </is>
      </c>
      <c r="Z235" t="inlineStr">
        <is>
          <t>eucalyptol</t>
        </is>
      </c>
      <c r="AF235" t="inlineStr">
        <is>
          <t>eucalyptol</t>
        </is>
      </c>
      <c r="AH235" t="inlineStr">
        <is>
          <t>Pass 45 duplicate consolidation</t>
        </is>
      </c>
      <c r="AI235" t="inlineStr">
        <is>
          <t>monoterpene</t>
        </is>
      </c>
      <c r="AJ235" t="inlineStr">
        <is>
          <t>Unknown</t>
        </is>
      </c>
      <c r="AK235" t="inlineStr">
        <is>
          <t>unclassified</t>
        </is>
      </c>
      <c r="AL235" t="inlineStr">
        <is>
          <t>Pass 46 mechanism + evidence consolidation</t>
        </is>
      </c>
      <c r="AM235" t="n">
        <v>3</v>
      </c>
      <c r="AN235" t="inlineStr">
        <is>
          <t>D</t>
        </is>
      </c>
      <c r="AO235" t="inlineStr">
        <is>
          <t>Pass 47 compound scoring</t>
        </is>
      </c>
    </row>
    <row r="236">
      <c r="A236" t="inlineStr">
        <is>
          <t>eucalyptol cineole</t>
        </is>
      </c>
      <c r="B236" t="inlineStr">
        <is>
          <t>eucalyptol (cineole)</t>
        </is>
      </c>
      <c r="D236" t="inlineStr">
        <is>
          <t>Eucalyptol (cineole), tannins, flavonoids</t>
        </is>
      </c>
      <c r="E236" t="inlineStr">
        <is>
          <t>insufficient evidence</t>
        </is>
      </c>
      <c r="F236" t="inlineStr">
        <is>
          <t>unclassified</t>
        </is>
      </c>
      <c r="W236" t="n">
        <v>2</v>
      </c>
      <c r="X236" t="inlineStr">
        <is>
          <t>Low</t>
        </is>
      </c>
      <c r="Z236" t="inlineStr">
        <is>
          <t>eucalyptol cineole</t>
        </is>
      </c>
      <c r="AF236" t="inlineStr">
        <is>
          <t>eucalyptol cineole</t>
        </is>
      </c>
      <c r="AH236" t="inlineStr">
        <is>
          <t>Pass 45 duplicate consolidation</t>
        </is>
      </c>
      <c r="AI236" t="inlineStr">
        <is>
          <t>Eucalyptol (cineole), tannins, flavonoids</t>
        </is>
      </c>
      <c r="AJ236" t="inlineStr">
        <is>
          <t>Unknown</t>
        </is>
      </c>
      <c r="AK236" t="inlineStr">
        <is>
          <t>unclassified</t>
        </is>
      </c>
      <c r="AL236" t="inlineStr">
        <is>
          <t>Pass 46 mechanism + evidence consolidation</t>
        </is>
      </c>
      <c r="AM236" t="n">
        <v>3</v>
      </c>
      <c r="AN236" t="inlineStr">
        <is>
          <t>D</t>
        </is>
      </c>
      <c r="AO236" t="inlineStr">
        <is>
          <t>Pass 47 compound scoring</t>
        </is>
      </c>
    </row>
    <row r="237">
      <c r="A237" t="inlineStr">
        <is>
          <t>Eugenol</t>
        </is>
      </c>
      <c r="B237" t="inlineStr">
        <is>
          <t>Phenylpropanoid</t>
        </is>
      </c>
      <c r="C237" t="inlineStr">
        <is>
          <t>Holy Basil</t>
        </is>
      </c>
      <c r="D237" t="inlineStr">
        <is>
          <t>Anti-inflammatory and stress-related modulation</t>
        </is>
      </c>
      <c r="E237" t="inlineStr">
        <is>
          <t>Exhibits analgesic and anti-inflammatory effects through prostaglandin-pathway inhibition and ion-channel modulation including TRPV1-related activity; also shows antimicrobial activity.</t>
        </is>
      </c>
      <c r="F237" t="inlineStr">
        <is>
          <t>unclassified; reinforcement</t>
        </is>
      </c>
      <c r="U237" t="inlineStr">
        <is>
          <t>Pass 45 merged 2 rows into canonical compound entry</t>
        </is>
      </c>
      <c r="W237" t="n">
        <v>3</v>
      </c>
      <c r="X237" t="inlineStr">
        <is>
          <t>Medium</t>
        </is>
      </c>
      <c r="Z237" t="inlineStr">
        <is>
          <t>Eugenol</t>
        </is>
      </c>
      <c r="AF237" t="inlineStr">
        <is>
          <t>eugenol</t>
        </is>
      </c>
      <c r="AH237" t="inlineStr">
        <is>
          <t>Pass 45 duplicate consolidation</t>
        </is>
      </c>
      <c r="AI237" t="inlineStr">
        <is>
          <t>Anti-inflammatory and stress-related modulation</t>
        </is>
      </c>
      <c r="AJ237" t="inlineStr">
        <is>
          <t>Unknown</t>
        </is>
      </c>
      <c r="AK237" t="inlineStr">
        <is>
          <t>reinforcement; unclassified</t>
        </is>
      </c>
      <c r="AL237" t="inlineStr">
        <is>
          <t>Pass 46 mechanism + evidence consolidation</t>
        </is>
      </c>
      <c r="AM237" t="n">
        <v>4</v>
      </c>
      <c r="AN237" t="inlineStr">
        <is>
          <t>C</t>
        </is>
      </c>
      <c r="AO237" t="inlineStr">
        <is>
          <t>Pass 47 compound scoring</t>
        </is>
      </c>
    </row>
    <row r="238">
      <c r="A238" t="inlineStr">
        <is>
          <t>eurycomanone</t>
        </is>
      </c>
      <c r="B238" t="inlineStr">
        <is>
          <t>eurycomanone</t>
        </is>
      </c>
      <c r="D238" t="inlineStr">
        <is>
          <t>other</t>
        </is>
      </c>
      <c r="E238" t="inlineStr">
        <is>
          <t>insufficient evidence</t>
        </is>
      </c>
      <c r="F238" t="inlineStr">
        <is>
          <t>unclassified</t>
        </is>
      </c>
      <c r="W238" t="n">
        <v>2</v>
      </c>
      <c r="X238" t="inlineStr">
        <is>
          <t>Low</t>
        </is>
      </c>
      <c r="Z238" t="inlineStr">
        <is>
          <t>eurycomanone</t>
        </is>
      </c>
      <c r="AF238" t="inlineStr">
        <is>
          <t>eurycomanone</t>
        </is>
      </c>
      <c r="AH238" t="inlineStr">
        <is>
          <t>Pass 45 duplicate consolidation</t>
        </is>
      </c>
      <c r="AI238" t="inlineStr">
        <is>
          <t>other</t>
        </is>
      </c>
      <c r="AJ238" t="inlineStr">
        <is>
          <t>Unknown</t>
        </is>
      </c>
      <c r="AK238" t="inlineStr">
        <is>
          <t>unclassified</t>
        </is>
      </c>
      <c r="AL238" t="inlineStr">
        <is>
          <t>Pass 46 mechanism + evidence consolidation</t>
        </is>
      </c>
      <c r="AM238" t="n">
        <v>3</v>
      </c>
      <c r="AN238" t="inlineStr">
        <is>
          <t>D</t>
        </is>
      </c>
      <c r="AO238" t="inlineStr">
        <is>
          <t>Pass 47 compound scoring</t>
        </is>
      </c>
    </row>
    <row r="239">
      <c r="A239" t="inlineStr">
        <is>
          <t>evodiamine</t>
        </is>
      </c>
      <c r="B239" t="inlineStr">
        <is>
          <t>evodiamine</t>
        </is>
      </c>
      <c r="D239" t="inlineStr">
        <is>
          <t>other</t>
        </is>
      </c>
      <c r="E239" t="inlineStr">
        <is>
          <t>insufficient evidence</t>
        </is>
      </c>
      <c r="F239" t="inlineStr">
        <is>
          <t>unclassified</t>
        </is>
      </c>
      <c r="W239" t="n">
        <v>2</v>
      </c>
      <c r="X239" t="inlineStr">
        <is>
          <t>Low</t>
        </is>
      </c>
      <c r="Z239" t="inlineStr">
        <is>
          <t>evodiamine</t>
        </is>
      </c>
      <c r="AF239" t="inlineStr">
        <is>
          <t>evodiamine</t>
        </is>
      </c>
      <c r="AH239" t="inlineStr">
        <is>
          <t>Pass 45 duplicate consolidation</t>
        </is>
      </c>
      <c r="AI239" t="inlineStr">
        <is>
          <t>other</t>
        </is>
      </c>
      <c r="AJ239" t="inlineStr">
        <is>
          <t>Unknown</t>
        </is>
      </c>
      <c r="AK239" t="inlineStr">
        <is>
          <t>unclassified</t>
        </is>
      </c>
      <c r="AL239" t="inlineStr">
        <is>
          <t>Pass 46 mechanism + evidence consolidation</t>
        </is>
      </c>
      <c r="AM239" t="n">
        <v>3</v>
      </c>
      <c r="AN239" t="inlineStr">
        <is>
          <t>D</t>
        </is>
      </c>
      <c r="AO239" t="inlineStr">
        <is>
          <t>Pass 47 compound scoring</t>
        </is>
      </c>
    </row>
    <row r="240">
      <c r="A240" t="inlineStr">
        <is>
          <t>fangchinoline</t>
        </is>
      </c>
      <c r="B240" t="inlineStr">
        <is>
          <t>fangchinoline</t>
        </is>
      </c>
      <c r="D240" t="inlineStr">
        <is>
          <t>other</t>
        </is>
      </c>
      <c r="E240" t="inlineStr">
        <is>
          <t>insufficient evidence</t>
        </is>
      </c>
      <c r="F240" t="inlineStr">
        <is>
          <t>unclassified</t>
        </is>
      </c>
      <c r="W240" t="n">
        <v>2</v>
      </c>
      <c r="X240" t="inlineStr">
        <is>
          <t>Low</t>
        </is>
      </c>
      <c r="Z240" t="inlineStr">
        <is>
          <t>fangchinoline</t>
        </is>
      </c>
      <c r="AF240" t="inlineStr">
        <is>
          <t>fangchinoline</t>
        </is>
      </c>
      <c r="AH240" t="inlineStr">
        <is>
          <t>Pass 45 duplicate consolidation</t>
        </is>
      </c>
      <c r="AI240" t="inlineStr">
        <is>
          <t>other</t>
        </is>
      </c>
      <c r="AJ240" t="inlineStr">
        <is>
          <t>Unknown</t>
        </is>
      </c>
      <c r="AK240" t="inlineStr">
        <is>
          <t>unclassified</t>
        </is>
      </c>
      <c r="AL240" t="inlineStr">
        <is>
          <t>Pass 46 mechanism + evidence consolidation</t>
        </is>
      </c>
      <c r="AM240" t="n">
        <v>3</v>
      </c>
      <c r="AN240" t="inlineStr">
        <is>
          <t>D</t>
        </is>
      </c>
      <c r="AO240" t="inlineStr">
        <is>
          <t>Pass 47 compound scoring</t>
        </is>
      </c>
    </row>
    <row r="241">
      <c r="A241" t="inlineStr">
        <is>
          <t>faradiol</t>
        </is>
      </c>
      <c r="B241" t="inlineStr">
        <is>
          <t>faradiol</t>
        </is>
      </c>
      <c r="D241" t="inlineStr">
        <is>
          <t>triterpene alcohol</t>
        </is>
      </c>
      <c r="E241" t="inlineStr">
        <is>
          <t>Calendula constituent associated with tissue-soothing and anti-inflammatory positioning.</t>
        </is>
      </c>
      <c r="F241" t="inlineStr">
        <is>
          <t>unclassified</t>
        </is>
      </c>
      <c r="W241" t="n">
        <v>2</v>
      </c>
      <c r="X241" t="inlineStr">
        <is>
          <t>Low</t>
        </is>
      </c>
      <c r="Z241" t="inlineStr">
        <is>
          <t>faradiol</t>
        </is>
      </c>
      <c r="AF241" t="inlineStr">
        <is>
          <t>faradiol</t>
        </is>
      </c>
      <c r="AH241" t="inlineStr">
        <is>
          <t>Pass 45 duplicate consolidation</t>
        </is>
      </c>
      <c r="AI241" t="inlineStr">
        <is>
          <t>triterpene alcohol</t>
        </is>
      </c>
      <c r="AJ241" t="inlineStr">
        <is>
          <t>Unknown</t>
        </is>
      </c>
      <c r="AK241" t="inlineStr">
        <is>
          <t>unclassified</t>
        </is>
      </c>
      <c r="AL241" t="inlineStr">
        <is>
          <t>Pass 46 mechanism + evidence consolidation</t>
        </is>
      </c>
      <c r="AM241" t="n">
        <v>3</v>
      </c>
      <c r="AN241" t="inlineStr">
        <is>
          <t>D</t>
        </is>
      </c>
      <c r="AO241" t="inlineStr">
        <is>
          <t>Pass 47 compound scoring</t>
        </is>
      </c>
    </row>
    <row r="242">
      <c r="A242" t="inlineStr">
        <is>
          <t>faradiol esters</t>
        </is>
      </c>
      <c r="B242" t="inlineStr">
        <is>
          <t>faradiol esters</t>
        </is>
      </c>
      <c r="D242" t="inlineStr">
        <is>
          <t>triterpene esters</t>
        </is>
      </c>
      <c r="E242" t="inlineStr">
        <is>
          <t>Calendula marker constituents associated with topical anti-inflammatory activity.</t>
        </is>
      </c>
      <c r="F242" t="inlineStr">
        <is>
          <t>unclassified</t>
        </is>
      </c>
      <c r="W242" t="n">
        <v>2</v>
      </c>
      <c r="X242" t="inlineStr">
        <is>
          <t>Low</t>
        </is>
      </c>
      <c r="Z242" t="inlineStr">
        <is>
          <t>faradiol esters</t>
        </is>
      </c>
      <c r="AF242" t="inlineStr">
        <is>
          <t>faradiol esters</t>
        </is>
      </c>
      <c r="AH242" t="inlineStr">
        <is>
          <t>Pass 45 duplicate consolidation</t>
        </is>
      </c>
      <c r="AI242" t="inlineStr">
        <is>
          <t>triterpene esters</t>
        </is>
      </c>
      <c r="AJ242" t="inlineStr">
        <is>
          <t>Unknown</t>
        </is>
      </c>
      <c r="AK242" t="inlineStr">
        <is>
          <t>unclassified</t>
        </is>
      </c>
      <c r="AL242" t="inlineStr">
        <is>
          <t>Pass 46 mechanism + evidence consolidation</t>
        </is>
      </c>
      <c r="AM242" t="n">
        <v>3</v>
      </c>
      <c r="AN242" t="inlineStr">
        <is>
          <t>D</t>
        </is>
      </c>
      <c r="AO242" t="inlineStr">
        <is>
          <t>Pass 47 compound scoring</t>
        </is>
      </c>
    </row>
    <row r="243">
      <c r="A243" t="inlineStr">
        <is>
          <t>febrifugine</t>
        </is>
      </c>
      <c r="B243" t="inlineStr">
        <is>
          <t>febrifugine</t>
        </is>
      </c>
      <c r="D243" t="inlineStr">
        <is>
          <t>other</t>
        </is>
      </c>
      <c r="E243" t="inlineStr">
        <is>
          <t>insufficient evidence</t>
        </is>
      </c>
      <c r="F243" t="inlineStr">
        <is>
          <t>unclassified</t>
        </is>
      </c>
      <c r="W243" t="n">
        <v>2</v>
      </c>
      <c r="X243" t="inlineStr">
        <is>
          <t>Low</t>
        </is>
      </c>
      <c r="Z243" t="inlineStr">
        <is>
          <t>febrifugine</t>
        </is>
      </c>
      <c r="AF243" t="inlineStr">
        <is>
          <t>febrifugine</t>
        </is>
      </c>
      <c r="AH243" t="inlineStr">
        <is>
          <t>Pass 45 duplicate consolidation</t>
        </is>
      </c>
      <c r="AI243" t="inlineStr">
        <is>
          <t>other</t>
        </is>
      </c>
      <c r="AJ243" t="inlineStr">
        <is>
          <t>Unknown</t>
        </is>
      </c>
      <c r="AK243" t="inlineStr">
        <is>
          <t>unclassified</t>
        </is>
      </c>
      <c r="AL243" t="inlineStr">
        <is>
          <t>Pass 46 mechanism + evidence consolidation</t>
        </is>
      </c>
      <c r="AM243" t="n">
        <v>3</v>
      </c>
      <c r="AN243" t="inlineStr">
        <is>
          <t>D</t>
        </is>
      </c>
      <c r="AO243" t="inlineStr">
        <is>
          <t>Pass 47 compound scoring</t>
        </is>
      </c>
    </row>
    <row r="244">
      <c r="A244" t="inlineStr">
        <is>
          <t>fenchone</t>
        </is>
      </c>
      <c r="B244" t="inlineStr">
        <is>
          <t>fenchone</t>
        </is>
      </c>
      <c r="D244" t="inlineStr">
        <is>
          <t>Anethole, fenchone, flavonoids</t>
        </is>
      </c>
      <c r="E244" t="inlineStr">
        <is>
          <t>insufficient evidence</t>
        </is>
      </c>
      <c r="F244" t="inlineStr">
        <is>
          <t>unclassified</t>
        </is>
      </c>
      <c r="W244" t="n">
        <v>2</v>
      </c>
      <c r="X244" t="inlineStr">
        <is>
          <t>Low</t>
        </is>
      </c>
      <c r="Z244" t="inlineStr">
        <is>
          <t>fenchone</t>
        </is>
      </c>
      <c r="AF244" t="inlineStr">
        <is>
          <t>fenchone</t>
        </is>
      </c>
      <c r="AH244" t="inlineStr">
        <is>
          <t>Pass 45 duplicate consolidation</t>
        </is>
      </c>
      <c r="AI244" t="inlineStr">
        <is>
          <t>Anethole, fenchone, flavonoids</t>
        </is>
      </c>
      <c r="AJ244" t="inlineStr">
        <is>
          <t>Unknown</t>
        </is>
      </c>
      <c r="AK244" t="inlineStr">
        <is>
          <t>unclassified</t>
        </is>
      </c>
      <c r="AL244" t="inlineStr">
        <is>
          <t>Pass 46 mechanism + evidence consolidation</t>
        </is>
      </c>
      <c r="AM244" t="n">
        <v>3</v>
      </c>
      <c r="AN244" t="inlineStr">
        <is>
          <t>D</t>
        </is>
      </c>
      <c r="AO244" t="inlineStr">
        <is>
          <t>Pass 47 compound scoring</t>
        </is>
      </c>
    </row>
    <row r="245">
      <c r="A245" t="inlineStr">
        <is>
          <t>ferulenol</t>
        </is>
      </c>
      <c r="B245" t="inlineStr">
        <is>
          <t>ferulenol</t>
        </is>
      </c>
      <c r="D245" t="inlineStr">
        <is>
          <t>sesquiterpenes; coumarins</t>
        </is>
      </c>
      <c r="E245" t="inlineStr">
        <is>
          <t>insufficient evidence</t>
        </is>
      </c>
      <c r="F245" t="inlineStr">
        <is>
          <t>unclassified</t>
        </is>
      </c>
      <c r="W245" t="n">
        <v>2</v>
      </c>
      <c r="X245" t="inlineStr">
        <is>
          <t>Low</t>
        </is>
      </c>
      <c r="Z245" t="inlineStr">
        <is>
          <t>ferulenol</t>
        </is>
      </c>
      <c r="AF245" t="inlineStr">
        <is>
          <t>ferulenol</t>
        </is>
      </c>
      <c r="AH245" t="inlineStr">
        <is>
          <t>Pass 45 duplicate consolidation</t>
        </is>
      </c>
      <c r="AI245" t="inlineStr">
        <is>
          <t>sesquiterpenes; coumarins</t>
        </is>
      </c>
      <c r="AJ245" t="inlineStr">
        <is>
          <t>Unknown</t>
        </is>
      </c>
      <c r="AK245" t="inlineStr">
        <is>
          <t>unclassified</t>
        </is>
      </c>
      <c r="AL245" t="inlineStr">
        <is>
          <t>Pass 46 mechanism + evidence consolidation</t>
        </is>
      </c>
      <c r="AM245" t="n">
        <v>3</v>
      </c>
      <c r="AN245" t="inlineStr">
        <is>
          <t>D</t>
        </is>
      </c>
      <c r="AO245" t="inlineStr">
        <is>
          <t>Pass 47 compound scoring</t>
        </is>
      </c>
    </row>
    <row r="246">
      <c r="A246" t="inlineStr">
        <is>
          <t>ferulic acid</t>
        </is>
      </c>
      <c r="B246" t="inlineStr">
        <is>
          <t>ferulic acid</t>
        </is>
      </c>
      <c r="D246" t="inlineStr">
        <is>
          <t>Ferulic acid, ligustilide, polysaccharides</t>
        </is>
      </c>
      <c r="E246" t="inlineStr">
        <is>
          <t>insufficient evidence</t>
        </is>
      </c>
      <c r="F246" t="inlineStr">
        <is>
          <t>unclassified</t>
        </is>
      </c>
      <c r="W246" t="n">
        <v>2</v>
      </c>
      <c r="X246" t="inlineStr">
        <is>
          <t>Low</t>
        </is>
      </c>
      <c r="Z246" t="inlineStr">
        <is>
          <t>ferulic acid</t>
        </is>
      </c>
      <c r="AF246" t="inlineStr">
        <is>
          <t>ferulic acid</t>
        </is>
      </c>
      <c r="AH246" t="inlineStr">
        <is>
          <t>Pass 45 duplicate consolidation</t>
        </is>
      </c>
      <c r="AI246" t="inlineStr">
        <is>
          <t>Ferulic acid, ligustilide, polysaccharides</t>
        </is>
      </c>
      <c r="AJ246" t="inlineStr">
        <is>
          <t>Unknown</t>
        </is>
      </c>
      <c r="AK246" t="inlineStr">
        <is>
          <t>unclassified</t>
        </is>
      </c>
      <c r="AL246" t="inlineStr">
        <is>
          <t>Pass 46 mechanism + evidence consolidation</t>
        </is>
      </c>
      <c r="AM246" t="n">
        <v>3</v>
      </c>
      <c r="AN246" t="inlineStr">
        <is>
          <t>D</t>
        </is>
      </c>
      <c r="AO246" t="inlineStr">
        <is>
          <t>Pass 47 compound scoring</t>
        </is>
      </c>
    </row>
    <row r="247">
      <c r="A247" t="inlineStr">
        <is>
          <t>flavokavain a</t>
        </is>
      </c>
      <c r="B247" t="inlineStr">
        <is>
          <t>flavokavain A</t>
        </is>
      </c>
      <c r="D247" t="inlineStr">
        <is>
          <t>chalcone</t>
        </is>
      </c>
      <c r="E247" t="inlineStr">
        <is>
          <t>proposed mechanism based on preclinical data: redox-active and cytostatic signaling with apoptosis-related effects reported in cell models; no established human mechanism.</t>
        </is>
      </c>
      <c r="F247" t="inlineStr">
        <is>
          <t>unclassified</t>
        </is>
      </c>
      <c r="W247" t="n">
        <v>2</v>
      </c>
      <c r="X247" t="inlineStr">
        <is>
          <t>Low</t>
        </is>
      </c>
      <c r="Z247" t="inlineStr">
        <is>
          <t>flavokavain a</t>
        </is>
      </c>
      <c r="AF247" t="inlineStr">
        <is>
          <t>flavokavain a</t>
        </is>
      </c>
      <c r="AH247" t="inlineStr">
        <is>
          <t>Pass 45 duplicate consolidation</t>
        </is>
      </c>
      <c r="AI247" t="inlineStr">
        <is>
          <t>chalcone</t>
        </is>
      </c>
      <c r="AJ247" t="inlineStr">
        <is>
          <t>Human</t>
        </is>
      </c>
      <c r="AK247" t="inlineStr">
        <is>
          <t>unclassified</t>
        </is>
      </c>
      <c r="AL247" t="inlineStr">
        <is>
          <t>Pass 46 mechanism + evidence consolidation</t>
        </is>
      </c>
      <c r="AM247" t="n">
        <v>7</v>
      </c>
      <c r="AN247" t="inlineStr">
        <is>
          <t>B</t>
        </is>
      </c>
      <c r="AO247" t="inlineStr">
        <is>
          <t>Pass 47 compound scoring</t>
        </is>
      </c>
    </row>
    <row r="248">
      <c r="A248" t="inlineStr">
        <is>
          <t>flavokavain b</t>
        </is>
      </c>
      <c r="B248" t="inlineStr">
        <is>
          <t>flavokavain B</t>
        </is>
      </c>
      <c r="D248" t="inlineStr">
        <is>
          <t>chalcone</t>
        </is>
      </c>
      <c r="E248" t="inlineStr">
        <is>
          <t>proposed mechanism based on preclinical data: apoptosis-associated and anti-inflammatory signaling in cell models; no established human mechanism.</t>
        </is>
      </c>
      <c r="F248" t="inlineStr">
        <is>
          <t>unclassified</t>
        </is>
      </c>
      <c r="W248" t="n">
        <v>2</v>
      </c>
      <c r="X248" t="inlineStr">
        <is>
          <t>Low</t>
        </is>
      </c>
      <c r="Z248" t="inlineStr">
        <is>
          <t>flavokavain b</t>
        </is>
      </c>
      <c r="AF248" t="inlineStr">
        <is>
          <t>flavokavain b</t>
        </is>
      </c>
      <c r="AH248" t="inlineStr">
        <is>
          <t>Pass 45 duplicate consolidation</t>
        </is>
      </c>
      <c r="AI248" t="inlineStr">
        <is>
          <t>chalcone</t>
        </is>
      </c>
      <c r="AJ248" t="inlineStr">
        <is>
          <t>Human</t>
        </is>
      </c>
      <c r="AK248" t="inlineStr">
        <is>
          <t>unclassified</t>
        </is>
      </c>
      <c r="AL248" t="inlineStr">
        <is>
          <t>Pass 46 mechanism + evidence consolidation</t>
        </is>
      </c>
      <c r="AM248" t="n">
        <v>7</v>
      </c>
      <c r="AN248" t="inlineStr">
        <is>
          <t>B</t>
        </is>
      </c>
      <c r="AO248" t="inlineStr">
        <is>
          <t>Pass 47 compound scoring</t>
        </is>
      </c>
    </row>
    <row r="249">
      <c r="A249" t="inlineStr">
        <is>
          <t>flavokavain c</t>
        </is>
      </c>
      <c r="B249" t="inlineStr">
        <is>
          <t>flavokavain C</t>
        </is>
      </c>
      <c r="D249" t="inlineStr">
        <is>
          <t>chalcone</t>
        </is>
      </c>
      <c r="E249" t="inlineStr">
        <is>
          <t>proposed mechanism based on preclinical data: anti-inflammatory and redox-modulating signaling reported in constituent-level literature; no established human mechanism.</t>
        </is>
      </c>
      <c r="F249" t="inlineStr">
        <is>
          <t>unclassified</t>
        </is>
      </c>
      <c r="W249" t="n">
        <v>2</v>
      </c>
      <c r="X249" t="inlineStr">
        <is>
          <t>Low</t>
        </is>
      </c>
      <c r="Z249" t="inlineStr">
        <is>
          <t>flavokavain c</t>
        </is>
      </c>
      <c r="AF249" t="inlineStr">
        <is>
          <t>flavokavain c</t>
        </is>
      </c>
      <c r="AH249" t="inlineStr">
        <is>
          <t>Pass 45 duplicate consolidation</t>
        </is>
      </c>
      <c r="AI249" t="inlineStr">
        <is>
          <t>chalcone</t>
        </is>
      </c>
      <c r="AJ249" t="inlineStr">
        <is>
          <t>Human</t>
        </is>
      </c>
      <c r="AK249" t="inlineStr">
        <is>
          <t>unclassified</t>
        </is>
      </c>
      <c r="AL249" t="inlineStr">
        <is>
          <t>Pass 46 mechanism + evidence consolidation</t>
        </is>
      </c>
      <c r="AM249" t="n">
        <v>7</v>
      </c>
      <c r="AN249" t="inlineStr">
        <is>
          <t>B</t>
        </is>
      </c>
      <c r="AO249" t="inlineStr">
        <is>
          <t>Pass 47 compound scoring</t>
        </is>
      </c>
    </row>
    <row r="250">
      <c r="A250" t="inlineStr">
        <is>
          <t>formononetin</t>
        </is>
      </c>
      <c r="B250" t="inlineStr">
        <is>
          <t>formononetin</t>
        </is>
      </c>
      <c r="D250" t="inlineStr">
        <is>
          <t>other</t>
        </is>
      </c>
      <c r="E250" t="inlineStr">
        <is>
          <t>insufficient evidence</t>
        </is>
      </c>
      <c r="F250" t="inlineStr">
        <is>
          <t>unclassified</t>
        </is>
      </c>
      <c r="W250" t="n">
        <v>2</v>
      </c>
      <c r="X250" t="inlineStr">
        <is>
          <t>Low</t>
        </is>
      </c>
      <c r="Z250" t="inlineStr">
        <is>
          <t>formononetin</t>
        </is>
      </c>
      <c r="AF250" t="inlineStr">
        <is>
          <t>formononetin</t>
        </is>
      </c>
      <c r="AH250" t="inlineStr">
        <is>
          <t>Pass 45 duplicate consolidation</t>
        </is>
      </c>
      <c r="AI250" t="inlineStr">
        <is>
          <t>other</t>
        </is>
      </c>
      <c r="AJ250" t="inlineStr">
        <is>
          <t>Unknown</t>
        </is>
      </c>
      <c r="AK250" t="inlineStr">
        <is>
          <t>unclassified</t>
        </is>
      </c>
      <c r="AL250" t="inlineStr">
        <is>
          <t>Pass 46 mechanism + evidence consolidation</t>
        </is>
      </c>
      <c r="AM250" t="n">
        <v>3</v>
      </c>
      <c r="AN250" t="inlineStr">
        <is>
          <t>D</t>
        </is>
      </c>
      <c r="AO250" t="inlineStr">
        <is>
          <t>Pass 47 compound scoring</t>
        </is>
      </c>
    </row>
    <row r="251">
      <c r="A251" t="inlineStr">
        <is>
          <t>fraxin</t>
        </is>
      </c>
      <c r="B251" t="inlineStr">
        <is>
          <t>fraxin</t>
        </is>
      </c>
      <c r="D251" t="inlineStr">
        <is>
          <t>other</t>
        </is>
      </c>
      <c r="E251" t="inlineStr">
        <is>
          <t>insufficient evidence</t>
        </is>
      </c>
      <c r="F251" t="inlineStr">
        <is>
          <t>unclassified</t>
        </is>
      </c>
      <c r="W251" t="n">
        <v>2</v>
      </c>
      <c r="X251" t="inlineStr">
        <is>
          <t>Low</t>
        </is>
      </c>
      <c r="Z251" t="inlineStr">
        <is>
          <t>fraxin</t>
        </is>
      </c>
      <c r="AF251" t="inlineStr">
        <is>
          <t>fraxin</t>
        </is>
      </c>
      <c r="AH251" t="inlineStr">
        <is>
          <t>Pass 45 duplicate consolidation</t>
        </is>
      </c>
      <c r="AI251" t="inlineStr">
        <is>
          <t>other</t>
        </is>
      </c>
      <c r="AJ251" t="inlineStr">
        <is>
          <t>Unknown</t>
        </is>
      </c>
      <c r="AK251" t="inlineStr">
        <is>
          <t>unclassified</t>
        </is>
      </c>
      <c r="AL251" t="inlineStr">
        <is>
          <t>Pass 46 mechanism + evidence consolidation</t>
        </is>
      </c>
      <c r="AM251" t="n">
        <v>3</v>
      </c>
      <c r="AN251" t="inlineStr">
        <is>
          <t>D</t>
        </is>
      </c>
      <c r="AO251" t="inlineStr">
        <is>
          <t>Pass 47 compound scoring</t>
        </is>
      </c>
    </row>
    <row r="252">
      <c r="A252" t="inlineStr">
        <is>
          <t>fucoidan</t>
        </is>
      </c>
      <c r="B252" t="inlineStr">
        <is>
          <t>fucoidan</t>
        </is>
      </c>
      <c r="D252" t="inlineStr">
        <is>
          <t>other</t>
        </is>
      </c>
      <c r="E252" t="inlineStr">
        <is>
          <t>insufficient evidence</t>
        </is>
      </c>
      <c r="F252" t="inlineStr">
        <is>
          <t>unclassified</t>
        </is>
      </c>
      <c r="W252" t="n">
        <v>2</v>
      </c>
      <c r="X252" t="inlineStr">
        <is>
          <t>Low</t>
        </is>
      </c>
      <c r="Z252" t="inlineStr">
        <is>
          <t>fucoidan</t>
        </is>
      </c>
      <c r="AF252" t="inlineStr">
        <is>
          <t>fucoidan</t>
        </is>
      </c>
      <c r="AH252" t="inlineStr">
        <is>
          <t>Pass 45 duplicate consolidation</t>
        </is>
      </c>
      <c r="AI252" t="inlineStr">
        <is>
          <t>other</t>
        </is>
      </c>
      <c r="AJ252" t="inlineStr">
        <is>
          <t>Unknown</t>
        </is>
      </c>
      <c r="AK252" t="inlineStr">
        <is>
          <t>unclassified</t>
        </is>
      </c>
      <c r="AL252" t="inlineStr">
        <is>
          <t>Pass 46 mechanism + evidence consolidation</t>
        </is>
      </c>
      <c r="AM252" t="n">
        <v>3</v>
      </c>
      <c r="AN252" t="inlineStr">
        <is>
          <t>D</t>
        </is>
      </c>
      <c r="AO252" t="inlineStr">
        <is>
          <t>Pass 47 compound scoring</t>
        </is>
      </c>
    </row>
    <row r="253">
      <c r="A253" t="inlineStr">
        <is>
          <t>Fukinolic acid</t>
        </is>
      </c>
      <c r="B253" t="inlineStr">
        <is>
          <t>fukinolic acid</t>
        </is>
      </c>
      <c r="C253" t="inlineStr">
        <is>
          <t>Black Cohosh</t>
        </is>
      </c>
      <c r="D253" t="inlineStr">
        <is>
          <t>Anti-inflammatory and antioxidant support</t>
        </is>
      </c>
      <c r="E253" t="inlineStr">
        <is>
          <t>Proposed mechanism based on preclinical data: fukinolic acid is a phenolic constituent reported in black cohosh preparations and may contribute antioxidant and signaling effects, but the mechanistic evidence is limited and mixed.</t>
        </is>
      </c>
      <c r="F253" t="inlineStr">
        <is>
          <t>unclassified; reinforcement</t>
        </is>
      </c>
      <c r="U253" t="inlineStr">
        <is>
          <t>Pass 45 merged 2 rows into canonical compound entry</t>
        </is>
      </c>
      <c r="W253" t="n">
        <v>3</v>
      </c>
      <c r="X253" t="inlineStr">
        <is>
          <t>Medium</t>
        </is>
      </c>
      <c r="Z253" t="inlineStr">
        <is>
          <t>Fukinolic acid</t>
        </is>
      </c>
      <c r="AF253" t="inlineStr">
        <is>
          <t>fukinolic acid</t>
        </is>
      </c>
      <c r="AH253" t="inlineStr">
        <is>
          <t>Pass 45 duplicate consolidation</t>
        </is>
      </c>
      <c r="AI253" t="inlineStr">
        <is>
          <t>Anti-inflammatory and antioxidant support</t>
        </is>
      </c>
      <c r="AJ253" t="inlineStr">
        <is>
          <t>Clinical</t>
        </is>
      </c>
      <c r="AK253" t="inlineStr">
        <is>
          <t>reinforcement; unclassified</t>
        </is>
      </c>
      <c r="AL253" t="inlineStr">
        <is>
          <t>Pass 46 mechanism + evidence consolidation</t>
        </is>
      </c>
      <c r="AM253" t="n">
        <v>7</v>
      </c>
      <c r="AN253" t="inlineStr">
        <is>
          <t>B</t>
        </is>
      </c>
      <c r="AO253" t="inlineStr">
        <is>
          <t>Pass 47 compound scoring</t>
        </is>
      </c>
    </row>
    <row r="254">
      <c r="A254" t="inlineStr">
        <is>
          <t>galangin</t>
        </is>
      </c>
      <c r="B254" t="inlineStr">
        <is>
          <t>galangin</t>
        </is>
      </c>
      <c r="D254" t="inlineStr">
        <is>
          <t>flavonol</t>
        </is>
      </c>
      <c r="E254" t="inlineStr">
        <is>
          <t>Galangal constituent associated with digestive and aromatic positioning.</t>
        </is>
      </c>
      <c r="F254" t="inlineStr">
        <is>
          <t>unclassified</t>
        </is>
      </c>
      <c r="W254" t="n">
        <v>2</v>
      </c>
      <c r="X254" t="inlineStr">
        <is>
          <t>Low</t>
        </is>
      </c>
      <c r="Z254" t="inlineStr">
        <is>
          <t>galangin</t>
        </is>
      </c>
      <c r="AF254" t="inlineStr">
        <is>
          <t>galangin</t>
        </is>
      </c>
      <c r="AH254" t="inlineStr">
        <is>
          <t>Pass 45 duplicate consolidation</t>
        </is>
      </c>
      <c r="AI254" t="inlineStr">
        <is>
          <t>flavonol</t>
        </is>
      </c>
      <c r="AJ254" t="inlineStr">
        <is>
          <t>Unknown</t>
        </is>
      </c>
      <c r="AK254" t="inlineStr">
        <is>
          <t>unclassified</t>
        </is>
      </c>
      <c r="AL254" t="inlineStr">
        <is>
          <t>Pass 46 mechanism + evidence consolidation</t>
        </is>
      </c>
      <c r="AM254" t="n">
        <v>3</v>
      </c>
      <c r="AN254" t="inlineStr">
        <is>
          <t>D</t>
        </is>
      </c>
      <c r="AO254" t="inlineStr">
        <is>
          <t>Pass 47 compound scoring</t>
        </is>
      </c>
    </row>
    <row r="255">
      <c r="A255" t="inlineStr">
        <is>
          <t>gallic acid</t>
        </is>
      </c>
      <c r="B255" t="inlineStr">
        <is>
          <t>gallic acid</t>
        </is>
      </c>
      <c r="D255" t="inlineStr">
        <is>
          <t>tannins</t>
        </is>
      </c>
      <c r="E255" t="inlineStr">
        <is>
          <t>insufficient evidence</t>
        </is>
      </c>
      <c r="F255" t="inlineStr">
        <is>
          <t>unclassified</t>
        </is>
      </c>
      <c r="W255" t="n">
        <v>2</v>
      </c>
      <c r="X255" t="inlineStr">
        <is>
          <t>Low</t>
        </is>
      </c>
      <c r="Z255" t="inlineStr">
        <is>
          <t>gallic acid</t>
        </is>
      </c>
      <c r="AF255" t="inlineStr">
        <is>
          <t>gallic acid</t>
        </is>
      </c>
      <c r="AH255" t="inlineStr">
        <is>
          <t>Pass 45 duplicate consolidation</t>
        </is>
      </c>
      <c r="AI255" t="inlineStr">
        <is>
          <t>tannins</t>
        </is>
      </c>
      <c r="AJ255" t="inlineStr">
        <is>
          <t>Unknown</t>
        </is>
      </c>
      <c r="AK255" t="inlineStr">
        <is>
          <t>unclassified</t>
        </is>
      </c>
      <c r="AL255" t="inlineStr">
        <is>
          <t>Pass 46 mechanism + evidence consolidation</t>
        </is>
      </c>
      <c r="AM255" t="n">
        <v>3</v>
      </c>
      <c r="AN255" t="inlineStr">
        <is>
          <t>D</t>
        </is>
      </c>
      <c r="AO255" t="inlineStr">
        <is>
          <t>Pass 47 compound scoring</t>
        </is>
      </c>
    </row>
    <row r="256">
      <c r="A256" t="inlineStr">
        <is>
          <t>gamma-aminobutyric acid</t>
        </is>
      </c>
      <c r="B256" t="inlineStr">
        <is>
          <t>gamma-aminobutyric acid (GABA)</t>
        </is>
      </c>
      <c r="D256" t="inlineStr">
        <is>
          <t>amino acid derivative</t>
        </is>
      </c>
      <c r="E256" t="inlineStr">
        <is>
          <t>Endogenous ligand at GABA-A (ionotropic chloride channel) and GABA-B (metabotropic GPCR) receptors.</t>
        </is>
      </c>
      <c r="F256" t="inlineStr">
        <is>
          <t>unclassified</t>
        </is>
      </c>
      <c r="W256" t="n">
        <v>2</v>
      </c>
      <c r="X256" t="inlineStr">
        <is>
          <t>Low</t>
        </is>
      </c>
      <c r="Z256" t="inlineStr">
        <is>
          <t>gamma-aminobutyric acid</t>
        </is>
      </c>
      <c r="AF256" t="inlineStr">
        <is>
          <t>gamma aminobutyric acid</t>
        </is>
      </c>
      <c r="AH256" t="inlineStr">
        <is>
          <t>Pass 45 duplicate consolidation</t>
        </is>
      </c>
      <c r="AI256" t="inlineStr">
        <is>
          <t>amino acid derivative</t>
        </is>
      </c>
      <c r="AJ256" t="inlineStr">
        <is>
          <t>Unknown</t>
        </is>
      </c>
      <c r="AK256" t="inlineStr">
        <is>
          <t>unclassified</t>
        </is>
      </c>
      <c r="AL256" t="inlineStr">
        <is>
          <t>Pass 46 mechanism + evidence consolidation</t>
        </is>
      </c>
      <c r="AM256" t="n">
        <v>3</v>
      </c>
      <c r="AN256" t="inlineStr">
        <is>
          <t>D</t>
        </is>
      </c>
      <c r="AO256" t="inlineStr">
        <is>
          <t>Pass 47 compound scoring</t>
        </is>
      </c>
    </row>
    <row r="257">
      <c r="A257" t="inlineStr">
        <is>
          <t>gamma-linolenic acid</t>
        </is>
      </c>
      <c r="B257" t="inlineStr">
        <is>
          <t>gamma-linolenic acid</t>
        </is>
      </c>
      <c r="D257" t="inlineStr">
        <is>
          <t>pyrrolizidine alkaloids</t>
        </is>
      </c>
      <c r="E257" t="inlineStr">
        <is>
          <t>insufficient evidence</t>
        </is>
      </c>
      <c r="F257" t="inlineStr">
        <is>
          <t>unclassified</t>
        </is>
      </c>
      <c r="W257" t="n">
        <v>2</v>
      </c>
      <c r="X257" t="inlineStr">
        <is>
          <t>Low</t>
        </is>
      </c>
      <c r="Z257" t="inlineStr">
        <is>
          <t>gamma-linolenic acid</t>
        </is>
      </c>
      <c r="AF257" t="inlineStr">
        <is>
          <t>gamma linolenic acid</t>
        </is>
      </c>
      <c r="AH257" t="inlineStr">
        <is>
          <t>Pass 45 duplicate consolidation</t>
        </is>
      </c>
      <c r="AI257" t="inlineStr">
        <is>
          <t>pyrrolizidine alkaloids</t>
        </is>
      </c>
      <c r="AJ257" t="inlineStr">
        <is>
          <t>Unknown</t>
        </is>
      </c>
      <c r="AK257" t="inlineStr">
        <is>
          <t>unclassified</t>
        </is>
      </c>
      <c r="AL257" t="inlineStr">
        <is>
          <t>Pass 46 mechanism + evidence consolidation</t>
        </is>
      </c>
      <c r="AM257" t="n">
        <v>3</v>
      </c>
      <c r="AN257" t="inlineStr">
        <is>
          <t>D</t>
        </is>
      </c>
      <c r="AO257" t="inlineStr">
        <is>
          <t>Pass 47 compound scoring</t>
        </is>
      </c>
    </row>
    <row r="258">
      <c r="A258" t="inlineStr">
        <is>
          <t>gastrodin</t>
        </is>
      </c>
      <c r="B258" t="inlineStr">
        <is>
          <t>gastrodin</t>
        </is>
      </c>
      <c r="D258" t="inlineStr">
        <is>
          <t>phenolic glycoside</t>
        </is>
      </c>
      <c r="E258" t="inlineStr">
        <is>
          <t>Gastrodia constituent associated with traditional neurological and calming positioning.</t>
        </is>
      </c>
      <c r="F258" t="inlineStr">
        <is>
          <t>unclassified</t>
        </is>
      </c>
      <c r="W258" t="n">
        <v>2</v>
      </c>
      <c r="X258" t="inlineStr">
        <is>
          <t>Low</t>
        </is>
      </c>
      <c r="Z258" t="inlineStr">
        <is>
          <t>gastrodin</t>
        </is>
      </c>
      <c r="AF258" t="inlineStr">
        <is>
          <t>gastrodin</t>
        </is>
      </c>
      <c r="AH258" t="inlineStr">
        <is>
          <t>Pass 45 duplicate consolidation</t>
        </is>
      </c>
      <c r="AI258" t="inlineStr">
        <is>
          <t>phenolic glycoside</t>
        </is>
      </c>
      <c r="AJ258" t="inlineStr">
        <is>
          <t>Unknown</t>
        </is>
      </c>
      <c r="AK258" t="inlineStr">
        <is>
          <t>unclassified</t>
        </is>
      </c>
      <c r="AL258" t="inlineStr">
        <is>
          <t>Pass 46 mechanism + evidence consolidation</t>
        </is>
      </c>
      <c r="AM258" t="n">
        <v>3</v>
      </c>
      <c r="AN258" t="inlineStr">
        <is>
          <t>D</t>
        </is>
      </c>
      <c r="AO258" t="inlineStr">
        <is>
          <t>Pass 47 compound scoring</t>
        </is>
      </c>
    </row>
    <row r="259">
      <c r="A259" t="inlineStr">
        <is>
          <t>gelsedine</t>
        </is>
      </c>
      <c r="B259" t="inlineStr">
        <is>
          <t>gelsedine</t>
        </is>
      </c>
      <c r="D259" t="inlineStr">
        <is>
          <t>other</t>
        </is>
      </c>
      <c r="E259" t="inlineStr">
        <is>
          <t>Gelsemium alkaloids act on the central and peripheral nervous system; gelsemine has demonstrated antinociceptive activity at spinal alpha3 glycine receptors, while toxic alkaloids can cause convulsions and respiratory failure.</t>
        </is>
      </c>
      <c r="F259" t="inlineStr">
        <is>
          <t>unclassified</t>
        </is>
      </c>
      <c r="W259" t="n">
        <v>2</v>
      </c>
      <c r="X259" t="inlineStr">
        <is>
          <t>Low</t>
        </is>
      </c>
      <c r="Z259" t="inlineStr">
        <is>
          <t>gelsedine</t>
        </is>
      </c>
      <c r="AF259" t="inlineStr">
        <is>
          <t>gelsedine</t>
        </is>
      </c>
      <c r="AH259" t="inlineStr">
        <is>
          <t>Pass 45 duplicate consolidation</t>
        </is>
      </c>
      <c r="AI259" t="inlineStr">
        <is>
          <t>other</t>
        </is>
      </c>
      <c r="AJ259" t="inlineStr">
        <is>
          <t>Unknown</t>
        </is>
      </c>
      <c r="AK259" t="inlineStr">
        <is>
          <t>unclassified</t>
        </is>
      </c>
      <c r="AL259" t="inlineStr">
        <is>
          <t>Pass 46 mechanism + evidence consolidation</t>
        </is>
      </c>
      <c r="AM259" t="n">
        <v>3</v>
      </c>
      <c r="AN259" t="inlineStr">
        <is>
          <t>D</t>
        </is>
      </c>
      <c r="AO259" t="inlineStr">
        <is>
          <t>Pass 47 compound scoring</t>
        </is>
      </c>
    </row>
    <row r="260">
      <c r="A260" t="inlineStr">
        <is>
          <t>gelsemicine</t>
        </is>
      </c>
      <c r="B260" t="inlineStr">
        <is>
          <t>gelsemicine</t>
        </is>
      </c>
      <c r="D260" t="inlineStr">
        <is>
          <t>other</t>
        </is>
      </c>
      <c r="E260" t="inlineStr">
        <is>
          <t>Gelsemium alkaloids act on the central and peripheral nervous system; gelsemine has demonstrated antinociceptive activity at spinal alpha3 glycine receptors, while toxic alkaloids can cause convulsions and respiratory failure.</t>
        </is>
      </c>
      <c r="F260" t="inlineStr">
        <is>
          <t>unclassified</t>
        </is>
      </c>
      <c r="W260" t="n">
        <v>2</v>
      </c>
      <c r="X260" t="inlineStr">
        <is>
          <t>Low</t>
        </is>
      </c>
      <c r="Z260" t="inlineStr">
        <is>
          <t>gelsemicine</t>
        </is>
      </c>
      <c r="AF260" t="inlineStr">
        <is>
          <t>gelsemicine</t>
        </is>
      </c>
      <c r="AH260" t="inlineStr">
        <is>
          <t>Pass 45 duplicate consolidation</t>
        </is>
      </c>
      <c r="AI260" t="inlineStr">
        <is>
          <t>other</t>
        </is>
      </c>
      <c r="AJ260" t="inlineStr">
        <is>
          <t>Unknown</t>
        </is>
      </c>
      <c r="AK260" t="inlineStr">
        <is>
          <t>unclassified</t>
        </is>
      </c>
      <c r="AL260" t="inlineStr">
        <is>
          <t>Pass 46 mechanism + evidence consolidation</t>
        </is>
      </c>
      <c r="AM260" t="n">
        <v>3</v>
      </c>
      <c r="AN260" t="inlineStr">
        <is>
          <t>D</t>
        </is>
      </c>
      <c r="AO260" t="inlineStr">
        <is>
          <t>Pass 47 compound scoring</t>
        </is>
      </c>
    </row>
    <row r="261">
      <c r="A261" t="inlineStr">
        <is>
          <t>gelsemine</t>
        </is>
      </c>
      <c r="B261" t="inlineStr">
        <is>
          <t>gelsemine</t>
        </is>
      </c>
      <c r="D261" t="inlineStr">
        <is>
          <t>other</t>
        </is>
      </c>
      <c r="E261" t="inlineStr">
        <is>
          <t>Gelsemium alkaloids act on the central and peripheral nervous system; gelsemine has demonstrated antinociceptive activity at spinal alpha3 glycine receptors, while toxic alkaloids can cause convulsions and respiratory failure.</t>
        </is>
      </c>
      <c r="F261" t="inlineStr">
        <is>
          <t>unclassified</t>
        </is>
      </c>
      <c r="W261" t="n">
        <v>2</v>
      </c>
      <c r="X261" t="inlineStr">
        <is>
          <t>Low</t>
        </is>
      </c>
      <c r="Z261" t="inlineStr">
        <is>
          <t>gelsemine</t>
        </is>
      </c>
      <c r="AF261" t="inlineStr">
        <is>
          <t>gelsemine</t>
        </is>
      </c>
      <c r="AH261" t="inlineStr">
        <is>
          <t>Pass 45 duplicate consolidation</t>
        </is>
      </c>
      <c r="AI261" t="inlineStr">
        <is>
          <t>other</t>
        </is>
      </c>
      <c r="AJ261" t="inlineStr">
        <is>
          <t>Unknown</t>
        </is>
      </c>
      <c r="AK261" t="inlineStr">
        <is>
          <t>unclassified</t>
        </is>
      </c>
      <c r="AL261" t="inlineStr">
        <is>
          <t>Pass 46 mechanism + evidence consolidation</t>
        </is>
      </c>
      <c r="AM261" t="n">
        <v>3</v>
      </c>
      <c r="AN261" t="inlineStr">
        <is>
          <t>D</t>
        </is>
      </c>
      <c r="AO261" t="inlineStr">
        <is>
          <t>Pass 47 compound scoring</t>
        </is>
      </c>
    </row>
    <row r="262">
      <c r="A262" t="inlineStr">
        <is>
          <t>gelseminine</t>
        </is>
      </c>
      <c r="B262" t="inlineStr">
        <is>
          <t>gelseminine</t>
        </is>
      </c>
      <c r="D262" t="inlineStr">
        <is>
          <t>other</t>
        </is>
      </c>
      <c r="E262" t="inlineStr">
        <is>
          <t>Gelsemium alkaloids act on the central and peripheral nervous system; gelsemine has demonstrated antinociceptive activity at spinal alpha3 glycine receptors, while toxic alkaloids can cause convulsions and respiratory failure.</t>
        </is>
      </c>
      <c r="F262" t="inlineStr">
        <is>
          <t>unclassified</t>
        </is>
      </c>
      <c r="W262" t="n">
        <v>2</v>
      </c>
      <c r="X262" t="inlineStr">
        <is>
          <t>Low</t>
        </is>
      </c>
      <c r="Z262" t="inlineStr">
        <is>
          <t>gelseminine</t>
        </is>
      </c>
      <c r="AF262" t="inlineStr">
        <is>
          <t>gelseminine</t>
        </is>
      </c>
      <c r="AH262" t="inlineStr">
        <is>
          <t>Pass 45 duplicate consolidation</t>
        </is>
      </c>
      <c r="AI262" t="inlineStr">
        <is>
          <t>other</t>
        </is>
      </c>
      <c r="AJ262" t="inlineStr">
        <is>
          <t>Unknown</t>
        </is>
      </c>
      <c r="AK262" t="inlineStr">
        <is>
          <t>unclassified</t>
        </is>
      </c>
      <c r="AL262" t="inlineStr">
        <is>
          <t>Pass 46 mechanism + evidence consolidation</t>
        </is>
      </c>
      <c r="AM262" t="n">
        <v>3</v>
      </c>
      <c r="AN262" t="inlineStr">
        <is>
          <t>D</t>
        </is>
      </c>
      <c r="AO262" t="inlineStr">
        <is>
          <t>Pass 47 compound scoring</t>
        </is>
      </c>
    </row>
    <row r="263">
      <c r="A263" t="inlineStr">
        <is>
          <t>gelseverine</t>
        </is>
      </c>
      <c r="B263" t="inlineStr">
        <is>
          <t>gelseverine</t>
        </is>
      </c>
      <c r="D263" t="inlineStr">
        <is>
          <t>other</t>
        </is>
      </c>
      <c r="E263" t="inlineStr">
        <is>
          <t>Gelsemium alkaloids act on the central and peripheral nervous system; gelsemine has demonstrated antinociceptive activity at spinal alpha3 glycine receptors, while toxic alkaloids can cause convulsions and respiratory failure.</t>
        </is>
      </c>
      <c r="F263" t="inlineStr">
        <is>
          <t>unclassified</t>
        </is>
      </c>
      <c r="W263" t="n">
        <v>2</v>
      </c>
      <c r="X263" t="inlineStr">
        <is>
          <t>Low</t>
        </is>
      </c>
      <c r="Z263" t="inlineStr">
        <is>
          <t>gelseverine</t>
        </is>
      </c>
      <c r="AF263" t="inlineStr">
        <is>
          <t>gelseverine</t>
        </is>
      </c>
      <c r="AH263" t="inlineStr">
        <is>
          <t>Pass 45 duplicate consolidation</t>
        </is>
      </c>
      <c r="AI263" t="inlineStr">
        <is>
          <t>other</t>
        </is>
      </c>
      <c r="AJ263" t="inlineStr">
        <is>
          <t>Unknown</t>
        </is>
      </c>
      <c r="AK263" t="inlineStr">
        <is>
          <t>unclassified</t>
        </is>
      </c>
      <c r="AL263" t="inlineStr">
        <is>
          <t>Pass 46 mechanism + evidence consolidation</t>
        </is>
      </c>
      <c r="AM263" t="n">
        <v>3</v>
      </c>
      <c r="AN263" t="inlineStr">
        <is>
          <t>D</t>
        </is>
      </c>
      <c r="AO263" t="inlineStr">
        <is>
          <t>Pass 47 compound scoring</t>
        </is>
      </c>
    </row>
    <row r="264">
      <c r="A264" t="inlineStr">
        <is>
          <t>geniposide</t>
        </is>
      </c>
      <c r="B264" t="inlineStr">
        <is>
          <t>geniposide</t>
        </is>
      </c>
      <c r="D264" t="inlineStr">
        <is>
          <t>other</t>
        </is>
      </c>
      <c r="E264" t="inlineStr">
        <is>
          <t>insufficient evidence</t>
        </is>
      </c>
      <c r="F264" t="inlineStr">
        <is>
          <t>unclassified</t>
        </is>
      </c>
      <c r="W264" t="n">
        <v>2</v>
      </c>
      <c r="X264" t="inlineStr">
        <is>
          <t>Low</t>
        </is>
      </c>
      <c r="Z264" t="inlineStr">
        <is>
          <t>geniposide</t>
        </is>
      </c>
      <c r="AF264" t="inlineStr">
        <is>
          <t>geniposide</t>
        </is>
      </c>
      <c r="AH264" t="inlineStr">
        <is>
          <t>Pass 45 duplicate consolidation</t>
        </is>
      </c>
      <c r="AI264" t="inlineStr">
        <is>
          <t>other</t>
        </is>
      </c>
      <c r="AJ264" t="inlineStr">
        <is>
          <t>Unknown</t>
        </is>
      </c>
      <c r="AK264" t="inlineStr">
        <is>
          <t>unclassified</t>
        </is>
      </c>
      <c r="AL264" t="inlineStr">
        <is>
          <t>Pass 46 mechanism + evidence consolidation</t>
        </is>
      </c>
      <c r="AM264" t="n">
        <v>3</v>
      </c>
      <c r="AN264" t="inlineStr">
        <is>
          <t>D</t>
        </is>
      </c>
      <c r="AO264" t="inlineStr">
        <is>
          <t>Pass 47 compound scoring</t>
        </is>
      </c>
    </row>
    <row r="265">
      <c r="A265" t="inlineStr">
        <is>
          <t>geniposidic acid</t>
        </is>
      </c>
      <c r="B265" t="inlineStr">
        <is>
          <t>geniposidic acid</t>
        </is>
      </c>
      <c r="D265" t="inlineStr">
        <is>
          <t>iridoid glycoside</t>
        </is>
      </c>
      <c r="E265" t="inlineStr">
        <is>
          <t>Eucommia constituent associated with connective-tissue and cardiometabolic positioning.</t>
        </is>
      </c>
      <c r="F265" t="inlineStr">
        <is>
          <t>unclassified</t>
        </is>
      </c>
      <c r="W265" t="n">
        <v>2</v>
      </c>
      <c r="X265" t="inlineStr">
        <is>
          <t>Low</t>
        </is>
      </c>
      <c r="Z265" t="inlineStr">
        <is>
          <t>geniposidic acid</t>
        </is>
      </c>
      <c r="AF265" t="inlineStr">
        <is>
          <t>geniposidic acid</t>
        </is>
      </c>
      <c r="AH265" t="inlineStr">
        <is>
          <t>Pass 45 duplicate consolidation</t>
        </is>
      </c>
      <c r="AI265" t="inlineStr">
        <is>
          <t>iridoid glycoside</t>
        </is>
      </c>
      <c r="AJ265" t="inlineStr">
        <is>
          <t>Unknown</t>
        </is>
      </c>
      <c r="AK265" t="inlineStr">
        <is>
          <t>unclassified</t>
        </is>
      </c>
      <c r="AL265" t="inlineStr">
        <is>
          <t>Pass 46 mechanism + evidence consolidation</t>
        </is>
      </c>
      <c r="AM265" t="n">
        <v>3</v>
      </c>
      <c r="AN265" t="inlineStr">
        <is>
          <t>D</t>
        </is>
      </c>
      <c r="AO265" t="inlineStr">
        <is>
          <t>Pass 47 compound scoring</t>
        </is>
      </c>
    </row>
    <row r="266">
      <c r="A266" t="inlineStr">
        <is>
          <t>genistein</t>
        </is>
      </c>
      <c r="B266" t="inlineStr">
        <is>
          <t>genistein</t>
        </is>
      </c>
      <c r="D266" t="inlineStr">
        <is>
          <t>isoflavone</t>
        </is>
      </c>
      <c r="E266" t="inlineStr">
        <is>
          <t>Tyrosine kinase inhibition and estrogen receptor modulation</t>
        </is>
      </c>
      <c r="F266" t="inlineStr">
        <is>
          <t>unclassified</t>
        </is>
      </c>
      <c r="W266" t="n">
        <v>2</v>
      </c>
      <c r="X266" t="inlineStr">
        <is>
          <t>Low</t>
        </is>
      </c>
      <c r="Z266" t="inlineStr">
        <is>
          <t>genistein</t>
        </is>
      </c>
      <c r="AF266" t="inlineStr">
        <is>
          <t>genistein</t>
        </is>
      </c>
      <c r="AH266" t="inlineStr">
        <is>
          <t>Pass 45 duplicate consolidation</t>
        </is>
      </c>
      <c r="AI266" t="inlineStr">
        <is>
          <t>isoflavone</t>
        </is>
      </c>
      <c r="AJ266" t="inlineStr">
        <is>
          <t>Unknown</t>
        </is>
      </c>
      <c r="AK266" t="inlineStr">
        <is>
          <t>unclassified</t>
        </is>
      </c>
      <c r="AL266" t="inlineStr">
        <is>
          <t>Pass 46 mechanism + evidence consolidation</t>
        </is>
      </c>
      <c r="AM266" t="n">
        <v>3</v>
      </c>
      <c r="AN266" t="inlineStr">
        <is>
          <t>D</t>
        </is>
      </c>
      <c r="AO266" t="inlineStr">
        <is>
          <t>Pass 47 compound scoring</t>
        </is>
      </c>
    </row>
    <row r="267">
      <c r="A267" t="inlineStr">
        <is>
          <t>gentiopicroside</t>
        </is>
      </c>
      <c r="B267" t="inlineStr">
        <is>
          <t>gentiopicroside</t>
        </is>
      </c>
      <c r="D267" t="inlineStr">
        <is>
          <t>other</t>
        </is>
      </c>
      <c r="E267" t="inlineStr">
        <is>
          <t>insufficient evidence</t>
        </is>
      </c>
      <c r="F267" t="inlineStr">
        <is>
          <t>unclassified</t>
        </is>
      </c>
      <c r="W267" t="n">
        <v>2</v>
      </c>
      <c r="X267" t="inlineStr">
        <is>
          <t>Low</t>
        </is>
      </c>
      <c r="Z267" t="inlineStr">
        <is>
          <t>gentiopicroside</t>
        </is>
      </c>
      <c r="AF267" t="inlineStr">
        <is>
          <t>gentiopicroside</t>
        </is>
      </c>
      <c r="AH267" t="inlineStr">
        <is>
          <t>Pass 45 duplicate consolidation</t>
        </is>
      </c>
      <c r="AI267" t="inlineStr">
        <is>
          <t>other</t>
        </is>
      </c>
      <c r="AJ267" t="inlineStr">
        <is>
          <t>Unknown</t>
        </is>
      </c>
      <c r="AK267" t="inlineStr">
        <is>
          <t>unclassified</t>
        </is>
      </c>
      <c r="AL267" t="inlineStr">
        <is>
          <t>Pass 46 mechanism + evidence consolidation</t>
        </is>
      </c>
      <c r="AM267" t="n">
        <v>3</v>
      </c>
      <c r="AN267" t="inlineStr">
        <is>
          <t>D</t>
        </is>
      </c>
      <c r="AO267" t="inlineStr">
        <is>
          <t>Pass 47 compound scoring</t>
        </is>
      </c>
    </row>
    <row r="268">
      <c r="A268" t="inlineStr">
        <is>
          <t>geranial</t>
        </is>
      </c>
      <c r="B268" t="inlineStr">
        <is>
          <t>geranial</t>
        </is>
      </c>
      <c r="D268" t="inlineStr">
        <is>
          <t>flavonoids</t>
        </is>
      </c>
      <c r="E268" t="inlineStr">
        <is>
          <t>insufficient evidence</t>
        </is>
      </c>
      <c r="F268" t="inlineStr">
        <is>
          <t>unclassified</t>
        </is>
      </c>
      <c r="W268" t="n">
        <v>2</v>
      </c>
      <c r="X268" t="inlineStr">
        <is>
          <t>Low</t>
        </is>
      </c>
      <c r="Z268" t="inlineStr">
        <is>
          <t>geranial</t>
        </is>
      </c>
      <c r="AF268" t="inlineStr">
        <is>
          <t>geranial</t>
        </is>
      </c>
      <c r="AH268" t="inlineStr">
        <is>
          <t>Pass 45 duplicate consolidation</t>
        </is>
      </c>
      <c r="AI268" t="inlineStr">
        <is>
          <t>flavonoids</t>
        </is>
      </c>
      <c r="AJ268" t="inlineStr">
        <is>
          <t>Unknown</t>
        </is>
      </c>
      <c r="AK268" t="inlineStr">
        <is>
          <t>unclassified</t>
        </is>
      </c>
      <c r="AL268" t="inlineStr">
        <is>
          <t>Pass 46 mechanism + evidence consolidation</t>
        </is>
      </c>
      <c r="AM268" t="n">
        <v>3</v>
      </c>
      <c r="AN268" t="inlineStr">
        <is>
          <t>D</t>
        </is>
      </c>
      <c r="AO268" t="inlineStr">
        <is>
          <t>Pass 47 compound scoring</t>
        </is>
      </c>
    </row>
    <row r="269">
      <c r="A269" t="inlineStr">
        <is>
          <t>geraniin</t>
        </is>
      </c>
      <c r="B269" t="inlineStr">
        <is>
          <t>geraniin</t>
        </is>
      </c>
      <c r="D269" t="inlineStr">
        <is>
          <t>Tannins, flavonoids, geraniin</t>
        </is>
      </c>
      <c r="E269" t="inlineStr">
        <is>
          <t>insufficient evidence</t>
        </is>
      </c>
      <c r="F269" t="inlineStr">
        <is>
          <t>unclassified</t>
        </is>
      </c>
      <c r="W269" t="n">
        <v>2</v>
      </c>
      <c r="X269" t="inlineStr">
        <is>
          <t>Low</t>
        </is>
      </c>
      <c r="Z269" t="inlineStr">
        <is>
          <t>geraniin</t>
        </is>
      </c>
      <c r="AF269" t="inlineStr">
        <is>
          <t>geraniin</t>
        </is>
      </c>
      <c r="AH269" t="inlineStr">
        <is>
          <t>Pass 45 duplicate consolidation</t>
        </is>
      </c>
      <c r="AI269" t="inlineStr">
        <is>
          <t>Tannins, flavonoids, geraniin</t>
        </is>
      </c>
      <c r="AJ269" t="inlineStr">
        <is>
          <t>Unknown</t>
        </is>
      </c>
      <c r="AK269" t="inlineStr">
        <is>
          <t>unclassified</t>
        </is>
      </c>
      <c r="AL269" t="inlineStr">
        <is>
          <t>Pass 46 mechanism + evidence consolidation</t>
        </is>
      </c>
      <c r="AM269" t="n">
        <v>3</v>
      </c>
      <c r="AN269" t="inlineStr">
        <is>
          <t>D</t>
        </is>
      </c>
      <c r="AO269" t="inlineStr">
        <is>
          <t>Pass 47 compound scoring</t>
        </is>
      </c>
    </row>
    <row r="270">
      <c r="A270" t="inlineStr">
        <is>
          <t>geraniol</t>
        </is>
      </c>
      <c r="B270" t="inlineStr">
        <is>
          <t>geraniol</t>
        </is>
      </c>
      <c r="D270" t="inlineStr">
        <is>
          <t>Citral, geraniol, flavonoids</t>
        </is>
      </c>
      <c r="E270" t="inlineStr">
        <is>
          <t>insufficient evidence</t>
        </is>
      </c>
      <c r="F270" t="inlineStr">
        <is>
          <t>unclassified</t>
        </is>
      </c>
      <c r="W270" t="n">
        <v>2</v>
      </c>
      <c r="X270" t="inlineStr">
        <is>
          <t>Low</t>
        </is>
      </c>
      <c r="Z270" t="inlineStr">
        <is>
          <t>geraniol</t>
        </is>
      </c>
      <c r="AF270" t="inlineStr">
        <is>
          <t>geraniol</t>
        </is>
      </c>
      <c r="AH270" t="inlineStr">
        <is>
          <t>Pass 45 duplicate consolidation</t>
        </is>
      </c>
      <c r="AI270" t="inlineStr">
        <is>
          <t>Citral, geraniol, flavonoids</t>
        </is>
      </c>
      <c r="AJ270" t="inlineStr">
        <is>
          <t>Unknown</t>
        </is>
      </c>
      <c r="AK270" t="inlineStr">
        <is>
          <t>unclassified</t>
        </is>
      </c>
      <c r="AL270" t="inlineStr">
        <is>
          <t>Pass 46 mechanism + evidence consolidation</t>
        </is>
      </c>
      <c r="AM270" t="n">
        <v>3</v>
      </c>
      <c r="AN270" t="inlineStr">
        <is>
          <t>D</t>
        </is>
      </c>
      <c r="AO270" t="inlineStr">
        <is>
          <t>Pass 47 compound scoring</t>
        </is>
      </c>
    </row>
    <row r="271">
      <c r="A271" t="inlineStr">
        <is>
          <t>ginkgetin</t>
        </is>
      </c>
      <c r="B271" t="inlineStr">
        <is>
          <t>ginkgetin</t>
        </is>
      </c>
      <c r="D271" t="inlineStr">
        <is>
          <t>biflavonoid</t>
        </is>
      </c>
      <c r="E271" t="inlineStr">
        <is>
          <t>proposed mechanism based on preclinical data: anti-inflammatory signaling with dual COX-2/5-lipoxygenase inhibition and suppression of degranulation reported in cell and animal models.</t>
        </is>
      </c>
      <c r="F271" t="inlineStr">
        <is>
          <t>unclassified</t>
        </is>
      </c>
      <c r="W271" t="n">
        <v>2</v>
      </c>
      <c r="X271" t="inlineStr">
        <is>
          <t>Low</t>
        </is>
      </c>
      <c r="Z271" t="inlineStr">
        <is>
          <t>ginkgetin</t>
        </is>
      </c>
      <c r="AF271" t="inlineStr">
        <is>
          <t>ginkgetin</t>
        </is>
      </c>
      <c r="AH271" t="inlineStr">
        <is>
          <t>Pass 45 duplicate consolidation</t>
        </is>
      </c>
      <c r="AI271" t="inlineStr">
        <is>
          <t>biflavonoid</t>
        </is>
      </c>
      <c r="AJ271" t="inlineStr">
        <is>
          <t>Clinical</t>
        </is>
      </c>
      <c r="AK271" t="inlineStr">
        <is>
          <t>unclassified</t>
        </is>
      </c>
      <c r="AL271" t="inlineStr">
        <is>
          <t>Pass 46 mechanism + evidence consolidation</t>
        </is>
      </c>
      <c r="AM271" t="n">
        <v>6</v>
      </c>
      <c r="AN271" t="inlineStr">
        <is>
          <t>C</t>
        </is>
      </c>
      <c r="AO271" t="inlineStr">
        <is>
          <t>Pass 47 compound scoring</t>
        </is>
      </c>
    </row>
    <row r="272">
      <c r="A272" t="inlineStr">
        <is>
          <t>ginkgo biloba ginkgolides</t>
        </is>
      </c>
      <c r="B272" t="inlineStr">
        <is>
          <t>ginkgo biloba (ginkgolides)</t>
        </is>
      </c>
      <c r="D272" t="inlineStr">
        <is>
          <t>terpenoid</t>
        </is>
      </c>
      <c r="E272" t="inlineStr">
        <is>
          <t>Platelet-activating factor (PAF) antagonism</t>
        </is>
      </c>
      <c r="F272" t="inlineStr">
        <is>
          <t>unclassified</t>
        </is>
      </c>
      <c r="W272" t="n">
        <v>2</v>
      </c>
      <c r="X272" t="inlineStr">
        <is>
          <t>Low</t>
        </is>
      </c>
      <c r="Z272" t="inlineStr">
        <is>
          <t>ginkgo biloba ginkgolides</t>
        </is>
      </c>
      <c r="AF272" t="inlineStr">
        <is>
          <t>ginkgo biloba ginkgolides</t>
        </is>
      </c>
      <c r="AH272" t="inlineStr">
        <is>
          <t>Pass 45 duplicate consolidation</t>
        </is>
      </c>
      <c r="AI272" t="inlineStr">
        <is>
          <t>terpenoid</t>
        </is>
      </c>
      <c r="AJ272" t="inlineStr">
        <is>
          <t>Unknown</t>
        </is>
      </c>
      <c r="AK272" t="inlineStr">
        <is>
          <t>unclassified</t>
        </is>
      </c>
      <c r="AL272" t="inlineStr">
        <is>
          <t>Pass 46 mechanism + evidence consolidation</t>
        </is>
      </c>
      <c r="AM272" t="n">
        <v>3</v>
      </c>
      <c r="AN272" t="inlineStr">
        <is>
          <t>D</t>
        </is>
      </c>
      <c r="AO272" t="inlineStr">
        <is>
          <t>Pass 47 compound scoring</t>
        </is>
      </c>
    </row>
    <row r="273">
      <c r="A273" t="inlineStr">
        <is>
          <t>Ginkgolide A</t>
        </is>
      </c>
      <c r="B273" t="inlineStr">
        <is>
          <t>Phytochemical</t>
        </is>
      </c>
      <c r="C273" t="inlineStr">
        <is>
          <t>Ginkgo Biloba</t>
        </is>
      </c>
      <c r="D273" t="inlineStr">
        <is>
          <t>diterpene trilactone / ginkgolide</t>
        </is>
      </c>
      <c r="E273" t="inlineStr">
        <is>
          <t>proposed mechanism based on preclinical data: platelet-activating factor receptor antagonism; ginkgolides also show glycine receptor channel blocking activity in preclinical models.</t>
        </is>
      </c>
      <c r="F273" t="inlineStr">
        <is>
          <t>unclassified; core pharmacology</t>
        </is>
      </c>
      <c r="U273" t="inlineStr">
        <is>
          <t>Pass 27 canonicalized compound name; Pass 45 merged 2 rows into canonical compound entry</t>
        </is>
      </c>
      <c r="W273" t="n">
        <v>2</v>
      </c>
      <c r="X273" t="inlineStr">
        <is>
          <t>Low</t>
        </is>
      </c>
      <c r="Z273" t="inlineStr">
        <is>
          <t>Ginkgolide A</t>
        </is>
      </c>
      <c r="AF273" t="inlineStr">
        <is>
          <t>ginkgolide a</t>
        </is>
      </c>
      <c r="AH273" t="inlineStr">
        <is>
          <t>Pass 45 duplicate consolidation</t>
        </is>
      </c>
      <c r="AI273" t="inlineStr">
        <is>
          <t>diterpene trilactone / ginkgolide</t>
        </is>
      </c>
      <c r="AJ273" t="inlineStr">
        <is>
          <t>Clinical</t>
        </is>
      </c>
      <c r="AK273" t="inlineStr">
        <is>
          <t>core pharmacology; unclassified</t>
        </is>
      </c>
      <c r="AL273" t="inlineStr">
        <is>
          <t>Pass 46 mechanism + evidence consolidation</t>
        </is>
      </c>
      <c r="AM273" t="n">
        <v>7</v>
      </c>
      <c r="AN273" t="inlineStr">
        <is>
          <t>B</t>
        </is>
      </c>
      <c r="AO273" t="inlineStr">
        <is>
          <t>Pass 47 compound scoring</t>
        </is>
      </c>
    </row>
    <row r="274">
      <c r="A274" t="inlineStr">
        <is>
          <t>Ginkgolide B</t>
        </is>
      </c>
      <c r="B274" t="inlineStr">
        <is>
          <t>ginkgolide B</t>
        </is>
      </c>
      <c r="C274" t="inlineStr">
        <is>
          <t>Ginkgo Biloba</t>
        </is>
      </c>
      <c r="D274" t="inlineStr">
        <is>
          <t>Platelet activating factor antagonist</t>
        </is>
      </c>
      <c r="E274" t="inlineStr">
        <is>
          <t>proposed mechanism based on preclinical data: potent platelet-activating factor receptor antagonism; among the more active ginkgolides in receptor-binding literature.</t>
        </is>
      </c>
      <c r="F274" t="inlineStr">
        <is>
          <t>unclassified; PAF antagonism; vascular signaling</t>
        </is>
      </c>
      <c r="U274" t="inlineStr">
        <is>
          <t>Pass 27 canonicalized compound name; Pass 13 normalized herb display names to monograph common names; Pass 45 merged 2 rows into canonical compound entry</t>
        </is>
      </c>
      <c r="W274" t="n">
        <v>4</v>
      </c>
      <c r="X274" t="inlineStr">
        <is>
          <t>High</t>
        </is>
      </c>
      <c r="Z274" t="inlineStr">
        <is>
          <t>Ginkgolide B</t>
        </is>
      </c>
      <c r="AF274" t="inlineStr">
        <is>
          <t>ginkgolide b</t>
        </is>
      </c>
      <c r="AH274" t="inlineStr">
        <is>
          <t>Pass 45 duplicate consolidation</t>
        </is>
      </c>
      <c r="AI274" t="inlineStr">
        <is>
          <t>Platelet activating factor antagonist</t>
        </is>
      </c>
      <c r="AJ274" t="inlineStr">
        <is>
          <t>Clinical</t>
        </is>
      </c>
      <c r="AK274" t="inlineStr">
        <is>
          <t>paf antagonism; unclassified; vascular signaling</t>
        </is>
      </c>
      <c r="AL274" t="inlineStr">
        <is>
          <t>Pass 46 mechanism + evidence consolidation</t>
        </is>
      </c>
      <c r="AM274" t="n">
        <v>8</v>
      </c>
      <c r="AN274" t="inlineStr">
        <is>
          <t>B</t>
        </is>
      </c>
      <c r="AO274" t="inlineStr">
        <is>
          <t>Pass 47 compound scoring</t>
        </is>
      </c>
    </row>
    <row r="275">
      <c r="A275" t="inlineStr">
        <is>
          <t>Ginkgolide C</t>
        </is>
      </c>
      <c r="B275" t="inlineStr">
        <is>
          <t>Phytochemical</t>
        </is>
      </c>
      <c r="C275" t="inlineStr">
        <is>
          <t>Ginkgo Biloba</t>
        </is>
      </c>
      <c r="D275" t="inlineStr">
        <is>
          <t>diterpene trilactone / ginkgolide</t>
        </is>
      </c>
      <c r="E275" t="inlineStr">
        <is>
          <t>proposed mechanism based on preclinical data: platelet-activating factor receptor antagonism with additional anti-inflammatory signaling reported in cell and animal models.</t>
        </is>
      </c>
      <c r="F275" t="inlineStr">
        <is>
          <t>unclassified; core pharmacology</t>
        </is>
      </c>
      <c r="U275" t="inlineStr">
        <is>
          <t>Pass 27 canonicalized compound name; Pass 45 merged 2 rows into canonical compound entry</t>
        </is>
      </c>
      <c r="W275" t="n">
        <v>2</v>
      </c>
      <c r="X275" t="inlineStr">
        <is>
          <t>Low</t>
        </is>
      </c>
      <c r="Z275" t="inlineStr">
        <is>
          <t>Ginkgolide C</t>
        </is>
      </c>
      <c r="AF275" t="inlineStr">
        <is>
          <t>ginkgolide c</t>
        </is>
      </c>
      <c r="AH275" t="inlineStr">
        <is>
          <t>Pass 45 duplicate consolidation</t>
        </is>
      </c>
      <c r="AI275" t="inlineStr">
        <is>
          <t>diterpene trilactone / ginkgolide</t>
        </is>
      </c>
      <c r="AJ275" t="inlineStr">
        <is>
          <t>Clinical</t>
        </is>
      </c>
      <c r="AK275" t="inlineStr">
        <is>
          <t>core pharmacology; unclassified</t>
        </is>
      </c>
      <c r="AL275" t="inlineStr">
        <is>
          <t>Pass 46 mechanism + evidence consolidation</t>
        </is>
      </c>
      <c r="AM275" t="n">
        <v>7</v>
      </c>
      <c r="AN275" t="inlineStr">
        <is>
          <t>B</t>
        </is>
      </c>
      <c r="AO275" t="inlineStr">
        <is>
          <t>Pass 47 compound scoring</t>
        </is>
      </c>
    </row>
    <row r="276">
      <c r="A276" t="inlineStr">
        <is>
          <t>ginkgolide j</t>
        </is>
      </c>
      <c r="B276" t="inlineStr">
        <is>
          <t>ginkgolide J</t>
        </is>
      </c>
      <c r="D276" t="inlineStr">
        <is>
          <t>diterpene trilactone / ginkgolide</t>
        </is>
      </c>
      <c r="E276" t="inlineStr">
        <is>
          <t>proposed mechanism based on preclinical data: platelet-activating factor receptor antagonism with limited direct isolated-compound literature compared with ginkgolides A-C.</t>
        </is>
      </c>
      <c r="F276" t="inlineStr">
        <is>
          <t>unclassified</t>
        </is>
      </c>
      <c r="W276" t="n">
        <v>2</v>
      </c>
      <c r="X276" t="inlineStr">
        <is>
          <t>Low</t>
        </is>
      </c>
      <c r="Z276" t="inlineStr">
        <is>
          <t>ginkgolide j</t>
        </is>
      </c>
      <c r="AF276" t="inlineStr">
        <is>
          <t>ginkgolide j</t>
        </is>
      </c>
      <c r="AH276" t="inlineStr">
        <is>
          <t>Pass 45 duplicate consolidation</t>
        </is>
      </c>
      <c r="AI276" t="inlineStr">
        <is>
          <t>diterpene trilactone / ginkgolide</t>
        </is>
      </c>
      <c r="AJ276" t="inlineStr">
        <is>
          <t>Clinical</t>
        </is>
      </c>
      <c r="AK276" t="inlineStr">
        <is>
          <t>unclassified</t>
        </is>
      </c>
      <c r="AL276" t="inlineStr">
        <is>
          <t>Pass 46 mechanism + evidence consolidation</t>
        </is>
      </c>
      <c r="AM276" t="n">
        <v>6</v>
      </c>
      <c r="AN276" t="inlineStr">
        <is>
          <t>C</t>
        </is>
      </c>
      <c r="AO276" t="inlineStr">
        <is>
          <t>Pass 47 compound scoring</t>
        </is>
      </c>
    </row>
    <row r="277">
      <c r="A277" t="inlineStr">
        <is>
          <t>Ginsenoside RB1</t>
        </is>
      </c>
      <c r="B277" t="inlineStr">
        <is>
          <t>Saponin</t>
        </is>
      </c>
      <c r="C277" t="inlineStr">
        <is>
          <t>Panax Ginseng</t>
        </is>
      </c>
      <c r="D277" t="inlineStr">
        <is>
          <t>Cognitive enhancement</t>
        </is>
      </c>
      <c r="E277" t="inlineStr">
        <is>
          <t>Human</t>
        </is>
      </c>
      <c r="F277" t="inlineStr">
        <is>
          <t>cholinergic modulation; cognitive modulation; unclassified</t>
        </is>
      </c>
      <c r="U277" t="inlineStr">
        <is>
          <t>name normalized in pass 6; Pass 13 normalized herb display names to monograph common names</t>
        </is>
      </c>
      <c r="W277" t="n">
        <v>4</v>
      </c>
      <c r="X277" t="inlineStr">
        <is>
          <t>Medium</t>
        </is>
      </c>
      <c r="Z277" t="inlineStr">
        <is>
          <t>Ginsenoside RB1</t>
        </is>
      </c>
      <c r="AA277" t="inlineStr">
        <is>
          <t>Rb1</t>
        </is>
      </c>
      <c r="AF277" t="inlineStr">
        <is>
          <t>ginsenoside rb1</t>
        </is>
      </c>
      <c r="AH277" t="inlineStr">
        <is>
          <t>Pass 45 duplicate consolidation</t>
        </is>
      </c>
      <c r="AI277" t="inlineStr">
        <is>
          <t>Cognitive enhancement</t>
        </is>
      </c>
      <c r="AJ277" t="inlineStr">
        <is>
          <t>Human</t>
        </is>
      </c>
      <c r="AK277" t="inlineStr">
        <is>
          <t>cholinergic modulation; cognitive modulation; unclassified</t>
        </is>
      </c>
      <c r="AL277" t="inlineStr">
        <is>
          <t>Pass 46 mechanism + evidence consolidation</t>
        </is>
      </c>
      <c r="AM277" t="n">
        <v>9</v>
      </c>
      <c r="AN277" t="inlineStr">
        <is>
          <t>B</t>
        </is>
      </c>
      <c r="AO277" t="inlineStr">
        <is>
          <t>Pass 47 compound scoring</t>
        </is>
      </c>
    </row>
    <row r="278">
      <c r="A278" t="inlineStr">
        <is>
          <t>Ginsenoside Rd</t>
        </is>
      </c>
      <c r="B278" t="inlineStr">
        <is>
          <t>Saponin</t>
        </is>
      </c>
      <c r="C278" t="inlineStr">
        <is>
          <t>Panax Ginseng</t>
        </is>
      </c>
      <c r="D278" t="inlineStr">
        <is>
          <t>Neuroprotective</t>
        </is>
      </c>
      <c r="E278" t="inlineStr">
        <is>
          <t>Animal</t>
        </is>
      </c>
      <c r="F278" t="inlineStr">
        <is>
          <t>neuroprotective signaling</t>
        </is>
      </c>
      <c r="W278" t="n">
        <v>3</v>
      </c>
      <c r="X278" t="inlineStr">
        <is>
          <t>Low</t>
        </is>
      </c>
      <c r="Z278" t="inlineStr">
        <is>
          <t>Ginsenoside Rd</t>
        </is>
      </c>
      <c r="AA278" t="inlineStr">
        <is>
          <t>Rd</t>
        </is>
      </c>
      <c r="AF278" t="inlineStr">
        <is>
          <t>ginsenoside rd</t>
        </is>
      </c>
      <c r="AH278" t="inlineStr">
        <is>
          <t>Pass 45 duplicate consolidation</t>
        </is>
      </c>
      <c r="AI278" t="inlineStr">
        <is>
          <t>Neuroprotective</t>
        </is>
      </c>
      <c r="AJ278" t="inlineStr">
        <is>
          <t>Preclinical</t>
        </is>
      </c>
      <c r="AK278" t="inlineStr">
        <is>
          <t>neuroprotective signaling</t>
        </is>
      </c>
      <c r="AL278" t="inlineStr">
        <is>
          <t>Pass 46 mechanism + evidence consolidation</t>
        </is>
      </c>
      <c r="AM278" t="n">
        <v>4</v>
      </c>
      <c r="AN278" t="inlineStr">
        <is>
          <t>C</t>
        </is>
      </c>
      <c r="AO278" t="inlineStr">
        <is>
          <t>Pass 47 compound scoring</t>
        </is>
      </c>
    </row>
    <row r="279">
      <c r="A279" t="inlineStr">
        <is>
          <t>Ginsenoside Re</t>
        </is>
      </c>
      <c r="B279" t="inlineStr">
        <is>
          <t>Saponin</t>
        </is>
      </c>
      <c r="C279" t="inlineStr">
        <is>
          <t>Panax Ginseng</t>
        </is>
      </c>
      <c r="D279" t="inlineStr">
        <is>
          <t>Ginsenosides (Rb1, Re), polysaccharides</t>
        </is>
      </c>
      <c r="E279" t="inlineStr">
        <is>
          <t>insufficient evidence</t>
        </is>
      </c>
      <c r="F279" t="inlineStr">
        <is>
          <t>unclassified; metabolic signaling; stress-response modulation</t>
        </is>
      </c>
      <c r="U279" t="inlineStr">
        <is>
          <t>Pass 27 canonicalized compound name; Pass 45 merged 2 rows into canonical compound entry</t>
        </is>
      </c>
      <c r="W279" t="n">
        <v>4</v>
      </c>
      <c r="X279" t="inlineStr">
        <is>
          <t>Medium</t>
        </is>
      </c>
      <c r="Z279" t="inlineStr">
        <is>
          <t>Ginsenoside Re</t>
        </is>
      </c>
      <c r="AA279" t="inlineStr">
        <is>
          <t>re</t>
        </is>
      </c>
      <c r="AF279" t="inlineStr">
        <is>
          <t>ginsenoside re</t>
        </is>
      </c>
      <c r="AH279" t="inlineStr">
        <is>
          <t>Pass 45 duplicate consolidation</t>
        </is>
      </c>
      <c r="AI279" t="inlineStr">
        <is>
          <t>Ginsenosides (Rb1, Re), polysaccharides</t>
        </is>
      </c>
      <c r="AJ279" t="inlineStr">
        <is>
          <t>Unknown</t>
        </is>
      </c>
      <c r="AK279" t="inlineStr">
        <is>
          <t>metabolic signaling; stress-response modulation; unclassified</t>
        </is>
      </c>
      <c r="AL279" t="inlineStr">
        <is>
          <t>Pass 46 mechanism + evidence consolidation</t>
        </is>
      </c>
      <c r="AM279" t="n">
        <v>5</v>
      </c>
      <c r="AN279" t="inlineStr">
        <is>
          <t>C</t>
        </is>
      </c>
      <c r="AO279" t="inlineStr">
        <is>
          <t>Pass 47 compound scoring</t>
        </is>
      </c>
    </row>
    <row r="280">
      <c r="A280" t="inlineStr">
        <is>
          <t>Ginsenoside Rf</t>
        </is>
      </c>
      <c r="B280" t="inlineStr">
        <is>
          <t>Saponin</t>
        </is>
      </c>
      <c r="C280" t="inlineStr">
        <is>
          <t>Panax Ginseng</t>
        </is>
      </c>
      <c r="D280" t="inlineStr">
        <is>
          <t>Neuroactive; adaptogenic</t>
        </is>
      </c>
      <c r="E280" t="inlineStr">
        <is>
          <t>Animal</t>
        </is>
      </c>
      <c r="F280" t="inlineStr">
        <is>
          <t>stress-response modulation; cognitive modulation</t>
        </is>
      </c>
      <c r="U280" t="inlineStr">
        <is>
          <t>Pass 13 added real compound for top herb</t>
        </is>
      </c>
      <c r="W280" t="n">
        <v>3</v>
      </c>
      <c r="X280" t="inlineStr">
        <is>
          <t>Low</t>
        </is>
      </c>
      <c r="Z280" t="inlineStr">
        <is>
          <t>Ginsenoside Rf</t>
        </is>
      </c>
      <c r="AA280" t="inlineStr">
        <is>
          <t>Rf</t>
        </is>
      </c>
      <c r="AF280" t="inlineStr">
        <is>
          <t>ginsenoside rf</t>
        </is>
      </c>
      <c r="AH280" t="inlineStr">
        <is>
          <t>Pass 45 duplicate consolidation</t>
        </is>
      </c>
      <c r="AI280" t="inlineStr">
        <is>
          <t>Neuroactive; adaptogenic</t>
        </is>
      </c>
      <c r="AJ280" t="inlineStr">
        <is>
          <t>Preclinical</t>
        </is>
      </c>
      <c r="AK280" t="inlineStr">
        <is>
          <t>cognitive modulation; stress-response modulation</t>
        </is>
      </c>
      <c r="AL280" t="inlineStr">
        <is>
          <t>Pass 46 mechanism + evidence consolidation</t>
        </is>
      </c>
      <c r="AM280" t="n">
        <v>5</v>
      </c>
      <c r="AN280" t="inlineStr">
        <is>
          <t>C</t>
        </is>
      </c>
      <c r="AO280" t="inlineStr">
        <is>
          <t>Pass 47 compound scoring</t>
        </is>
      </c>
    </row>
    <row r="281">
      <c r="A281" t="inlineStr">
        <is>
          <t>Ginsenoside RG1</t>
        </is>
      </c>
      <c r="B281" t="inlineStr">
        <is>
          <t>Saponin</t>
        </is>
      </c>
      <c r="C281" t="inlineStr">
        <is>
          <t>Panax Ginseng</t>
        </is>
      </c>
      <c r="D281" t="inlineStr">
        <is>
          <t>Neuroprotective</t>
        </is>
      </c>
      <c r="E281" t="inlineStr">
        <is>
          <t>insufficient evidence</t>
        </is>
      </c>
      <c r="F281" t="inlineStr">
        <is>
          <t>unclassified; cognitive modulation; neurotrophic signaling</t>
        </is>
      </c>
      <c r="U281" t="inlineStr">
        <is>
          <t>Pass 27 canonicalized compound name; name normalized in pass 6; Pass 13 normalized herb display names to monograph common names; Pass 45 merged 2 rows into canonical compound entry</t>
        </is>
      </c>
      <c r="W281" t="n">
        <v>4</v>
      </c>
      <c r="X281" t="inlineStr">
        <is>
          <t>Medium</t>
        </is>
      </c>
      <c r="Z281" t="inlineStr">
        <is>
          <t>Ginsenoside RG1</t>
        </is>
      </c>
      <c r="AA281" t="inlineStr">
        <is>
          <t>rg1</t>
        </is>
      </c>
      <c r="AF281" t="inlineStr">
        <is>
          <t>ginsenoside rg1</t>
        </is>
      </c>
      <c r="AH281" t="inlineStr">
        <is>
          <t>Pass 45 duplicate consolidation</t>
        </is>
      </c>
      <c r="AI281" t="inlineStr">
        <is>
          <t>Neuroprotective</t>
        </is>
      </c>
      <c r="AJ281" t="inlineStr">
        <is>
          <t>Unknown</t>
        </is>
      </c>
      <c r="AK281" t="inlineStr">
        <is>
          <t>cognitive modulation; neurotrophic signaling; unclassified</t>
        </is>
      </c>
      <c r="AL281" t="inlineStr">
        <is>
          <t>Pass 46 mechanism + evidence consolidation</t>
        </is>
      </c>
      <c r="AM281" t="n">
        <v>5</v>
      </c>
      <c r="AN281" t="inlineStr">
        <is>
          <t>C</t>
        </is>
      </c>
      <c r="AO281" t="inlineStr">
        <is>
          <t>Pass 47 compound scoring</t>
        </is>
      </c>
    </row>
    <row r="282">
      <c r="A282" t="inlineStr">
        <is>
          <t>Ginsenoside Rg3</t>
        </is>
      </c>
      <c r="B282" t="inlineStr">
        <is>
          <t>Saponin</t>
        </is>
      </c>
      <c r="C282" t="inlineStr">
        <is>
          <t>Panax Ginseng</t>
        </is>
      </c>
      <c r="D282" t="inlineStr">
        <is>
          <t>Anti-inflammatory; metabolic</t>
        </is>
      </c>
      <c r="E282" t="inlineStr">
        <is>
          <t>Human/Animal</t>
        </is>
      </c>
      <c r="F282" t="inlineStr">
        <is>
          <t>NF-kB inhibition; metabolic signaling</t>
        </is>
      </c>
      <c r="U282" t="inlineStr">
        <is>
          <t>Pass 13 normalized herb display names to monograph common names</t>
        </is>
      </c>
      <c r="W282" t="n">
        <v>4</v>
      </c>
      <c r="X282" t="inlineStr">
        <is>
          <t>Medium</t>
        </is>
      </c>
      <c r="Z282" t="inlineStr">
        <is>
          <t>Ginsenoside Rg3</t>
        </is>
      </c>
      <c r="AF282" t="inlineStr">
        <is>
          <t>ginsenoside rg3</t>
        </is>
      </c>
      <c r="AH282" t="inlineStr">
        <is>
          <t>Pass 45 duplicate consolidation</t>
        </is>
      </c>
      <c r="AI282" t="inlineStr">
        <is>
          <t>Anti-inflammatory; metabolic</t>
        </is>
      </c>
      <c r="AJ282" t="inlineStr">
        <is>
          <t>Human</t>
        </is>
      </c>
      <c r="AK282" t="inlineStr">
        <is>
          <t>metabolic signaling; nf-kb inhibition</t>
        </is>
      </c>
      <c r="AL282" t="inlineStr">
        <is>
          <t>Pass 46 mechanism + evidence consolidation</t>
        </is>
      </c>
      <c r="AM282" t="n">
        <v>8</v>
      </c>
      <c r="AN282" t="inlineStr">
        <is>
          <t>B</t>
        </is>
      </c>
      <c r="AO282" t="inlineStr">
        <is>
          <t>Pass 47 compound scoring</t>
        </is>
      </c>
    </row>
    <row r="283">
      <c r="A283" t="inlineStr">
        <is>
          <t>ginsenosides including rb1</t>
        </is>
      </c>
      <c r="B283" t="inlineStr">
        <is>
          <t>ginsenosides (including rb1</t>
        </is>
      </c>
      <c r="D283" t="inlineStr">
        <is>
          <t>other</t>
        </is>
      </c>
      <c r="E283" t="inlineStr">
        <is>
          <t>insufficient evidence</t>
        </is>
      </c>
      <c r="F283" t="inlineStr">
        <is>
          <t>unclassified</t>
        </is>
      </c>
      <c r="W283" t="n">
        <v>2</v>
      </c>
      <c r="X283" t="inlineStr">
        <is>
          <t>Low</t>
        </is>
      </c>
      <c r="Z283" t="inlineStr">
        <is>
          <t>ginsenosides including rb1</t>
        </is>
      </c>
      <c r="AF283" t="inlineStr">
        <is>
          <t>ginsenosides including rb1</t>
        </is>
      </c>
      <c r="AH283" t="inlineStr">
        <is>
          <t>Pass 45 duplicate consolidation</t>
        </is>
      </c>
      <c r="AI283" t="inlineStr">
        <is>
          <t>other</t>
        </is>
      </c>
      <c r="AJ283" t="inlineStr">
        <is>
          <t>Unknown</t>
        </is>
      </c>
      <c r="AK283" t="inlineStr">
        <is>
          <t>unclassified</t>
        </is>
      </c>
      <c r="AL283" t="inlineStr">
        <is>
          <t>Pass 46 mechanism + evidence consolidation</t>
        </is>
      </c>
      <c r="AM283" t="n">
        <v>3</v>
      </c>
      <c r="AN283" t="inlineStr">
        <is>
          <t>D</t>
        </is>
      </c>
      <c r="AO283" t="inlineStr">
        <is>
          <t>Pass 47 compound scoring</t>
        </is>
      </c>
    </row>
    <row r="284">
      <c r="A284" t="inlineStr">
        <is>
          <t>ginsenosides rb1</t>
        </is>
      </c>
      <c r="B284" t="inlineStr">
        <is>
          <t>ginsenosides (rb1</t>
        </is>
      </c>
      <c r="D284" t="inlineStr">
        <is>
          <t>Ginsenosides (Rb1, Re), polysaccharides</t>
        </is>
      </c>
      <c r="E284" t="inlineStr">
        <is>
          <t>insufficient evidence</t>
        </is>
      </c>
      <c r="F284" t="inlineStr">
        <is>
          <t>unclassified</t>
        </is>
      </c>
      <c r="W284" t="n">
        <v>2</v>
      </c>
      <c r="X284" t="inlineStr">
        <is>
          <t>Low</t>
        </is>
      </c>
      <c r="Z284" t="inlineStr">
        <is>
          <t>ginsenosides rb1</t>
        </is>
      </c>
      <c r="AF284" t="inlineStr">
        <is>
          <t>ginsenosides rb1</t>
        </is>
      </c>
      <c r="AH284" t="inlineStr">
        <is>
          <t>Pass 45 duplicate consolidation</t>
        </is>
      </c>
      <c r="AI284" t="inlineStr">
        <is>
          <t>Ginsenosides (Rb1, Re), polysaccharides</t>
        </is>
      </c>
      <c r="AJ284" t="inlineStr">
        <is>
          <t>Unknown</t>
        </is>
      </c>
      <c r="AK284" t="inlineStr">
        <is>
          <t>unclassified</t>
        </is>
      </c>
      <c r="AL284" t="inlineStr">
        <is>
          <t>Pass 46 mechanism + evidence consolidation</t>
        </is>
      </c>
      <c r="AM284" t="n">
        <v>3</v>
      </c>
      <c r="AN284" t="inlineStr">
        <is>
          <t>D</t>
        </is>
      </c>
      <c r="AO284" t="inlineStr">
        <is>
          <t>Pass 47 compound scoring</t>
        </is>
      </c>
    </row>
    <row r="285">
      <c r="A285" t="inlineStr">
        <is>
          <t>gitoxin</t>
        </is>
      </c>
      <c r="B285" t="inlineStr">
        <is>
          <t>gitoxin</t>
        </is>
      </c>
      <c r="D285" t="inlineStr">
        <is>
          <t>other</t>
        </is>
      </c>
      <c r="E285" t="inlineStr">
        <is>
          <t>insufficient evidence</t>
        </is>
      </c>
      <c r="F285" t="inlineStr">
        <is>
          <t>unclassified</t>
        </is>
      </c>
      <c r="W285" t="n">
        <v>2</v>
      </c>
      <c r="X285" t="inlineStr">
        <is>
          <t>Low</t>
        </is>
      </c>
      <c r="Z285" t="inlineStr">
        <is>
          <t>gitoxin</t>
        </is>
      </c>
      <c r="AF285" t="inlineStr">
        <is>
          <t>gitoxin</t>
        </is>
      </c>
      <c r="AH285" t="inlineStr">
        <is>
          <t>Pass 45 duplicate consolidation</t>
        </is>
      </c>
      <c r="AI285" t="inlineStr">
        <is>
          <t>other</t>
        </is>
      </c>
      <c r="AJ285" t="inlineStr">
        <is>
          <t>Unknown</t>
        </is>
      </c>
      <c r="AK285" t="inlineStr">
        <is>
          <t>unclassified</t>
        </is>
      </c>
      <c r="AL285" t="inlineStr">
        <is>
          <t>Pass 46 mechanism + evidence consolidation</t>
        </is>
      </c>
      <c r="AM285" t="n">
        <v>3</v>
      </c>
      <c r="AN285" t="inlineStr">
        <is>
          <t>D</t>
        </is>
      </c>
      <c r="AO285" t="inlineStr">
        <is>
          <t>Pass 47 compound scoring</t>
        </is>
      </c>
    </row>
    <row r="286">
      <c r="A286" t="inlineStr">
        <is>
          <t>glycyrrhizin</t>
        </is>
      </c>
      <c r="B286" t="inlineStr">
        <is>
          <t>glycyrrhizin</t>
        </is>
      </c>
      <c r="D286" t="inlineStr">
        <is>
          <t>Glycyrrhizin, flavonoids, saponins</t>
        </is>
      </c>
      <c r="E286" t="inlineStr">
        <is>
          <t>insufficient evidence</t>
        </is>
      </c>
      <c r="F286" t="inlineStr">
        <is>
          <t>unclassified</t>
        </is>
      </c>
      <c r="W286" t="n">
        <v>2</v>
      </c>
      <c r="X286" t="inlineStr">
        <is>
          <t>Low</t>
        </is>
      </c>
      <c r="Z286" t="inlineStr">
        <is>
          <t>glycyrrhizin</t>
        </is>
      </c>
      <c r="AF286" t="inlineStr">
        <is>
          <t>glycyrrhizin</t>
        </is>
      </c>
      <c r="AH286" t="inlineStr">
        <is>
          <t>Pass 45 duplicate consolidation</t>
        </is>
      </c>
      <c r="AI286" t="inlineStr">
        <is>
          <t>Glycyrrhizin, flavonoids, saponins</t>
        </is>
      </c>
      <c r="AJ286" t="inlineStr">
        <is>
          <t>Unknown</t>
        </is>
      </c>
      <c r="AK286" t="inlineStr">
        <is>
          <t>unclassified</t>
        </is>
      </c>
      <c r="AL286" t="inlineStr">
        <is>
          <t>Pass 46 mechanism + evidence consolidation</t>
        </is>
      </c>
      <c r="AM286" t="n">
        <v>3</v>
      </c>
      <c r="AN286" t="inlineStr">
        <is>
          <t>D</t>
        </is>
      </c>
      <c r="AO286" t="inlineStr">
        <is>
          <t>Pass 47 compound scoring</t>
        </is>
      </c>
    </row>
    <row r="287">
      <c r="A287" t="inlineStr">
        <is>
          <t>gomisin</t>
        </is>
      </c>
      <c r="B287" t="inlineStr">
        <is>
          <t>gomisin</t>
        </is>
      </c>
      <c r="D287" t="inlineStr">
        <is>
          <t>Schisandrin, gomisin, lignans</t>
        </is>
      </c>
      <c r="E287" t="inlineStr">
        <is>
          <t>insufficient evidence</t>
        </is>
      </c>
      <c r="F287" t="inlineStr">
        <is>
          <t>unclassified</t>
        </is>
      </c>
      <c r="W287" t="n">
        <v>2</v>
      </c>
      <c r="X287" t="inlineStr">
        <is>
          <t>Low</t>
        </is>
      </c>
      <c r="Z287" t="inlineStr">
        <is>
          <t>gomisin</t>
        </is>
      </c>
      <c r="AF287" t="inlineStr">
        <is>
          <t>gomisin</t>
        </is>
      </c>
      <c r="AH287" t="inlineStr">
        <is>
          <t>Pass 45 duplicate consolidation</t>
        </is>
      </c>
      <c r="AI287" t="inlineStr">
        <is>
          <t>Schisandrin, gomisin, lignans</t>
        </is>
      </c>
      <c r="AJ287" t="inlineStr">
        <is>
          <t>Unknown</t>
        </is>
      </c>
      <c r="AK287" t="inlineStr">
        <is>
          <t>unclassified</t>
        </is>
      </c>
      <c r="AL287" t="inlineStr">
        <is>
          <t>Pass 46 mechanism + evidence consolidation</t>
        </is>
      </c>
      <c r="AM287" t="n">
        <v>3</v>
      </c>
      <c r="AN287" t="inlineStr">
        <is>
          <t>D</t>
        </is>
      </c>
      <c r="AO287" t="inlineStr">
        <is>
          <t>Pass 47 compound scoring</t>
        </is>
      </c>
    </row>
    <row r="288">
      <c r="A288" t="inlineStr">
        <is>
          <t>gomisin a</t>
        </is>
      </c>
      <c r="B288" t="inlineStr">
        <is>
          <t>gomisin A</t>
        </is>
      </c>
      <c r="D288" t="inlineStr">
        <is>
          <t>dibenzocyclooctadiene lignan</t>
        </is>
      </c>
      <c r="E288" t="inlineStr">
        <is>
          <t>Schisandra-berry constituent associated with adaptogenic and hepatoprotective positioning.</t>
        </is>
      </c>
      <c r="F288" t="inlineStr">
        <is>
          <t>unclassified</t>
        </is>
      </c>
      <c r="W288" t="n">
        <v>2</v>
      </c>
      <c r="X288" t="inlineStr">
        <is>
          <t>Low</t>
        </is>
      </c>
      <c r="Z288" t="inlineStr">
        <is>
          <t>gomisin a</t>
        </is>
      </c>
      <c r="AF288" t="inlineStr">
        <is>
          <t>gomisin a</t>
        </is>
      </c>
      <c r="AH288" t="inlineStr">
        <is>
          <t>Pass 45 duplicate consolidation</t>
        </is>
      </c>
      <c r="AI288" t="inlineStr">
        <is>
          <t>dibenzocyclooctadiene lignan</t>
        </is>
      </c>
      <c r="AJ288" t="inlineStr">
        <is>
          <t>Unknown</t>
        </is>
      </c>
      <c r="AK288" t="inlineStr">
        <is>
          <t>unclassified</t>
        </is>
      </c>
      <c r="AL288" t="inlineStr">
        <is>
          <t>Pass 46 mechanism + evidence consolidation</t>
        </is>
      </c>
      <c r="AM288" t="n">
        <v>3</v>
      </c>
      <c r="AN288" t="inlineStr">
        <is>
          <t>D</t>
        </is>
      </c>
      <c r="AO288" t="inlineStr">
        <is>
          <t>Pass 47 compound scoring</t>
        </is>
      </c>
    </row>
    <row r="289">
      <c r="A289" t="inlineStr">
        <is>
          <t>gramine</t>
        </is>
      </c>
      <c r="B289" t="inlineStr">
        <is>
          <t>gramine</t>
        </is>
      </c>
      <c r="D289" t="inlineStr">
        <is>
          <t>other</t>
        </is>
      </c>
      <c r="E289" t="inlineStr">
        <is>
          <t>insufficient evidence</t>
        </is>
      </c>
      <c r="F289" t="inlineStr">
        <is>
          <t>unclassified</t>
        </is>
      </c>
      <c r="W289" t="n">
        <v>2</v>
      </c>
      <c r="X289" t="inlineStr">
        <is>
          <t>Low</t>
        </is>
      </c>
      <c r="Z289" t="inlineStr">
        <is>
          <t>gramine</t>
        </is>
      </c>
      <c r="AF289" t="inlineStr">
        <is>
          <t>gramine</t>
        </is>
      </c>
      <c r="AH289" t="inlineStr">
        <is>
          <t>Pass 45 duplicate consolidation</t>
        </is>
      </c>
      <c r="AI289" t="inlineStr">
        <is>
          <t>other</t>
        </is>
      </c>
      <c r="AJ289" t="inlineStr">
        <is>
          <t>Unknown</t>
        </is>
      </c>
      <c r="AK289" t="inlineStr">
        <is>
          <t>unclassified</t>
        </is>
      </c>
      <c r="AL289" t="inlineStr">
        <is>
          <t>Pass 46 mechanism + evidence consolidation</t>
        </is>
      </c>
      <c r="AM289" t="n">
        <v>3</v>
      </c>
      <c r="AN289" t="inlineStr">
        <is>
          <t>D</t>
        </is>
      </c>
      <c r="AO289" t="inlineStr">
        <is>
          <t>Pass 47 compound scoring</t>
        </is>
      </c>
    </row>
    <row r="290">
      <c r="A290" t="inlineStr">
        <is>
          <t>grindelic acid</t>
        </is>
      </c>
      <c r="B290" t="inlineStr">
        <is>
          <t>grindelic acid</t>
        </is>
      </c>
      <c r="D290" t="inlineStr">
        <is>
          <t>diterpenes; flavonoids</t>
        </is>
      </c>
      <c r="E290" t="inlineStr">
        <is>
          <t>insufficient evidence</t>
        </is>
      </c>
      <c r="F290" t="inlineStr">
        <is>
          <t>unclassified</t>
        </is>
      </c>
      <c r="W290" t="n">
        <v>2</v>
      </c>
      <c r="X290" t="inlineStr">
        <is>
          <t>Low</t>
        </is>
      </c>
      <c r="Z290" t="inlineStr">
        <is>
          <t>grindelic acid</t>
        </is>
      </c>
      <c r="AF290" t="inlineStr">
        <is>
          <t>grindelic acid</t>
        </is>
      </c>
      <c r="AH290" t="inlineStr">
        <is>
          <t>Pass 45 duplicate consolidation</t>
        </is>
      </c>
      <c r="AI290" t="inlineStr">
        <is>
          <t>diterpenes; flavonoids</t>
        </is>
      </c>
      <c r="AJ290" t="inlineStr">
        <is>
          <t>Unknown</t>
        </is>
      </c>
      <c r="AK290" t="inlineStr">
        <is>
          <t>unclassified</t>
        </is>
      </c>
      <c r="AL290" t="inlineStr">
        <is>
          <t>Pass 46 mechanism + evidence consolidation</t>
        </is>
      </c>
      <c r="AM290" t="n">
        <v>3</v>
      </c>
      <c r="AN290" t="inlineStr">
        <is>
          <t>D</t>
        </is>
      </c>
      <c r="AO290" t="inlineStr">
        <is>
          <t>Pass 47 compound scoring</t>
        </is>
      </c>
    </row>
    <row r="291">
      <c r="A291" t="inlineStr">
        <is>
          <t>gurmarin</t>
        </is>
      </c>
      <c r="B291" t="inlineStr">
        <is>
          <t>gurmarin</t>
        </is>
      </c>
      <c r="D291" t="inlineStr">
        <is>
          <t>other</t>
        </is>
      </c>
      <c r="E291" t="inlineStr">
        <is>
          <t>Gymnemic acids suppress sweet taste receptors and reduce intestinal glucose absorption; may enhance insulin secretion.</t>
        </is>
      </c>
      <c r="F291" t="inlineStr">
        <is>
          <t>unclassified</t>
        </is>
      </c>
      <c r="W291" t="n">
        <v>2</v>
      </c>
      <c r="X291" t="inlineStr">
        <is>
          <t>Low</t>
        </is>
      </c>
      <c r="Z291" t="inlineStr">
        <is>
          <t>gurmarin</t>
        </is>
      </c>
      <c r="AF291" t="inlineStr">
        <is>
          <t>gurmarin</t>
        </is>
      </c>
      <c r="AH291" t="inlineStr">
        <is>
          <t>Pass 45 duplicate consolidation</t>
        </is>
      </c>
      <c r="AI291" t="inlineStr">
        <is>
          <t>other</t>
        </is>
      </c>
      <c r="AJ291" t="inlineStr">
        <is>
          <t>Unknown</t>
        </is>
      </c>
      <c r="AK291" t="inlineStr">
        <is>
          <t>unclassified</t>
        </is>
      </c>
      <c r="AL291" t="inlineStr">
        <is>
          <t>Pass 46 mechanism + evidence consolidation</t>
        </is>
      </c>
      <c r="AM291" t="n">
        <v>3</v>
      </c>
      <c r="AN291" t="inlineStr">
        <is>
          <t>D</t>
        </is>
      </c>
      <c r="AO291" t="inlineStr">
        <is>
          <t>Pass 47 compound scoring</t>
        </is>
      </c>
    </row>
    <row r="292">
      <c r="A292" t="inlineStr">
        <is>
          <t>guvacine</t>
        </is>
      </c>
      <c r="B292" t="inlineStr">
        <is>
          <t>guvacine</t>
        </is>
      </c>
      <c r="D292" t="inlineStr">
        <is>
          <t>other</t>
        </is>
      </c>
      <c r="E292" t="inlineStr">
        <is>
          <t>insufficient evidence</t>
        </is>
      </c>
      <c r="F292" t="inlineStr">
        <is>
          <t>unclassified</t>
        </is>
      </c>
      <c r="W292" t="n">
        <v>2</v>
      </c>
      <c r="X292" t="inlineStr">
        <is>
          <t>Low</t>
        </is>
      </c>
      <c r="Z292" t="inlineStr">
        <is>
          <t>guvacine</t>
        </is>
      </c>
      <c r="AF292" t="inlineStr">
        <is>
          <t>guvacine</t>
        </is>
      </c>
      <c r="AH292" t="inlineStr">
        <is>
          <t>Pass 45 duplicate consolidation</t>
        </is>
      </c>
      <c r="AI292" t="inlineStr">
        <is>
          <t>other</t>
        </is>
      </c>
      <c r="AJ292" t="inlineStr">
        <is>
          <t>Unknown</t>
        </is>
      </c>
      <c r="AK292" t="inlineStr">
        <is>
          <t>unclassified</t>
        </is>
      </c>
      <c r="AL292" t="inlineStr">
        <is>
          <t>Pass 46 mechanism + evidence consolidation</t>
        </is>
      </c>
      <c r="AM292" t="n">
        <v>3</v>
      </c>
      <c r="AN292" t="inlineStr">
        <is>
          <t>D</t>
        </is>
      </c>
      <c r="AO292" t="inlineStr">
        <is>
          <t>Pass 47 compound scoring</t>
        </is>
      </c>
    </row>
    <row r="293">
      <c r="A293" t="inlineStr">
        <is>
          <t>guvacoline</t>
        </is>
      </c>
      <c r="B293" t="inlineStr">
        <is>
          <t>guvacoline</t>
        </is>
      </c>
      <c r="D293" t="inlineStr">
        <is>
          <t>other</t>
        </is>
      </c>
      <c r="E293" t="inlineStr">
        <is>
          <t>insufficient evidence</t>
        </is>
      </c>
      <c r="F293" t="inlineStr">
        <is>
          <t>unclassified</t>
        </is>
      </c>
      <c r="W293" t="n">
        <v>2</v>
      </c>
      <c r="X293" t="inlineStr">
        <is>
          <t>Low</t>
        </is>
      </c>
      <c r="Z293" t="inlineStr">
        <is>
          <t>guvacoline</t>
        </is>
      </c>
      <c r="AF293" t="inlineStr">
        <is>
          <t>guvacoline</t>
        </is>
      </c>
      <c r="AH293" t="inlineStr">
        <is>
          <t>Pass 45 duplicate consolidation</t>
        </is>
      </c>
      <c r="AI293" t="inlineStr">
        <is>
          <t>other</t>
        </is>
      </c>
      <c r="AJ293" t="inlineStr">
        <is>
          <t>Unknown</t>
        </is>
      </c>
      <c r="AK293" t="inlineStr">
        <is>
          <t>unclassified</t>
        </is>
      </c>
      <c r="AL293" t="inlineStr">
        <is>
          <t>Pass 46 mechanism + evidence consolidation</t>
        </is>
      </c>
      <c r="AM293" t="n">
        <v>3</v>
      </c>
      <c r="AN293" t="inlineStr">
        <is>
          <t>D</t>
        </is>
      </c>
      <c r="AO293" t="inlineStr">
        <is>
          <t>Pass 47 compound scoring</t>
        </is>
      </c>
    </row>
    <row r="294">
      <c r="A294" t="inlineStr">
        <is>
          <t>gymnemic acids</t>
        </is>
      </c>
      <c r="B294" t="inlineStr">
        <is>
          <t>gymnemic acids</t>
        </is>
      </c>
      <c r="D294" t="inlineStr">
        <is>
          <t>triterpene saponins</t>
        </is>
      </c>
      <c r="E294" t="inlineStr">
        <is>
          <t>Gymnema constituents associated with glycemic and sweet-perception positioning.</t>
        </is>
      </c>
      <c r="F294" t="inlineStr">
        <is>
          <t>unclassified</t>
        </is>
      </c>
      <c r="W294" t="n">
        <v>2</v>
      </c>
      <c r="X294" t="inlineStr">
        <is>
          <t>Low</t>
        </is>
      </c>
      <c r="Z294" t="inlineStr">
        <is>
          <t>gymnemic acids</t>
        </is>
      </c>
      <c r="AF294" t="inlineStr">
        <is>
          <t>gymnemic acids</t>
        </is>
      </c>
      <c r="AH294" t="inlineStr">
        <is>
          <t>Pass 45 duplicate consolidation</t>
        </is>
      </c>
      <c r="AI294" t="inlineStr">
        <is>
          <t>triterpene saponins</t>
        </is>
      </c>
      <c r="AJ294" t="inlineStr">
        <is>
          <t>Unknown</t>
        </is>
      </c>
      <c r="AK294" t="inlineStr">
        <is>
          <t>unclassified</t>
        </is>
      </c>
      <c r="AL294" t="inlineStr">
        <is>
          <t>Pass 46 mechanism + evidence consolidation</t>
        </is>
      </c>
      <c r="AM294" t="n">
        <v>3</v>
      </c>
      <c r="AN294" t="inlineStr">
        <is>
          <t>D</t>
        </is>
      </c>
      <c r="AO294" t="inlineStr">
        <is>
          <t>Pass 47 compound scoring</t>
        </is>
      </c>
    </row>
    <row r="295">
      <c r="A295" t="inlineStr">
        <is>
          <t>gypenosides dammarane-type saponins</t>
        </is>
      </c>
      <c r="B295" t="inlineStr">
        <is>
          <t>gypenosides (dammarane-type saponins)</t>
        </is>
      </c>
      <c r="D295" t="inlineStr">
        <is>
          <t>gypenosides (dammarane-type saponins)</t>
        </is>
      </c>
      <c r="E295" t="inlineStr">
        <is>
          <t>insufficient evidence</t>
        </is>
      </c>
      <c r="F295" t="inlineStr">
        <is>
          <t>unclassified</t>
        </is>
      </c>
      <c r="W295" t="n">
        <v>2</v>
      </c>
      <c r="X295" t="inlineStr">
        <is>
          <t>Low</t>
        </is>
      </c>
      <c r="Z295" t="inlineStr">
        <is>
          <t>gypenosides dammarane-type saponins</t>
        </is>
      </c>
      <c r="AF295" t="inlineStr">
        <is>
          <t>gypenosides dammarane type saponins</t>
        </is>
      </c>
      <c r="AH295" t="inlineStr">
        <is>
          <t>Pass 45 duplicate consolidation</t>
        </is>
      </c>
      <c r="AI295" t="inlineStr">
        <is>
          <t>gypenosides (dammarane-type saponins)</t>
        </is>
      </c>
      <c r="AJ295" t="inlineStr">
        <is>
          <t>Unknown</t>
        </is>
      </c>
      <c r="AK295" t="inlineStr">
        <is>
          <t>unclassified</t>
        </is>
      </c>
      <c r="AL295" t="inlineStr">
        <is>
          <t>Pass 46 mechanism + evidence consolidation</t>
        </is>
      </c>
      <c r="AM295" t="n">
        <v>3</v>
      </c>
      <c r="AN295" t="inlineStr">
        <is>
          <t>D</t>
        </is>
      </c>
      <c r="AO295" t="inlineStr">
        <is>
          <t>Pass 47 compound scoring</t>
        </is>
      </c>
    </row>
    <row r="296">
      <c r="A296" t="inlineStr">
        <is>
          <t>Harmaline</t>
        </is>
      </c>
      <c r="B296" t="inlineStr">
        <is>
          <t>β-carboline</t>
        </is>
      </c>
      <c r="C296" t="inlineStr">
        <is>
          <t>Peganum harmala</t>
        </is>
      </c>
      <c r="D296" t="inlineStr">
        <is>
          <t>MAO-A inhibition</t>
        </is>
      </c>
      <c r="E296" t="inlineStr">
        <is>
          <t>Beta-carboline alkaloids act as reversible MAO-A inhibitors, allowing oral activity of DMT and modulating serotonergic signaling.</t>
        </is>
      </c>
      <c r="F296" t="inlineStr">
        <is>
          <t>unclassified; MAO-A inhibition; monoamine preservation</t>
        </is>
      </c>
      <c r="U296" t="inlineStr">
        <is>
          <t>Pass 45 merged 2 rows into canonical compound entry</t>
        </is>
      </c>
      <c r="W296" t="n">
        <v>5</v>
      </c>
      <c r="X296" t="inlineStr">
        <is>
          <t>High</t>
        </is>
      </c>
      <c r="Z296" t="inlineStr">
        <is>
          <t>Harmaline</t>
        </is>
      </c>
      <c r="AF296" t="inlineStr">
        <is>
          <t>harmaline</t>
        </is>
      </c>
      <c r="AH296" t="inlineStr">
        <is>
          <t>Pass 45 duplicate consolidation</t>
        </is>
      </c>
      <c r="AI296" t="inlineStr">
        <is>
          <t>MAO-A inhibition</t>
        </is>
      </c>
      <c r="AJ296" t="inlineStr">
        <is>
          <t>Unknown</t>
        </is>
      </c>
      <c r="AK296" t="inlineStr">
        <is>
          <t>mao-a inhibition; monoamine preservation; unclassified</t>
        </is>
      </c>
      <c r="AL296" t="inlineStr">
        <is>
          <t>Pass 46 mechanism + evidence consolidation</t>
        </is>
      </c>
      <c r="AM296" t="n">
        <v>5</v>
      </c>
      <c r="AN296" t="inlineStr">
        <is>
          <t>C</t>
        </is>
      </c>
      <c r="AO296" t="inlineStr">
        <is>
          <t>Pass 47 compound scoring</t>
        </is>
      </c>
    </row>
    <row r="297">
      <c r="A297" t="inlineStr">
        <is>
          <t>harmalol</t>
        </is>
      </c>
      <c r="B297" t="inlineStr">
        <is>
          <t>harmalol</t>
        </is>
      </c>
      <c r="D297" t="inlineStr">
        <is>
          <t>other</t>
        </is>
      </c>
      <c r="E297" t="inlineStr">
        <is>
          <t>insufficient evidence</t>
        </is>
      </c>
      <c r="F297" t="inlineStr">
        <is>
          <t>unclassified</t>
        </is>
      </c>
      <c r="W297" t="n">
        <v>2</v>
      </c>
      <c r="X297" t="inlineStr">
        <is>
          <t>Low</t>
        </is>
      </c>
      <c r="Z297" t="inlineStr">
        <is>
          <t>harmalol</t>
        </is>
      </c>
      <c r="AF297" t="inlineStr">
        <is>
          <t>harmalol</t>
        </is>
      </c>
      <c r="AH297" t="inlineStr">
        <is>
          <t>Pass 45 duplicate consolidation</t>
        </is>
      </c>
      <c r="AI297" t="inlineStr">
        <is>
          <t>other</t>
        </is>
      </c>
      <c r="AJ297" t="inlineStr">
        <is>
          <t>Unknown</t>
        </is>
      </c>
      <c r="AK297" t="inlineStr">
        <is>
          <t>unclassified</t>
        </is>
      </c>
      <c r="AL297" t="inlineStr">
        <is>
          <t>Pass 46 mechanism + evidence consolidation</t>
        </is>
      </c>
      <c r="AM297" t="n">
        <v>3</v>
      </c>
      <c r="AN297" t="inlineStr">
        <is>
          <t>D</t>
        </is>
      </c>
      <c r="AO297" t="inlineStr">
        <is>
          <t>Pass 47 compound scoring</t>
        </is>
      </c>
    </row>
    <row r="298">
      <c r="A298" t="inlineStr">
        <is>
          <t>Harmine</t>
        </is>
      </c>
      <c r="B298" t="inlineStr">
        <is>
          <t>β-carboline</t>
        </is>
      </c>
      <c r="C298" t="inlineStr">
        <is>
          <t>Peganum harmala</t>
        </is>
      </c>
      <c r="D298" t="inlineStr">
        <is>
          <t>MAO-A inhibition</t>
        </is>
      </c>
      <c r="E298" t="inlineStr">
        <is>
          <t>Beta-carboline alkaloids act as reversible MAO-A inhibitors, allowing oral activity of DMT and modulating serotonergic signaling.</t>
        </is>
      </c>
      <c r="F298" t="inlineStr">
        <is>
          <t>unclassified; MAO-A inhibition; monoamine preservation</t>
        </is>
      </c>
      <c r="U298" t="inlineStr">
        <is>
          <t>Pass 45 merged 2 rows into canonical compound entry</t>
        </is>
      </c>
      <c r="W298" t="n">
        <v>5</v>
      </c>
      <c r="X298" t="inlineStr">
        <is>
          <t>High</t>
        </is>
      </c>
      <c r="Z298" t="inlineStr">
        <is>
          <t>Harmine</t>
        </is>
      </c>
      <c r="AF298" t="inlineStr">
        <is>
          <t>harmine</t>
        </is>
      </c>
      <c r="AH298" t="inlineStr">
        <is>
          <t>Pass 45 duplicate consolidation</t>
        </is>
      </c>
      <c r="AI298" t="inlineStr">
        <is>
          <t>MAO-A inhibition</t>
        </is>
      </c>
      <c r="AJ298" t="inlineStr">
        <is>
          <t>Unknown</t>
        </is>
      </c>
      <c r="AK298" t="inlineStr">
        <is>
          <t>mao-a inhibition; monoamine preservation; unclassified</t>
        </is>
      </c>
      <c r="AL298" t="inlineStr">
        <is>
          <t>Pass 46 mechanism + evidence consolidation</t>
        </is>
      </c>
      <c r="AM298" t="n">
        <v>5</v>
      </c>
      <c r="AN298" t="inlineStr">
        <is>
          <t>C</t>
        </is>
      </c>
      <c r="AO298" t="inlineStr">
        <is>
          <t>Pass 47 compound scoring</t>
        </is>
      </c>
    </row>
    <row r="299">
      <c r="A299" t="inlineStr">
        <is>
          <t>harpagoside</t>
        </is>
      </c>
      <c r="B299" t="inlineStr">
        <is>
          <t>harpagoside</t>
        </is>
      </c>
      <c r="D299" t="inlineStr">
        <is>
          <t>iridoid glycosides</t>
        </is>
      </c>
      <c r="E299" t="inlineStr">
        <is>
          <t>insufficient evidence</t>
        </is>
      </c>
      <c r="F299" t="inlineStr">
        <is>
          <t>unclassified</t>
        </is>
      </c>
      <c r="W299" t="n">
        <v>2</v>
      </c>
      <c r="X299" t="inlineStr">
        <is>
          <t>Low</t>
        </is>
      </c>
      <c r="Z299" t="inlineStr">
        <is>
          <t>harpagoside</t>
        </is>
      </c>
      <c r="AF299" t="inlineStr">
        <is>
          <t>harpagoside</t>
        </is>
      </c>
      <c r="AH299" t="inlineStr">
        <is>
          <t>Pass 45 duplicate consolidation</t>
        </is>
      </c>
      <c r="AI299" t="inlineStr">
        <is>
          <t>iridoid glycosides</t>
        </is>
      </c>
      <c r="AJ299" t="inlineStr">
        <is>
          <t>Unknown</t>
        </is>
      </c>
      <c r="AK299" t="inlineStr">
        <is>
          <t>unclassified</t>
        </is>
      </c>
      <c r="AL299" t="inlineStr">
        <is>
          <t>Pass 46 mechanism + evidence consolidation</t>
        </is>
      </c>
      <c r="AM299" t="n">
        <v>3</v>
      </c>
      <c r="AN299" t="inlineStr">
        <is>
          <t>D</t>
        </is>
      </c>
      <c r="AO299" t="inlineStr">
        <is>
          <t>Pass 47 compound scoring</t>
        </is>
      </c>
    </row>
    <row r="300">
      <c r="A300" t="inlineStr">
        <is>
          <t>helenalin</t>
        </is>
      </c>
      <c r="B300" t="inlineStr">
        <is>
          <t>helenalin</t>
        </is>
      </c>
      <c r="D300" t="inlineStr">
        <is>
          <t>sesquiterpene lactones</t>
        </is>
      </c>
      <c r="E300" t="inlineStr">
        <is>
          <t>insufficient evidence</t>
        </is>
      </c>
      <c r="F300" t="inlineStr">
        <is>
          <t>unclassified</t>
        </is>
      </c>
      <c r="W300" t="n">
        <v>2</v>
      </c>
      <c r="X300" t="inlineStr">
        <is>
          <t>Low</t>
        </is>
      </c>
      <c r="Z300" t="inlineStr">
        <is>
          <t>helenalin</t>
        </is>
      </c>
      <c r="AF300" t="inlineStr">
        <is>
          <t>helenalin</t>
        </is>
      </c>
      <c r="AH300" t="inlineStr">
        <is>
          <t>Pass 45 duplicate consolidation</t>
        </is>
      </c>
      <c r="AI300" t="inlineStr">
        <is>
          <t>sesquiterpene lactones</t>
        </is>
      </c>
      <c r="AJ300" t="inlineStr">
        <is>
          <t>Unknown</t>
        </is>
      </c>
      <c r="AK300" t="inlineStr">
        <is>
          <t>unclassified</t>
        </is>
      </c>
      <c r="AL300" t="inlineStr">
        <is>
          <t>Pass 46 mechanism + evidence consolidation</t>
        </is>
      </c>
      <c r="AM300" t="n">
        <v>3</v>
      </c>
      <c r="AN300" t="inlineStr">
        <is>
          <t>D</t>
        </is>
      </c>
      <c r="AO300" t="inlineStr">
        <is>
          <t>Pass 47 compound scoring</t>
        </is>
      </c>
    </row>
    <row r="301">
      <c r="A301" t="inlineStr">
        <is>
          <t>hericenone c</t>
        </is>
      </c>
      <c r="B301" t="inlineStr">
        <is>
          <t>hericenone C</t>
        </is>
      </c>
      <c r="D301" t="inlineStr">
        <is>
          <t>aromatic compound</t>
        </is>
      </c>
      <c r="E301" t="inlineStr">
        <is>
          <t>Lion's Mane constituent linked to neurotrophic relevance.</t>
        </is>
      </c>
      <c r="F301" t="inlineStr">
        <is>
          <t>unclassified</t>
        </is>
      </c>
      <c r="W301" t="n">
        <v>2</v>
      </c>
      <c r="X301" t="inlineStr">
        <is>
          <t>Low</t>
        </is>
      </c>
      <c r="Z301" t="inlineStr">
        <is>
          <t>hericenone c</t>
        </is>
      </c>
      <c r="AF301" t="inlineStr">
        <is>
          <t>hericenone c</t>
        </is>
      </c>
      <c r="AH301" t="inlineStr">
        <is>
          <t>Pass 45 duplicate consolidation</t>
        </is>
      </c>
      <c r="AI301" t="inlineStr">
        <is>
          <t>aromatic compound</t>
        </is>
      </c>
      <c r="AJ301" t="inlineStr">
        <is>
          <t>Unknown</t>
        </is>
      </c>
      <c r="AK301" t="inlineStr">
        <is>
          <t>unclassified</t>
        </is>
      </c>
      <c r="AL301" t="inlineStr">
        <is>
          <t>Pass 46 mechanism + evidence consolidation</t>
        </is>
      </c>
      <c r="AM301" t="n">
        <v>3</v>
      </c>
      <c r="AN301" t="inlineStr">
        <is>
          <t>D</t>
        </is>
      </c>
      <c r="AO301" t="inlineStr">
        <is>
          <t>Pass 47 compound scoring</t>
        </is>
      </c>
    </row>
    <row r="302">
      <c r="A302" t="inlineStr">
        <is>
          <t>hericenones</t>
        </is>
      </c>
      <c r="B302" t="inlineStr">
        <is>
          <t>hericenones</t>
        </is>
      </c>
      <c r="D302" t="inlineStr">
        <is>
          <t>aromatic compounds</t>
        </is>
      </c>
      <c r="E302" t="inlineStr">
        <is>
          <t>Lion's Mane compounds associated with neurotrophic signaling in preclinical work.</t>
        </is>
      </c>
      <c r="F302" t="inlineStr">
        <is>
          <t>unclassified</t>
        </is>
      </c>
      <c r="W302" t="n">
        <v>2</v>
      </c>
      <c r="X302" t="inlineStr">
        <is>
          <t>Low</t>
        </is>
      </c>
      <c r="Z302" t="inlineStr">
        <is>
          <t>hericenones</t>
        </is>
      </c>
      <c r="AF302" t="inlineStr">
        <is>
          <t>hericenones</t>
        </is>
      </c>
      <c r="AH302" t="inlineStr">
        <is>
          <t>Pass 45 duplicate consolidation</t>
        </is>
      </c>
      <c r="AI302" t="inlineStr">
        <is>
          <t>aromatic compounds</t>
        </is>
      </c>
      <c r="AJ302" t="inlineStr">
        <is>
          <t>Clinical</t>
        </is>
      </c>
      <c r="AK302" t="inlineStr">
        <is>
          <t>unclassified</t>
        </is>
      </c>
      <c r="AL302" t="inlineStr">
        <is>
          <t>Pass 46 mechanism + evidence consolidation</t>
        </is>
      </c>
      <c r="AM302" t="n">
        <v>6</v>
      </c>
      <c r="AN302" t="inlineStr">
        <is>
          <t>C</t>
        </is>
      </c>
      <c r="AO302" t="inlineStr">
        <is>
          <t>Pass 47 compound scoring</t>
        </is>
      </c>
    </row>
    <row r="303">
      <c r="A303" t="inlineStr">
        <is>
          <t>hesperidin</t>
        </is>
      </c>
      <c r="B303" t="inlineStr">
        <is>
          <t>hesperidin</t>
        </is>
      </c>
      <c r="D303" t="inlineStr">
        <is>
          <t>flavonoid</t>
        </is>
      </c>
      <c r="E303" t="inlineStr">
        <is>
          <t>Modulates inflammatory cytokine signaling</t>
        </is>
      </c>
      <c r="F303" t="inlineStr">
        <is>
          <t>unclassified</t>
        </is>
      </c>
      <c r="W303" t="n">
        <v>2</v>
      </c>
      <c r="X303" t="inlineStr">
        <is>
          <t>Low</t>
        </is>
      </c>
      <c r="Z303" t="inlineStr">
        <is>
          <t>hesperidin</t>
        </is>
      </c>
      <c r="AF303" t="inlineStr">
        <is>
          <t>hesperidin</t>
        </is>
      </c>
      <c r="AH303" t="inlineStr">
        <is>
          <t>Pass 45 duplicate consolidation</t>
        </is>
      </c>
      <c r="AI303" t="inlineStr">
        <is>
          <t>flavonoid</t>
        </is>
      </c>
      <c r="AJ303" t="inlineStr">
        <is>
          <t>Unknown</t>
        </is>
      </c>
      <c r="AK303" t="inlineStr">
        <is>
          <t>unclassified</t>
        </is>
      </c>
      <c r="AL303" t="inlineStr">
        <is>
          <t>Pass 46 mechanism + evidence consolidation</t>
        </is>
      </c>
      <c r="AM303" t="n">
        <v>3</v>
      </c>
      <c r="AN303" t="inlineStr">
        <is>
          <t>D</t>
        </is>
      </c>
      <c r="AO303" t="inlineStr">
        <is>
          <t>Pass 47 compound scoring</t>
        </is>
      </c>
    </row>
    <row r="304">
      <c r="A304" t="inlineStr">
        <is>
          <t>hibiscus acid</t>
        </is>
      </c>
      <c r="B304" t="inlineStr">
        <is>
          <t>hibiscus acid</t>
        </is>
      </c>
      <c r="D304" t="inlineStr">
        <is>
          <t>organic acid</t>
        </is>
      </c>
      <c r="E304" t="inlineStr">
        <is>
          <t>Anthocyanins and organic acids contribute antioxidant and ACE-inhibitory activity.</t>
        </is>
      </c>
      <c r="F304" t="inlineStr">
        <is>
          <t>unclassified</t>
        </is>
      </c>
      <c r="W304" t="n">
        <v>2</v>
      </c>
      <c r="X304" t="inlineStr">
        <is>
          <t>Low</t>
        </is>
      </c>
      <c r="Z304" t="inlineStr">
        <is>
          <t>hibiscus acid</t>
        </is>
      </c>
      <c r="AF304" t="inlineStr">
        <is>
          <t>hibiscus acid</t>
        </is>
      </c>
      <c r="AH304" t="inlineStr">
        <is>
          <t>Pass 45 duplicate consolidation</t>
        </is>
      </c>
      <c r="AI304" t="inlineStr">
        <is>
          <t>organic acid</t>
        </is>
      </c>
      <c r="AJ304" t="inlineStr">
        <is>
          <t>Unknown</t>
        </is>
      </c>
      <c r="AK304" t="inlineStr">
        <is>
          <t>unclassified</t>
        </is>
      </c>
      <c r="AL304" t="inlineStr">
        <is>
          <t>Pass 46 mechanism + evidence consolidation</t>
        </is>
      </c>
      <c r="AM304" t="n">
        <v>3</v>
      </c>
      <c r="AN304" t="inlineStr">
        <is>
          <t>D</t>
        </is>
      </c>
      <c r="AO304" t="inlineStr">
        <is>
          <t>Pass 47 compound scoring</t>
        </is>
      </c>
    </row>
    <row r="305">
      <c r="A305" t="inlineStr">
        <is>
          <t>hinokiflavone</t>
        </is>
      </c>
      <c r="B305" t="inlineStr">
        <is>
          <t>hinokiflavone</t>
        </is>
      </c>
      <c r="D305" t="inlineStr">
        <is>
          <t>biflavonoids</t>
        </is>
      </c>
      <c r="E305" t="inlineStr">
        <is>
          <t>insufficient evidence</t>
        </is>
      </c>
      <c r="F305" t="inlineStr">
        <is>
          <t>unclassified</t>
        </is>
      </c>
      <c r="W305" t="n">
        <v>2</v>
      </c>
      <c r="X305" t="inlineStr">
        <is>
          <t>Low</t>
        </is>
      </c>
      <c r="Z305" t="inlineStr">
        <is>
          <t>hinokiflavone</t>
        </is>
      </c>
      <c r="AF305" t="inlineStr">
        <is>
          <t>hinokiflavone</t>
        </is>
      </c>
      <c r="AH305" t="inlineStr">
        <is>
          <t>Pass 45 duplicate consolidation</t>
        </is>
      </c>
      <c r="AI305" t="inlineStr">
        <is>
          <t>biflavonoids</t>
        </is>
      </c>
      <c r="AJ305" t="inlineStr">
        <is>
          <t>Unknown</t>
        </is>
      </c>
      <c r="AK305" t="inlineStr">
        <is>
          <t>unclassified</t>
        </is>
      </c>
      <c r="AL305" t="inlineStr">
        <is>
          <t>Pass 46 mechanism + evidence consolidation</t>
        </is>
      </c>
      <c r="AM305" t="n">
        <v>3</v>
      </c>
      <c r="AN305" t="inlineStr">
        <is>
          <t>D</t>
        </is>
      </c>
      <c r="AO305" t="inlineStr">
        <is>
          <t>Pass 47 compound scoring</t>
        </is>
      </c>
    </row>
    <row r="306">
      <c r="A306" t="inlineStr">
        <is>
          <t>histamine</t>
        </is>
      </c>
      <c r="B306" t="inlineStr">
        <is>
          <t>histamine</t>
        </is>
      </c>
      <c r="D306" t="inlineStr">
        <is>
          <t>lignans; flavonoids</t>
        </is>
      </c>
      <c r="E306" t="inlineStr">
        <is>
          <t>insufficient evidence</t>
        </is>
      </c>
      <c r="F306" t="inlineStr">
        <is>
          <t>unclassified</t>
        </is>
      </c>
      <c r="W306" t="n">
        <v>2</v>
      </c>
      <c r="X306" t="inlineStr">
        <is>
          <t>Low</t>
        </is>
      </c>
      <c r="Z306" t="inlineStr">
        <is>
          <t>histamine</t>
        </is>
      </c>
      <c r="AF306" t="inlineStr">
        <is>
          <t>histamine</t>
        </is>
      </c>
      <c r="AH306" t="inlineStr">
        <is>
          <t>Pass 45 duplicate consolidation</t>
        </is>
      </c>
      <c r="AI306" t="inlineStr">
        <is>
          <t>lignans; flavonoids</t>
        </is>
      </c>
      <c r="AJ306" t="inlineStr">
        <is>
          <t>Unknown</t>
        </is>
      </c>
      <c r="AK306" t="inlineStr">
        <is>
          <t>unclassified</t>
        </is>
      </c>
      <c r="AL306" t="inlineStr">
        <is>
          <t>Pass 46 mechanism + evidence consolidation</t>
        </is>
      </c>
      <c r="AM306" t="n">
        <v>3</v>
      </c>
      <c r="AN306" t="inlineStr">
        <is>
          <t>D</t>
        </is>
      </c>
      <c r="AO306" t="inlineStr">
        <is>
          <t>Pass 47 compound scoring</t>
        </is>
      </c>
    </row>
    <row r="307">
      <c r="A307" t="inlineStr">
        <is>
          <t>humulone</t>
        </is>
      </c>
      <c r="B307" t="inlineStr">
        <is>
          <t>humulone</t>
        </is>
      </c>
      <c r="D307" t="inlineStr">
        <is>
          <t>other</t>
        </is>
      </c>
      <c r="E307" t="inlineStr">
        <is>
          <t>insufficient evidence</t>
        </is>
      </c>
      <c r="F307" t="inlineStr">
        <is>
          <t>unclassified</t>
        </is>
      </c>
      <c r="W307" t="n">
        <v>2</v>
      </c>
      <c r="X307" t="inlineStr">
        <is>
          <t>Low</t>
        </is>
      </c>
      <c r="Z307" t="inlineStr">
        <is>
          <t>humulone</t>
        </is>
      </c>
      <c r="AF307" t="inlineStr">
        <is>
          <t>humulone</t>
        </is>
      </c>
      <c r="AH307" t="inlineStr">
        <is>
          <t>Pass 45 duplicate consolidation</t>
        </is>
      </c>
      <c r="AI307" t="inlineStr">
        <is>
          <t>other</t>
        </is>
      </c>
      <c r="AJ307" t="inlineStr">
        <is>
          <t>Unknown</t>
        </is>
      </c>
      <c r="AK307" t="inlineStr">
        <is>
          <t>unclassified</t>
        </is>
      </c>
      <c r="AL307" t="inlineStr">
        <is>
          <t>Pass 46 mechanism + evidence consolidation</t>
        </is>
      </c>
      <c r="AM307" t="n">
        <v>3</v>
      </c>
      <c r="AN307" t="inlineStr">
        <is>
          <t>D</t>
        </is>
      </c>
      <c r="AO307" t="inlineStr">
        <is>
          <t>Pass 47 compound scoring</t>
        </is>
      </c>
    </row>
    <row r="308">
      <c r="A308" t="inlineStr">
        <is>
          <t>huperzine a</t>
        </is>
      </c>
      <c r="B308" t="inlineStr">
        <is>
          <t>huperzine A</t>
        </is>
      </c>
      <c r="D308" t="inlineStr">
        <is>
          <t>sesquiterpene alkaloid</t>
        </is>
      </c>
      <c r="E308" t="inlineStr">
        <is>
          <t>Potent reversible acetylcholinesterase inhibitor that increases synaptic acetylcholine; this is the clearest and highest-signal mechanism in the batch.</t>
        </is>
      </c>
      <c r="F308" t="inlineStr">
        <is>
          <t>unclassified</t>
        </is>
      </c>
      <c r="W308" t="n">
        <v>2</v>
      </c>
      <c r="X308" t="inlineStr">
        <is>
          <t>Low</t>
        </is>
      </c>
      <c r="Z308" t="inlineStr">
        <is>
          <t>huperzine a</t>
        </is>
      </c>
      <c r="AF308" t="inlineStr">
        <is>
          <t>huperzine a</t>
        </is>
      </c>
      <c r="AH308" t="inlineStr">
        <is>
          <t>Pass 45 duplicate consolidation</t>
        </is>
      </c>
      <c r="AI308" t="inlineStr">
        <is>
          <t>sesquiterpene alkaloid</t>
        </is>
      </c>
      <c r="AJ308" t="inlineStr">
        <is>
          <t>Unknown</t>
        </is>
      </c>
      <c r="AK308" t="inlineStr">
        <is>
          <t>unclassified</t>
        </is>
      </c>
      <c r="AL308" t="inlineStr">
        <is>
          <t>Pass 46 mechanism + evidence consolidation</t>
        </is>
      </c>
      <c r="AM308" t="n">
        <v>3</v>
      </c>
      <c r="AN308" t="inlineStr">
        <is>
          <t>D</t>
        </is>
      </c>
      <c r="AO308" t="inlineStr">
        <is>
          <t>Pass 47 compound scoring</t>
        </is>
      </c>
    </row>
    <row r="309">
      <c r="A309" t="inlineStr">
        <is>
          <t>hydrastine</t>
        </is>
      </c>
      <c r="B309" t="inlineStr">
        <is>
          <t>hydrastine</t>
        </is>
      </c>
      <c r="D309" t="inlineStr">
        <is>
          <t>Berberine, hydrastine, alkaloids</t>
        </is>
      </c>
      <c r="E309" t="inlineStr">
        <is>
          <t>insufficient evidence</t>
        </is>
      </c>
      <c r="F309" t="inlineStr">
        <is>
          <t>unclassified</t>
        </is>
      </c>
      <c r="W309" t="n">
        <v>2</v>
      </c>
      <c r="X309" t="inlineStr">
        <is>
          <t>Low</t>
        </is>
      </c>
      <c r="Z309" t="inlineStr">
        <is>
          <t>hydrastine</t>
        </is>
      </c>
      <c r="AF309" t="inlineStr">
        <is>
          <t>hydrastine</t>
        </is>
      </c>
      <c r="AH309" t="inlineStr">
        <is>
          <t>Pass 45 duplicate consolidation</t>
        </is>
      </c>
      <c r="AI309" t="inlineStr">
        <is>
          <t>Berberine, hydrastine, alkaloids</t>
        </is>
      </c>
      <c r="AJ309" t="inlineStr">
        <is>
          <t>Unknown</t>
        </is>
      </c>
      <c r="AK309" t="inlineStr">
        <is>
          <t>unclassified</t>
        </is>
      </c>
      <c r="AL309" t="inlineStr">
        <is>
          <t>Pass 46 mechanism + evidence consolidation</t>
        </is>
      </c>
      <c r="AM309" t="n">
        <v>3</v>
      </c>
      <c r="AN309" t="inlineStr">
        <is>
          <t>D</t>
        </is>
      </c>
      <c r="AO309" t="inlineStr">
        <is>
          <t>Pass 47 compound scoring</t>
        </is>
      </c>
    </row>
    <row r="310">
      <c r="A310" t="inlineStr">
        <is>
          <t>hydroxy-alpha-sanshool</t>
        </is>
      </c>
      <c r="B310" t="inlineStr">
        <is>
          <t>hydroxy-alpha-sanshool</t>
        </is>
      </c>
      <c r="D310" t="inlineStr">
        <is>
          <t>other</t>
        </is>
      </c>
      <c r="E310" t="inlineStr">
        <is>
          <t>insufficient evidence</t>
        </is>
      </c>
      <c r="F310" t="inlineStr">
        <is>
          <t>adrenergic signaling</t>
        </is>
      </c>
      <c r="W310" t="n">
        <v>2</v>
      </c>
      <c r="X310" t="inlineStr">
        <is>
          <t>Low</t>
        </is>
      </c>
      <c r="Z310" t="inlineStr">
        <is>
          <t>hydroxy-alpha-sanshool</t>
        </is>
      </c>
      <c r="AF310" t="inlineStr">
        <is>
          <t>hydroxy alpha sanshool</t>
        </is>
      </c>
      <c r="AH310" t="inlineStr">
        <is>
          <t>Pass 45 duplicate consolidation</t>
        </is>
      </c>
      <c r="AI310" t="inlineStr">
        <is>
          <t>other</t>
        </is>
      </c>
      <c r="AJ310" t="inlineStr">
        <is>
          <t>Unknown</t>
        </is>
      </c>
      <c r="AK310" t="inlineStr">
        <is>
          <t>adrenergic signaling</t>
        </is>
      </c>
      <c r="AL310" t="inlineStr">
        <is>
          <t>Pass 46 mechanism + evidence consolidation</t>
        </is>
      </c>
      <c r="AM310" t="n">
        <v>3</v>
      </c>
      <c r="AN310" t="inlineStr">
        <is>
          <t>D</t>
        </is>
      </c>
      <c r="AO310" t="inlineStr">
        <is>
          <t>Pass 47 compound scoring</t>
        </is>
      </c>
    </row>
    <row r="311">
      <c r="A311" t="inlineStr">
        <is>
          <t>hydroxy-beta-sanshool</t>
        </is>
      </c>
      <c r="B311" t="inlineStr">
        <is>
          <t>hydroxy-beta-sanshool</t>
        </is>
      </c>
      <c r="D311" t="inlineStr">
        <is>
          <t>other</t>
        </is>
      </c>
      <c r="E311" t="inlineStr">
        <is>
          <t>insufficient evidence</t>
        </is>
      </c>
      <c r="F311" t="inlineStr">
        <is>
          <t>unclassified</t>
        </is>
      </c>
      <c r="W311" t="n">
        <v>2</v>
      </c>
      <c r="X311" t="inlineStr">
        <is>
          <t>Low</t>
        </is>
      </c>
      <c r="Z311" t="inlineStr">
        <is>
          <t>hydroxy-beta-sanshool</t>
        </is>
      </c>
      <c r="AF311" t="inlineStr">
        <is>
          <t>hydroxy beta sanshool</t>
        </is>
      </c>
      <c r="AH311" t="inlineStr">
        <is>
          <t>Pass 45 duplicate consolidation</t>
        </is>
      </c>
      <c r="AI311" t="inlineStr">
        <is>
          <t>other</t>
        </is>
      </c>
      <c r="AJ311" t="inlineStr">
        <is>
          <t>Unknown</t>
        </is>
      </c>
      <c r="AK311" t="inlineStr">
        <is>
          <t>unclassified</t>
        </is>
      </c>
      <c r="AL311" t="inlineStr">
        <is>
          <t>Pass 46 mechanism + evidence consolidation</t>
        </is>
      </c>
      <c r="AM311" t="n">
        <v>3</v>
      </c>
      <c r="AN311" t="inlineStr">
        <is>
          <t>D</t>
        </is>
      </c>
      <c r="AO311" t="inlineStr">
        <is>
          <t>Pass 47 compound scoring</t>
        </is>
      </c>
    </row>
    <row r="312">
      <c r="A312" t="inlineStr">
        <is>
          <t>hydroxycitric acid</t>
        </is>
      </c>
      <c r="B312" t="inlineStr">
        <is>
          <t>hydroxycitric acid (hca)</t>
        </is>
      </c>
      <c r="D312" t="inlineStr">
        <is>
          <t>organic acid</t>
        </is>
      </c>
      <c r="E312" t="inlineStr">
        <is>
          <t>insufficient evidence</t>
        </is>
      </c>
      <c r="F312" t="inlineStr">
        <is>
          <t>unclassified</t>
        </is>
      </c>
      <c r="W312" t="n">
        <v>2</v>
      </c>
      <c r="X312" t="inlineStr">
        <is>
          <t>Low</t>
        </is>
      </c>
      <c r="Z312" t="inlineStr">
        <is>
          <t>hydroxycitric acid</t>
        </is>
      </c>
      <c r="AF312" t="inlineStr">
        <is>
          <t>hydroxycitric acid</t>
        </is>
      </c>
      <c r="AH312" t="inlineStr">
        <is>
          <t>Pass 45 duplicate consolidation</t>
        </is>
      </c>
      <c r="AI312" t="inlineStr">
        <is>
          <t>organic acid</t>
        </is>
      </c>
      <c r="AJ312" t="inlineStr">
        <is>
          <t>Unknown</t>
        </is>
      </c>
      <c r="AK312" t="inlineStr">
        <is>
          <t>unclassified</t>
        </is>
      </c>
      <c r="AL312" t="inlineStr">
        <is>
          <t>Pass 46 mechanism + evidence consolidation</t>
        </is>
      </c>
      <c r="AM312" t="n">
        <v>3</v>
      </c>
      <c r="AN312" t="inlineStr">
        <is>
          <t>D</t>
        </is>
      </c>
      <c r="AO312" t="inlineStr">
        <is>
          <t>Pass 47 compound scoring</t>
        </is>
      </c>
    </row>
    <row r="313">
      <c r="A313" t="inlineStr">
        <is>
          <t>hydroxytyrosol</t>
        </is>
      </c>
      <c r="B313" t="inlineStr">
        <is>
          <t>hydroxytyrosol</t>
        </is>
      </c>
      <c r="C313" t="inlineStr">
        <is>
          <t>3; 4-dihydroxyphenylethanol; DOPET</t>
        </is>
      </c>
      <c r="D313" t="inlineStr">
        <is>
          <t>simple phenolic alcohol / catechol phenol</t>
        </is>
      </c>
      <c r="E313" t="inlineStr">
        <is>
          <t>proposed mechanism based on preclinical data: antioxidant and cytoprotective signaling with modulation of oxidative-stress and inflammatory pathways; human exposure and metabolism are well described, but target-level clinical mechanism is not fully established.</t>
        </is>
      </c>
      <c r="F313" t="inlineStr">
        <is>
          <t>unclassified</t>
        </is>
      </c>
      <c r="W313" t="n">
        <v>2</v>
      </c>
      <c r="X313" t="inlineStr">
        <is>
          <t>Low</t>
        </is>
      </c>
      <c r="Z313" t="inlineStr">
        <is>
          <t>hydroxytyrosol</t>
        </is>
      </c>
      <c r="AF313" t="inlineStr">
        <is>
          <t>hydroxytyrosol</t>
        </is>
      </c>
      <c r="AH313" t="inlineStr">
        <is>
          <t>Pass 45 duplicate consolidation</t>
        </is>
      </c>
      <c r="AI313" t="inlineStr">
        <is>
          <t>simple phenolic alcohol / catechol phenol</t>
        </is>
      </c>
      <c r="AJ313" t="inlineStr">
        <is>
          <t>Human</t>
        </is>
      </c>
      <c r="AK313" t="inlineStr">
        <is>
          <t>unclassified</t>
        </is>
      </c>
      <c r="AL313" t="inlineStr">
        <is>
          <t>Pass 46 mechanism + evidence consolidation</t>
        </is>
      </c>
      <c r="AM313" t="n">
        <v>7</v>
      </c>
      <c r="AN313" t="inlineStr">
        <is>
          <t>B</t>
        </is>
      </c>
      <c r="AO313" t="inlineStr">
        <is>
          <t>Pass 47 compound scoring</t>
        </is>
      </c>
    </row>
    <row r="314">
      <c r="A314" t="inlineStr">
        <is>
          <t>hydroxytyrosol acetate</t>
        </is>
      </c>
      <c r="B314" t="inlineStr">
        <is>
          <t>hydroxytyrosol acetate</t>
        </is>
      </c>
      <c r="C314" t="inlineStr">
        <is>
          <t>2-(3; 4-dihydroxyphenyl)ethyl acetate</t>
        </is>
      </c>
      <c r="D314" t="inlineStr">
        <is>
          <t>phenolic ester / tyrosol derivative</t>
        </is>
      </c>
      <c r="E314" t="inlineStr">
        <is>
          <t>proposed mechanism based on preclinical data: antioxidant and cytoprotective activity is inferred from tyrosol-family literature, but no established human mechanism exists.</t>
        </is>
      </c>
      <c r="F314" t="inlineStr">
        <is>
          <t>unclassified</t>
        </is>
      </c>
      <c r="W314" t="n">
        <v>2</v>
      </c>
      <c r="X314" t="inlineStr">
        <is>
          <t>Low</t>
        </is>
      </c>
      <c r="Z314" t="inlineStr">
        <is>
          <t>hydroxytyrosol acetate</t>
        </is>
      </c>
      <c r="AF314" t="inlineStr">
        <is>
          <t>hydroxytyrosol acetate</t>
        </is>
      </c>
      <c r="AH314" t="inlineStr">
        <is>
          <t>Pass 45 duplicate consolidation</t>
        </is>
      </c>
      <c r="AI314" t="inlineStr">
        <is>
          <t>phenolic ester / tyrosol derivative</t>
        </is>
      </c>
      <c r="AJ314" t="inlineStr">
        <is>
          <t>Human</t>
        </is>
      </c>
      <c r="AK314" t="inlineStr">
        <is>
          <t>unclassified</t>
        </is>
      </c>
      <c r="AL314" t="inlineStr">
        <is>
          <t>Pass 46 mechanism + evidence consolidation</t>
        </is>
      </c>
      <c r="AM314" t="n">
        <v>7</v>
      </c>
      <c r="AN314" t="inlineStr">
        <is>
          <t>B</t>
        </is>
      </c>
      <c r="AO314" t="inlineStr">
        <is>
          <t>Pass 47 compound scoring</t>
        </is>
      </c>
    </row>
    <row r="315">
      <c r="A315" t="inlineStr">
        <is>
          <t>hyoscyamine</t>
        </is>
      </c>
      <c r="B315" t="inlineStr">
        <is>
          <t>hyoscyamine</t>
        </is>
      </c>
      <c r="D315" t="inlineStr">
        <is>
          <t>alkaloid</t>
        </is>
      </c>
      <c r="E315" t="inlineStr">
        <is>
          <t>Scopolamine, hyoscyamine, and atropine block muscarinic acetylcholine receptors (anticholinergic), disrupting sensory and cognitive processing.</t>
        </is>
      </c>
      <c r="F315" t="inlineStr">
        <is>
          <t>unclassified</t>
        </is>
      </c>
      <c r="W315" t="n">
        <v>2</v>
      </c>
      <c r="X315" t="inlineStr">
        <is>
          <t>Low</t>
        </is>
      </c>
      <c r="Z315" t="inlineStr">
        <is>
          <t>hyoscyamine</t>
        </is>
      </c>
      <c r="AF315" t="inlineStr">
        <is>
          <t>hyoscyamine</t>
        </is>
      </c>
      <c r="AH315" t="inlineStr">
        <is>
          <t>Pass 45 duplicate consolidation</t>
        </is>
      </c>
      <c r="AI315" t="inlineStr">
        <is>
          <t>alkaloid</t>
        </is>
      </c>
      <c r="AJ315" t="inlineStr">
        <is>
          <t>Unknown</t>
        </is>
      </c>
      <c r="AK315" t="inlineStr">
        <is>
          <t>unclassified</t>
        </is>
      </c>
      <c r="AL315" t="inlineStr">
        <is>
          <t>Pass 46 mechanism + evidence consolidation</t>
        </is>
      </c>
      <c r="AM315" t="n">
        <v>3</v>
      </c>
      <c r="AN315" t="inlineStr">
        <is>
          <t>D</t>
        </is>
      </c>
      <c r="AO315" t="inlineStr">
        <is>
          <t>Pass 47 compound scoring</t>
        </is>
      </c>
    </row>
    <row r="316">
      <c r="A316" t="inlineStr">
        <is>
          <t>hypaconitine</t>
        </is>
      </c>
      <c r="B316" t="inlineStr">
        <is>
          <t>hypaconitine</t>
        </is>
      </c>
      <c r="D316" t="inlineStr">
        <is>
          <t>other</t>
        </is>
      </c>
      <c r="E316" t="inlineStr">
        <is>
          <t>insufficient evidence</t>
        </is>
      </c>
      <c r="F316" t="inlineStr">
        <is>
          <t>unclassified</t>
        </is>
      </c>
      <c r="W316" t="n">
        <v>2</v>
      </c>
      <c r="X316" t="inlineStr">
        <is>
          <t>Low</t>
        </is>
      </c>
      <c r="Z316" t="inlineStr">
        <is>
          <t>hypaconitine</t>
        </is>
      </c>
      <c r="AF316" t="inlineStr">
        <is>
          <t>hypaconitine</t>
        </is>
      </c>
      <c r="AH316" t="inlineStr">
        <is>
          <t>Pass 45 duplicate consolidation</t>
        </is>
      </c>
      <c r="AI316" t="inlineStr">
        <is>
          <t>other</t>
        </is>
      </c>
      <c r="AJ316" t="inlineStr">
        <is>
          <t>Unknown</t>
        </is>
      </c>
      <c r="AK316" t="inlineStr">
        <is>
          <t>unclassified</t>
        </is>
      </c>
      <c r="AL316" t="inlineStr">
        <is>
          <t>Pass 46 mechanism + evidence consolidation</t>
        </is>
      </c>
      <c r="AM316" t="n">
        <v>3</v>
      </c>
      <c r="AN316" t="inlineStr">
        <is>
          <t>D</t>
        </is>
      </c>
      <c r="AO316" t="inlineStr">
        <is>
          <t>Pass 47 compound scoring</t>
        </is>
      </c>
    </row>
    <row r="317">
      <c r="A317" t="inlineStr">
        <is>
          <t>Hyperforin</t>
        </is>
      </c>
      <c r="B317" t="inlineStr">
        <is>
          <t>Phloroglucinol</t>
        </is>
      </c>
      <c r="C317" t="inlineStr">
        <is>
          <t>Hypericum perforatum</t>
        </is>
      </c>
      <c r="D317" t="inlineStr">
        <is>
          <t>phloroglucinol derivative</t>
        </is>
      </c>
      <c r="E317" t="inlineStr">
        <is>
          <t>proposed mechanism based on preclinical and limited human data: inhibition of monoamine reuptake and modulation of TRPC6-linked neuroplasticity; major herb-drug interaction relevance is strongly associated with hyperforin-rich St Johns wort extracts.</t>
        </is>
      </c>
      <c r="F317" t="inlineStr">
        <is>
          <t>unclassified; antidepressant signaling; monoamine reuptake modulation</t>
        </is>
      </c>
      <c r="U317" t="inlineStr">
        <is>
          <t>Pass 45 merged 2 rows into canonical compound entry</t>
        </is>
      </c>
      <c r="W317" t="n">
        <v>4</v>
      </c>
      <c r="X317" t="inlineStr">
        <is>
          <t>Medium</t>
        </is>
      </c>
      <c r="Z317" t="inlineStr">
        <is>
          <t>Hyperforin</t>
        </is>
      </c>
      <c r="AF317" t="inlineStr">
        <is>
          <t>hyperforin</t>
        </is>
      </c>
      <c r="AH317" t="inlineStr">
        <is>
          <t>Pass 45 duplicate consolidation</t>
        </is>
      </c>
      <c r="AI317" t="inlineStr">
        <is>
          <t>phloroglucinol derivative</t>
        </is>
      </c>
      <c r="AJ317" t="inlineStr">
        <is>
          <t>Human</t>
        </is>
      </c>
      <c r="AK317" t="inlineStr">
        <is>
          <t>antidepressant signaling; monoamine reuptake modulation; unclassified</t>
        </is>
      </c>
      <c r="AL317" t="inlineStr">
        <is>
          <t>Pass 46 mechanism + evidence consolidation</t>
        </is>
      </c>
      <c r="AM317" t="n">
        <v>9</v>
      </c>
      <c r="AN317" t="inlineStr">
        <is>
          <t>B</t>
        </is>
      </c>
      <c r="AO317" t="inlineStr">
        <is>
          <t>Pass 47 compound scoring</t>
        </is>
      </c>
    </row>
    <row r="318">
      <c r="A318" t="inlineStr">
        <is>
          <t>Hypericin</t>
        </is>
      </c>
      <c r="B318" t="inlineStr">
        <is>
          <t>Naphthodianthrone</t>
        </is>
      </c>
      <c r="C318" t="inlineStr">
        <is>
          <t>Hypericum perforatum</t>
        </is>
      </c>
      <c r="D318" t="inlineStr">
        <is>
          <t>naphthodianthrone</t>
        </is>
      </c>
      <c r="E318" t="inlineStr">
        <is>
          <t>proposed mechanism based on preclinical data: photodynamic and redox-active signaling; no established human antidepressant mechanism at isolated-compound level.</t>
        </is>
      </c>
      <c r="F318" t="inlineStr">
        <is>
          <t>unclassified; antidepressant signaling; photosensitizing activity</t>
        </is>
      </c>
      <c r="U318" t="inlineStr">
        <is>
          <t>Pass 45 merged 2 rows into canonical compound entry</t>
        </is>
      </c>
      <c r="W318" t="n">
        <v>3</v>
      </c>
      <c r="X318" t="inlineStr">
        <is>
          <t>Low</t>
        </is>
      </c>
      <c r="Z318" t="inlineStr">
        <is>
          <t>Hypericin</t>
        </is>
      </c>
      <c r="AF318" t="inlineStr">
        <is>
          <t>hypericin</t>
        </is>
      </c>
      <c r="AH318" t="inlineStr">
        <is>
          <t>Pass 45 duplicate consolidation</t>
        </is>
      </c>
      <c r="AI318" t="inlineStr">
        <is>
          <t>naphthodianthrone</t>
        </is>
      </c>
      <c r="AJ318" t="inlineStr">
        <is>
          <t>Human</t>
        </is>
      </c>
      <c r="AK318" t="inlineStr">
        <is>
          <t>antidepressant signaling; photosensitizing activity; unclassified</t>
        </is>
      </c>
      <c r="AL318" t="inlineStr">
        <is>
          <t>Pass 46 mechanism + evidence consolidation</t>
        </is>
      </c>
      <c r="AM318" t="n">
        <v>9</v>
      </c>
      <c r="AN318" t="inlineStr">
        <is>
          <t>B</t>
        </is>
      </c>
      <c r="AO318" t="inlineStr">
        <is>
          <t>Pass 47 compound scoring</t>
        </is>
      </c>
    </row>
    <row r="319">
      <c r="A319" t="inlineStr">
        <is>
          <t>Ibogaine</t>
        </is>
      </c>
      <c r="B319" t="inlineStr">
        <is>
          <t>Alkaloid</t>
        </is>
      </c>
      <c r="C319" t="inlineStr">
        <is>
          <t>Tabernanthe iboga</t>
        </is>
      </c>
      <c r="D319" t="inlineStr">
        <is>
          <t>NMDA/opioid modulation</t>
        </is>
      </c>
      <c r="E319" t="inlineStr">
        <is>
          <t>Ibogaine exhibits NMDA receptor antagonism, kappa-opioid receptor agonism, and monoamine transporter modulation.</t>
        </is>
      </c>
      <c r="F319" t="inlineStr">
        <is>
          <t>unclassified; NMDA antagonism; multi-target neuropharmacology; opioid receptor activity; sigma receptor interaction</t>
        </is>
      </c>
      <c r="U319" t="inlineStr">
        <is>
          <t>Pass 45 merged 2 rows into canonical compound entry</t>
        </is>
      </c>
      <c r="W319" t="n">
        <v>5</v>
      </c>
      <c r="X319" t="inlineStr">
        <is>
          <t>Medium</t>
        </is>
      </c>
      <c r="Z319" t="inlineStr">
        <is>
          <t>Ibogaine</t>
        </is>
      </c>
      <c r="AF319" t="inlineStr">
        <is>
          <t>ibogaine</t>
        </is>
      </c>
      <c r="AH319" t="inlineStr">
        <is>
          <t>Pass 45 duplicate consolidation</t>
        </is>
      </c>
      <c r="AI319" t="inlineStr">
        <is>
          <t>NMDA/opioid modulation</t>
        </is>
      </c>
      <c r="AJ319" t="inlineStr">
        <is>
          <t>Unknown</t>
        </is>
      </c>
      <c r="AK319" t="inlineStr">
        <is>
          <t>multi-target neuropharmacology; nmda antagonism; opioid receptor activity; sigma receptor interaction; unclassified</t>
        </is>
      </c>
      <c r="AL319" t="inlineStr">
        <is>
          <t>Pass 46 mechanism + evidence consolidation</t>
        </is>
      </c>
      <c r="AM319" t="n">
        <v>7</v>
      </c>
      <c r="AN319" t="inlineStr">
        <is>
          <t>B</t>
        </is>
      </c>
      <c r="AO319" t="inlineStr">
        <is>
          <t>Pass 47 compound scoring</t>
        </is>
      </c>
    </row>
    <row r="320">
      <c r="A320" t="inlineStr">
        <is>
          <t>ibotenic acid</t>
        </is>
      </c>
      <c r="B320" t="inlineStr">
        <is>
          <t>ibotenic acid</t>
        </is>
      </c>
      <c r="D320" t="inlineStr">
        <is>
          <t>organic acid</t>
        </is>
      </c>
      <c r="E320" t="inlineStr">
        <is>
          <t>Psychotropic effects are mainly attributed to muscimol acting at GABA_A receptors, with ibotenic acid contributing excitatory glutamatergic activity.</t>
        </is>
      </c>
      <c r="F320" t="inlineStr">
        <is>
          <t>unclassified</t>
        </is>
      </c>
      <c r="W320" t="n">
        <v>2</v>
      </c>
      <c r="X320" t="inlineStr">
        <is>
          <t>Low</t>
        </is>
      </c>
      <c r="Z320" t="inlineStr">
        <is>
          <t>ibotenic acid</t>
        </is>
      </c>
      <c r="AF320" t="inlineStr">
        <is>
          <t>ibotenic acid</t>
        </is>
      </c>
      <c r="AH320" t="inlineStr">
        <is>
          <t>Pass 45 duplicate consolidation</t>
        </is>
      </c>
      <c r="AI320" t="inlineStr">
        <is>
          <t>organic acid</t>
        </is>
      </c>
      <c r="AJ320" t="inlineStr">
        <is>
          <t>Unknown</t>
        </is>
      </c>
      <c r="AK320" t="inlineStr">
        <is>
          <t>unclassified</t>
        </is>
      </c>
      <c r="AL320" t="inlineStr">
        <is>
          <t>Pass 46 mechanism + evidence consolidation</t>
        </is>
      </c>
      <c r="AM320" t="n">
        <v>3</v>
      </c>
      <c r="AN320" t="inlineStr">
        <is>
          <t>D</t>
        </is>
      </c>
      <c r="AO320" t="inlineStr">
        <is>
          <t>Pass 47 compound scoring</t>
        </is>
      </c>
    </row>
    <row r="321">
      <c r="A321" t="inlineStr">
        <is>
          <t>Icariin</t>
        </is>
      </c>
      <c r="B321" t="inlineStr">
        <is>
          <t>Flavonoid</t>
        </is>
      </c>
      <c r="C321" t="inlineStr">
        <is>
          <t>Epimedium</t>
        </is>
      </c>
      <c r="D321" t="inlineStr">
        <is>
          <t>prenylated flavonol glycoside</t>
        </is>
      </c>
      <c r="E321" t="inlineStr">
        <is>
          <t>Flavonol glycoside from Epimedium associated with nitric oxide, bone, and PDE-related signaling.</t>
        </is>
      </c>
      <c r="F321" t="inlineStr">
        <is>
          <t>unclassified; PDE5-related signaling; nitric oxide signaling</t>
        </is>
      </c>
      <c r="U321" t="inlineStr">
        <is>
          <t>Pass 45 merged 2 rows into canonical compound entry</t>
        </is>
      </c>
      <c r="W321" t="n">
        <v>4</v>
      </c>
      <c r="X321" t="inlineStr">
        <is>
          <t>Medium</t>
        </is>
      </c>
      <c r="Z321" t="inlineStr">
        <is>
          <t>Icariin</t>
        </is>
      </c>
      <c r="AF321" t="inlineStr">
        <is>
          <t>icariin</t>
        </is>
      </c>
      <c r="AH321" t="inlineStr">
        <is>
          <t>Pass 45 duplicate consolidation</t>
        </is>
      </c>
      <c r="AI321" t="inlineStr">
        <is>
          <t>prenylated flavonol glycoside</t>
        </is>
      </c>
      <c r="AJ321" t="inlineStr">
        <is>
          <t>Unknown</t>
        </is>
      </c>
      <c r="AK321" t="inlineStr">
        <is>
          <t>nitric oxide signaling; pde5-related signaling; unclassified</t>
        </is>
      </c>
      <c r="AL321" t="inlineStr">
        <is>
          <t>Pass 46 mechanism + evidence consolidation</t>
        </is>
      </c>
      <c r="AM321" t="n">
        <v>5</v>
      </c>
      <c r="AN321" t="inlineStr">
        <is>
          <t>C</t>
        </is>
      </c>
      <c r="AO321" t="inlineStr">
        <is>
          <t>Pass 47 compound scoring</t>
        </is>
      </c>
    </row>
    <row r="322">
      <c r="A322" t="inlineStr">
        <is>
          <t>Icaritin</t>
        </is>
      </c>
      <c r="C322" t="inlineStr">
        <is>
          <t>Epimedium</t>
        </is>
      </c>
      <c r="Z322" t="inlineStr">
        <is>
          <t>Icaritin</t>
        </is>
      </c>
      <c r="AF322" t="inlineStr">
        <is>
          <t>icaritin</t>
        </is>
      </c>
      <c r="AH322" t="inlineStr">
        <is>
          <t>Pass 45 duplicate consolidation</t>
        </is>
      </c>
      <c r="AJ322" t="inlineStr">
        <is>
          <t>Unknown</t>
        </is>
      </c>
      <c r="AL322" t="inlineStr">
        <is>
          <t>Pass 46 mechanism + evidence consolidation</t>
        </is>
      </c>
      <c r="AM322" t="n">
        <v>1</v>
      </c>
      <c r="AN322" t="inlineStr">
        <is>
          <t>D</t>
        </is>
      </c>
      <c r="AO322" t="inlineStr">
        <is>
          <t>Pass 47 compound scoring</t>
        </is>
      </c>
    </row>
    <row r="323">
      <c r="A323" t="inlineStr">
        <is>
          <t>imperatorin</t>
        </is>
      </c>
      <c r="B323" t="inlineStr">
        <is>
          <t>imperatorin</t>
        </is>
      </c>
      <c r="D323" t="inlineStr">
        <is>
          <t>other</t>
        </is>
      </c>
      <c r="E323" t="inlineStr">
        <is>
          <t>insufficient evidence</t>
        </is>
      </c>
      <c r="F323" t="inlineStr">
        <is>
          <t>unclassified</t>
        </is>
      </c>
      <c r="W323" t="n">
        <v>2</v>
      </c>
      <c r="X323" t="inlineStr">
        <is>
          <t>Low</t>
        </is>
      </c>
      <c r="Z323" t="inlineStr">
        <is>
          <t>imperatorin</t>
        </is>
      </c>
      <c r="AF323" t="inlineStr">
        <is>
          <t>imperatorin</t>
        </is>
      </c>
      <c r="AH323" t="inlineStr">
        <is>
          <t>Pass 45 duplicate consolidation</t>
        </is>
      </c>
      <c r="AI323" t="inlineStr">
        <is>
          <t>other</t>
        </is>
      </c>
      <c r="AJ323" t="inlineStr">
        <is>
          <t>Unknown</t>
        </is>
      </c>
      <c r="AK323" t="inlineStr">
        <is>
          <t>unclassified</t>
        </is>
      </c>
      <c r="AL323" t="inlineStr">
        <is>
          <t>Pass 46 mechanism + evidence consolidation</t>
        </is>
      </c>
      <c r="AM323" t="n">
        <v>3</v>
      </c>
      <c r="AN323" t="inlineStr">
        <is>
          <t>D</t>
        </is>
      </c>
      <c r="AO323" t="inlineStr">
        <is>
          <t>Pass 47 compound scoring</t>
        </is>
      </c>
    </row>
    <row r="324">
      <c r="A324" t="inlineStr">
        <is>
          <t>indirubin</t>
        </is>
      </c>
      <c r="B324" t="inlineStr">
        <is>
          <t>indirubin</t>
        </is>
      </c>
      <c r="D324" t="inlineStr">
        <is>
          <t>bisindole alkaloid</t>
        </is>
      </c>
      <c r="E324" t="inlineStr">
        <is>
          <t>Indole-derived constituent associated with kinase and inflammatory signaling modulation.</t>
        </is>
      </c>
      <c r="F324" t="inlineStr">
        <is>
          <t>unclassified</t>
        </is>
      </c>
      <c r="W324" t="n">
        <v>2</v>
      </c>
      <c r="X324" t="inlineStr">
        <is>
          <t>Low</t>
        </is>
      </c>
      <c r="Z324" t="inlineStr">
        <is>
          <t>indirubin</t>
        </is>
      </c>
      <c r="AF324" t="inlineStr">
        <is>
          <t>indirubin</t>
        </is>
      </c>
      <c r="AH324" t="inlineStr">
        <is>
          <t>Pass 45 duplicate consolidation</t>
        </is>
      </c>
      <c r="AI324" t="inlineStr">
        <is>
          <t>bisindole alkaloid</t>
        </is>
      </c>
      <c r="AJ324" t="inlineStr">
        <is>
          <t>Unknown</t>
        </is>
      </c>
      <c r="AK324" t="inlineStr">
        <is>
          <t>unclassified</t>
        </is>
      </c>
      <c r="AL324" t="inlineStr">
        <is>
          <t>Pass 46 mechanism + evidence consolidation</t>
        </is>
      </c>
      <c r="AM324" t="n">
        <v>3</v>
      </c>
      <c r="AN324" t="inlineStr">
        <is>
          <t>D</t>
        </is>
      </c>
      <c r="AO324" t="inlineStr">
        <is>
          <t>Pass 47 compound scoring</t>
        </is>
      </c>
    </row>
    <row r="325">
      <c r="A325" t="inlineStr">
        <is>
          <t>inotodiol</t>
        </is>
      </c>
      <c r="B325" t="inlineStr">
        <is>
          <t>inotodiol</t>
        </is>
      </c>
      <c r="D325" t="inlineStr">
        <is>
          <t>polysaccharides</t>
        </is>
      </c>
      <c r="E325" t="inlineStr">
        <is>
          <t>insufficient evidence</t>
        </is>
      </c>
      <c r="F325" t="inlineStr">
        <is>
          <t>unclassified</t>
        </is>
      </c>
      <c r="W325" t="n">
        <v>2</v>
      </c>
      <c r="X325" t="inlineStr">
        <is>
          <t>Low</t>
        </is>
      </c>
      <c r="Z325" t="inlineStr">
        <is>
          <t>inotodiol</t>
        </is>
      </c>
      <c r="AF325" t="inlineStr">
        <is>
          <t>inotodiol</t>
        </is>
      </c>
      <c r="AH325" t="inlineStr">
        <is>
          <t>Pass 45 duplicate consolidation</t>
        </is>
      </c>
      <c r="AI325" t="inlineStr">
        <is>
          <t>polysaccharides</t>
        </is>
      </c>
      <c r="AJ325" t="inlineStr">
        <is>
          <t>Unknown</t>
        </is>
      </c>
      <c r="AK325" t="inlineStr">
        <is>
          <t>unclassified</t>
        </is>
      </c>
      <c r="AL325" t="inlineStr">
        <is>
          <t>Pass 46 mechanism + evidence consolidation</t>
        </is>
      </c>
      <c r="AM325" t="n">
        <v>3</v>
      </c>
      <c r="AN325" t="inlineStr">
        <is>
          <t>D</t>
        </is>
      </c>
      <c r="AO325" t="inlineStr">
        <is>
          <t>Pass 47 compound scoring</t>
        </is>
      </c>
    </row>
    <row r="326">
      <c r="A326" t="inlineStr">
        <is>
          <t>inulin</t>
        </is>
      </c>
      <c r="B326" t="inlineStr">
        <is>
          <t>inulin</t>
        </is>
      </c>
      <c r="D326" t="inlineStr">
        <is>
          <t>other</t>
        </is>
      </c>
      <c r="E326" t="inlineStr">
        <is>
          <t>insufficient evidence</t>
        </is>
      </c>
      <c r="F326" t="inlineStr">
        <is>
          <t>unclassified</t>
        </is>
      </c>
      <c r="W326" t="n">
        <v>2</v>
      </c>
      <c r="X326" t="inlineStr">
        <is>
          <t>Low</t>
        </is>
      </c>
      <c r="Z326" t="inlineStr">
        <is>
          <t>inulin</t>
        </is>
      </c>
      <c r="AF326" t="inlineStr">
        <is>
          <t>inulin</t>
        </is>
      </c>
      <c r="AH326" t="inlineStr">
        <is>
          <t>Pass 45 duplicate consolidation</t>
        </is>
      </c>
      <c r="AI326" t="inlineStr">
        <is>
          <t>other</t>
        </is>
      </c>
      <c r="AJ326" t="inlineStr">
        <is>
          <t>Unknown</t>
        </is>
      </c>
      <c r="AK326" t="inlineStr">
        <is>
          <t>unclassified</t>
        </is>
      </c>
      <c r="AL326" t="inlineStr">
        <is>
          <t>Pass 46 mechanism + evidence consolidation</t>
        </is>
      </c>
      <c r="AM326" t="n">
        <v>3</v>
      </c>
      <c r="AN326" t="inlineStr">
        <is>
          <t>D</t>
        </is>
      </c>
      <c r="AO326" t="inlineStr">
        <is>
          <t>Pass 47 compound scoring</t>
        </is>
      </c>
    </row>
    <row r="327">
      <c r="A327" t="inlineStr">
        <is>
          <t>iodine</t>
        </is>
      </c>
      <c r="B327" t="inlineStr">
        <is>
          <t>iodine</t>
        </is>
      </c>
      <c r="D327" t="inlineStr">
        <is>
          <t>other</t>
        </is>
      </c>
      <c r="E327" t="inlineStr">
        <is>
          <t>insufficient evidence</t>
        </is>
      </c>
      <c r="F327" t="inlineStr">
        <is>
          <t>unclassified</t>
        </is>
      </c>
      <c r="W327" t="n">
        <v>2</v>
      </c>
      <c r="X327" t="inlineStr">
        <is>
          <t>Low</t>
        </is>
      </c>
      <c r="Z327" t="inlineStr">
        <is>
          <t>iodine</t>
        </is>
      </c>
      <c r="AF327" t="inlineStr">
        <is>
          <t>iodine</t>
        </is>
      </c>
      <c r="AH327" t="inlineStr">
        <is>
          <t>Pass 45 duplicate consolidation</t>
        </is>
      </c>
      <c r="AI327" t="inlineStr">
        <is>
          <t>other</t>
        </is>
      </c>
      <c r="AJ327" t="inlineStr">
        <is>
          <t>Unknown</t>
        </is>
      </c>
      <c r="AK327" t="inlineStr">
        <is>
          <t>unclassified</t>
        </is>
      </c>
      <c r="AL327" t="inlineStr">
        <is>
          <t>Pass 46 mechanism + evidence consolidation</t>
        </is>
      </c>
      <c r="AM327" t="n">
        <v>3</v>
      </c>
      <c r="AN327" t="inlineStr">
        <is>
          <t>D</t>
        </is>
      </c>
      <c r="AO327" t="inlineStr">
        <is>
          <t>Pass 47 compound scoring</t>
        </is>
      </c>
    </row>
    <row r="328">
      <c r="A328" t="inlineStr">
        <is>
          <t>iridin</t>
        </is>
      </c>
      <c r="B328" t="inlineStr">
        <is>
          <t>iridin</t>
        </is>
      </c>
      <c r="D328" t="inlineStr">
        <is>
          <t>Isoflavones, iridin, glycosides</t>
        </is>
      </c>
      <c r="E328" t="inlineStr">
        <is>
          <t>insufficient evidence</t>
        </is>
      </c>
      <c r="F328" t="inlineStr">
        <is>
          <t>unclassified</t>
        </is>
      </c>
      <c r="W328" t="n">
        <v>2</v>
      </c>
      <c r="X328" t="inlineStr">
        <is>
          <t>Low</t>
        </is>
      </c>
      <c r="Z328" t="inlineStr">
        <is>
          <t>iridin</t>
        </is>
      </c>
      <c r="AF328" t="inlineStr">
        <is>
          <t>iridin</t>
        </is>
      </c>
      <c r="AH328" t="inlineStr">
        <is>
          <t>Pass 45 duplicate consolidation</t>
        </is>
      </c>
      <c r="AI328" t="inlineStr">
        <is>
          <t>Isoflavones, iridin, glycosides</t>
        </is>
      </c>
      <c r="AJ328" t="inlineStr">
        <is>
          <t>Unknown</t>
        </is>
      </c>
      <c r="AK328" t="inlineStr">
        <is>
          <t>unclassified</t>
        </is>
      </c>
      <c r="AL328" t="inlineStr">
        <is>
          <t>Pass 46 mechanism + evidence consolidation</t>
        </is>
      </c>
      <c r="AM328" t="n">
        <v>3</v>
      </c>
      <c r="AN328" t="inlineStr">
        <is>
          <t>D</t>
        </is>
      </c>
      <c r="AO328" t="inlineStr">
        <is>
          <t>Pass 47 compound scoring</t>
        </is>
      </c>
    </row>
    <row r="329">
      <c r="A329" t="inlineStr">
        <is>
          <t>isocorypalmine</t>
        </is>
      </c>
      <c r="B329" t="inlineStr">
        <is>
          <t>isocorypalmine</t>
        </is>
      </c>
      <c r="D329" t="inlineStr">
        <is>
          <t>other</t>
        </is>
      </c>
      <c r="E329" t="inlineStr">
        <is>
          <t>insufficient evidence</t>
        </is>
      </c>
      <c r="F329" t="inlineStr">
        <is>
          <t>unclassified</t>
        </is>
      </c>
      <c r="W329" t="n">
        <v>2</v>
      </c>
      <c r="X329" t="inlineStr">
        <is>
          <t>Low</t>
        </is>
      </c>
      <c r="Z329" t="inlineStr">
        <is>
          <t>isocorypalmine</t>
        </is>
      </c>
      <c r="AF329" t="inlineStr">
        <is>
          <t>isocorypalmine</t>
        </is>
      </c>
      <c r="AH329" t="inlineStr">
        <is>
          <t>Pass 45 duplicate consolidation</t>
        </is>
      </c>
      <c r="AI329" t="inlineStr">
        <is>
          <t>other</t>
        </is>
      </c>
      <c r="AJ329" t="inlineStr">
        <is>
          <t>Unknown</t>
        </is>
      </c>
      <c r="AK329" t="inlineStr">
        <is>
          <t>unclassified</t>
        </is>
      </c>
      <c r="AL329" t="inlineStr">
        <is>
          <t>Pass 46 mechanism + evidence consolidation</t>
        </is>
      </c>
      <c r="AM329" t="n">
        <v>3</v>
      </c>
      <c r="AN329" t="inlineStr">
        <is>
          <t>D</t>
        </is>
      </c>
      <c r="AO329" t="inlineStr">
        <is>
          <t>Pass 47 compound scoring</t>
        </is>
      </c>
    </row>
    <row r="330">
      <c r="A330" t="inlineStr">
        <is>
          <t>isoergine</t>
        </is>
      </c>
      <c r="B330" t="inlineStr">
        <is>
          <t>isoergine</t>
        </is>
      </c>
      <c r="D330" t="inlineStr">
        <is>
          <t>ergoline alkaloids</t>
        </is>
      </c>
      <c r="E330" t="inlineStr">
        <is>
          <t>insufficient evidence</t>
        </is>
      </c>
      <c r="F330" t="inlineStr">
        <is>
          <t>unclassified</t>
        </is>
      </c>
      <c r="W330" t="n">
        <v>2</v>
      </c>
      <c r="X330" t="inlineStr">
        <is>
          <t>Low</t>
        </is>
      </c>
      <c r="Z330" t="inlineStr">
        <is>
          <t>isoergine</t>
        </is>
      </c>
      <c r="AF330" t="inlineStr">
        <is>
          <t>isoergine</t>
        </is>
      </c>
      <c r="AH330" t="inlineStr">
        <is>
          <t>Pass 45 duplicate consolidation</t>
        </is>
      </c>
      <c r="AI330" t="inlineStr">
        <is>
          <t>ergoline alkaloids</t>
        </is>
      </c>
      <c r="AJ330" t="inlineStr">
        <is>
          <t>Unknown</t>
        </is>
      </c>
      <c r="AK330" t="inlineStr">
        <is>
          <t>unclassified</t>
        </is>
      </c>
      <c r="AL330" t="inlineStr">
        <is>
          <t>Pass 46 mechanism + evidence consolidation</t>
        </is>
      </c>
      <c r="AM330" t="n">
        <v>3</v>
      </c>
      <c r="AN330" t="inlineStr">
        <is>
          <t>D</t>
        </is>
      </c>
      <c r="AO330" t="inlineStr">
        <is>
          <t>Pass 47 compound scoring</t>
        </is>
      </c>
    </row>
    <row r="331">
      <c r="A331" t="inlineStr">
        <is>
          <t>isofebrifugine</t>
        </is>
      </c>
      <c r="B331" t="inlineStr">
        <is>
          <t>isofebrifugine</t>
        </is>
      </c>
      <c r="D331" t="inlineStr">
        <is>
          <t>other</t>
        </is>
      </c>
      <c r="E331" t="inlineStr">
        <is>
          <t>insufficient evidence</t>
        </is>
      </c>
      <c r="F331" t="inlineStr">
        <is>
          <t>unclassified</t>
        </is>
      </c>
      <c r="W331" t="n">
        <v>2</v>
      </c>
      <c r="X331" t="inlineStr">
        <is>
          <t>Low</t>
        </is>
      </c>
      <c r="Z331" t="inlineStr">
        <is>
          <t>isofebrifugine</t>
        </is>
      </c>
      <c r="AF331" t="inlineStr">
        <is>
          <t>isofebrifugine</t>
        </is>
      </c>
      <c r="AH331" t="inlineStr">
        <is>
          <t>Pass 45 duplicate consolidation</t>
        </is>
      </c>
      <c r="AI331" t="inlineStr">
        <is>
          <t>other</t>
        </is>
      </c>
      <c r="AJ331" t="inlineStr">
        <is>
          <t>Unknown</t>
        </is>
      </c>
      <c r="AK331" t="inlineStr">
        <is>
          <t>unclassified</t>
        </is>
      </c>
      <c r="AL331" t="inlineStr">
        <is>
          <t>Pass 46 mechanism + evidence consolidation</t>
        </is>
      </c>
      <c r="AM331" t="n">
        <v>3</v>
      </c>
      <c r="AN331" t="inlineStr">
        <is>
          <t>D</t>
        </is>
      </c>
      <c r="AO331" t="inlineStr">
        <is>
          <t>Pass 47 compound scoring</t>
        </is>
      </c>
    </row>
    <row r="332">
      <c r="A332" t="inlineStr">
        <is>
          <t>Isoferulic acid</t>
        </is>
      </c>
      <c r="B332" t="inlineStr">
        <is>
          <t>Phenolic acid</t>
        </is>
      </c>
      <c r="C332" t="inlineStr">
        <is>
          <t>Black Cohosh</t>
        </is>
      </c>
      <c r="D332" t="inlineStr">
        <is>
          <t>Antioxidant; anti-inflammatory</t>
        </is>
      </c>
      <c r="E332" t="inlineStr">
        <is>
          <t>Animal</t>
        </is>
      </c>
      <c r="F332" t="inlineStr">
        <is>
          <t>oxidative stress reduction; anti-inflammatory signaling</t>
        </is>
      </c>
      <c r="U332" t="inlineStr">
        <is>
          <t>Pass 13 added real compound for top herb</t>
        </is>
      </c>
      <c r="W332" t="n">
        <v>3</v>
      </c>
      <c r="X332" t="inlineStr">
        <is>
          <t>Low</t>
        </is>
      </c>
      <c r="Z332" t="inlineStr">
        <is>
          <t>Isoferulic acid</t>
        </is>
      </c>
      <c r="AF332" t="inlineStr">
        <is>
          <t>isoferulic acid</t>
        </is>
      </c>
      <c r="AH332" t="inlineStr">
        <is>
          <t>Pass 45 duplicate consolidation</t>
        </is>
      </c>
      <c r="AI332" t="inlineStr">
        <is>
          <t>Antioxidant; anti-inflammatory</t>
        </is>
      </c>
      <c r="AJ332" t="inlineStr">
        <is>
          <t>Preclinical</t>
        </is>
      </c>
      <c r="AK332" t="inlineStr">
        <is>
          <t>anti-inflammatory signaling; oxidative stress reduction</t>
        </is>
      </c>
      <c r="AL332" t="inlineStr">
        <is>
          <t>Pass 46 mechanism + evidence consolidation</t>
        </is>
      </c>
      <c r="AM332" t="n">
        <v>5</v>
      </c>
      <c r="AN332" t="inlineStr">
        <is>
          <t>C</t>
        </is>
      </c>
      <c r="AO332" t="inlineStr">
        <is>
          <t>Pass 47 compound scoring</t>
        </is>
      </c>
    </row>
    <row r="333">
      <c r="A333" t="inlineStr">
        <is>
          <t>isoflavones genistein</t>
        </is>
      </c>
      <c r="B333" t="inlineStr">
        <is>
          <t>isoflavones (genistein</t>
        </is>
      </c>
      <c r="D333" t="inlineStr">
        <is>
          <t>other</t>
        </is>
      </c>
      <c r="E333" t="inlineStr">
        <is>
          <t>insufficient evidence</t>
        </is>
      </c>
      <c r="F333" t="inlineStr">
        <is>
          <t>unclassified</t>
        </is>
      </c>
      <c r="W333" t="n">
        <v>2</v>
      </c>
      <c r="X333" t="inlineStr">
        <is>
          <t>Low</t>
        </is>
      </c>
      <c r="Z333" t="inlineStr">
        <is>
          <t>isoflavones genistein</t>
        </is>
      </c>
      <c r="AF333" t="inlineStr">
        <is>
          <t>isoflavones genistein</t>
        </is>
      </c>
      <c r="AH333" t="inlineStr">
        <is>
          <t>Pass 45 duplicate consolidation</t>
        </is>
      </c>
      <c r="AI333" t="inlineStr">
        <is>
          <t>other</t>
        </is>
      </c>
      <c r="AJ333" t="inlineStr">
        <is>
          <t>Unknown</t>
        </is>
      </c>
      <c r="AK333" t="inlineStr">
        <is>
          <t>unclassified</t>
        </is>
      </c>
      <c r="AL333" t="inlineStr">
        <is>
          <t>Pass 46 mechanism + evidence consolidation</t>
        </is>
      </c>
      <c r="AM333" t="n">
        <v>3</v>
      </c>
      <c r="AN333" t="inlineStr">
        <is>
          <t>D</t>
        </is>
      </c>
      <c r="AO333" t="inlineStr">
        <is>
          <t>Pass 47 compound scoring</t>
        </is>
      </c>
    </row>
    <row r="334">
      <c r="A334" t="inlineStr">
        <is>
          <t>isomenthone</t>
        </is>
      </c>
      <c r="B334" t="inlineStr">
        <is>
          <t>isomenthone</t>
        </is>
      </c>
      <c r="D334" t="inlineStr">
        <is>
          <t>provisional_from_herb_monograph</t>
        </is>
      </c>
      <c r="F334" t="inlineStr">
        <is>
          <t>unclassified</t>
        </is>
      </c>
      <c r="W334" t="n">
        <v>2</v>
      </c>
      <c r="X334" t="inlineStr">
        <is>
          <t>Low</t>
        </is>
      </c>
      <c r="Z334" t="inlineStr">
        <is>
          <t>isomenthone</t>
        </is>
      </c>
      <c r="AF334" t="inlineStr">
        <is>
          <t>isomenthone</t>
        </is>
      </c>
      <c r="AH334" t="inlineStr">
        <is>
          <t>Pass 45 duplicate consolidation</t>
        </is>
      </c>
      <c r="AI334" t="inlineStr">
        <is>
          <t>provisional_from_herb_monograph</t>
        </is>
      </c>
      <c r="AJ334" t="inlineStr">
        <is>
          <t>Unknown</t>
        </is>
      </c>
      <c r="AK334" t="inlineStr">
        <is>
          <t>unclassified</t>
        </is>
      </c>
      <c r="AL334" t="inlineStr">
        <is>
          <t>Pass 46 mechanism + evidence consolidation</t>
        </is>
      </c>
      <c r="AM334" t="n">
        <v>3</v>
      </c>
      <c r="AN334" t="inlineStr">
        <is>
          <t>D</t>
        </is>
      </c>
      <c r="AO334" t="inlineStr">
        <is>
          <t>Pass 47 compound scoring</t>
        </is>
      </c>
    </row>
    <row r="335">
      <c r="A335" t="inlineStr">
        <is>
          <t>isomitraphylline</t>
        </is>
      </c>
      <c r="B335" t="inlineStr">
        <is>
          <t>isomitraphylline</t>
        </is>
      </c>
      <c r="D335" t="inlineStr">
        <is>
          <t>alkaloids</t>
        </is>
      </c>
      <c r="E335" t="inlineStr">
        <is>
          <t>insufficient evidence</t>
        </is>
      </c>
      <c r="F335" t="inlineStr">
        <is>
          <t>unclassified</t>
        </is>
      </c>
      <c r="W335" t="n">
        <v>2</v>
      </c>
      <c r="X335" t="inlineStr">
        <is>
          <t>Low</t>
        </is>
      </c>
      <c r="Z335" t="inlineStr">
        <is>
          <t>isomitraphylline</t>
        </is>
      </c>
      <c r="AF335" t="inlineStr">
        <is>
          <t>isomitraphylline</t>
        </is>
      </c>
      <c r="AH335" t="inlineStr">
        <is>
          <t>Pass 45 duplicate consolidation</t>
        </is>
      </c>
      <c r="AI335" t="inlineStr">
        <is>
          <t>alkaloids</t>
        </is>
      </c>
      <c r="AJ335" t="inlineStr">
        <is>
          <t>Unknown</t>
        </is>
      </c>
      <c r="AK335" t="inlineStr">
        <is>
          <t>unclassified</t>
        </is>
      </c>
      <c r="AL335" t="inlineStr">
        <is>
          <t>Pass 46 mechanism + evidence consolidation</t>
        </is>
      </c>
      <c r="AM335" t="n">
        <v>3</v>
      </c>
      <c r="AN335" t="inlineStr">
        <is>
          <t>D</t>
        </is>
      </c>
      <c r="AO335" t="inlineStr">
        <is>
          <t>Pass 47 compound scoring</t>
        </is>
      </c>
    </row>
    <row r="336">
      <c r="A336" t="inlineStr">
        <is>
          <t>Isorhamnetin</t>
        </is>
      </c>
      <c r="B336" t="inlineStr">
        <is>
          <t>Flavonoid</t>
        </is>
      </c>
      <c r="C336" t="inlineStr">
        <is>
          <t>Ginkgo Biloba</t>
        </is>
      </c>
      <c r="D336" t="inlineStr">
        <is>
          <t>Antioxidant</t>
        </is>
      </c>
      <c r="E336" t="inlineStr">
        <is>
          <t>Animal</t>
        </is>
      </c>
      <c r="F336" t="inlineStr">
        <is>
          <t>oxidative stress reduction</t>
        </is>
      </c>
      <c r="W336" t="n">
        <v>3</v>
      </c>
      <c r="X336" t="inlineStr">
        <is>
          <t>Low</t>
        </is>
      </c>
      <c r="Z336" t="inlineStr">
        <is>
          <t>Isorhamnetin</t>
        </is>
      </c>
      <c r="AF336" t="inlineStr">
        <is>
          <t>isorhamnetin</t>
        </is>
      </c>
      <c r="AH336" t="inlineStr">
        <is>
          <t>Pass 45 duplicate consolidation</t>
        </is>
      </c>
      <c r="AI336" t="inlineStr">
        <is>
          <t>Antioxidant</t>
        </is>
      </c>
      <c r="AJ336" t="inlineStr">
        <is>
          <t>Preclinical</t>
        </is>
      </c>
      <c r="AK336" t="inlineStr">
        <is>
          <t>oxidative stress reduction</t>
        </is>
      </c>
      <c r="AL336" t="inlineStr">
        <is>
          <t>Pass 46 mechanism + evidence consolidation</t>
        </is>
      </c>
      <c r="AM336" t="n">
        <v>4</v>
      </c>
      <c r="AN336" t="inlineStr">
        <is>
          <t>C</t>
        </is>
      </c>
      <c r="AO336" t="inlineStr">
        <is>
          <t>Pass 47 compound scoring</t>
        </is>
      </c>
    </row>
    <row r="337">
      <c r="A337" t="inlineStr">
        <is>
          <t>isosilybin a</t>
        </is>
      </c>
      <c r="B337" t="inlineStr">
        <is>
          <t>isosilybin A</t>
        </is>
      </c>
      <c r="D337" t="inlineStr">
        <is>
          <t>flavonolignan</t>
        </is>
      </c>
      <c r="E337" t="inlineStr">
        <is>
          <t>proposed mechanism based on preclinical data: cytoprotective, anti-inflammatory, and redox-modulating signaling reported in flavonolignan literature; no established human mechanism.</t>
        </is>
      </c>
      <c r="F337" t="inlineStr">
        <is>
          <t>unclassified</t>
        </is>
      </c>
      <c r="W337" t="n">
        <v>2</v>
      </c>
      <c r="X337" t="inlineStr">
        <is>
          <t>Low</t>
        </is>
      </c>
      <c r="Z337" t="inlineStr">
        <is>
          <t>isosilybin a</t>
        </is>
      </c>
      <c r="AF337" t="inlineStr">
        <is>
          <t>isosilybin a</t>
        </is>
      </c>
      <c r="AH337" t="inlineStr">
        <is>
          <t>Pass 45 duplicate consolidation</t>
        </is>
      </c>
      <c r="AI337" t="inlineStr">
        <is>
          <t>flavonolignan</t>
        </is>
      </c>
      <c r="AJ337" t="inlineStr">
        <is>
          <t>Human</t>
        </is>
      </c>
      <c r="AK337" t="inlineStr">
        <is>
          <t>unclassified</t>
        </is>
      </c>
      <c r="AL337" t="inlineStr">
        <is>
          <t>Pass 46 mechanism + evidence consolidation</t>
        </is>
      </c>
      <c r="AM337" t="n">
        <v>7</v>
      </c>
      <c r="AN337" t="inlineStr">
        <is>
          <t>B</t>
        </is>
      </c>
      <c r="AO337" t="inlineStr">
        <is>
          <t>Pass 47 compound scoring</t>
        </is>
      </c>
    </row>
    <row r="338">
      <c r="A338" t="inlineStr">
        <is>
          <t>isosilybin b</t>
        </is>
      </c>
      <c r="B338" t="inlineStr">
        <is>
          <t>isosilybin B</t>
        </is>
      </c>
      <c r="D338" t="inlineStr">
        <is>
          <t>flavonolignan</t>
        </is>
      </c>
      <c r="E338" t="inlineStr">
        <is>
          <t>proposed mechanism based on preclinical data: cytoprotective, anti-inflammatory, and redox-modulating signaling reported in flavonolignan literature; no established human mechanism.</t>
        </is>
      </c>
      <c r="F338" t="inlineStr">
        <is>
          <t>unclassified</t>
        </is>
      </c>
      <c r="W338" t="n">
        <v>2</v>
      </c>
      <c r="X338" t="inlineStr">
        <is>
          <t>Low</t>
        </is>
      </c>
      <c r="Z338" t="inlineStr">
        <is>
          <t>isosilybin b</t>
        </is>
      </c>
      <c r="AF338" t="inlineStr">
        <is>
          <t>isosilybin b</t>
        </is>
      </c>
      <c r="AH338" t="inlineStr">
        <is>
          <t>Pass 45 duplicate consolidation</t>
        </is>
      </c>
      <c r="AI338" t="inlineStr">
        <is>
          <t>flavonolignan</t>
        </is>
      </c>
      <c r="AJ338" t="inlineStr">
        <is>
          <t>Human</t>
        </is>
      </c>
      <c r="AK338" t="inlineStr">
        <is>
          <t>unclassified</t>
        </is>
      </c>
      <c r="AL338" t="inlineStr">
        <is>
          <t>Pass 46 mechanism + evidence consolidation</t>
        </is>
      </c>
      <c r="AM338" t="n">
        <v>7</v>
      </c>
      <c r="AN338" t="inlineStr">
        <is>
          <t>B</t>
        </is>
      </c>
      <c r="AO338" t="inlineStr">
        <is>
          <t>Pass 47 compound scoring</t>
        </is>
      </c>
    </row>
    <row r="339">
      <c r="A339" t="inlineStr">
        <is>
          <t>isosilychristin</t>
        </is>
      </c>
      <c r="B339" t="inlineStr">
        <is>
          <t>isosilychristin</t>
        </is>
      </c>
      <c r="D339" t="inlineStr">
        <is>
          <t>flavonolignan</t>
        </is>
      </c>
      <c r="E339" t="inlineStr">
        <is>
          <t>proposed mechanism based on preclinical data: antioxidant and hepatoprotective signaling reported in flavonolignan literature; no established human mechanism.</t>
        </is>
      </c>
      <c r="F339" t="inlineStr">
        <is>
          <t>unclassified</t>
        </is>
      </c>
      <c r="W339" t="n">
        <v>2</v>
      </c>
      <c r="X339" t="inlineStr">
        <is>
          <t>Low</t>
        </is>
      </c>
      <c r="Z339" t="inlineStr">
        <is>
          <t>isosilychristin</t>
        </is>
      </c>
      <c r="AF339" t="inlineStr">
        <is>
          <t>isosilychristin</t>
        </is>
      </c>
      <c r="AH339" t="inlineStr">
        <is>
          <t>Pass 45 duplicate consolidation</t>
        </is>
      </c>
      <c r="AI339" t="inlineStr">
        <is>
          <t>flavonolignan</t>
        </is>
      </c>
      <c r="AJ339" t="inlineStr">
        <is>
          <t>Human</t>
        </is>
      </c>
      <c r="AK339" t="inlineStr">
        <is>
          <t>unclassified</t>
        </is>
      </c>
      <c r="AL339" t="inlineStr">
        <is>
          <t>Pass 46 mechanism + evidence consolidation</t>
        </is>
      </c>
      <c r="AM339" t="n">
        <v>7</v>
      </c>
      <c r="AN339" t="inlineStr">
        <is>
          <t>B</t>
        </is>
      </c>
      <c r="AO339" t="inlineStr">
        <is>
          <t>Pass 47 compound scoring</t>
        </is>
      </c>
    </row>
    <row r="340">
      <c r="A340" t="inlineStr">
        <is>
          <t>isovaleric acid</t>
        </is>
      </c>
      <c r="B340" t="inlineStr">
        <is>
          <t>isovaleric acid</t>
        </is>
      </c>
      <c r="D340" t="inlineStr">
        <is>
          <t>organic acid</t>
        </is>
      </c>
      <c r="E340" t="inlineStr">
        <is>
          <t>insufficient evidence</t>
        </is>
      </c>
      <c r="F340" t="inlineStr">
        <is>
          <t>unclassified</t>
        </is>
      </c>
      <c r="W340" t="n">
        <v>2</v>
      </c>
      <c r="X340" t="inlineStr">
        <is>
          <t>Low</t>
        </is>
      </c>
      <c r="Z340" t="inlineStr">
        <is>
          <t>isovaleric acid</t>
        </is>
      </c>
      <c r="AF340" t="inlineStr">
        <is>
          <t>isovaleric acid</t>
        </is>
      </c>
      <c r="AH340" t="inlineStr">
        <is>
          <t>Pass 45 duplicate consolidation</t>
        </is>
      </c>
      <c r="AI340" t="inlineStr">
        <is>
          <t>organic acid</t>
        </is>
      </c>
      <c r="AJ340" t="inlineStr">
        <is>
          <t>Unknown</t>
        </is>
      </c>
      <c r="AK340" t="inlineStr">
        <is>
          <t>unclassified</t>
        </is>
      </c>
      <c r="AL340" t="inlineStr">
        <is>
          <t>Pass 46 mechanism + evidence consolidation</t>
        </is>
      </c>
      <c r="AM340" t="n">
        <v>3</v>
      </c>
      <c r="AN340" t="inlineStr">
        <is>
          <t>D</t>
        </is>
      </c>
      <c r="AO340" t="inlineStr">
        <is>
          <t>Pass 47 compound scoring</t>
        </is>
      </c>
    </row>
    <row r="341">
      <c r="A341" t="inlineStr">
        <is>
          <t>isovaltrate</t>
        </is>
      </c>
      <c r="B341" t="inlineStr">
        <is>
          <t>isovaltrate</t>
        </is>
      </c>
      <c r="D341" t="inlineStr">
        <is>
          <t>valepotriates</t>
        </is>
      </c>
      <c r="F341" t="inlineStr">
        <is>
          <t>unclassified</t>
        </is>
      </c>
      <c r="W341" t="n">
        <v>2</v>
      </c>
      <c r="X341" t="inlineStr">
        <is>
          <t>Low</t>
        </is>
      </c>
      <c r="Z341" t="inlineStr">
        <is>
          <t>isovaltrate</t>
        </is>
      </c>
      <c r="AF341" t="inlineStr">
        <is>
          <t>isovaltrate</t>
        </is>
      </c>
      <c r="AH341" t="inlineStr">
        <is>
          <t>Pass 45 duplicate consolidation</t>
        </is>
      </c>
      <c r="AI341" t="inlineStr">
        <is>
          <t>valepotriates</t>
        </is>
      </c>
      <c r="AJ341" t="inlineStr">
        <is>
          <t>Unknown</t>
        </is>
      </c>
      <c r="AK341" t="inlineStr">
        <is>
          <t>unclassified</t>
        </is>
      </c>
      <c r="AL341" t="inlineStr">
        <is>
          <t>Pass 46 mechanism + evidence consolidation</t>
        </is>
      </c>
      <c r="AM341" t="n">
        <v>3</v>
      </c>
      <c r="AN341" t="inlineStr">
        <is>
          <t>D</t>
        </is>
      </c>
      <c r="AO341" t="inlineStr">
        <is>
          <t>Pass 47 compound scoring</t>
        </is>
      </c>
    </row>
    <row r="342">
      <c r="A342" t="inlineStr">
        <is>
          <t>jatamansone</t>
        </is>
      </c>
      <c r="B342" t="inlineStr">
        <is>
          <t>jatamansone</t>
        </is>
      </c>
      <c r="D342" t="inlineStr">
        <is>
          <t>sesquiterpenes</t>
        </is>
      </c>
      <c r="E342" t="inlineStr">
        <is>
          <t>insufficient evidence</t>
        </is>
      </c>
      <c r="F342" t="inlineStr">
        <is>
          <t>unclassified</t>
        </is>
      </c>
      <c r="W342" t="n">
        <v>2</v>
      </c>
      <c r="X342" t="inlineStr">
        <is>
          <t>Low</t>
        </is>
      </c>
      <c r="Z342" t="inlineStr">
        <is>
          <t>jatamansone</t>
        </is>
      </c>
      <c r="AF342" t="inlineStr">
        <is>
          <t>jatamansone</t>
        </is>
      </c>
      <c r="AH342" t="inlineStr">
        <is>
          <t>Pass 45 duplicate consolidation</t>
        </is>
      </c>
      <c r="AI342" t="inlineStr">
        <is>
          <t>sesquiterpenes</t>
        </is>
      </c>
      <c r="AJ342" t="inlineStr">
        <is>
          <t>Unknown</t>
        </is>
      </c>
      <c r="AK342" t="inlineStr">
        <is>
          <t>unclassified</t>
        </is>
      </c>
      <c r="AL342" t="inlineStr">
        <is>
          <t>Pass 46 mechanism + evidence consolidation</t>
        </is>
      </c>
      <c r="AM342" t="n">
        <v>3</v>
      </c>
      <c r="AN342" t="inlineStr">
        <is>
          <t>D</t>
        </is>
      </c>
      <c r="AO342" t="inlineStr">
        <is>
          <t>Pass 47 compound scoring</t>
        </is>
      </c>
    </row>
    <row r="343">
      <c r="A343" t="inlineStr">
        <is>
          <t>jatrorrhizine</t>
        </is>
      </c>
      <c r="B343" t="inlineStr">
        <is>
          <t>jatrorrhizine</t>
        </is>
      </c>
      <c r="D343" t="inlineStr">
        <is>
          <t>protopine alkaloids</t>
        </is>
      </c>
      <c r="E343" t="inlineStr">
        <is>
          <t>insufficient evidence</t>
        </is>
      </c>
      <c r="F343" t="inlineStr">
        <is>
          <t>unclassified</t>
        </is>
      </c>
      <c r="W343" t="n">
        <v>2</v>
      </c>
      <c r="X343" t="inlineStr">
        <is>
          <t>Low</t>
        </is>
      </c>
      <c r="Z343" t="inlineStr">
        <is>
          <t>jatrorrhizine</t>
        </is>
      </c>
      <c r="AF343" t="inlineStr">
        <is>
          <t>jatrorrhizine</t>
        </is>
      </c>
      <c r="AH343" t="inlineStr">
        <is>
          <t>Pass 45 duplicate consolidation</t>
        </is>
      </c>
      <c r="AI343" t="inlineStr">
        <is>
          <t>protopine alkaloids</t>
        </is>
      </c>
      <c r="AJ343" t="inlineStr">
        <is>
          <t>Unknown</t>
        </is>
      </c>
      <c r="AK343" t="inlineStr">
        <is>
          <t>unclassified</t>
        </is>
      </c>
      <c r="AL343" t="inlineStr">
        <is>
          <t>Pass 46 mechanism + evidence consolidation</t>
        </is>
      </c>
      <c r="AM343" t="n">
        <v>3</v>
      </c>
      <c r="AN343" t="inlineStr">
        <is>
          <t>D</t>
        </is>
      </c>
      <c r="AO343" t="inlineStr">
        <is>
          <t>Pass 47 compound scoring</t>
        </is>
      </c>
    </row>
    <row r="344">
      <c r="A344" t="inlineStr">
        <is>
          <t>juglone</t>
        </is>
      </c>
      <c r="B344" t="inlineStr">
        <is>
          <t>juglone</t>
        </is>
      </c>
      <c r="D344" t="inlineStr">
        <is>
          <t>Juglone, tannins, omega fatty acids</t>
        </is>
      </c>
      <c r="E344" t="inlineStr">
        <is>
          <t>insufficient evidence</t>
        </is>
      </c>
      <c r="F344" t="inlineStr">
        <is>
          <t>unclassified</t>
        </is>
      </c>
      <c r="W344" t="n">
        <v>2</v>
      </c>
      <c r="X344" t="inlineStr">
        <is>
          <t>Low</t>
        </is>
      </c>
      <c r="Z344" t="inlineStr">
        <is>
          <t>juglone</t>
        </is>
      </c>
      <c r="AF344" t="inlineStr">
        <is>
          <t>juglone</t>
        </is>
      </c>
      <c r="AH344" t="inlineStr">
        <is>
          <t>Pass 45 duplicate consolidation</t>
        </is>
      </c>
      <c r="AI344" t="inlineStr">
        <is>
          <t>Juglone, tannins, omega fatty acids</t>
        </is>
      </c>
      <c r="AJ344" t="inlineStr">
        <is>
          <t>Unknown</t>
        </is>
      </c>
      <c r="AK344" t="inlineStr">
        <is>
          <t>unclassified</t>
        </is>
      </c>
      <c r="AL344" t="inlineStr">
        <is>
          <t>Pass 46 mechanism + evidence consolidation</t>
        </is>
      </c>
      <c r="AM344" t="n">
        <v>3</v>
      </c>
      <c r="AN344" t="inlineStr">
        <is>
          <t>D</t>
        </is>
      </c>
      <c r="AO344" t="inlineStr">
        <is>
          <t>Pass 47 compound scoring</t>
        </is>
      </c>
    </row>
    <row r="345">
      <c r="A345" t="inlineStr">
        <is>
          <t>jujuboside a</t>
        </is>
      </c>
      <c r="B345" t="inlineStr">
        <is>
          <t>jujuboside A</t>
        </is>
      </c>
      <c r="D345" t="inlineStr">
        <is>
          <t>triterpene saponin</t>
        </is>
      </c>
      <c r="E345" t="inlineStr">
        <is>
          <t>Jujube constituent associated with calming and traditional sleep positioning.</t>
        </is>
      </c>
      <c r="F345" t="inlineStr">
        <is>
          <t>unclassified</t>
        </is>
      </c>
      <c r="W345" t="n">
        <v>2</v>
      </c>
      <c r="X345" t="inlineStr">
        <is>
          <t>Low</t>
        </is>
      </c>
      <c r="Z345" t="inlineStr">
        <is>
          <t>jujuboside a</t>
        </is>
      </c>
      <c r="AF345" t="inlineStr">
        <is>
          <t>jujuboside a</t>
        </is>
      </c>
      <c r="AH345" t="inlineStr">
        <is>
          <t>Pass 45 duplicate consolidation</t>
        </is>
      </c>
      <c r="AI345" t="inlineStr">
        <is>
          <t>triterpene saponin</t>
        </is>
      </c>
      <c r="AJ345" t="inlineStr">
        <is>
          <t>Unknown</t>
        </is>
      </c>
      <c r="AK345" t="inlineStr">
        <is>
          <t>unclassified</t>
        </is>
      </c>
      <c r="AL345" t="inlineStr">
        <is>
          <t>Pass 46 mechanism + evidence consolidation</t>
        </is>
      </c>
      <c r="AM345" t="n">
        <v>3</v>
      </c>
      <c r="AN345" t="inlineStr">
        <is>
          <t>D</t>
        </is>
      </c>
      <c r="AO345" t="inlineStr">
        <is>
          <t>Pass 47 compound scoring</t>
        </is>
      </c>
    </row>
    <row r="346">
      <c r="A346" t="inlineStr">
        <is>
          <t>Kaempferol</t>
        </is>
      </c>
      <c r="B346" t="inlineStr">
        <is>
          <t>kaempferol</t>
        </is>
      </c>
      <c r="C346" t="inlineStr">
        <is>
          <t>Ginkgo Biloba</t>
        </is>
      </c>
      <c r="D346" t="inlineStr">
        <is>
          <t>Ethyl cinnamate, kaempferol, essential oils</t>
        </is>
      </c>
      <c r="E346" t="inlineStr">
        <is>
          <t>insufficient evidence</t>
        </is>
      </c>
      <c r="F346" t="inlineStr">
        <is>
          <t>unclassified; oxidative stress reduction; NF-kB inhibition</t>
        </is>
      </c>
      <c r="U346" t="inlineStr">
        <is>
          <t>Pass 45 merged 2 rows into canonical compound entry</t>
        </is>
      </c>
      <c r="W346" t="n">
        <v>4</v>
      </c>
      <c r="X346" t="inlineStr">
        <is>
          <t>Medium</t>
        </is>
      </c>
      <c r="Z346" t="inlineStr">
        <is>
          <t>Kaempferol</t>
        </is>
      </c>
      <c r="AF346" t="inlineStr">
        <is>
          <t>kaempferol</t>
        </is>
      </c>
      <c r="AH346" t="inlineStr">
        <is>
          <t>Pass 45 duplicate consolidation</t>
        </is>
      </c>
      <c r="AI346" t="inlineStr">
        <is>
          <t>Ethyl cinnamate, kaempferol, essential oils</t>
        </is>
      </c>
      <c r="AJ346" t="inlineStr">
        <is>
          <t>Unknown</t>
        </is>
      </c>
      <c r="AK346" t="inlineStr">
        <is>
          <t>nf-kb inhibition; oxidative stress reduction; unclassified</t>
        </is>
      </c>
      <c r="AL346" t="inlineStr">
        <is>
          <t>Pass 46 mechanism + evidence consolidation</t>
        </is>
      </c>
      <c r="AM346" t="n">
        <v>5</v>
      </c>
      <c r="AN346" t="inlineStr">
        <is>
          <t>C</t>
        </is>
      </c>
      <c r="AO346" t="inlineStr">
        <is>
          <t>Pass 47 compound scoring</t>
        </is>
      </c>
    </row>
    <row r="347">
      <c r="A347" t="inlineStr">
        <is>
          <t>kahweol</t>
        </is>
      </c>
      <c r="B347" t="inlineStr">
        <is>
          <t>kahweol</t>
        </is>
      </c>
      <c r="D347" t="inlineStr">
        <is>
          <t>other</t>
        </is>
      </c>
      <c r="E347" t="inlineStr">
        <is>
          <t>Coffee's stimulant effects are driven primarily by caffeine, which acts as a nonselective adenosine receptor antagonist; chlorogenic acids and diterpenes contribute additional antioxidant and metabolic effects.</t>
        </is>
      </c>
      <c r="F347" t="inlineStr">
        <is>
          <t>unclassified</t>
        </is>
      </c>
      <c r="W347" t="n">
        <v>2</v>
      </c>
      <c r="X347" t="inlineStr">
        <is>
          <t>Low</t>
        </is>
      </c>
      <c r="Z347" t="inlineStr">
        <is>
          <t>kahweol</t>
        </is>
      </c>
      <c r="AF347" t="inlineStr">
        <is>
          <t>kahweol</t>
        </is>
      </c>
      <c r="AH347" t="inlineStr">
        <is>
          <t>Pass 45 duplicate consolidation</t>
        </is>
      </c>
      <c r="AI347" t="inlineStr">
        <is>
          <t>other</t>
        </is>
      </c>
      <c r="AJ347" t="inlineStr">
        <is>
          <t>Unknown</t>
        </is>
      </c>
      <c r="AK347" t="inlineStr">
        <is>
          <t>unclassified</t>
        </is>
      </c>
      <c r="AL347" t="inlineStr">
        <is>
          <t>Pass 46 mechanism + evidence consolidation</t>
        </is>
      </c>
      <c r="AM347" t="n">
        <v>3</v>
      </c>
      <c r="AN347" t="inlineStr">
        <is>
          <t>D</t>
        </is>
      </c>
      <c r="AO347" t="inlineStr">
        <is>
          <t>Pass 47 compound scoring</t>
        </is>
      </c>
    </row>
    <row r="348">
      <c r="A348" t="inlineStr">
        <is>
          <t>kava kavalactones</t>
        </is>
      </c>
      <c r="B348" t="inlineStr">
        <is>
          <t>kava (kavalactones)</t>
        </is>
      </c>
      <c r="D348" t="inlineStr">
        <is>
          <t>lactone</t>
        </is>
      </c>
      <c r="E348" t="inlineStr">
        <is>
          <t>Positive modulation of GABA-A receptors</t>
        </is>
      </c>
      <c r="F348" t="inlineStr">
        <is>
          <t>unclassified</t>
        </is>
      </c>
      <c r="W348" t="n">
        <v>2</v>
      </c>
      <c r="X348" t="inlineStr">
        <is>
          <t>Low</t>
        </is>
      </c>
      <c r="Z348" t="inlineStr">
        <is>
          <t>kava kavalactones</t>
        </is>
      </c>
      <c r="AF348" t="inlineStr">
        <is>
          <t>kava kavalactones</t>
        </is>
      </c>
      <c r="AH348" t="inlineStr">
        <is>
          <t>Pass 45 duplicate consolidation</t>
        </is>
      </c>
      <c r="AI348" t="inlineStr">
        <is>
          <t>lactone</t>
        </is>
      </c>
      <c r="AJ348" t="inlineStr">
        <is>
          <t>Unknown</t>
        </is>
      </c>
      <c r="AK348" t="inlineStr">
        <is>
          <t>unclassified</t>
        </is>
      </c>
      <c r="AL348" t="inlineStr">
        <is>
          <t>Pass 46 mechanism + evidence consolidation</t>
        </is>
      </c>
      <c r="AM348" t="n">
        <v>3</v>
      </c>
      <c r="AN348" t="inlineStr">
        <is>
          <t>D</t>
        </is>
      </c>
      <c r="AO348" t="inlineStr">
        <is>
          <t>Pass 47 compound scoring</t>
        </is>
      </c>
    </row>
    <row r="349">
      <c r="A349" t="inlineStr">
        <is>
          <t>kavain</t>
        </is>
      </c>
      <c r="B349" t="inlineStr">
        <is>
          <t>kavain</t>
        </is>
      </c>
      <c r="D349" t="inlineStr">
        <is>
          <t>other</t>
        </is>
      </c>
      <c r="E349" t="inlineStr">
        <is>
          <t>Kavalactones modulate GABA_A receptor activity, inhibit voltage-gated sodium and calcium channels, and influence dopamine signaling.</t>
        </is>
      </c>
      <c r="F349" t="inlineStr">
        <is>
          <t>unclassified</t>
        </is>
      </c>
      <c r="W349" t="n">
        <v>2</v>
      </c>
      <c r="X349" t="inlineStr">
        <is>
          <t>Low</t>
        </is>
      </c>
      <c r="Z349" t="inlineStr">
        <is>
          <t>kavain</t>
        </is>
      </c>
      <c r="AF349" t="inlineStr">
        <is>
          <t>kavain</t>
        </is>
      </c>
      <c r="AH349" t="inlineStr">
        <is>
          <t>Pass 45 duplicate consolidation</t>
        </is>
      </c>
      <c r="AI349" t="inlineStr">
        <is>
          <t>other</t>
        </is>
      </c>
      <c r="AJ349" t="inlineStr">
        <is>
          <t>Unknown</t>
        </is>
      </c>
      <c r="AK349" t="inlineStr">
        <is>
          <t>unclassified</t>
        </is>
      </c>
      <c r="AL349" t="inlineStr">
        <is>
          <t>Pass 46 mechanism + evidence consolidation</t>
        </is>
      </c>
      <c r="AM349" t="n">
        <v>3</v>
      </c>
      <c r="AN349" t="inlineStr">
        <is>
          <t>D</t>
        </is>
      </c>
      <c r="AO349" t="inlineStr">
        <is>
          <t>Pass 47 compound scoring</t>
        </is>
      </c>
    </row>
    <row r="350">
      <c r="A350" t="inlineStr">
        <is>
          <t>kotalanol</t>
        </is>
      </c>
      <c r="B350" t="inlineStr">
        <is>
          <t>kotalanol</t>
        </is>
      </c>
      <c r="D350" t="inlineStr">
        <is>
          <t>other</t>
        </is>
      </c>
      <c r="E350" t="inlineStr">
        <is>
          <t>insufficient evidence</t>
        </is>
      </c>
      <c r="F350" t="inlineStr">
        <is>
          <t>unclassified</t>
        </is>
      </c>
      <c r="W350" t="n">
        <v>2</v>
      </c>
      <c r="X350" t="inlineStr">
        <is>
          <t>Low</t>
        </is>
      </c>
      <c r="Z350" t="inlineStr">
        <is>
          <t>kotalanol</t>
        </is>
      </c>
      <c r="AF350" t="inlineStr">
        <is>
          <t>kotalanol</t>
        </is>
      </c>
      <c r="AH350" t="inlineStr">
        <is>
          <t>Pass 45 duplicate consolidation</t>
        </is>
      </c>
      <c r="AI350" t="inlineStr">
        <is>
          <t>other</t>
        </is>
      </c>
      <c r="AJ350" t="inlineStr">
        <is>
          <t>Unknown</t>
        </is>
      </c>
      <c r="AK350" t="inlineStr">
        <is>
          <t>unclassified</t>
        </is>
      </c>
      <c r="AL350" t="inlineStr">
        <is>
          <t>Pass 46 mechanism + evidence consolidation</t>
        </is>
      </c>
      <c r="AM350" t="n">
        <v>3</v>
      </c>
      <c r="AN350" t="inlineStr">
        <is>
          <t>D</t>
        </is>
      </c>
      <c r="AO350" t="inlineStr">
        <is>
          <t>Pass 47 compound scoring</t>
        </is>
      </c>
    </row>
    <row r="351">
      <c r="A351" t="inlineStr">
        <is>
          <t>kudinlactone</t>
        </is>
      </c>
      <c r="B351" t="inlineStr">
        <is>
          <t>kudinlactone</t>
        </is>
      </c>
      <c r="D351" t="inlineStr">
        <is>
          <t>triterpenoid</t>
        </is>
      </c>
      <c r="E351" t="inlineStr">
        <is>
          <t>Kuding-tea constituent associated with bitter antioxidant positioning.</t>
        </is>
      </c>
      <c r="F351" t="inlineStr">
        <is>
          <t>unclassified</t>
        </is>
      </c>
      <c r="W351" t="n">
        <v>2</v>
      </c>
      <c r="X351" t="inlineStr">
        <is>
          <t>Low</t>
        </is>
      </c>
      <c r="Z351" t="inlineStr">
        <is>
          <t>kudinlactone</t>
        </is>
      </c>
      <c r="AF351" t="inlineStr">
        <is>
          <t>kudinlactone</t>
        </is>
      </c>
      <c r="AH351" t="inlineStr">
        <is>
          <t>Pass 45 duplicate consolidation</t>
        </is>
      </c>
      <c r="AI351" t="inlineStr">
        <is>
          <t>triterpenoid</t>
        </is>
      </c>
      <c r="AJ351" t="inlineStr">
        <is>
          <t>Unknown</t>
        </is>
      </c>
      <c r="AK351" t="inlineStr">
        <is>
          <t>unclassified</t>
        </is>
      </c>
      <c r="AL351" t="inlineStr">
        <is>
          <t>Pass 46 mechanism + evidence consolidation</t>
        </is>
      </c>
      <c r="AM351" t="n">
        <v>3</v>
      </c>
      <c r="AN351" t="inlineStr">
        <is>
          <t>D</t>
        </is>
      </c>
      <c r="AO351" t="inlineStr">
        <is>
          <t>Pass 47 compound scoring</t>
        </is>
      </c>
    </row>
    <row r="352">
      <c r="A352" t="inlineStr">
        <is>
          <t>kurarinone</t>
        </is>
      </c>
      <c r="B352" t="inlineStr">
        <is>
          <t>kurarinone</t>
        </is>
      </c>
      <c r="D352" t="inlineStr">
        <is>
          <t>other</t>
        </is>
      </c>
      <c r="E352" t="inlineStr">
        <is>
          <t>insufficient evidence</t>
        </is>
      </c>
      <c r="F352" t="inlineStr">
        <is>
          <t>unclassified</t>
        </is>
      </c>
      <c r="W352" t="n">
        <v>2</v>
      </c>
      <c r="X352" t="inlineStr">
        <is>
          <t>Low</t>
        </is>
      </c>
      <c r="Z352" t="inlineStr">
        <is>
          <t>kurarinone</t>
        </is>
      </c>
      <c r="AF352" t="inlineStr">
        <is>
          <t>kurarinone</t>
        </is>
      </c>
      <c r="AH352" t="inlineStr">
        <is>
          <t>Pass 45 duplicate consolidation</t>
        </is>
      </c>
      <c r="AI352" t="inlineStr">
        <is>
          <t>other</t>
        </is>
      </c>
      <c r="AJ352" t="inlineStr">
        <is>
          <t>Unknown</t>
        </is>
      </c>
      <c r="AK352" t="inlineStr">
        <is>
          <t>unclassified</t>
        </is>
      </c>
      <c r="AL352" t="inlineStr">
        <is>
          <t>Pass 46 mechanism + evidence consolidation</t>
        </is>
      </c>
      <c r="AM352" t="n">
        <v>3</v>
      </c>
      <c r="AN352" t="inlineStr">
        <is>
          <t>D</t>
        </is>
      </c>
      <c r="AO352" t="inlineStr">
        <is>
          <t>Pass 47 compound scoring</t>
        </is>
      </c>
    </row>
    <row r="353">
      <c r="A353" t="inlineStr">
        <is>
          <t>kutkoside</t>
        </is>
      </c>
      <c r="B353" t="inlineStr">
        <is>
          <t>kutkoside</t>
        </is>
      </c>
      <c r="D353" t="inlineStr">
        <is>
          <t>other</t>
        </is>
      </c>
      <c r="E353" t="inlineStr">
        <is>
          <t>insufficient evidence</t>
        </is>
      </c>
      <c r="F353" t="inlineStr">
        <is>
          <t>unclassified</t>
        </is>
      </c>
      <c r="W353" t="n">
        <v>2</v>
      </c>
      <c r="X353" t="inlineStr">
        <is>
          <t>Low</t>
        </is>
      </c>
      <c r="Z353" t="inlineStr">
        <is>
          <t>kutkoside</t>
        </is>
      </c>
      <c r="AF353" t="inlineStr">
        <is>
          <t>kutkoside</t>
        </is>
      </c>
      <c r="AH353" t="inlineStr">
        <is>
          <t>Pass 45 duplicate consolidation</t>
        </is>
      </c>
      <c r="AI353" t="inlineStr">
        <is>
          <t>other</t>
        </is>
      </c>
      <c r="AJ353" t="inlineStr">
        <is>
          <t>Unknown</t>
        </is>
      </c>
      <c r="AK353" t="inlineStr">
        <is>
          <t>unclassified</t>
        </is>
      </c>
      <c r="AL353" t="inlineStr">
        <is>
          <t>Pass 46 mechanism + evidence consolidation</t>
        </is>
      </c>
      <c r="AM353" t="n">
        <v>3</v>
      </c>
      <c r="AN353" t="inlineStr">
        <is>
          <t>D</t>
        </is>
      </c>
      <c r="AO353" t="inlineStr">
        <is>
          <t>Pass 47 compound scoring</t>
        </is>
      </c>
    </row>
    <row r="354">
      <c r="A354" t="inlineStr">
        <is>
          <t>l-phenylalanine</t>
        </is>
      </c>
      <c r="B354" t="inlineStr">
        <is>
          <t>L-phenylalanine</t>
        </is>
      </c>
      <c r="D354" t="inlineStr">
        <is>
          <t>essential amino acid</t>
        </is>
      </c>
      <c r="E354" t="inlineStr">
        <is>
          <t>Essential aromatic amino acid converted by phenylalanine hydroxylase to tyrosine, supporting catecholamine, thyroid-hormone, and melanin precursor biology.</t>
        </is>
      </c>
      <c r="F354" t="inlineStr">
        <is>
          <t>unclassified</t>
        </is>
      </c>
      <c r="W354" t="n">
        <v>2</v>
      </c>
      <c r="X354" t="inlineStr">
        <is>
          <t>Low</t>
        </is>
      </c>
      <c r="Z354" t="inlineStr">
        <is>
          <t>l-phenylalanine</t>
        </is>
      </c>
      <c r="AF354" t="inlineStr">
        <is>
          <t>l phenylalanine</t>
        </is>
      </c>
      <c r="AH354" t="inlineStr">
        <is>
          <t>Pass 45 duplicate consolidation</t>
        </is>
      </c>
      <c r="AI354" t="inlineStr">
        <is>
          <t>essential amino acid</t>
        </is>
      </c>
      <c r="AJ354" t="inlineStr">
        <is>
          <t>Unknown</t>
        </is>
      </c>
      <c r="AK354" t="inlineStr">
        <is>
          <t>unclassified</t>
        </is>
      </c>
      <c r="AL354" t="inlineStr">
        <is>
          <t>Pass 46 mechanism + evidence consolidation</t>
        </is>
      </c>
      <c r="AM354" t="n">
        <v>3</v>
      </c>
      <c r="AN354" t="inlineStr">
        <is>
          <t>D</t>
        </is>
      </c>
      <c r="AO354" t="inlineStr">
        <is>
          <t>Pass 47 compound scoring</t>
        </is>
      </c>
    </row>
    <row r="355">
      <c r="A355" t="inlineStr">
        <is>
          <t>l-theanine</t>
        </is>
      </c>
      <c r="B355" t="inlineStr">
        <is>
          <t>L-theanine</t>
        </is>
      </c>
      <c r="D355" t="inlineStr">
        <is>
          <t>amino acid derivative</t>
        </is>
      </c>
      <c r="E355" t="inlineStr">
        <is>
          <t>Neuroactive amino acid associated with glutamatergic modulation and stress/anxiety-related effects; human data support some symptom reduction, but receptor-level mechanism remains less locked than melatonin.</t>
        </is>
      </c>
      <c r="F355" t="inlineStr">
        <is>
          <t>unclassified</t>
        </is>
      </c>
      <c r="W355" t="n">
        <v>2</v>
      </c>
      <c r="X355" t="inlineStr">
        <is>
          <t>Low</t>
        </is>
      </c>
      <c r="Z355" t="inlineStr">
        <is>
          <t>l-theanine</t>
        </is>
      </c>
      <c r="AF355" t="inlineStr">
        <is>
          <t>l theanine</t>
        </is>
      </c>
      <c r="AH355" t="inlineStr">
        <is>
          <t>Pass 45 duplicate consolidation</t>
        </is>
      </c>
      <c r="AI355" t="inlineStr">
        <is>
          <t>amino acid derivative</t>
        </is>
      </c>
      <c r="AJ355" t="inlineStr">
        <is>
          <t>Human</t>
        </is>
      </c>
      <c r="AK355" t="inlineStr">
        <is>
          <t>unclassified</t>
        </is>
      </c>
      <c r="AL355" t="inlineStr">
        <is>
          <t>Pass 46 mechanism + evidence consolidation</t>
        </is>
      </c>
      <c r="AM355" t="n">
        <v>7</v>
      </c>
      <c r="AN355" t="inlineStr">
        <is>
          <t>B</t>
        </is>
      </c>
      <c r="AO355" t="inlineStr">
        <is>
          <t>Pass 47 compound scoring</t>
        </is>
      </c>
    </row>
    <row r="356">
      <c r="A356" t="inlineStr">
        <is>
          <t>l-tryptophan</t>
        </is>
      </c>
      <c r="B356" t="inlineStr">
        <is>
          <t>L-tryptophan</t>
        </is>
      </c>
      <c r="D356" t="inlineStr">
        <is>
          <t>essential amino acid</t>
        </is>
      </c>
      <c r="E356" t="inlineStr">
        <is>
          <t>Essential aromatic amino acid serving as precursor for serotonin and melatonin biosynthesis and for the kynurenine pathway.</t>
        </is>
      </c>
      <c r="F356" t="inlineStr">
        <is>
          <t>unclassified</t>
        </is>
      </c>
      <c r="W356" t="n">
        <v>2</v>
      </c>
      <c r="X356" t="inlineStr">
        <is>
          <t>Low</t>
        </is>
      </c>
      <c r="Z356" t="inlineStr">
        <is>
          <t>l-tryptophan</t>
        </is>
      </c>
      <c r="AF356" t="inlineStr">
        <is>
          <t>l tryptophan</t>
        </is>
      </c>
      <c r="AH356" t="inlineStr">
        <is>
          <t>Pass 45 duplicate consolidation</t>
        </is>
      </c>
      <c r="AI356" t="inlineStr">
        <is>
          <t>essential amino acid</t>
        </is>
      </c>
      <c r="AJ356" t="inlineStr">
        <is>
          <t>Unknown</t>
        </is>
      </c>
      <c r="AK356" t="inlineStr">
        <is>
          <t>unclassified</t>
        </is>
      </c>
      <c r="AL356" t="inlineStr">
        <is>
          <t>Pass 46 mechanism + evidence consolidation</t>
        </is>
      </c>
      <c r="AM356" t="n">
        <v>3</v>
      </c>
      <c r="AN356" t="inlineStr">
        <is>
          <t>D</t>
        </is>
      </c>
      <c r="AO356" t="inlineStr">
        <is>
          <t>Pass 47 compound scoring</t>
        </is>
      </c>
    </row>
    <row r="357">
      <c r="A357" t="inlineStr">
        <is>
          <t>l-tyrosine</t>
        </is>
      </c>
      <c r="B357" t="inlineStr">
        <is>
          <t>L-tyrosine</t>
        </is>
      </c>
      <c r="D357" t="inlineStr">
        <is>
          <t>nonessential amino acid</t>
        </is>
      </c>
      <c r="E357" t="inlineStr">
        <is>
          <t>Substrate for tyrosine hydroxylase, the rate-limiting enzyme in catecholamine synthesis; also contributes to thyroid-hormone and melanin precursor biology.</t>
        </is>
      </c>
      <c r="F357" t="inlineStr">
        <is>
          <t>unclassified</t>
        </is>
      </c>
      <c r="W357" t="n">
        <v>2</v>
      </c>
      <c r="X357" t="inlineStr">
        <is>
          <t>Low</t>
        </is>
      </c>
      <c r="Z357" t="inlineStr">
        <is>
          <t>l-tyrosine</t>
        </is>
      </c>
      <c r="AF357" t="inlineStr">
        <is>
          <t>l tyrosine</t>
        </is>
      </c>
      <c r="AH357" t="inlineStr">
        <is>
          <t>Pass 45 duplicate consolidation</t>
        </is>
      </c>
      <c r="AI357" t="inlineStr">
        <is>
          <t>nonessential amino acid</t>
        </is>
      </c>
      <c r="AJ357" t="inlineStr">
        <is>
          <t>Unknown</t>
        </is>
      </c>
      <c r="AK357" t="inlineStr">
        <is>
          <t>unclassified</t>
        </is>
      </c>
      <c r="AL357" t="inlineStr">
        <is>
          <t>Pass 46 mechanism + evidence consolidation</t>
        </is>
      </c>
      <c r="AM357" t="n">
        <v>3</v>
      </c>
      <c r="AN357" t="inlineStr">
        <is>
          <t>D</t>
        </is>
      </c>
      <c r="AO357" t="inlineStr">
        <is>
          <t>Pass 47 compound scoring</t>
        </is>
      </c>
    </row>
    <row r="358">
      <c r="A358" t="inlineStr">
        <is>
          <t>lactucin</t>
        </is>
      </c>
      <c r="B358" t="inlineStr">
        <is>
          <t>lactucin</t>
        </is>
      </c>
      <c r="D358" t="inlineStr">
        <is>
          <t>Lactucin, lactucopicrin, sesquiterpene lactones</t>
        </is>
      </c>
      <c r="E358" t="inlineStr">
        <is>
          <t>insufficient evidence</t>
        </is>
      </c>
      <c r="F358" t="inlineStr">
        <is>
          <t>unclassified</t>
        </is>
      </c>
      <c r="W358" t="n">
        <v>2</v>
      </c>
      <c r="X358" t="inlineStr">
        <is>
          <t>Low</t>
        </is>
      </c>
      <c r="Z358" t="inlineStr">
        <is>
          <t>lactucin</t>
        </is>
      </c>
      <c r="AF358" t="inlineStr">
        <is>
          <t>lactucin</t>
        </is>
      </c>
      <c r="AH358" t="inlineStr">
        <is>
          <t>Pass 45 duplicate consolidation</t>
        </is>
      </c>
      <c r="AI358" t="inlineStr">
        <is>
          <t>Lactucin, lactucopicrin, sesquiterpene lactones</t>
        </is>
      </c>
      <c r="AJ358" t="inlineStr">
        <is>
          <t>Unknown</t>
        </is>
      </c>
      <c r="AK358" t="inlineStr">
        <is>
          <t>unclassified</t>
        </is>
      </c>
      <c r="AL358" t="inlineStr">
        <is>
          <t>Pass 46 mechanism + evidence consolidation</t>
        </is>
      </c>
      <c r="AM358" t="n">
        <v>3</v>
      </c>
      <c r="AN358" t="inlineStr">
        <is>
          <t>D</t>
        </is>
      </c>
      <c r="AO358" t="inlineStr">
        <is>
          <t>Pass 47 compound scoring</t>
        </is>
      </c>
    </row>
    <row r="359">
      <c r="A359" t="inlineStr">
        <is>
          <t>lactucopicrin</t>
        </is>
      </c>
      <c r="B359" t="inlineStr">
        <is>
          <t>lactucopicrin</t>
        </is>
      </c>
      <c r="D359" t="inlineStr">
        <is>
          <t>Lactucin, lactucopicrin, sesquiterpene lactones</t>
        </is>
      </c>
      <c r="E359" t="inlineStr">
        <is>
          <t>insufficient evidence</t>
        </is>
      </c>
      <c r="F359" t="inlineStr">
        <is>
          <t>unclassified</t>
        </is>
      </c>
      <c r="W359" t="n">
        <v>2</v>
      </c>
      <c r="X359" t="inlineStr">
        <is>
          <t>Low</t>
        </is>
      </c>
      <c r="Z359" t="inlineStr">
        <is>
          <t>lactucopicrin</t>
        </is>
      </c>
      <c r="AF359" t="inlineStr">
        <is>
          <t>lactucopicrin</t>
        </is>
      </c>
      <c r="AH359" t="inlineStr">
        <is>
          <t>Pass 45 duplicate consolidation</t>
        </is>
      </c>
      <c r="AI359" t="inlineStr">
        <is>
          <t>Lactucin, lactucopicrin, sesquiterpene lactones</t>
        </is>
      </c>
      <c r="AJ359" t="inlineStr">
        <is>
          <t>Unknown</t>
        </is>
      </c>
      <c r="AK359" t="inlineStr">
        <is>
          <t>unclassified</t>
        </is>
      </c>
      <c r="AL359" t="inlineStr">
        <is>
          <t>Pass 46 mechanism + evidence consolidation</t>
        </is>
      </c>
      <c r="AM359" t="n">
        <v>3</v>
      </c>
      <c r="AN359" t="inlineStr">
        <is>
          <t>D</t>
        </is>
      </c>
      <c r="AO359" t="inlineStr">
        <is>
          <t>Pass 47 compound scoring</t>
        </is>
      </c>
    </row>
    <row r="360">
      <c r="A360" t="inlineStr">
        <is>
          <t>lapachol</t>
        </is>
      </c>
      <c r="B360" t="inlineStr">
        <is>
          <t>lapachol</t>
        </is>
      </c>
      <c r="D360" t="inlineStr">
        <is>
          <t>other</t>
        </is>
      </c>
      <c r="E360" t="inlineStr">
        <is>
          <t>insufficient evidence</t>
        </is>
      </c>
      <c r="F360" t="inlineStr">
        <is>
          <t>unclassified</t>
        </is>
      </c>
      <c r="W360" t="n">
        <v>2</v>
      </c>
      <c r="X360" t="inlineStr">
        <is>
          <t>Low</t>
        </is>
      </c>
      <c r="Z360" t="inlineStr">
        <is>
          <t>lapachol</t>
        </is>
      </c>
      <c r="AF360" t="inlineStr">
        <is>
          <t>lapachol</t>
        </is>
      </c>
      <c r="AH360" t="inlineStr">
        <is>
          <t>Pass 45 duplicate consolidation</t>
        </is>
      </c>
      <c r="AI360" t="inlineStr">
        <is>
          <t>other</t>
        </is>
      </c>
      <c r="AJ360" t="inlineStr">
        <is>
          <t>Unknown</t>
        </is>
      </c>
      <c r="AK360" t="inlineStr">
        <is>
          <t>unclassified</t>
        </is>
      </c>
      <c r="AL360" t="inlineStr">
        <is>
          <t>Pass 46 mechanism + evidence consolidation</t>
        </is>
      </c>
      <c r="AM360" t="n">
        <v>3</v>
      </c>
      <c r="AN360" t="inlineStr">
        <is>
          <t>D</t>
        </is>
      </c>
      <c r="AO360" t="inlineStr">
        <is>
          <t>Pass 47 compound scoring</t>
        </is>
      </c>
    </row>
    <row r="361">
      <c r="A361" t="inlineStr">
        <is>
          <t>ledol</t>
        </is>
      </c>
      <c r="B361" t="inlineStr">
        <is>
          <t>ledol</t>
        </is>
      </c>
      <c r="D361" t="inlineStr">
        <is>
          <t>essential oils</t>
        </is>
      </c>
      <c r="E361" t="inlineStr">
        <is>
          <t>insufficient evidence</t>
        </is>
      </c>
      <c r="F361" t="inlineStr">
        <is>
          <t>unclassified</t>
        </is>
      </c>
      <c r="W361" t="n">
        <v>2</v>
      </c>
      <c r="X361" t="inlineStr">
        <is>
          <t>Low</t>
        </is>
      </c>
      <c r="Z361" t="inlineStr">
        <is>
          <t>ledol</t>
        </is>
      </c>
      <c r="AF361" t="inlineStr">
        <is>
          <t>ledol</t>
        </is>
      </c>
      <c r="AH361" t="inlineStr">
        <is>
          <t>Pass 45 duplicate consolidation</t>
        </is>
      </c>
      <c r="AI361" t="inlineStr">
        <is>
          <t>essential oils</t>
        </is>
      </c>
      <c r="AJ361" t="inlineStr">
        <is>
          <t>Unknown</t>
        </is>
      </c>
      <c r="AK361" t="inlineStr">
        <is>
          <t>unclassified</t>
        </is>
      </c>
      <c r="AL361" t="inlineStr">
        <is>
          <t>Pass 46 mechanism + evidence consolidation</t>
        </is>
      </c>
      <c r="AM361" t="n">
        <v>3</v>
      </c>
      <c r="AN361" t="inlineStr">
        <is>
          <t>D</t>
        </is>
      </c>
      <c r="AO361" t="inlineStr">
        <is>
          <t>Pass 47 compound scoring</t>
        </is>
      </c>
    </row>
    <row r="362">
      <c r="A362" t="inlineStr">
        <is>
          <t>leonurine</t>
        </is>
      </c>
      <c r="B362" t="inlineStr">
        <is>
          <t>leonurine</t>
        </is>
      </c>
      <c r="D362" t="inlineStr">
        <is>
          <t>other</t>
        </is>
      </c>
      <c r="E362" t="inlineStr">
        <is>
          <t>insufficient evidence</t>
        </is>
      </c>
      <c r="F362" t="inlineStr">
        <is>
          <t>unclassified</t>
        </is>
      </c>
      <c r="W362" t="n">
        <v>2</v>
      </c>
      <c r="X362" t="inlineStr">
        <is>
          <t>Low</t>
        </is>
      </c>
      <c r="Z362" t="inlineStr">
        <is>
          <t>leonurine</t>
        </is>
      </c>
      <c r="AF362" t="inlineStr">
        <is>
          <t>leonurine</t>
        </is>
      </c>
      <c r="AH362" t="inlineStr">
        <is>
          <t>Pass 45 duplicate consolidation</t>
        </is>
      </c>
      <c r="AI362" t="inlineStr">
        <is>
          <t>other</t>
        </is>
      </c>
      <c r="AJ362" t="inlineStr">
        <is>
          <t>Unknown</t>
        </is>
      </c>
      <c r="AK362" t="inlineStr">
        <is>
          <t>unclassified</t>
        </is>
      </c>
      <c r="AL362" t="inlineStr">
        <is>
          <t>Pass 46 mechanism + evidence consolidation</t>
        </is>
      </c>
      <c r="AM362" t="n">
        <v>3</v>
      </c>
      <c r="AN362" t="inlineStr">
        <is>
          <t>D</t>
        </is>
      </c>
      <c r="AO362" t="inlineStr">
        <is>
          <t>Pass 47 compound scoring</t>
        </is>
      </c>
    </row>
    <row r="363">
      <c r="A363" t="inlineStr">
        <is>
          <t>ligustilide</t>
        </is>
      </c>
      <c r="B363" t="inlineStr">
        <is>
          <t>ligustilide</t>
        </is>
      </c>
      <c r="D363" t="inlineStr">
        <is>
          <t>Ferulic acid, ligustilide, polysaccharides</t>
        </is>
      </c>
      <c r="E363" t="inlineStr">
        <is>
          <t>insufficient evidence</t>
        </is>
      </c>
      <c r="F363" t="inlineStr">
        <is>
          <t>unclassified</t>
        </is>
      </c>
      <c r="W363" t="n">
        <v>2</v>
      </c>
      <c r="X363" t="inlineStr">
        <is>
          <t>Low</t>
        </is>
      </c>
      <c r="Z363" t="inlineStr">
        <is>
          <t>ligustilide</t>
        </is>
      </c>
      <c r="AF363" t="inlineStr">
        <is>
          <t>ligustilide</t>
        </is>
      </c>
      <c r="AH363" t="inlineStr">
        <is>
          <t>Pass 45 duplicate consolidation</t>
        </is>
      </c>
      <c r="AI363" t="inlineStr">
        <is>
          <t>Ferulic acid, ligustilide, polysaccharides</t>
        </is>
      </c>
      <c r="AJ363" t="inlineStr">
        <is>
          <t>Unknown</t>
        </is>
      </c>
      <c r="AK363" t="inlineStr">
        <is>
          <t>unclassified</t>
        </is>
      </c>
      <c r="AL363" t="inlineStr">
        <is>
          <t>Pass 46 mechanism + evidence consolidation</t>
        </is>
      </c>
      <c r="AM363" t="n">
        <v>3</v>
      </c>
      <c r="AN363" t="inlineStr">
        <is>
          <t>D</t>
        </is>
      </c>
      <c r="AO363" t="inlineStr">
        <is>
          <t>Pass 47 compound scoring</t>
        </is>
      </c>
    </row>
    <row r="364">
      <c r="A364" t="inlineStr">
        <is>
          <t>limonene</t>
        </is>
      </c>
      <c r="B364" t="inlineStr">
        <is>
          <t>limonene</t>
        </is>
      </c>
      <c r="D364" t="inlineStr">
        <is>
          <t>terpene</t>
        </is>
      </c>
      <c r="E364" t="inlineStr">
        <is>
          <t>THC acts at CB1 receptors; terpenes may modulate neurotransmitter systems and pharmacokinetics.</t>
        </is>
      </c>
      <c r="F364" t="inlineStr">
        <is>
          <t>unclassified</t>
        </is>
      </c>
      <c r="W364" t="n">
        <v>2</v>
      </c>
      <c r="X364" t="inlineStr">
        <is>
          <t>Low</t>
        </is>
      </c>
      <c r="Z364" t="inlineStr">
        <is>
          <t>limonene</t>
        </is>
      </c>
      <c r="AF364" t="inlineStr">
        <is>
          <t>limonene</t>
        </is>
      </c>
      <c r="AH364" t="inlineStr">
        <is>
          <t>Pass 45 duplicate consolidation</t>
        </is>
      </c>
      <c r="AI364" t="inlineStr">
        <is>
          <t>terpene</t>
        </is>
      </c>
      <c r="AJ364" t="inlineStr">
        <is>
          <t>Unknown</t>
        </is>
      </c>
      <c r="AK364" t="inlineStr">
        <is>
          <t>unclassified</t>
        </is>
      </c>
      <c r="AL364" t="inlineStr">
        <is>
          <t>Pass 46 mechanism + evidence consolidation</t>
        </is>
      </c>
      <c r="AM364" t="n">
        <v>3</v>
      </c>
      <c r="AN364" t="inlineStr">
        <is>
          <t>D</t>
        </is>
      </c>
      <c r="AO364" t="inlineStr">
        <is>
          <t>Pass 47 compound scoring</t>
        </is>
      </c>
    </row>
    <row r="365">
      <c r="A365" t="inlineStr">
        <is>
          <t>linalool</t>
        </is>
      </c>
      <c r="B365" t="inlineStr">
        <is>
          <t>linalool</t>
        </is>
      </c>
      <c r="D365" t="inlineStr">
        <is>
          <t>other</t>
        </is>
      </c>
      <c r="E365" t="inlineStr">
        <is>
          <t>insufficient evidence</t>
        </is>
      </c>
      <c r="F365" t="inlineStr">
        <is>
          <t>unclassified</t>
        </is>
      </c>
      <c r="W365" t="n">
        <v>2</v>
      </c>
      <c r="X365" t="inlineStr">
        <is>
          <t>Low</t>
        </is>
      </c>
      <c r="Z365" t="inlineStr">
        <is>
          <t>linalool</t>
        </is>
      </c>
      <c r="AF365" t="inlineStr">
        <is>
          <t>linalool</t>
        </is>
      </c>
      <c r="AH365" t="inlineStr">
        <is>
          <t>Pass 45 duplicate consolidation</t>
        </is>
      </c>
      <c r="AI365" t="inlineStr">
        <is>
          <t>other</t>
        </is>
      </c>
      <c r="AJ365" t="inlineStr">
        <is>
          <t>Unknown</t>
        </is>
      </c>
      <c r="AK365" t="inlineStr">
        <is>
          <t>unclassified</t>
        </is>
      </c>
      <c r="AL365" t="inlineStr">
        <is>
          <t>Pass 46 mechanism + evidence consolidation</t>
        </is>
      </c>
      <c r="AM365" t="n">
        <v>3</v>
      </c>
      <c r="AN365" t="inlineStr">
        <is>
          <t>D</t>
        </is>
      </c>
      <c r="AO365" t="inlineStr">
        <is>
          <t>Pass 47 compound scoring</t>
        </is>
      </c>
    </row>
    <row r="366">
      <c r="A366" t="inlineStr">
        <is>
          <t>linalyl acetate</t>
        </is>
      </c>
      <c r="B366" t="inlineStr">
        <is>
          <t>linalyl acetate</t>
        </is>
      </c>
      <c r="D366" t="inlineStr">
        <is>
          <t>other</t>
        </is>
      </c>
      <c r="E366" t="inlineStr">
        <is>
          <t>insufficient evidence</t>
        </is>
      </c>
      <c r="F366" t="inlineStr">
        <is>
          <t>unclassified</t>
        </is>
      </c>
      <c r="W366" t="n">
        <v>2</v>
      </c>
      <c r="X366" t="inlineStr">
        <is>
          <t>Low</t>
        </is>
      </c>
      <c r="Z366" t="inlineStr">
        <is>
          <t>linalyl acetate</t>
        </is>
      </c>
      <c r="AF366" t="inlineStr">
        <is>
          <t>linalyl acetate</t>
        </is>
      </c>
      <c r="AH366" t="inlineStr">
        <is>
          <t>Pass 45 duplicate consolidation</t>
        </is>
      </c>
      <c r="AI366" t="inlineStr">
        <is>
          <t>other</t>
        </is>
      </c>
      <c r="AJ366" t="inlineStr">
        <is>
          <t>Unknown</t>
        </is>
      </c>
      <c r="AK366" t="inlineStr">
        <is>
          <t>unclassified</t>
        </is>
      </c>
      <c r="AL366" t="inlineStr">
        <is>
          <t>Pass 46 mechanism + evidence consolidation</t>
        </is>
      </c>
      <c r="AM366" t="n">
        <v>3</v>
      </c>
      <c r="AN366" t="inlineStr">
        <is>
          <t>D</t>
        </is>
      </c>
      <c r="AO366" t="inlineStr">
        <is>
          <t>Pass 47 compound scoring</t>
        </is>
      </c>
    </row>
    <row r="367">
      <c r="A367" t="inlineStr">
        <is>
          <t>linoleic acid</t>
        </is>
      </c>
      <c r="B367" t="inlineStr">
        <is>
          <t>linoleic acid</t>
        </is>
      </c>
      <c r="D367" t="inlineStr">
        <is>
          <t>organic acid</t>
        </is>
      </c>
      <c r="E367" t="inlineStr">
        <is>
          <t>insufficient evidence</t>
        </is>
      </c>
      <c r="F367" t="inlineStr">
        <is>
          <t>unclassified</t>
        </is>
      </c>
      <c r="W367" t="n">
        <v>2</v>
      </c>
      <c r="X367" t="inlineStr">
        <is>
          <t>Low</t>
        </is>
      </c>
      <c r="Z367" t="inlineStr">
        <is>
          <t>linoleic acid</t>
        </is>
      </c>
      <c r="AF367" t="inlineStr">
        <is>
          <t>linoleic acid</t>
        </is>
      </c>
      <c r="AH367" t="inlineStr">
        <is>
          <t>Pass 45 duplicate consolidation</t>
        </is>
      </c>
      <c r="AI367" t="inlineStr">
        <is>
          <t>organic acid</t>
        </is>
      </c>
      <c r="AJ367" t="inlineStr">
        <is>
          <t>Unknown</t>
        </is>
      </c>
      <c r="AK367" t="inlineStr">
        <is>
          <t>unclassified</t>
        </is>
      </c>
      <c r="AL367" t="inlineStr">
        <is>
          <t>Pass 46 mechanism + evidence consolidation</t>
        </is>
      </c>
      <c r="AM367" t="n">
        <v>3</v>
      </c>
      <c r="AN367" t="inlineStr">
        <is>
          <t>D</t>
        </is>
      </c>
      <c r="AO367" t="inlineStr">
        <is>
          <t>Pass 47 compound scoring</t>
        </is>
      </c>
    </row>
    <row r="368">
      <c r="A368" t="inlineStr">
        <is>
          <t>lithospermic acid</t>
        </is>
      </c>
      <c r="B368" t="inlineStr">
        <is>
          <t>lithospermic acid</t>
        </is>
      </c>
      <c r="D368" t="inlineStr">
        <is>
          <t>Lithospermic acid, polyphenols, flavonoids</t>
        </is>
      </c>
      <c r="E368" t="inlineStr">
        <is>
          <t>insufficient evidence</t>
        </is>
      </c>
      <c r="F368" t="inlineStr">
        <is>
          <t>unclassified</t>
        </is>
      </c>
      <c r="W368" t="n">
        <v>2</v>
      </c>
      <c r="X368" t="inlineStr">
        <is>
          <t>Low</t>
        </is>
      </c>
      <c r="Z368" t="inlineStr">
        <is>
          <t>lithospermic acid</t>
        </is>
      </c>
      <c r="AF368" t="inlineStr">
        <is>
          <t>lithospermic acid</t>
        </is>
      </c>
      <c r="AH368" t="inlineStr">
        <is>
          <t>Pass 45 duplicate consolidation</t>
        </is>
      </c>
      <c r="AI368" t="inlineStr">
        <is>
          <t>Lithospermic acid, polyphenols, flavonoids</t>
        </is>
      </c>
      <c r="AJ368" t="inlineStr">
        <is>
          <t>Unknown</t>
        </is>
      </c>
      <c r="AK368" t="inlineStr">
        <is>
          <t>unclassified</t>
        </is>
      </c>
      <c r="AL368" t="inlineStr">
        <is>
          <t>Pass 46 mechanism + evidence consolidation</t>
        </is>
      </c>
      <c r="AM368" t="n">
        <v>3</v>
      </c>
      <c r="AN368" t="inlineStr">
        <is>
          <t>D</t>
        </is>
      </c>
      <c r="AO368" t="inlineStr">
        <is>
          <t>Pass 47 compound scoring</t>
        </is>
      </c>
    </row>
    <row r="369">
      <c r="A369" t="inlineStr">
        <is>
          <t>lobelanidine</t>
        </is>
      </c>
      <c r="B369" t="inlineStr">
        <is>
          <t>lobelanidine</t>
        </is>
      </c>
      <c r="D369" t="inlineStr">
        <is>
          <t>other</t>
        </is>
      </c>
      <c r="E369" t="inlineStr">
        <is>
          <t>Lobeline acts as a partial agonist at nicotinic acetylcholine receptors and modulates dopamine release.</t>
        </is>
      </c>
      <c r="F369" t="inlineStr">
        <is>
          <t>unclassified</t>
        </is>
      </c>
      <c r="W369" t="n">
        <v>2</v>
      </c>
      <c r="X369" t="inlineStr">
        <is>
          <t>Low</t>
        </is>
      </c>
      <c r="Z369" t="inlineStr">
        <is>
          <t>lobelanidine</t>
        </is>
      </c>
      <c r="AF369" t="inlineStr">
        <is>
          <t>lobelanidine</t>
        </is>
      </c>
      <c r="AH369" t="inlineStr">
        <is>
          <t>Pass 45 duplicate consolidation</t>
        </is>
      </c>
      <c r="AI369" t="inlineStr">
        <is>
          <t>other</t>
        </is>
      </c>
      <c r="AJ369" t="inlineStr">
        <is>
          <t>Unknown</t>
        </is>
      </c>
      <c r="AK369" t="inlineStr">
        <is>
          <t>unclassified</t>
        </is>
      </c>
      <c r="AL369" t="inlineStr">
        <is>
          <t>Pass 46 mechanism + evidence consolidation</t>
        </is>
      </c>
      <c r="AM369" t="n">
        <v>3</v>
      </c>
      <c r="AN369" t="inlineStr">
        <is>
          <t>D</t>
        </is>
      </c>
      <c r="AO369" t="inlineStr">
        <is>
          <t>Pass 47 compound scoring</t>
        </is>
      </c>
    </row>
    <row r="370">
      <c r="A370" t="inlineStr">
        <is>
          <t>lobeline</t>
        </is>
      </c>
      <c r="B370" t="inlineStr">
        <is>
          <t>lobeline</t>
        </is>
      </c>
      <c r="D370" t="inlineStr">
        <is>
          <t>other</t>
        </is>
      </c>
      <c r="E370" t="inlineStr">
        <is>
          <t>Lobeline acts as a partial agonist at nicotinic acetylcholine receptors and modulates dopamine release.</t>
        </is>
      </c>
      <c r="F370" t="inlineStr">
        <is>
          <t>unclassified</t>
        </is>
      </c>
      <c r="W370" t="n">
        <v>2</v>
      </c>
      <c r="X370" t="inlineStr">
        <is>
          <t>Low</t>
        </is>
      </c>
      <c r="Z370" t="inlineStr">
        <is>
          <t>lobeline</t>
        </is>
      </c>
      <c r="AF370" t="inlineStr">
        <is>
          <t>lobeline</t>
        </is>
      </c>
      <c r="AH370" t="inlineStr">
        <is>
          <t>Pass 45 duplicate consolidation</t>
        </is>
      </c>
      <c r="AI370" t="inlineStr">
        <is>
          <t>other</t>
        </is>
      </c>
      <c r="AJ370" t="inlineStr">
        <is>
          <t>Unknown</t>
        </is>
      </c>
      <c r="AK370" t="inlineStr">
        <is>
          <t>unclassified</t>
        </is>
      </c>
      <c r="AL370" t="inlineStr">
        <is>
          <t>Pass 46 mechanism + evidence consolidation</t>
        </is>
      </c>
      <c r="AM370" t="n">
        <v>3</v>
      </c>
      <c r="AN370" t="inlineStr">
        <is>
          <t>D</t>
        </is>
      </c>
      <c r="AO370" t="inlineStr">
        <is>
          <t>Pass 47 compound scoring</t>
        </is>
      </c>
    </row>
    <row r="371">
      <c r="A371" t="inlineStr">
        <is>
          <t>loganin</t>
        </is>
      </c>
      <c r="B371" t="inlineStr">
        <is>
          <t>loganin</t>
        </is>
      </c>
      <c r="D371" t="inlineStr">
        <is>
          <t>iridoid glycosides</t>
        </is>
      </c>
      <c r="E371" t="inlineStr">
        <is>
          <t>insufficient evidence</t>
        </is>
      </c>
      <c r="F371" t="inlineStr">
        <is>
          <t>unclassified</t>
        </is>
      </c>
      <c r="W371" t="n">
        <v>2</v>
      </c>
      <c r="X371" t="inlineStr">
        <is>
          <t>Low</t>
        </is>
      </c>
      <c r="Z371" t="inlineStr">
        <is>
          <t>loganin</t>
        </is>
      </c>
      <c r="AF371" t="inlineStr">
        <is>
          <t>loganin</t>
        </is>
      </c>
      <c r="AH371" t="inlineStr">
        <is>
          <t>Pass 45 duplicate consolidation</t>
        </is>
      </c>
      <c r="AI371" t="inlineStr">
        <is>
          <t>iridoid glycosides</t>
        </is>
      </c>
      <c r="AJ371" t="inlineStr">
        <is>
          <t>Unknown</t>
        </is>
      </c>
      <c r="AK371" t="inlineStr">
        <is>
          <t>unclassified</t>
        </is>
      </c>
      <c r="AL371" t="inlineStr">
        <is>
          <t>Pass 46 mechanism + evidence consolidation</t>
        </is>
      </c>
      <c r="AM371" t="n">
        <v>3</v>
      </c>
      <c r="AN371" t="inlineStr">
        <is>
          <t>D</t>
        </is>
      </c>
      <c r="AO371" t="inlineStr">
        <is>
          <t>Pass 47 compound scoring</t>
        </is>
      </c>
    </row>
    <row r="372">
      <c r="A372" t="inlineStr">
        <is>
          <t>lsa</t>
        </is>
      </c>
      <c r="B372" t="inlineStr">
        <is>
          <t>lsa</t>
        </is>
      </c>
      <c r="D372" t="inlineStr">
        <is>
          <t>other</t>
        </is>
      </c>
      <c r="E372" t="inlineStr">
        <is>
          <t>Psychoactive effects are attributed primarily to ergoline alkaloids such as ergine, likely through serotonergic receptor activity.</t>
        </is>
      </c>
      <c r="F372" t="inlineStr">
        <is>
          <t>unclassified</t>
        </is>
      </c>
      <c r="W372" t="n">
        <v>2</v>
      </c>
      <c r="X372" t="inlineStr">
        <is>
          <t>Low</t>
        </is>
      </c>
      <c r="Z372" t="inlineStr">
        <is>
          <t>lsa</t>
        </is>
      </c>
      <c r="AF372" t="inlineStr">
        <is>
          <t>lsa</t>
        </is>
      </c>
      <c r="AH372" t="inlineStr">
        <is>
          <t>Pass 45 duplicate consolidation</t>
        </is>
      </c>
      <c r="AI372" t="inlineStr">
        <is>
          <t>other</t>
        </is>
      </c>
      <c r="AJ372" t="inlineStr">
        <is>
          <t>Unknown</t>
        </is>
      </c>
      <c r="AK372" t="inlineStr">
        <is>
          <t>unclassified</t>
        </is>
      </c>
      <c r="AL372" t="inlineStr">
        <is>
          <t>Pass 46 mechanism + evidence consolidation</t>
        </is>
      </c>
      <c r="AM372" t="n">
        <v>3</v>
      </c>
      <c r="AN372" t="inlineStr">
        <is>
          <t>D</t>
        </is>
      </c>
      <c r="AO372" t="inlineStr">
        <is>
          <t>Pass 47 compound scoring</t>
        </is>
      </c>
    </row>
    <row r="373">
      <c r="A373" t="inlineStr">
        <is>
          <t>lsd ergoline derivative</t>
        </is>
      </c>
      <c r="B373" t="inlineStr">
        <is>
          <t>lsd (ergoline derivative)</t>
        </is>
      </c>
      <c r="D373" t="inlineStr">
        <is>
          <t>other</t>
        </is>
      </c>
      <c r="E373" t="inlineStr">
        <is>
          <t>Potent 5-HT2A receptor agonist affecting serotonin and dopamine systems.</t>
        </is>
      </c>
      <c r="F373" t="inlineStr">
        <is>
          <t>unclassified</t>
        </is>
      </c>
      <c r="W373" t="n">
        <v>2</v>
      </c>
      <c r="X373" t="inlineStr">
        <is>
          <t>Low</t>
        </is>
      </c>
      <c r="Z373" t="inlineStr">
        <is>
          <t>lsd ergoline derivative</t>
        </is>
      </c>
      <c r="AF373" t="inlineStr">
        <is>
          <t>lsd ergoline derivative</t>
        </is>
      </c>
      <c r="AH373" t="inlineStr">
        <is>
          <t>Pass 45 duplicate consolidation</t>
        </is>
      </c>
      <c r="AI373" t="inlineStr">
        <is>
          <t>other</t>
        </is>
      </c>
      <c r="AJ373" t="inlineStr">
        <is>
          <t>Unknown</t>
        </is>
      </c>
      <c r="AK373" t="inlineStr">
        <is>
          <t>unclassified</t>
        </is>
      </c>
      <c r="AL373" t="inlineStr">
        <is>
          <t>Pass 46 mechanism + evidence consolidation</t>
        </is>
      </c>
      <c r="AM373" t="n">
        <v>3</v>
      </c>
      <c r="AN373" t="inlineStr">
        <is>
          <t>D</t>
        </is>
      </c>
      <c r="AO373" t="inlineStr">
        <is>
          <t>Pass 47 compound scoring</t>
        </is>
      </c>
    </row>
    <row r="374">
      <c r="A374" t="inlineStr">
        <is>
          <t>lupeol</t>
        </is>
      </c>
      <c r="B374" t="inlineStr">
        <is>
          <t>lupeol</t>
        </is>
      </c>
      <c r="D374" t="inlineStr">
        <is>
          <t>other</t>
        </is>
      </c>
      <c r="E374" t="inlineStr">
        <is>
          <t>insufficient evidence</t>
        </is>
      </c>
      <c r="F374" t="inlineStr">
        <is>
          <t>unclassified</t>
        </is>
      </c>
      <c r="W374" t="n">
        <v>2</v>
      </c>
      <c r="X374" t="inlineStr">
        <is>
          <t>Low</t>
        </is>
      </c>
      <c r="Z374" t="inlineStr">
        <is>
          <t>lupeol</t>
        </is>
      </c>
      <c r="AF374" t="inlineStr">
        <is>
          <t>lupeol</t>
        </is>
      </c>
      <c r="AH374" t="inlineStr">
        <is>
          <t>Pass 45 duplicate consolidation</t>
        </is>
      </c>
      <c r="AI374" t="inlineStr">
        <is>
          <t>other</t>
        </is>
      </c>
      <c r="AJ374" t="inlineStr">
        <is>
          <t>Unknown</t>
        </is>
      </c>
      <c r="AK374" t="inlineStr">
        <is>
          <t>unclassified</t>
        </is>
      </c>
      <c r="AL374" t="inlineStr">
        <is>
          <t>Pass 46 mechanism + evidence consolidation</t>
        </is>
      </c>
      <c r="AM374" t="n">
        <v>3</v>
      </c>
      <c r="AN374" t="inlineStr">
        <is>
          <t>D</t>
        </is>
      </c>
      <c r="AO374" t="inlineStr">
        <is>
          <t>Pass 47 compound scoring</t>
        </is>
      </c>
    </row>
    <row r="375">
      <c r="A375" t="inlineStr">
        <is>
          <t>lupulone</t>
        </is>
      </c>
      <c r="B375" t="inlineStr">
        <is>
          <t>lupulone</t>
        </is>
      </c>
      <c r="D375" t="inlineStr">
        <is>
          <t>other</t>
        </is>
      </c>
      <c r="E375" t="inlineStr">
        <is>
          <t>insufficient evidence</t>
        </is>
      </c>
      <c r="F375" t="inlineStr">
        <is>
          <t>unclassified</t>
        </is>
      </c>
      <c r="W375" t="n">
        <v>2</v>
      </c>
      <c r="X375" t="inlineStr">
        <is>
          <t>Low</t>
        </is>
      </c>
      <c r="Z375" t="inlineStr">
        <is>
          <t>lupulone</t>
        </is>
      </c>
      <c r="AF375" t="inlineStr">
        <is>
          <t>lupulone</t>
        </is>
      </c>
      <c r="AH375" t="inlineStr">
        <is>
          <t>Pass 45 duplicate consolidation</t>
        </is>
      </c>
      <c r="AI375" t="inlineStr">
        <is>
          <t>other</t>
        </is>
      </c>
      <c r="AJ375" t="inlineStr">
        <is>
          <t>Unknown</t>
        </is>
      </c>
      <c r="AK375" t="inlineStr">
        <is>
          <t>unclassified</t>
        </is>
      </c>
      <c r="AL375" t="inlineStr">
        <is>
          <t>Pass 46 mechanism + evidence consolidation</t>
        </is>
      </c>
      <c r="AM375" t="n">
        <v>3</v>
      </c>
      <c r="AN375" t="inlineStr">
        <is>
          <t>D</t>
        </is>
      </c>
      <c r="AO375" t="inlineStr">
        <is>
          <t>Pass 47 compound scoring</t>
        </is>
      </c>
    </row>
    <row r="376">
      <c r="A376" t="inlineStr">
        <is>
          <t>Luteolin</t>
        </is>
      </c>
      <c r="B376" t="inlineStr">
        <is>
          <t>Flavonoid</t>
        </is>
      </c>
      <c r="C376" t="inlineStr">
        <is>
          <t>Celery</t>
        </is>
      </c>
      <c r="D376" t="inlineStr">
        <is>
          <t>Anti-inflammatory</t>
        </is>
      </c>
      <c r="E376" t="inlineStr">
        <is>
          <t>Inhibits NF-kB and MAPK signaling</t>
        </is>
      </c>
      <c r="F376" t="inlineStr">
        <is>
          <t>unclassified</t>
        </is>
      </c>
      <c r="U376" t="inlineStr">
        <is>
          <t>Pass 45 merged 2 rows into canonical compound entry</t>
        </is>
      </c>
      <c r="W376" t="n">
        <v>2</v>
      </c>
      <c r="X376" t="inlineStr">
        <is>
          <t>Low</t>
        </is>
      </c>
      <c r="Z376" t="inlineStr">
        <is>
          <t>Luteolin</t>
        </is>
      </c>
      <c r="AF376" t="inlineStr">
        <is>
          <t>luteolin</t>
        </is>
      </c>
      <c r="AH376" t="inlineStr">
        <is>
          <t>Pass 45 duplicate consolidation</t>
        </is>
      </c>
      <c r="AI376" t="inlineStr">
        <is>
          <t>Anti-inflammatory</t>
        </is>
      </c>
      <c r="AJ376" t="inlineStr">
        <is>
          <t>Unknown</t>
        </is>
      </c>
      <c r="AK376" t="inlineStr">
        <is>
          <t>unclassified</t>
        </is>
      </c>
      <c r="AL376" t="inlineStr">
        <is>
          <t>Pass 46 mechanism + evidence consolidation</t>
        </is>
      </c>
      <c r="AM376" t="n">
        <v>3</v>
      </c>
      <c r="AN376" t="inlineStr">
        <is>
          <t>D</t>
        </is>
      </c>
      <c r="AO376" t="inlineStr">
        <is>
          <t>Pass 47 compound scoring</t>
        </is>
      </c>
    </row>
    <row r="377">
      <c r="A377" t="inlineStr">
        <is>
          <t>lycopene</t>
        </is>
      </c>
      <c r="B377" t="inlineStr">
        <is>
          <t>lycopene</t>
        </is>
      </c>
      <c r="D377" t="inlineStr">
        <is>
          <t>flavonoids; phenolic acids</t>
        </is>
      </c>
      <c r="E377" t="inlineStr">
        <is>
          <t>insufficient evidence</t>
        </is>
      </c>
      <c r="F377" t="inlineStr">
        <is>
          <t>unclassified</t>
        </is>
      </c>
      <c r="W377" t="n">
        <v>2</v>
      </c>
      <c r="X377" t="inlineStr">
        <is>
          <t>Low</t>
        </is>
      </c>
      <c r="Z377" t="inlineStr">
        <is>
          <t>lycopene</t>
        </is>
      </c>
      <c r="AF377" t="inlineStr">
        <is>
          <t>lycopene</t>
        </is>
      </c>
      <c r="AH377" t="inlineStr">
        <is>
          <t>Pass 45 duplicate consolidation</t>
        </is>
      </c>
      <c r="AI377" t="inlineStr">
        <is>
          <t>flavonoids; phenolic acids</t>
        </is>
      </c>
      <c r="AJ377" t="inlineStr">
        <is>
          <t>Unknown</t>
        </is>
      </c>
      <c r="AK377" t="inlineStr">
        <is>
          <t>unclassified</t>
        </is>
      </c>
      <c r="AL377" t="inlineStr">
        <is>
          <t>Pass 46 mechanism + evidence consolidation</t>
        </is>
      </c>
      <c r="AM377" t="n">
        <v>3</v>
      </c>
      <c r="AN377" t="inlineStr">
        <is>
          <t>D</t>
        </is>
      </c>
      <c r="AO377" t="inlineStr">
        <is>
          <t>Pass 47 compound scoring</t>
        </is>
      </c>
    </row>
    <row r="378">
      <c r="A378" t="inlineStr">
        <is>
          <t>lycopodine</t>
        </is>
      </c>
      <c r="B378" t="inlineStr">
        <is>
          <t>lycopodine</t>
        </is>
      </c>
      <c r="D378" t="inlineStr">
        <is>
          <t>lycodine alkaloids</t>
        </is>
      </c>
      <c r="E378" t="inlineStr">
        <is>
          <t>insufficient evidence</t>
        </is>
      </c>
      <c r="F378" t="inlineStr">
        <is>
          <t>unclassified</t>
        </is>
      </c>
      <c r="W378" t="n">
        <v>2</v>
      </c>
      <c r="X378" t="inlineStr">
        <is>
          <t>Low</t>
        </is>
      </c>
      <c r="Z378" t="inlineStr">
        <is>
          <t>lycopodine</t>
        </is>
      </c>
      <c r="AF378" t="inlineStr">
        <is>
          <t>lycopodine</t>
        </is>
      </c>
      <c r="AH378" t="inlineStr">
        <is>
          <t>Pass 45 duplicate consolidation</t>
        </is>
      </c>
      <c r="AI378" t="inlineStr">
        <is>
          <t>lycodine alkaloids</t>
        </is>
      </c>
      <c r="AJ378" t="inlineStr">
        <is>
          <t>Unknown</t>
        </is>
      </c>
      <c r="AK378" t="inlineStr">
        <is>
          <t>unclassified</t>
        </is>
      </c>
      <c r="AL378" t="inlineStr">
        <is>
          <t>Pass 46 mechanism + evidence consolidation</t>
        </is>
      </c>
      <c r="AM378" t="n">
        <v>3</v>
      </c>
      <c r="AN378" t="inlineStr">
        <is>
          <t>D</t>
        </is>
      </c>
      <c r="AO378" t="inlineStr">
        <is>
          <t>Pass 47 compound scoring</t>
        </is>
      </c>
    </row>
    <row r="379">
      <c r="A379" t="inlineStr">
        <is>
          <t>lycorine</t>
        </is>
      </c>
      <c r="B379" t="inlineStr">
        <is>
          <t>lycorine</t>
        </is>
      </c>
      <c r="D379" t="inlineStr">
        <is>
          <t>alkaloids</t>
        </is>
      </c>
      <c r="E379" t="inlineStr">
        <is>
          <t>insufficient evidence</t>
        </is>
      </c>
      <c r="F379" t="inlineStr">
        <is>
          <t>unclassified</t>
        </is>
      </c>
      <c r="W379" t="n">
        <v>2</v>
      </c>
      <c r="X379" t="inlineStr">
        <is>
          <t>Low</t>
        </is>
      </c>
      <c r="Z379" t="inlineStr">
        <is>
          <t>lycorine</t>
        </is>
      </c>
      <c r="AF379" t="inlineStr">
        <is>
          <t>lycorine</t>
        </is>
      </c>
      <c r="AH379" t="inlineStr">
        <is>
          <t>Pass 45 duplicate consolidation</t>
        </is>
      </c>
      <c r="AI379" t="inlineStr">
        <is>
          <t>alkaloids</t>
        </is>
      </c>
      <c r="AJ379" t="inlineStr">
        <is>
          <t>Unknown</t>
        </is>
      </c>
      <c r="AK379" t="inlineStr">
        <is>
          <t>unclassified</t>
        </is>
      </c>
      <c r="AL379" t="inlineStr">
        <is>
          <t>Pass 46 mechanism + evidence consolidation</t>
        </is>
      </c>
      <c r="AM379" t="n">
        <v>3</v>
      </c>
      <c r="AN379" t="inlineStr">
        <is>
          <t>D</t>
        </is>
      </c>
      <c r="AO379" t="inlineStr">
        <is>
          <t>Pass 47 compound scoring</t>
        </is>
      </c>
    </row>
    <row r="380">
      <c r="A380" t="inlineStr">
        <is>
          <t>lythrine</t>
        </is>
      </c>
      <c r="B380" t="inlineStr">
        <is>
          <t>lythrine</t>
        </is>
      </c>
      <c r="D380" t="inlineStr">
        <is>
          <t>other</t>
        </is>
      </c>
      <c r="E380" t="inlineStr">
        <is>
          <t>Primary alkaloid cryogenine (vertine) has CNS activity; precise receptor targets are not well-characterized in humans. Marked as mechanism not fully established.</t>
        </is>
      </c>
      <c r="F380" t="inlineStr">
        <is>
          <t>unclassified</t>
        </is>
      </c>
      <c r="W380" t="n">
        <v>2</v>
      </c>
      <c r="X380" t="inlineStr">
        <is>
          <t>Low</t>
        </is>
      </c>
      <c r="Z380" t="inlineStr">
        <is>
          <t>lythrine</t>
        </is>
      </c>
      <c r="AF380" t="inlineStr">
        <is>
          <t>lythrine</t>
        </is>
      </c>
      <c r="AH380" t="inlineStr">
        <is>
          <t>Pass 45 duplicate consolidation</t>
        </is>
      </c>
      <c r="AI380" t="inlineStr">
        <is>
          <t>other</t>
        </is>
      </c>
      <c r="AJ380" t="inlineStr">
        <is>
          <t>Human</t>
        </is>
      </c>
      <c r="AK380" t="inlineStr">
        <is>
          <t>unclassified</t>
        </is>
      </c>
      <c r="AL380" t="inlineStr">
        <is>
          <t>Pass 46 mechanism + evidence consolidation</t>
        </is>
      </c>
      <c r="AM380" t="n">
        <v>7</v>
      </c>
      <c r="AN380" t="inlineStr">
        <is>
          <t>B</t>
        </is>
      </c>
      <c r="AO380" t="inlineStr">
        <is>
          <t>Pass 47 compound scoring</t>
        </is>
      </c>
    </row>
    <row r="381">
      <c r="A381" t="inlineStr">
        <is>
          <t>macaenes</t>
        </is>
      </c>
      <c r="B381" t="inlineStr">
        <is>
          <t>macaenes</t>
        </is>
      </c>
      <c r="D381" t="inlineStr">
        <is>
          <t>fatty acid derivatives</t>
        </is>
      </c>
      <c r="E381" t="inlineStr">
        <is>
          <t>Marker lipids from Maca retained for compound-density coverage.</t>
        </is>
      </c>
      <c r="F381" t="inlineStr">
        <is>
          <t>unclassified</t>
        </is>
      </c>
      <c r="W381" t="n">
        <v>2</v>
      </c>
      <c r="X381" t="inlineStr">
        <is>
          <t>Low</t>
        </is>
      </c>
      <c r="Z381" t="inlineStr">
        <is>
          <t>macaenes</t>
        </is>
      </c>
      <c r="AF381" t="inlineStr">
        <is>
          <t>macaenes</t>
        </is>
      </c>
      <c r="AH381" t="inlineStr">
        <is>
          <t>Pass 45 duplicate consolidation</t>
        </is>
      </c>
      <c r="AI381" t="inlineStr">
        <is>
          <t>fatty acid derivatives</t>
        </is>
      </c>
      <c r="AJ381" t="inlineStr">
        <is>
          <t>Unknown</t>
        </is>
      </c>
      <c r="AK381" t="inlineStr">
        <is>
          <t>unclassified</t>
        </is>
      </c>
      <c r="AL381" t="inlineStr">
        <is>
          <t>Pass 46 mechanism + evidence consolidation</t>
        </is>
      </c>
      <c r="AM381" t="n">
        <v>3</v>
      </c>
      <c r="AN381" t="inlineStr">
        <is>
          <t>D</t>
        </is>
      </c>
      <c r="AO381" t="inlineStr">
        <is>
          <t>Pass 47 compound scoring</t>
        </is>
      </c>
    </row>
    <row r="382">
      <c r="A382" t="inlineStr">
        <is>
          <t>macamides</t>
        </is>
      </c>
      <c r="B382" t="inlineStr">
        <is>
          <t>macamides</t>
        </is>
      </c>
      <c r="D382" t="inlineStr">
        <is>
          <t>fatty acid amides</t>
        </is>
      </c>
      <c r="E382" t="inlineStr">
        <is>
          <t>Marker amides from Maca associated with endocannabinoid-adjacent and energizing hypotheses in preclinical work.</t>
        </is>
      </c>
      <c r="F382" t="inlineStr">
        <is>
          <t>unclassified</t>
        </is>
      </c>
      <c r="W382" t="n">
        <v>2</v>
      </c>
      <c r="X382" t="inlineStr">
        <is>
          <t>Low</t>
        </is>
      </c>
      <c r="Z382" t="inlineStr">
        <is>
          <t>macamides</t>
        </is>
      </c>
      <c r="AF382" t="inlineStr">
        <is>
          <t>macamides</t>
        </is>
      </c>
      <c r="AH382" t="inlineStr">
        <is>
          <t>Pass 45 duplicate consolidation</t>
        </is>
      </c>
      <c r="AI382" t="inlineStr">
        <is>
          <t>fatty acid amides</t>
        </is>
      </c>
      <c r="AJ382" t="inlineStr">
        <is>
          <t>Clinical</t>
        </is>
      </c>
      <c r="AK382" t="inlineStr">
        <is>
          <t>unclassified</t>
        </is>
      </c>
      <c r="AL382" t="inlineStr">
        <is>
          <t>Pass 46 mechanism + evidence consolidation</t>
        </is>
      </c>
      <c r="AM382" t="n">
        <v>6</v>
      </c>
      <c r="AN382" t="inlineStr">
        <is>
          <t>C</t>
        </is>
      </c>
      <c r="AO382" t="inlineStr">
        <is>
          <t>Pass 47 compound scoring</t>
        </is>
      </c>
    </row>
    <row r="383">
      <c r="A383" t="inlineStr">
        <is>
          <t>madecassic acid</t>
        </is>
      </c>
      <c r="B383" t="inlineStr">
        <is>
          <t>madecassic acid</t>
        </is>
      </c>
      <c r="D383" t="inlineStr">
        <is>
          <t>organic acid</t>
        </is>
      </c>
      <c r="E383" t="inlineStr">
        <is>
          <t>insufficient evidence</t>
        </is>
      </c>
      <c r="F383" t="inlineStr">
        <is>
          <t>unclassified</t>
        </is>
      </c>
      <c r="W383" t="n">
        <v>2</v>
      </c>
      <c r="X383" t="inlineStr">
        <is>
          <t>Low</t>
        </is>
      </c>
      <c r="Z383" t="inlineStr">
        <is>
          <t>madecassic acid</t>
        </is>
      </c>
      <c r="AF383" t="inlineStr">
        <is>
          <t>madecassic acid</t>
        </is>
      </c>
      <c r="AH383" t="inlineStr">
        <is>
          <t>Pass 45 duplicate consolidation</t>
        </is>
      </c>
      <c r="AI383" t="inlineStr">
        <is>
          <t>organic acid</t>
        </is>
      </c>
      <c r="AJ383" t="inlineStr">
        <is>
          <t>Unknown</t>
        </is>
      </c>
      <c r="AK383" t="inlineStr">
        <is>
          <t>unclassified</t>
        </is>
      </c>
      <c r="AL383" t="inlineStr">
        <is>
          <t>Pass 46 mechanism + evidence consolidation</t>
        </is>
      </c>
      <c r="AM383" t="n">
        <v>3</v>
      </c>
      <c r="AN383" t="inlineStr">
        <is>
          <t>D</t>
        </is>
      </c>
      <c r="AO383" t="inlineStr">
        <is>
          <t>Pass 47 compound scoring</t>
        </is>
      </c>
    </row>
    <row r="384">
      <c r="A384" t="inlineStr">
        <is>
          <t>madecassoside</t>
        </is>
      </c>
      <c r="B384" t="inlineStr">
        <is>
          <t>madecassoside</t>
        </is>
      </c>
      <c r="D384" t="inlineStr">
        <is>
          <t>other</t>
        </is>
      </c>
      <c r="E384" t="inlineStr">
        <is>
          <t>insufficient evidence</t>
        </is>
      </c>
      <c r="F384" t="inlineStr">
        <is>
          <t>unclassified</t>
        </is>
      </c>
      <c r="W384" t="n">
        <v>2</v>
      </c>
      <c r="X384" t="inlineStr">
        <is>
          <t>Low</t>
        </is>
      </c>
      <c r="Z384" t="inlineStr">
        <is>
          <t>madecassoside</t>
        </is>
      </c>
      <c r="AF384" t="inlineStr">
        <is>
          <t>madecassoside</t>
        </is>
      </c>
      <c r="AH384" t="inlineStr">
        <is>
          <t>Pass 45 duplicate consolidation</t>
        </is>
      </c>
      <c r="AI384" t="inlineStr">
        <is>
          <t>other</t>
        </is>
      </c>
      <c r="AJ384" t="inlineStr">
        <is>
          <t>Unknown</t>
        </is>
      </c>
      <c r="AK384" t="inlineStr">
        <is>
          <t>unclassified</t>
        </is>
      </c>
      <c r="AL384" t="inlineStr">
        <is>
          <t>Pass 46 mechanism + evidence consolidation</t>
        </is>
      </c>
      <c r="AM384" t="n">
        <v>3</v>
      </c>
      <c r="AN384" t="inlineStr">
        <is>
          <t>D</t>
        </is>
      </c>
      <c r="AO384" t="inlineStr">
        <is>
          <t>Pass 47 compound scoring</t>
        </is>
      </c>
    </row>
    <row r="385">
      <c r="A385" t="inlineStr">
        <is>
          <t>magnesium</t>
        </is>
      </c>
      <c r="B385" t="inlineStr">
        <is>
          <t>magnesium</t>
        </is>
      </c>
      <c r="D385" t="inlineStr">
        <is>
          <t>essential mineral</t>
        </is>
      </c>
      <c r="E385" t="inlineStr">
        <is>
          <t>Cofactor in more than 300 enzyme systems regulating protein synthesis, muscle and nerve function, blood glucose control, and blood pressure; required for energy production, oxidative phosphorylation, and glycolysis.</t>
        </is>
      </c>
      <c r="F385" t="inlineStr">
        <is>
          <t>unclassified</t>
        </is>
      </c>
      <c r="W385" t="n">
        <v>2</v>
      </c>
      <c r="X385" t="inlineStr">
        <is>
          <t>Low</t>
        </is>
      </c>
      <c r="Z385" t="inlineStr">
        <is>
          <t>magnesium</t>
        </is>
      </c>
      <c r="AF385" t="inlineStr">
        <is>
          <t>magnesium</t>
        </is>
      </c>
      <c r="AH385" t="inlineStr">
        <is>
          <t>Pass 45 duplicate consolidation</t>
        </is>
      </c>
      <c r="AI385" t="inlineStr">
        <is>
          <t>essential mineral</t>
        </is>
      </c>
      <c r="AJ385" t="inlineStr">
        <is>
          <t>Unknown</t>
        </is>
      </c>
      <c r="AK385" t="inlineStr">
        <is>
          <t>unclassified</t>
        </is>
      </c>
      <c r="AL385" t="inlineStr">
        <is>
          <t>Pass 46 mechanism + evidence consolidation</t>
        </is>
      </c>
      <c r="AM385" t="n">
        <v>3</v>
      </c>
      <c r="AN385" t="inlineStr">
        <is>
          <t>D</t>
        </is>
      </c>
      <c r="AO385" t="inlineStr">
        <is>
          <t>Pass 47 compound scoring</t>
        </is>
      </c>
    </row>
    <row r="386">
      <c r="A386" t="inlineStr">
        <is>
          <t>mahanimbine</t>
        </is>
      </c>
      <c r="B386" t="inlineStr">
        <is>
          <t>mahanimbine</t>
        </is>
      </c>
      <c r="D386" t="inlineStr">
        <is>
          <t>carbazole alkaloid</t>
        </is>
      </c>
      <c r="E386" t="inlineStr">
        <is>
          <t>Curry-leaf constituent associated with antioxidant and metabolic positioning.</t>
        </is>
      </c>
      <c r="F386" t="inlineStr">
        <is>
          <t>unclassified</t>
        </is>
      </c>
      <c r="W386" t="n">
        <v>2</v>
      </c>
      <c r="X386" t="inlineStr">
        <is>
          <t>Low</t>
        </is>
      </c>
      <c r="Z386" t="inlineStr">
        <is>
          <t>mahanimbine</t>
        </is>
      </c>
      <c r="AF386" t="inlineStr">
        <is>
          <t>mahanimbine</t>
        </is>
      </c>
      <c r="AH386" t="inlineStr">
        <is>
          <t>Pass 45 duplicate consolidation</t>
        </is>
      </c>
      <c r="AI386" t="inlineStr">
        <is>
          <t>carbazole alkaloid</t>
        </is>
      </c>
      <c r="AJ386" t="inlineStr">
        <is>
          <t>Unknown</t>
        </is>
      </c>
      <c r="AK386" t="inlineStr">
        <is>
          <t>unclassified</t>
        </is>
      </c>
      <c r="AL386" t="inlineStr">
        <is>
          <t>Pass 46 mechanism + evidence consolidation</t>
        </is>
      </c>
      <c r="AM386" t="n">
        <v>3</v>
      </c>
      <c r="AN386" t="inlineStr">
        <is>
          <t>D</t>
        </is>
      </c>
      <c r="AO386" t="inlineStr">
        <is>
          <t>Pass 47 compound scoring</t>
        </is>
      </c>
    </row>
    <row r="387">
      <c r="A387" t="inlineStr">
        <is>
          <t>maltol</t>
        </is>
      </c>
      <c r="B387" t="inlineStr">
        <is>
          <t>maltol</t>
        </is>
      </c>
      <c r="D387" t="inlineStr">
        <is>
          <t>Flavonoids, harman alkaloids, maltol</t>
        </is>
      </c>
      <c r="E387" t="inlineStr">
        <is>
          <t>insufficient evidence</t>
        </is>
      </c>
      <c r="F387" t="inlineStr">
        <is>
          <t>unclassified</t>
        </is>
      </c>
      <c r="W387" t="n">
        <v>2</v>
      </c>
      <c r="X387" t="inlineStr">
        <is>
          <t>Low</t>
        </is>
      </c>
      <c r="Z387" t="inlineStr">
        <is>
          <t>maltol</t>
        </is>
      </c>
      <c r="AF387" t="inlineStr">
        <is>
          <t>maltol</t>
        </is>
      </c>
      <c r="AH387" t="inlineStr">
        <is>
          <t>Pass 45 duplicate consolidation</t>
        </is>
      </c>
      <c r="AI387" t="inlineStr">
        <is>
          <t>Flavonoids, harman alkaloids, maltol</t>
        </is>
      </c>
      <c r="AJ387" t="inlineStr">
        <is>
          <t>Unknown</t>
        </is>
      </c>
      <c r="AK387" t="inlineStr">
        <is>
          <t>unclassified</t>
        </is>
      </c>
      <c r="AL387" t="inlineStr">
        <is>
          <t>Pass 46 mechanism + evidence consolidation</t>
        </is>
      </c>
      <c r="AM387" t="n">
        <v>3</v>
      </c>
      <c r="AN387" t="inlineStr">
        <is>
          <t>D</t>
        </is>
      </c>
      <c r="AO387" t="inlineStr">
        <is>
          <t>Pass 47 compound scoring</t>
        </is>
      </c>
    </row>
    <row r="388">
      <c r="A388" t="inlineStr">
        <is>
          <t>mangiferin</t>
        </is>
      </c>
      <c r="B388" t="inlineStr">
        <is>
          <t>mangiferin</t>
        </is>
      </c>
      <c r="D388" t="inlineStr">
        <is>
          <t>timosaponin AIII; saponins</t>
        </is>
      </c>
      <c r="E388" t="inlineStr">
        <is>
          <t>insufficient evidence</t>
        </is>
      </c>
      <c r="F388" t="inlineStr">
        <is>
          <t>unclassified</t>
        </is>
      </c>
      <c r="W388" t="n">
        <v>2</v>
      </c>
      <c r="X388" t="inlineStr">
        <is>
          <t>Low</t>
        </is>
      </c>
      <c r="Z388" t="inlineStr">
        <is>
          <t>mangiferin</t>
        </is>
      </c>
      <c r="AF388" t="inlineStr">
        <is>
          <t>mangiferin</t>
        </is>
      </c>
      <c r="AH388" t="inlineStr">
        <is>
          <t>Pass 45 duplicate consolidation</t>
        </is>
      </c>
      <c r="AI388" t="inlineStr">
        <is>
          <t>timosaponin AIII; saponins</t>
        </is>
      </c>
      <c r="AJ388" t="inlineStr">
        <is>
          <t>Unknown</t>
        </is>
      </c>
      <c r="AK388" t="inlineStr">
        <is>
          <t>unclassified</t>
        </is>
      </c>
      <c r="AL388" t="inlineStr">
        <is>
          <t>Pass 46 mechanism + evidence consolidation</t>
        </is>
      </c>
      <c r="AM388" t="n">
        <v>3</v>
      </c>
      <c r="AN388" t="inlineStr">
        <is>
          <t>D</t>
        </is>
      </c>
      <c r="AO388" t="inlineStr">
        <is>
          <t>Pass 47 compound scoring</t>
        </is>
      </c>
    </row>
    <row r="389">
      <c r="A389" t="inlineStr">
        <is>
          <t>marmelosin</t>
        </is>
      </c>
      <c r="B389" t="inlineStr">
        <is>
          <t>marmelosin</t>
        </is>
      </c>
      <c r="D389" t="inlineStr">
        <is>
          <t>coumarins</t>
        </is>
      </c>
      <c r="E389" t="inlineStr">
        <is>
          <t>insufficient evidence</t>
        </is>
      </c>
      <c r="F389" t="inlineStr">
        <is>
          <t>unclassified</t>
        </is>
      </c>
      <c r="W389" t="n">
        <v>2</v>
      </c>
      <c r="X389" t="inlineStr">
        <is>
          <t>Low</t>
        </is>
      </c>
      <c r="Z389" t="inlineStr">
        <is>
          <t>marmelosin</t>
        </is>
      </c>
      <c r="AF389" t="inlineStr">
        <is>
          <t>marmelosin</t>
        </is>
      </c>
      <c r="AH389" t="inlineStr">
        <is>
          <t>Pass 45 duplicate consolidation</t>
        </is>
      </c>
      <c r="AI389" t="inlineStr">
        <is>
          <t>coumarins</t>
        </is>
      </c>
      <c r="AJ389" t="inlineStr">
        <is>
          <t>Unknown</t>
        </is>
      </c>
      <c r="AK389" t="inlineStr">
        <is>
          <t>unclassified</t>
        </is>
      </c>
      <c r="AL389" t="inlineStr">
        <is>
          <t>Pass 46 mechanism + evidence consolidation</t>
        </is>
      </c>
      <c r="AM389" t="n">
        <v>3</v>
      </c>
      <c r="AN389" t="inlineStr">
        <is>
          <t>D</t>
        </is>
      </c>
      <c r="AO389" t="inlineStr">
        <is>
          <t>Pass 47 compound scoring</t>
        </is>
      </c>
    </row>
    <row r="390">
      <c r="A390" t="inlineStr">
        <is>
          <t>matrine</t>
        </is>
      </c>
      <c r="B390" t="inlineStr">
        <is>
          <t>matrine</t>
        </is>
      </c>
      <c r="D390" t="inlineStr">
        <is>
          <t>other</t>
        </is>
      </c>
      <c r="E390" t="inlineStr">
        <is>
          <t>insufficient evidence</t>
        </is>
      </c>
      <c r="F390" t="inlineStr">
        <is>
          <t>unclassified</t>
        </is>
      </c>
      <c r="W390" t="n">
        <v>2</v>
      </c>
      <c r="X390" t="inlineStr">
        <is>
          <t>Low</t>
        </is>
      </c>
      <c r="Z390" t="inlineStr">
        <is>
          <t>matrine</t>
        </is>
      </c>
      <c r="AF390" t="inlineStr">
        <is>
          <t>matrine</t>
        </is>
      </c>
      <c r="AH390" t="inlineStr">
        <is>
          <t>Pass 45 duplicate consolidation</t>
        </is>
      </c>
      <c r="AI390" t="inlineStr">
        <is>
          <t>other</t>
        </is>
      </c>
      <c r="AJ390" t="inlineStr">
        <is>
          <t>Unknown</t>
        </is>
      </c>
      <c r="AK390" t="inlineStr">
        <is>
          <t>unclassified</t>
        </is>
      </c>
      <c r="AL390" t="inlineStr">
        <is>
          <t>Pass 46 mechanism + evidence consolidation</t>
        </is>
      </c>
      <c r="AM390" t="n">
        <v>3</v>
      </c>
      <c r="AN390" t="inlineStr">
        <is>
          <t>D</t>
        </is>
      </c>
      <c r="AO390" t="inlineStr">
        <is>
          <t>Pass 47 compound scoring</t>
        </is>
      </c>
    </row>
    <row r="391">
      <c r="A391" t="inlineStr">
        <is>
          <t>melatonin</t>
        </is>
      </c>
      <c r="B391" t="inlineStr">
        <is>
          <t>melatonin</t>
        </is>
      </c>
      <c r="D391" t="inlineStr">
        <is>
          <t>indoleamine</t>
        </is>
      </c>
      <c r="E391" t="inlineStr">
        <is>
          <t>Agonist at MT1 and MT2 melatonin receptors, supporting circadian phase and sleep-related signaling.</t>
        </is>
      </c>
      <c r="F391" t="inlineStr">
        <is>
          <t>unclassified</t>
        </is>
      </c>
      <c r="W391" t="n">
        <v>2</v>
      </c>
      <c r="X391" t="inlineStr">
        <is>
          <t>Low</t>
        </is>
      </c>
      <c r="Z391" t="inlineStr">
        <is>
          <t>melatonin</t>
        </is>
      </c>
      <c r="AF391" t="inlineStr">
        <is>
          <t>melatonin</t>
        </is>
      </c>
      <c r="AH391" t="inlineStr">
        <is>
          <t>Pass 45 duplicate consolidation</t>
        </is>
      </c>
      <c r="AI391" t="inlineStr">
        <is>
          <t>indoleamine</t>
        </is>
      </c>
      <c r="AJ391" t="inlineStr">
        <is>
          <t>Unknown</t>
        </is>
      </c>
      <c r="AK391" t="inlineStr">
        <is>
          <t>unclassified</t>
        </is>
      </c>
      <c r="AL391" t="inlineStr">
        <is>
          <t>Pass 46 mechanism + evidence consolidation</t>
        </is>
      </c>
      <c r="AM391" t="n">
        <v>3</v>
      </c>
      <c r="AN391" t="inlineStr">
        <is>
          <t>D</t>
        </is>
      </c>
      <c r="AO391" t="inlineStr">
        <is>
          <t>Pass 47 compound scoring</t>
        </is>
      </c>
    </row>
    <row r="392">
      <c r="A392" t="inlineStr">
        <is>
          <t>menthofuran</t>
        </is>
      </c>
      <c r="B392" t="inlineStr">
        <is>
          <t>menthofuran</t>
        </is>
      </c>
      <c r="D392" t="inlineStr">
        <is>
          <t>monoterpene furan</t>
        </is>
      </c>
      <c r="E392" t="inlineStr">
        <is>
          <t>proposed mechanism based on preclinical data: metabolic activation to reactive intermediates associated with hepatotoxicity risk at high exposure; no established human therapeutic mechanism.</t>
        </is>
      </c>
      <c r="F392" t="inlineStr">
        <is>
          <t>unclassified</t>
        </is>
      </c>
      <c r="W392" t="n">
        <v>2</v>
      </c>
      <c r="X392" t="inlineStr">
        <is>
          <t>Low</t>
        </is>
      </c>
      <c r="Z392" t="inlineStr">
        <is>
          <t>menthofuran</t>
        </is>
      </c>
      <c r="AF392" t="inlineStr">
        <is>
          <t>menthofuran</t>
        </is>
      </c>
      <c r="AH392" t="inlineStr">
        <is>
          <t>Pass 45 duplicate consolidation</t>
        </is>
      </c>
      <c r="AI392" t="inlineStr">
        <is>
          <t>monoterpene furan</t>
        </is>
      </c>
      <c r="AJ392" t="inlineStr">
        <is>
          <t>Human</t>
        </is>
      </c>
      <c r="AK392" t="inlineStr">
        <is>
          <t>unclassified</t>
        </is>
      </c>
      <c r="AL392" t="inlineStr">
        <is>
          <t>Pass 46 mechanism + evidence consolidation</t>
        </is>
      </c>
      <c r="AM392" t="n">
        <v>7</v>
      </c>
      <c r="AN392" t="inlineStr">
        <is>
          <t>B</t>
        </is>
      </c>
      <c r="AO392" t="inlineStr">
        <is>
          <t>Pass 47 compound scoring</t>
        </is>
      </c>
    </row>
    <row r="393">
      <c r="A393" t="inlineStr">
        <is>
          <t>menthol</t>
        </is>
      </c>
      <c r="B393" t="inlineStr">
        <is>
          <t>menthol</t>
        </is>
      </c>
      <c r="D393" t="inlineStr">
        <is>
          <t>monoterpenoid alcohol</t>
        </is>
      </c>
      <c r="E393" t="inlineStr">
        <is>
          <t>Agonist of TRPM8, driving cooling sensation and core sensory pharmacology.</t>
        </is>
      </c>
      <c r="F393" t="inlineStr">
        <is>
          <t>unclassified</t>
        </is>
      </c>
      <c r="W393" t="n">
        <v>2</v>
      </c>
      <c r="X393" t="inlineStr">
        <is>
          <t>Low</t>
        </is>
      </c>
      <c r="Z393" t="inlineStr">
        <is>
          <t>menthol</t>
        </is>
      </c>
      <c r="AF393" t="inlineStr">
        <is>
          <t>menthol</t>
        </is>
      </c>
      <c r="AH393" t="inlineStr">
        <is>
          <t>Pass 45 duplicate consolidation</t>
        </is>
      </c>
      <c r="AI393" t="inlineStr">
        <is>
          <t>monoterpenoid alcohol</t>
        </is>
      </c>
      <c r="AJ393" t="inlineStr">
        <is>
          <t>Unknown</t>
        </is>
      </c>
      <c r="AK393" t="inlineStr">
        <is>
          <t>unclassified</t>
        </is>
      </c>
      <c r="AL393" t="inlineStr">
        <is>
          <t>Pass 46 mechanism + evidence consolidation</t>
        </is>
      </c>
      <c r="AM393" t="n">
        <v>3</v>
      </c>
      <c r="AN393" t="inlineStr">
        <is>
          <t>D</t>
        </is>
      </c>
      <c r="AO393" t="inlineStr">
        <is>
          <t>Pass 47 compound scoring</t>
        </is>
      </c>
    </row>
    <row r="394">
      <c r="A394" t="inlineStr">
        <is>
          <t>menthone</t>
        </is>
      </c>
      <c r="B394" t="inlineStr">
        <is>
          <t>menthone</t>
        </is>
      </c>
      <c r="D394" t="inlineStr">
        <is>
          <t>Menthol, menthone, flavonoids</t>
        </is>
      </c>
      <c r="E394" t="inlineStr">
        <is>
          <t>insufficient evidence</t>
        </is>
      </c>
      <c r="F394" t="inlineStr">
        <is>
          <t>unclassified</t>
        </is>
      </c>
      <c r="W394" t="n">
        <v>2</v>
      </c>
      <c r="X394" t="inlineStr">
        <is>
          <t>Low</t>
        </is>
      </c>
      <c r="Z394" t="inlineStr">
        <is>
          <t>menthone</t>
        </is>
      </c>
      <c r="AF394" t="inlineStr">
        <is>
          <t>menthone</t>
        </is>
      </c>
      <c r="AH394" t="inlineStr">
        <is>
          <t>Pass 45 duplicate consolidation</t>
        </is>
      </c>
      <c r="AI394" t="inlineStr">
        <is>
          <t>Menthol, menthone, flavonoids</t>
        </is>
      </c>
      <c r="AJ394" t="inlineStr">
        <is>
          <t>Unknown</t>
        </is>
      </c>
      <c r="AK394" t="inlineStr">
        <is>
          <t>unclassified</t>
        </is>
      </c>
      <c r="AL394" t="inlineStr">
        <is>
          <t>Pass 46 mechanism + evidence consolidation</t>
        </is>
      </c>
      <c r="AM394" t="n">
        <v>3</v>
      </c>
      <c r="AN394" t="inlineStr">
        <is>
          <t>D</t>
        </is>
      </c>
      <c r="AO394" t="inlineStr">
        <is>
          <t>Pass 47 compound scoring</t>
        </is>
      </c>
    </row>
    <row r="395">
      <c r="A395" t="inlineStr">
        <is>
          <t>menthyl acetate</t>
        </is>
      </c>
      <c r="B395" t="inlineStr">
        <is>
          <t>menthyl acetate</t>
        </is>
      </c>
      <c r="D395" t="inlineStr">
        <is>
          <t>provisional_from_herb_monograph</t>
        </is>
      </c>
      <c r="F395" t="inlineStr">
        <is>
          <t>unclassified</t>
        </is>
      </c>
      <c r="W395" t="n">
        <v>2</v>
      </c>
      <c r="X395" t="inlineStr">
        <is>
          <t>Low</t>
        </is>
      </c>
      <c r="Z395" t="inlineStr">
        <is>
          <t>menthyl acetate</t>
        </is>
      </c>
      <c r="AF395" t="inlineStr">
        <is>
          <t>menthyl acetate</t>
        </is>
      </c>
      <c r="AH395" t="inlineStr">
        <is>
          <t>Pass 45 duplicate consolidation</t>
        </is>
      </c>
      <c r="AI395" t="inlineStr">
        <is>
          <t>provisional_from_herb_monograph</t>
        </is>
      </c>
      <c r="AJ395" t="inlineStr">
        <is>
          <t>Unknown</t>
        </is>
      </c>
      <c r="AK395" t="inlineStr">
        <is>
          <t>unclassified</t>
        </is>
      </c>
      <c r="AL395" t="inlineStr">
        <is>
          <t>Pass 46 mechanism + evidence consolidation</t>
        </is>
      </c>
      <c r="AM395" t="n">
        <v>3</v>
      </c>
      <c r="AN395" t="inlineStr">
        <is>
          <t>D</t>
        </is>
      </c>
      <c r="AO395" t="inlineStr">
        <is>
          <t>Pass 47 compound scoring</t>
        </is>
      </c>
    </row>
    <row r="396">
      <c r="A396" t="inlineStr">
        <is>
          <t>mesaconitine</t>
        </is>
      </c>
      <c r="B396" t="inlineStr">
        <is>
          <t>mesaconitine</t>
        </is>
      </c>
      <c r="D396" t="inlineStr">
        <is>
          <t>other</t>
        </is>
      </c>
      <c r="E396" t="inlineStr">
        <is>
          <t>insufficient evidence</t>
        </is>
      </c>
      <c r="F396" t="inlineStr">
        <is>
          <t>unclassified</t>
        </is>
      </c>
      <c r="W396" t="n">
        <v>2</v>
      </c>
      <c r="X396" t="inlineStr">
        <is>
          <t>Low</t>
        </is>
      </c>
      <c r="Z396" t="inlineStr">
        <is>
          <t>mesaconitine</t>
        </is>
      </c>
      <c r="AF396" t="inlineStr">
        <is>
          <t>mesaconitine</t>
        </is>
      </c>
      <c r="AH396" t="inlineStr">
        <is>
          <t>Pass 45 duplicate consolidation</t>
        </is>
      </c>
      <c r="AI396" t="inlineStr">
        <is>
          <t>other</t>
        </is>
      </c>
      <c r="AJ396" t="inlineStr">
        <is>
          <t>Unknown</t>
        </is>
      </c>
      <c r="AK396" t="inlineStr">
        <is>
          <t>unclassified</t>
        </is>
      </c>
      <c r="AL396" t="inlineStr">
        <is>
          <t>Pass 46 mechanism + evidence consolidation</t>
        </is>
      </c>
      <c r="AM396" t="n">
        <v>3</v>
      </c>
      <c r="AN396" t="inlineStr">
        <is>
          <t>D</t>
        </is>
      </c>
      <c r="AO396" t="inlineStr">
        <is>
          <t>Pass 47 compound scoring</t>
        </is>
      </c>
    </row>
    <row r="397">
      <c r="A397" t="inlineStr">
        <is>
          <t>mescaline</t>
        </is>
      </c>
      <c r="B397" t="inlineStr">
        <is>
          <t>mescaline</t>
        </is>
      </c>
      <c r="D397" t="inlineStr">
        <is>
          <t>other</t>
        </is>
      </c>
      <c r="E397" t="inlineStr">
        <is>
          <t>Mescaline acts as a 5-HT2A receptor agonist producing psychedelic effects.</t>
        </is>
      </c>
      <c r="F397" t="inlineStr">
        <is>
          <t>unclassified</t>
        </is>
      </c>
      <c r="W397" t="n">
        <v>2</v>
      </c>
      <c r="X397" t="inlineStr">
        <is>
          <t>Low</t>
        </is>
      </c>
      <c r="Z397" t="inlineStr">
        <is>
          <t>mescaline</t>
        </is>
      </c>
      <c r="AF397" t="inlineStr">
        <is>
          <t>mescaline</t>
        </is>
      </c>
      <c r="AH397" t="inlineStr">
        <is>
          <t>Pass 45 duplicate consolidation</t>
        </is>
      </c>
      <c r="AI397" t="inlineStr">
        <is>
          <t>other</t>
        </is>
      </c>
      <c r="AJ397" t="inlineStr">
        <is>
          <t>Unknown</t>
        </is>
      </c>
      <c r="AK397" t="inlineStr">
        <is>
          <t>unclassified</t>
        </is>
      </c>
      <c r="AL397" t="inlineStr">
        <is>
          <t>Pass 46 mechanism + evidence consolidation</t>
        </is>
      </c>
      <c r="AM397" t="n">
        <v>3</v>
      </c>
      <c r="AN397" t="inlineStr">
        <is>
          <t>D</t>
        </is>
      </c>
      <c r="AO397" t="inlineStr">
        <is>
          <t>Pass 47 compound scoring</t>
        </is>
      </c>
    </row>
    <row r="398">
      <c r="A398" t="inlineStr">
        <is>
          <t>mescaline derivative</t>
        </is>
      </c>
      <c r="B398" t="inlineStr">
        <is>
          <t>mescaline derivative</t>
        </is>
      </c>
      <c r="D398" t="inlineStr">
        <is>
          <t>other</t>
        </is>
      </c>
      <c r="E398" t="inlineStr">
        <is>
          <t>Phenethylamine psychedelic acting on 5-HT2A and dopamine receptors.</t>
        </is>
      </c>
      <c r="F398" t="inlineStr">
        <is>
          <t>unclassified</t>
        </is>
      </c>
      <c r="W398" t="n">
        <v>2</v>
      </c>
      <c r="X398" t="inlineStr">
        <is>
          <t>Low</t>
        </is>
      </c>
      <c r="Z398" t="inlineStr">
        <is>
          <t>mescaline derivative</t>
        </is>
      </c>
      <c r="AF398" t="inlineStr">
        <is>
          <t>mescaline derivative</t>
        </is>
      </c>
      <c r="AH398" t="inlineStr">
        <is>
          <t>Pass 45 duplicate consolidation</t>
        </is>
      </c>
      <c r="AI398" t="inlineStr">
        <is>
          <t>other</t>
        </is>
      </c>
      <c r="AJ398" t="inlineStr">
        <is>
          <t>Unknown</t>
        </is>
      </c>
      <c r="AK398" t="inlineStr">
        <is>
          <t>unclassified</t>
        </is>
      </c>
      <c r="AL398" t="inlineStr">
        <is>
          <t>Pass 46 mechanism + evidence consolidation</t>
        </is>
      </c>
      <c r="AM398" t="n">
        <v>3</v>
      </c>
      <c r="AN398" t="inlineStr">
        <is>
          <t>D</t>
        </is>
      </c>
      <c r="AO398" t="inlineStr">
        <is>
          <t>Pass 47 compound scoring</t>
        </is>
      </c>
    </row>
    <row r="399">
      <c r="A399" t="inlineStr">
        <is>
          <t>mesembranol</t>
        </is>
      </c>
      <c r="B399" t="inlineStr">
        <is>
          <t>mesembranol</t>
        </is>
      </c>
      <c r="D399" t="inlineStr">
        <is>
          <t>other</t>
        </is>
      </c>
      <c r="E399" t="inlineStr">
        <is>
          <t>insufficient evidence</t>
        </is>
      </c>
      <c r="F399" t="inlineStr">
        <is>
          <t>unclassified</t>
        </is>
      </c>
      <c r="W399" t="n">
        <v>2</v>
      </c>
      <c r="X399" t="inlineStr">
        <is>
          <t>Low</t>
        </is>
      </c>
      <c r="Z399" t="inlineStr">
        <is>
          <t>mesembranol</t>
        </is>
      </c>
      <c r="AF399" t="inlineStr">
        <is>
          <t>mesembranol</t>
        </is>
      </c>
      <c r="AH399" t="inlineStr">
        <is>
          <t>Pass 45 duplicate consolidation</t>
        </is>
      </c>
      <c r="AI399" t="inlineStr">
        <is>
          <t>other</t>
        </is>
      </c>
      <c r="AJ399" t="inlineStr">
        <is>
          <t>Unknown</t>
        </is>
      </c>
      <c r="AK399" t="inlineStr">
        <is>
          <t>unclassified</t>
        </is>
      </c>
      <c r="AL399" t="inlineStr">
        <is>
          <t>Pass 46 mechanism + evidence consolidation</t>
        </is>
      </c>
      <c r="AM399" t="n">
        <v>3</v>
      </c>
      <c r="AN399" t="inlineStr">
        <is>
          <t>D</t>
        </is>
      </c>
      <c r="AO399" t="inlineStr">
        <is>
          <t>Pass 47 compound scoring</t>
        </is>
      </c>
    </row>
    <row r="400">
      <c r="A400" t="inlineStr">
        <is>
          <t>mesembrenol</t>
        </is>
      </c>
      <c r="B400" t="inlineStr">
        <is>
          <t>mesembrenol</t>
        </is>
      </c>
      <c r="D400" t="inlineStr">
        <is>
          <t>other</t>
        </is>
      </c>
      <c r="E400" t="inlineStr">
        <is>
          <t>insufficient evidence</t>
        </is>
      </c>
      <c r="F400" t="inlineStr">
        <is>
          <t>unclassified</t>
        </is>
      </c>
      <c r="W400" t="n">
        <v>2</v>
      </c>
      <c r="X400" t="inlineStr">
        <is>
          <t>Low</t>
        </is>
      </c>
      <c r="Z400" t="inlineStr">
        <is>
          <t>mesembrenol</t>
        </is>
      </c>
      <c r="AF400" t="inlineStr">
        <is>
          <t>mesembrenol</t>
        </is>
      </c>
      <c r="AH400" t="inlineStr">
        <is>
          <t>Pass 45 duplicate consolidation</t>
        </is>
      </c>
      <c r="AI400" t="inlineStr">
        <is>
          <t>other</t>
        </is>
      </c>
      <c r="AJ400" t="inlineStr">
        <is>
          <t>Unknown</t>
        </is>
      </c>
      <c r="AK400" t="inlineStr">
        <is>
          <t>unclassified</t>
        </is>
      </c>
      <c r="AL400" t="inlineStr">
        <is>
          <t>Pass 46 mechanism + evidence consolidation</t>
        </is>
      </c>
      <c r="AM400" t="n">
        <v>3</v>
      </c>
      <c r="AN400" t="inlineStr">
        <is>
          <t>D</t>
        </is>
      </c>
      <c r="AO400" t="inlineStr">
        <is>
          <t>Pass 47 compound scoring</t>
        </is>
      </c>
    </row>
    <row r="401">
      <c r="A401" t="inlineStr">
        <is>
          <t>mesembrenone</t>
        </is>
      </c>
      <c r="B401" t="inlineStr">
        <is>
          <t>mesembrenone</t>
        </is>
      </c>
      <c r="D401" t="inlineStr">
        <is>
          <t>mesembrine alkaloids</t>
        </is>
      </c>
      <c r="E401" t="inlineStr">
        <is>
          <t>insufficient evidence</t>
        </is>
      </c>
      <c r="F401" t="inlineStr">
        <is>
          <t>unclassified</t>
        </is>
      </c>
      <c r="W401" t="n">
        <v>2</v>
      </c>
      <c r="X401" t="inlineStr">
        <is>
          <t>Low</t>
        </is>
      </c>
      <c r="Z401" t="inlineStr">
        <is>
          <t>mesembrenone</t>
        </is>
      </c>
      <c r="AF401" t="inlineStr">
        <is>
          <t>mesembrenone</t>
        </is>
      </c>
      <c r="AH401" t="inlineStr">
        <is>
          <t>Pass 45 duplicate consolidation</t>
        </is>
      </c>
      <c r="AI401" t="inlineStr">
        <is>
          <t>mesembrine alkaloids</t>
        </is>
      </c>
      <c r="AJ401" t="inlineStr">
        <is>
          <t>Unknown</t>
        </is>
      </c>
      <c r="AK401" t="inlineStr">
        <is>
          <t>unclassified</t>
        </is>
      </c>
      <c r="AL401" t="inlineStr">
        <is>
          <t>Pass 46 mechanism + evidence consolidation</t>
        </is>
      </c>
      <c r="AM401" t="n">
        <v>3</v>
      </c>
      <c r="AN401" t="inlineStr">
        <is>
          <t>D</t>
        </is>
      </c>
      <c r="AO401" t="inlineStr">
        <is>
          <t>Pass 47 compound scoring</t>
        </is>
      </c>
    </row>
    <row r="402">
      <c r="A402" t="inlineStr">
        <is>
          <t>mesembrine</t>
        </is>
      </c>
      <c r="B402" t="inlineStr">
        <is>
          <t>mesembrine</t>
        </is>
      </c>
      <c r="D402" t="inlineStr">
        <is>
          <t>other</t>
        </is>
      </c>
      <c r="E402" t="inlineStr">
        <is>
          <t>insufficient evidence</t>
        </is>
      </c>
      <c r="F402" t="inlineStr">
        <is>
          <t>unclassified</t>
        </is>
      </c>
      <c r="W402" t="n">
        <v>2</v>
      </c>
      <c r="X402" t="inlineStr">
        <is>
          <t>Low</t>
        </is>
      </c>
      <c r="Z402" t="inlineStr">
        <is>
          <t>mesembrine</t>
        </is>
      </c>
      <c r="AF402" t="inlineStr">
        <is>
          <t>mesembrine</t>
        </is>
      </c>
      <c r="AH402" t="inlineStr">
        <is>
          <t>Pass 45 duplicate consolidation</t>
        </is>
      </c>
      <c r="AI402" t="inlineStr">
        <is>
          <t>other</t>
        </is>
      </c>
      <c r="AJ402" t="inlineStr">
        <is>
          <t>Unknown</t>
        </is>
      </c>
      <c r="AK402" t="inlineStr">
        <is>
          <t>unclassified</t>
        </is>
      </c>
      <c r="AL402" t="inlineStr">
        <is>
          <t>Pass 46 mechanism + evidence consolidation</t>
        </is>
      </c>
      <c r="AM402" t="n">
        <v>3</v>
      </c>
      <c r="AN402" t="inlineStr">
        <is>
          <t>D</t>
        </is>
      </c>
      <c r="AO402" t="inlineStr">
        <is>
          <t>Pass 47 compound scoring</t>
        </is>
      </c>
    </row>
    <row r="403">
      <c r="A403" t="inlineStr">
        <is>
          <t>methyl salicylate</t>
        </is>
      </c>
      <c r="B403" t="inlineStr">
        <is>
          <t>methyl salicylate</t>
        </is>
      </c>
      <c r="D403" t="inlineStr">
        <is>
          <t>Arbutin, tannins, methyl salicylate</t>
        </is>
      </c>
      <c r="E403" t="inlineStr">
        <is>
          <t>insufficient evidence</t>
        </is>
      </c>
      <c r="F403" t="inlineStr">
        <is>
          <t>unclassified</t>
        </is>
      </c>
      <c r="W403" t="n">
        <v>2</v>
      </c>
      <c r="X403" t="inlineStr">
        <is>
          <t>Low</t>
        </is>
      </c>
      <c r="Z403" t="inlineStr">
        <is>
          <t>methyl salicylate</t>
        </is>
      </c>
      <c r="AF403" t="inlineStr">
        <is>
          <t>methyl salicylate</t>
        </is>
      </c>
      <c r="AH403" t="inlineStr">
        <is>
          <t>Pass 45 duplicate consolidation</t>
        </is>
      </c>
      <c r="AI403" t="inlineStr">
        <is>
          <t>Arbutin, tannins, methyl salicylate</t>
        </is>
      </c>
      <c r="AJ403" t="inlineStr">
        <is>
          <t>Unknown</t>
        </is>
      </c>
      <c r="AK403" t="inlineStr">
        <is>
          <t>unclassified</t>
        </is>
      </c>
      <c r="AL403" t="inlineStr">
        <is>
          <t>Pass 46 mechanism + evidence consolidation</t>
        </is>
      </c>
      <c r="AM403" t="n">
        <v>3</v>
      </c>
      <c r="AN403" t="inlineStr">
        <is>
          <t>D</t>
        </is>
      </c>
      <c r="AO403" t="inlineStr">
        <is>
          <t>Pass 47 compound scoring</t>
        </is>
      </c>
    </row>
    <row r="404">
      <c r="A404" t="inlineStr">
        <is>
          <t>methysticin</t>
        </is>
      </c>
      <c r="B404" t="inlineStr">
        <is>
          <t>methysticin</t>
        </is>
      </c>
      <c r="D404" t="inlineStr">
        <is>
          <t>other</t>
        </is>
      </c>
      <c r="E404" t="inlineStr">
        <is>
          <t>Kavalactones modulate GABA_A receptor activity, inhibit voltage-gated sodium and calcium channels, and influence dopamine signaling.</t>
        </is>
      </c>
      <c r="F404" t="inlineStr">
        <is>
          <t>unclassified</t>
        </is>
      </c>
      <c r="W404" t="n">
        <v>2</v>
      </c>
      <c r="X404" t="inlineStr">
        <is>
          <t>Low</t>
        </is>
      </c>
      <c r="Z404" t="inlineStr">
        <is>
          <t>methysticin</t>
        </is>
      </c>
      <c r="AF404" t="inlineStr">
        <is>
          <t>methysticin</t>
        </is>
      </c>
      <c r="AH404" t="inlineStr">
        <is>
          <t>Pass 45 duplicate consolidation</t>
        </is>
      </c>
      <c r="AI404" t="inlineStr">
        <is>
          <t>other</t>
        </is>
      </c>
      <c r="AJ404" t="inlineStr">
        <is>
          <t>Unknown</t>
        </is>
      </c>
      <c r="AK404" t="inlineStr">
        <is>
          <t>unclassified</t>
        </is>
      </c>
      <c r="AL404" t="inlineStr">
        <is>
          <t>Pass 46 mechanism + evidence consolidation</t>
        </is>
      </c>
      <c r="AM404" t="n">
        <v>3</v>
      </c>
      <c r="AN404" t="inlineStr">
        <is>
          <t>D</t>
        </is>
      </c>
      <c r="AO404" t="inlineStr">
        <is>
          <t>Pass 47 compound scoring</t>
        </is>
      </c>
    </row>
    <row r="405">
      <c r="A405" t="inlineStr">
        <is>
          <t>miroestrol</t>
        </is>
      </c>
      <c r="B405" t="inlineStr">
        <is>
          <t>miroestrol</t>
        </is>
      </c>
      <c r="D405" t="inlineStr">
        <is>
          <t>other</t>
        </is>
      </c>
      <c r="E405" t="inlineStr">
        <is>
          <t>insufficient evidence</t>
        </is>
      </c>
      <c r="F405" t="inlineStr">
        <is>
          <t>unclassified</t>
        </is>
      </c>
      <c r="W405" t="n">
        <v>2</v>
      </c>
      <c r="X405" t="inlineStr">
        <is>
          <t>Low</t>
        </is>
      </c>
      <c r="Z405" t="inlineStr">
        <is>
          <t>miroestrol</t>
        </is>
      </c>
      <c r="AF405" t="inlineStr">
        <is>
          <t>miroestrol</t>
        </is>
      </c>
      <c r="AH405" t="inlineStr">
        <is>
          <t>Pass 45 duplicate consolidation</t>
        </is>
      </c>
      <c r="AI405" t="inlineStr">
        <is>
          <t>other</t>
        </is>
      </c>
      <c r="AJ405" t="inlineStr">
        <is>
          <t>Unknown</t>
        </is>
      </c>
      <c r="AK405" t="inlineStr">
        <is>
          <t>unclassified</t>
        </is>
      </c>
      <c r="AL405" t="inlineStr">
        <is>
          <t>Pass 46 mechanism + evidence consolidation</t>
        </is>
      </c>
      <c r="AM405" t="n">
        <v>3</v>
      </c>
      <c r="AN405" t="inlineStr">
        <is>
          <t>D</t>
        </is>
      </c>
      <c r="AO405" t="inlineStr">
        <is>
          <t>Pass 47 compound scoring</t>
        </is>
      </c>
    </row>
    <row r="406">
      <c r="A406" t="inlineStr">
        <is>
          <t>mitragynine</t>
        </is>
      </c>
      <c r="B406" t="inlineStr">
        <is>
          <t>mitragynine</t>
        </is>
      </c>
      <c r="D406" t="inlineStr">
        <is>
          <t>other</t>
        </is>
      </c>
      <c r="E406" t="inlineStr">
        <is>
          <t>Mitragynine and 7-hydroxymitragynine act as partial agonists at μ-opioid receptors with additional adrenergic and serotonergic activity.</t>
        </is>
      </c>
      <c r="F406" t="inlineStr">
        <is>
          <t>unclassified</t>
        </is>
      </c>
      <c r="W406" t="n">
        <v>2</v>
      </c>
      <c r="X406" t="inlineStr">
        <is>
          <t>Low</t>
        </is>
      </c>
      <c r="Z406" t="inlineStr">
        <is>
          <t>mitragynine</t>
        </is>
      </c>
      <c r="AF406" t="inlineStr">
        <is>
          <t>mitragynine</t>
        </is>
      </c>
      <c r="AH406" t="inlineStr">
        <is>
          <t>Pass 45 duplicate consolidation</t>
        </is>
      </c>
      <c r="AI406" t="inlineStr">
        <is>
          <t>other</t>
        </is>
      </c>
      <c r="AJ406" t="inlineStr">
        <is>
          <t>Unknown</t>
        </is>
      </c>
      <c r="AK406" t="inlineStr">
        <is>
          <t>unclassified</t>
        </is>
      </c>
      <c r="AL406" t="inlineStr">
        <is>
          <t>Pass 46 mechanism + evidence consolidation</t>
        </is>
      </c>
      <c r="AM406" t="n">
        <v>3</v>
      </c>
      <c r="AN406" t="inlineStr">
        <is>
          <t>D</t>
        </is>
      </c>
      <c r="AO406" t="inlineStr">
        <is>
          <t>Pass 47 compound scoring</t>
        </is>
      </c>
    </row>
    <row r="407">
      <c r="A407" t="inlineStr">
        <is>
          <t>mitrajavine</t>
        </is>
      </c>
      <c r="B407" t="inlineStr">
        <is>
          <t>mitrajavine</t>
        </is>
      </c>
      <c r="D407" t="inlineStr">
        <is>
          <t>oxindole alkaloids</t>
        </is>
      </c>
      <c r="E407" t="inlineStr">
        <is>
          <t>insufficient evidence</t>
        </is>
      </c>
      <c r="F407" t="inlineStr">
        <is>
          <t>unclassified</t>
        </is>
      </c>
      <c r="W407" t="n">
        <v>2</v>
      </c>
      <c r="X407" t="inlineStr">
        <is>
          <t>Low</t>
        </is>
      </c>
      <c r="Z407" t="inlineStr">
        <is>
          <t>mitrajavine</t>
        </is>
      </c>
      <c r="AF407" t="inlineStr">
        <is>
          <t>mitrajavine</t>
        </is>
      </c>
      <c r="AH407" t="inlineStr">
        <is>
          <t>Pass 45 duplicate consolidation</t>
        </is>
      </c>
      <c r="AI407" t="inlineStr">
        <is>
          <t>oxindole alkaloids</t>
        </is>
      </c>
      <c r="AJ407" t="inlineStr">
        <is>
          <t>Unknown</t>
        </is>
      </c>
      <c r="AK407" t="inlineStr">
        <is>
          <t>unclassified</t>
        </is>
      </c>
      <c r="AL407" t="inlineStr">
        <is>
          <t>Pass 46 mechanism + evidence consolidation</t>
        </is>
      </c>
      <c r="AM407" t="n">
        <v>3</v>
      </c>
      <c r="AN407" t="inlineStr">
        <is>
          <t>D</t>
        </is>
      </c>
      <c r="AO407" t="inlineStr">
        <is>
          <t>Pass 47 compound scoring</t>
        </is>
      </c>
    </row>
    <row r="408">
      <c r="A408" t="inlineStr">
        <is>
          <t>mitraphylline</t>
        </is>
      </c>
      <c r="B408" t="inlineStr">
        <is>
          <t>mitraphylline</t>
        </is>
      </c>
      <c r="D408" t="inlineStr">
        <is>
          <t>oxindole alkaloids</t>
        </is>
      </c>
      <c r="E408" t="inlineStr">
        <is>
          <t>insufficient evidence</t>
        </is>
      </c>
      <c r="F408" t="inlineStr">
        <is>
          <t>unclassified</t>
        </is>
      </c>
      <c r="W408" t="n">
        <v>2</v>
      </c>
      <c r="X408" t="inlineStr">
        <is>
          <t>Low</t>
        </is>
      </c>
      <c r="Z408" t="inlineStr">
        <is>
          <t>mitraphylline</t>
        </is>
      </c>
      <c r="AF408" t="inlineStr">
        <is>
          <t>mitraphylline</t>
        </is>
      </c>
      <c r="AH408" t="inlineStr">
        <is>
          <t>Pass 45 duplicate consolidation</t>
        </is>
      </c>
      <c r="AI408" t="inlineStr">
        <is>
          <t>oxindole alkaloids</t>
        </is>
      </c>
      <c r="AJ408" t="inlineStr">
        <is>
          <t>Unknown</t>
        </is>
      </c>
      <c r="AK408" t="inlineStr">
        <is>
          <t>unclassified</t>
        </is>
      </c>
      <c r="AL408" t="inlineStr">
        <is>
          <t>Pass 46 mechanism + evidence consolidation</t>
        </is>
      </c>
      <c r="AM408" t="n">
        <v>3</v>
      </c>
      <c r="AN408" t="inlineStr">
        <is>
          <t>D</t>
        </is>
      </c>
      <c r="AO408" t="inlineStr">
        <is>
          <t>Pass 47 compound scoring</t>
        </is>
      </c>
    </row>
    <row r="409">
      <c r="A409" t="inlineStr">
        <is>
          <t>mogroside v</t>
        </is>
      </c>
      <c r="B409" t="inlineStr">
        <is>
          <t>mogroside V</t>
        </is>
      </c>
      <c r="D409" t="inlineStr">
        <is>
          <t>triterpene glycoside</t>
        </is>
      </c>
      <c r="E409" t="inlineStr">
        <is>
          <t>Luo Han Guo constituent associated with sweetener and throat-support positioning.</t>
        </is>
      </c>
      <c r="F409" t="inlineStr">
        <is>
          <t>unclassified</t>
        </is>
      </c>
      <c r="W409" t="n">
        <v>2</v>
      </c>
      <c r="X409" t="inlineStr">
        <is>
          <t>Low</t>
        </is>
      </c>
      <c r="Z409" t="inlineStr">
        <is>
          <t>mogroside v</t>
        </is>
      </c>
      <c r="AF409" t="inlineStr">
        <is>
          <t>mogroside v</t>
        </is>
      </c>
      <c r="AH409" t="inlineStr">
        <is>
          <t>Pass 45 duplicate consolidation</t>
        </is>
      </c>
      <c r="AI409" t="inlineStr">
        <is>
          <t>triterpene glycoside</t>
        </is>
      </c>
      <c r="AJ409" t="inlineStr">
        <is>
          <t>Unknown</t>
        </is>
      </c>
      <c r="AK409" t="inlineStr">
        <is>
          <t>unclassified</t>
        </is>
      </c>
      <c r="AL409" t="inlineStr">
        <is>
          <t>Pass 46 mechanism + evidence consolidation</t>
        </is>
      </c>
      <c r="AM409" t="n">
        <v>3</v>
      </c>
      <c r="AN409" t="inlineStr">
        <is>
          <t>D</t>
        </is>
      </c>
      <c r="AO409" t="inlineStr">
        <is>
          <t>Pass 47 compound scoring</t>
        </is>
      </c>
    </row>
    <row r="410">
      <c r="A410" t="inlineStr">
        <is>
          <t>mogrosides</t>
        </is>
      </c>
      <c r="B410" t="inlineStr">
        <is>
          <t>mogrosides</t>
        </is>
      </c>
      <c r="D410" t="inlineStr">
        <is>
          <t>triterpenoid glycosides</t>
        </is>
      </c>
      <c r="E410" t="inlineStr">
        <is>
          <t>Sweet triterpenoid glycosides from Luo Han Guo used as marker actives.</t>
        </is>
      </c>
      <c r="F410" t="inlineStr">
        <is>
          <t>unclassified</t>
        </is>
      </c>
      <c r="W410" t="n">
        <v>2</v>
      </c>
      <c r="X410" t="inlineStr">
        <is>
          <t>Low</t>
        </is>
      </c>
      <c r="Z410" t="inlineStr">
        <is>
          <t>mogrosides</t>
        </is>
      </c>
      <c r="AF410" t="inlineStr">
        <is>
          <t>mogrosides</t>
        </is>
      </c>
      <c r="AH410" t="inlineStr">
        <is>
          <t>Pass 45 duplicate consolidation</t>
        </is>
      </c>
      <c r="AI410" t="inlineStr">
        <is>
          <t>triterpenoid glycosides</t>
        </is>
      </c>
      <c r="AJ410" t="inlineStr">
        <is>
          <t>Unknown</t>
        </is>
      </c>
      <c r="AK410" t="inlineStr">
        <is>
          <t>unclassified</t>
        </is>
      </c>
      <c r="AL410" t="inlineStr">
        <is>
          <t>Pass 46 mechanism + evidence consolidation</t>
        </is>
      </c>
      <c r="AM410" t="n">
        <v>3</v>
      </c>
      <c r="AN410" t="inlineStr">
        <is>
          <t>D</t>
        </is>
      </c>
      <c r="AO410" t="inlineStr">
        <is>
          <t>Pass 47 compound scoring</t>
        </is>
      </c>
    </row>
    <row r="411">
      <c r="A411" t="inlineStr">
        <is>
          <t>moringin</t>
        </is>
      </c>
      <c r="B411" t="inlineStr">
        <is>
          <t>moringin</t>
        </is>
      </c>
      <c r="D411" t="inlineStr">
        <is>
          <t>isothiocyanate</t>
        </is>
      </c>
      <c r="E411" t="inlineStr">
        <is>
          <t>Moringa-associated isothiocyanate linked to antioxidant and metabolic-support positioning.</t>
        </is>
      </c>
      <c r="F411" t="inlineStr">
        <is>
          <t>unclassified</t>
        </is>
      </c>
      <c r="W411" t="n">
        <v>2</v>
      </c>
      <c r="X411" t="inlineStr">
        <is>
          <t>Low</t>
        </is>
      </c>
      <c r="Z411" t="inlineStr">
        <is>
          <t>moringin</t>
        </is>
      </c>
      <c r="AF411" t="inlineStr">
        <is>
          <t>moringin</t>
        </is>
      </c>
      <c r="AH411" t="inlineStr">
        <is>
          <t>Pass 45 duplicate consolidation</t>
        </is>
      </c>
      <c r="AI411" t="inlineStr">
        <is>
          <t>isothiocyanate</t>
        </is>
      </c>
      <c r="AJ411" t="inlineStr">
        <is>
          <t>Unknown</t>
        </is>
      </c>
      <c r="AK411" t="inlineStr">
        <is>
          <t>unclassified</t>
        </is>
      </c>
      <c r="AL411" t="inlineStr">
        <is>
          <t>Pass 46 mechanism + evidence consolidation</t>
        </is>
      </c>
      <c r="AM411" t="n">
        <v>3</v>
      </c>
      <c r="AN411" t="inlineStr">
        <is>
          <t>D</t>
        </is>
      </c>
      <c r="AO411" t="inlineStr">
        <is>
          <t>Pass 47 compound scoring</t>
        </is>
      </c>
    </row>
    <row r="412">
      <c r="A412" t="inlineStr">
        <is>
          <t>morphine</t>
        </is>
      </c>
      <c r="B412" t="inlineStr">
        <is>
          <t>morphine</t>
        </is>
      </c>
      <c r="D412" t="inlineStr">
        <is>
          <t>other</t>
        </is>
      </c>
      <c r="E412" t="inlineStr">
        <is>
          <t>insufficient evidence</t>
        </is>
      </c>
      <c r="F412" t="inlineStr">
        <is>
          <t>unclassified</t>
        </is>
      </c>
      <c r="W412" t="n">
        <v>2</v>
      </c>
      <c r="X412" t="inlineStr">
        <is>
          <t>Low</t>
        </is>
      </c>
      <c r="Z412" t="inlineStr">
        <is>
          <t>morphine</t>
        </is>
      </c>
      <c r="AF412" t="inlineStr">
        <is>
          <t>morphine</t>
        </is>
      </c>
      <c r="AH412" t="inlineStr">
        <is>
          <t>Pass 45 duplicate consolidation</t>
        </is>
      </c>
      <c r="AI412" t="inlineStr">
        <is>
          <t>other</t>
        </is>
      </c>
      <c r="AJ412" t="inlineStr">
        <is>
          <t>Unknown</t>
        </is>
      </c>
      <c r="AK412" t="inlineStr">
        <is>
          <t>unclassified</t>
        </is>
      </c>
      <c r="AL412" t="inlineStr">
        <is>
          <t>Pass 46 mechanism + evidence consolidation</t>
        </is>
      </c>
      <c r="AM412" t="n">
        <v>3</v>
      </c>
      <c r="AN412" t="inlineStr">
        <is>
          <t>D</t>
        </is>
      </c>
      <c r="AO412" t="inlineStr">
        <is>
          <t>Pass 47 compound scoring</t>
        </is>
      </c>
    </row>
    <row r="413">
      <c r="A413" t="inlineStr">
        <is>
          <t>morroniside</t>
        </is>
      </c>
      <c r="B413" t="inlineStr">
        <is>
          <t>morroniside</t>
        </is>
      </c>
      <c r="D413" t="inlineStr">
        <is>
          <t>iridoid glycosides</t>
        </is>
      </c>
      <c r="E413" t="inlineStr">
        <is>
          <t>insufficient evidence</t>
        </is>
      </c>
      <c r="F413" t="inlineStr">
        <is>
          <t>unclassified</t>
        </is>
      </c>
      <c r="W413" t="n">
        <v>2</v>
      </c>
      <c r="X413" t="inlineStr">
        <is>
          <t>Low</t>
        </is>
      </c>
      <c r="Z413" t="inlineStr">
        <is>
          <t>morroniside</t>
        </is>
      </c>
      <c r="AF413" t="inlineStr">
        <is>
          <t>morroniside</t>
        </is>
      </c>
      <c r="AH413" t="inlineStr">
        <is>
          <t>Pass 45 duplicate consolidation</t>
        </is>
      </c>
      <c r="AI413" t="inlineStr">
        <is>
          <t>iridoid glycosides</t>
        </is>
      </c>
      <c r="AJ413" t="inlineStr">
        <is>
          <t>Unknown</t>
        </is>
      </c>
      <c r="AK413" t="inlineStr">
        <is>
          <t>unclassified</t>
        </is>
      </c>
      <c r="AL413" t="inlineStr">
        <is>
          <t>Pass 46 mechanism + evidence consolidation</t>
        </is>
      </c>
      <c r="AM413" t="n">
        <v>3</v>
      </c>
      <c r="AN413" t="inlineStr">
        <is>
          <t>D</t>
        </is>
      </c>
      <c r="AO413" t="inlineStr">
        <is>
          <t>Pass 47 compound scoring</t>
        </is>
      </c>
    </row>
    <row r="414">
      <c r="A414" t="inlineStr">
        <is>
          <t>muscimol</t>
        </is>
      </c>
      <c r="B414" t="inlineStr">
        <is>
          <t>muscimol</t>
        </is>
      </c>
      <c r="D414" t="inlineStr">
        <is>
          <t>other</t>
        </is>
      </c>
      <c r="E414" t="inlineStr">
        <is>
          <t>Psychotropic effects are mainly attributed to muscimol acting at GABA_A receptors, with ibotenic acid contributing excitatory glutamatergic activity.</t>
        </is>
      </c>
      <c r="F414" t="inlineStr">
        <is>
          <t>unclassified</t>
        </is>
      </c>
      <c r="W414" t="n">
        <v>2</v>
      </c>
      <c r="X414" t="inlineStr">
        <is>
          <t>Low</t>
        </is>
      </c>
      <c r="Z414" t="inlineStr">
        <is>
          <t>muscimol</t>
        </is>
      </c>
      <c r="AF414" t="inlineStr">
        <is>
          <t>muscimol</t>
        </is>
      </c>
      <c r="AH414" t="inlineStr">
        <is>
          <t>Pass 45 duplicate consolidation</t>
        </is>
      </c>
      <c r="AI414" t="inlineStr">
        <is>
          <t>other</t>
        </is>
      </c>
      <c r="AJ414" t="inlineStr">
        <is>
          <t>Unknown</t>
        </is>
      </c>
      <c r="AK414" t="inlineStr">
        <is>
          <t>unclassified</t>
        </is>
      </c>
      <c r="AL414" t="inlineStr">
        <is>
          <t>Pass 46 mechanism + evidence consolidation</t>
        </is>
      </c>
      <c r="AM414" t="n">
        <v>3</v>
      </c>
      <c r="AN414" t="inlineStr">
        <is>
          <t>D</t>
        </is>
      </c>
      <c r="AO414" t="inlineStr">
        <is>
          <t>Pass 47 compound scoring</t>
        </is>
      </c>
    </row>
    <row r="415">
      <c r="A415" t="inlineStr">
        <is>
          <t>myo-inositol</t>
        </is>
      </c>
      <c r="B415" t="inlineStr">
        <is>
          <t>myo-inositol</t>
        </is>
      </c>
      <c r="D415" t="inlineStr">
        <is>
          <t>carbocyclic sugar</t>
        </is>
      </c>
      <c r="E415" t="inlineStr">
        <is>
          <t>Precursor for phosphatidylinositol and inositol phosphate signaling cascades.</t>
        </is>
      </c>
      <c r="F415" t="inlineStr">
        <is>
          <t>unclassified</t>
        </is>
      </c>
      <c r="W415" t="n">
        <v>2</v>
      </c>
      <c r="X415" t="inlineStr">
        <is>
          <t>Low</t>
        </is>
      </c>
      <c r="Z415" t="inlineStr">
        <is>
          <t>myo-inositol</t>
        </is>
      </c>
      <c r="AF415" t="inlineStr">
        <is>
          <t>myo inositol</t>
        </is>
      </c>
      <c r="AH415" t="inlineStr">
        <is>
          <t>Pass 45 duplicate consolidation</t>
        </is>
      </c>
      <c r="AI415" t="inlineStr">
        <is>
          <t>carbocyclic sugar</t>
        </is>
      </c>
      <c r="AJ415" t="inlineStr">
        <is>
          <t>Unknown</t>
        </is>
      </c>
      <c r="AK415" t="inlineStr">
        <is>
          <t>unclassified</t>
        </is>
      </c>
      <c r="AL415" t="inlineStr">
        <is>
          <t>Pass 46 mechanism + evidence consolidation</t>
        </is>
      </c>
      <c r="AM415" t="n">
        <v>3</v>
      </c>
      <c r="AN415" t="inlineStr">
        <is>
          <t>D</t>
        </is>
      </c>
      <c r="AO415" t="inlineStr">
        <is>
          <t>Pass 47 compound scoring</t>
        </is>
      </c>
    </row>
    <row r="416">
      <c r="A416" t="inlineStr">
        <is>
          <t>myrcene</t>
        </is>
      </c>
      <c r="B416" t="inlineStr">
        <is>
          <t>myrcene</t>
        </is>
      </c>
      <c r="D416" t="inlineStr">
        <is>
          <t>other</t>
        </is>
      </c>
      <c r="E416" t="inlineStr">
        <is>
          <t>insufficient evidence</t>
        </is>
      </c>
      <c r="F416" t="inlineStr">
        <is>
          <t>unclassified</t>
        </is>
      </c>
      <c r="W416" t="n">
        <v>2</v>
      </c>
      <c r="X416" t="inlineStr">
        <is>
          <t>Low</t>
        </is>
      </c>
      <c r="Z416" t="inlineStr">
        <is>
          <t>myrcene</t>
        </is>
      </c>
      <c r="AF416" t="inlineStr">
        <is>
          <t>myrcene</t>
        </is>
      </c>
      <c r="AH416" t="inlineStr">
        <is>
          <t>Pass 45 duplicate consolidation</t>
        </is>
      </c>
      <c r="AI416" t="inlineStr">
        <is>
          <t>other</t>
        </is>
      </c>
      <c r="AJ416" t="inlineStr">
        <is>
          <t>Unknown</t>
        </is>
      </c>
      <c r="AK416" t="inlineStr">
        <is>
          <t>unclassified</t>
        </is>
      </c>
      <c r="AL416" t="inlineStr">
        <is>
          <t>Pass 46 mechanism + evidence consolidation</t>
        </is>
      </c>
      <c r="AM416" t="n">
        <v>3</v>
      </c>
      <c r="AN416" t="inlineStr">
        <is>
          <t>D</t>
        </is>
      </c>
      <c r="AO416" t="inlineStr">
        <is>
          <t>Pass 47 compound scoring</t>
        </is>
      </c>
    </row>
    <row r="417">
      <c r="A417" t="inlineStr">
        <is>
          <t>myricetin</t>
        </is>
      </c>
      <c r="B417" t="inlineStr">
        <is>
          <t>myricetin</t>
        </is>
      </c>
      <c r="D417" t="inlineStr">
        <is>
          <t>flavonol</t>
        </is>
      </c>
      <c r="E417" t="inlineStr">
        <is>
          <t>Dietary flavonol associated with antioxidant and enzyme-modulating effects.</t>
        </is>
      </c>
      <c r="F417" t="inlineStr">
        <is>
          <t>unclassified</t>
        </is>
      </c>
      <c r="W417" t="n">
        <v>2</v>
      </c>
      <c r="X417" t="inlineStr">
        <is>
          <t>Low</t>
        </is>
      </c>
      <c r="Z417" t="inlineStr">
        <is>
          <t>myricetin</t>
        </is>
      </c>
      <c r="AF417" t="inlineStr">
        <is>
          <t>myricetin</t>
        </is>
      </c>
      <c r="AH417" t="inlineStr">
        <is>
          <t>Pass 45 duplicate consolidation</t>
        </is>
      </c>
      <c r="AI417" t="inlineStr">
        <is>
          <t>flavonol</t>
        </is>
      </c>
      <c r="AJ417" t="inlineStr">
        <is>
          <t>Unknown</t>
        </is>
      </c>
      <c r="AK417" t="inlineStr">
        <is>
          <t>unclassified</t>
        </is>
      </c>
      <c r="AL417" t="inlineStr">
        <is>
          <t>Pass 46 mechanism + evidence consolidation</t>
        </is>
      </c>
      <c r="AM417" t="n">
        <v>3</v>
      </c>
      <c r="AN417" t="inlineStr">
        <is>
          <t>D</t>
        </is>
      </c>
      <c r="AO417" t="inlineStr">
        <is>
          <t>Pass 47 compound scoring</t>
        </is>
      </c>
    </row>
    <row r="418">
      <c r="A418" t="inlineStr">
        <is>
          <t>myristicin</t>
        </is>
      </c>
      <c r="B418" t="inlineStr">
        <is>
          <t>myristicin</t>
        </is>
      </c>
      <c r="D418" t="inlineStr">
        <is>
          <t>essential oils</t>
        </is>
      </c>
      <c r="E418" t="inlineStr">
        <is>
          <t>insufficient evidence</t>
        </is>
      </c>
      <c r="F418" t="inlineStr">
        <is>
          <t>unclassified</t>
        </is>
      </c>
      <c r="W418" t="n">
        <v>2</v>
      </c>
      <c r="X418" t="inlineStr">
        <is>
          <t>Low</t>
        </is>
      </c>
      <c r="Z418" t="inlineStr">
        <is>
          <t>myristicin</t>
        </is>
      </c>
      <c r="AF418" t="inlineStr">
        <is>
          <t>myristicin</t>
        </is>
      </c>
      <c r="AH418" t="inlineStr">
        <is>
          <t>Pass 45 duplicate consolidation</t>
        </is>
      </c>
      <c r="AI418" t="inlineStr">
        <is>
          <t>essential oils</t>
        </is>
      </c>
      <c r="AJ418" t="inlineStr">
        <is>
          <t>Unknown</t>
        </is>
      </c>
      <c r="AK418" t="inlineStr">
        <is>
          <t>unclassified</t>
        </is>
      </c>
      <c r="AL418" t="inlineStr">
        <is>
          <t>Pass 46 mechanism + evidence consolidation</t>
        </is>
      </c>
      <c r="AM418" t="n">
        <v>3</v>
      </c>
      <c r="AN418" t="inlineStr">
        <is>
          <t>D</t>
        </is>
      </c>
      <c r="AO418" t="inlineStr">
        <is>
          <t>Pass 47 compound scoring</t>
        </is>
      </c>
    </row>
    <row r="419">
      <c r="A419" t="inlineStr">
        <is>
          <t>myrtenyl acetate</t>
        </is>
      </c>
      <c r="B419" t="inlineStr">
        <is>
          <t>myrtenyl acetate</t>
        </is>
      </c>
      <c r="D419" t="inlineStr">
        <is>
          <t>terpene ester</t>
        </is>
      </c>
      <c r="E419" t="inlineStr">
        <is>
          <t>Myrtle-associated volatile constituent linked to aromatic-support positioning.</t>
        </is>
      </c>
      <c r="F419" t="inlineStr">
        <is>
          <t>unclassified</t>
        </is>
      </c>
      <c r="W419" t="n">
        <v>2</v>
      </c>
      <c r="X419" t="inlineStr">
        <is>
          <t>Low</t>
        </is>
      </c>
      <c r="Z419" t="inlineStr">
        <is>
          <t>myrtenyl acetate</t>
        </is>
      </c>
      <c r="AF419" t="inlineStr">
        <is>
          <t>myrtenyl acetate</t>
        </is>
      </c>
      <c r="AH419" t="inlineStr">
        <is>
          <t>Pass 45 duplicate consolidation</t>
        </is>
      </c>
      <c r="AI419" t="inlineStr">
        <is>
          <t>terpene ester</t>
        </is>
      </c>
      <c r="AJ419" t="inlineStr">
        <is>
          <t>Unknown</t>
        </is>
      </c>
      <c r="AK419" t="inlineStr">
        <is>
          <t>unclassified</t>
        </is>
      </c>
      <c r="AL419" t="inlineStr">
        <is>
          <t>Pass 46 mechanism + evidence consolidation</t>
        </is>
      </c>
      <c r="AM419" t="n">
        <v>3</v>
      </c>
      <c r="AN419" t="inlineStr">
        <is>
          <t>D</t>
        </is>
      </c>
      <c r="AO419" t="inlineStr">
        <is>
          <t>Pass 47 compound scoring</t>
        </is>
      </c>
    </row>
    <row r="420">
      <c r="A420" t="inlineStr">
        <is>
          <t>n-acetyl-l-tyrosine</t>
        </is>
      </c>
      <c r="B420" t="inlineStr">
        <is>
          <t>N-acetyl-L-tyrosine</t>
        </is>
      </c>
      <c r="D420" t="inlineStr">
        <is>
          <t>N-acetyl amino acid derivative</t>
        </is>
      </c>
      <c r="E420" t="inlineStr">
        <is>
          <t>Acetylated tyrosine donor that is deacetylated to tyrosine and can feed catecholamine-precursor pools; evidence that it outperforms L-tyrosine as a CNS precursor is limited.</t>
        </is>
      </c>
      <c r="F420" t="inlineStr">
        <is>
          <t>unclassified</t>
        </is>
      </c>
      <c r="W420" t="n">
        <v>2</v>
      </c>
      <c r="X420" t="inlineStr">
        <is>
          <t>Low</t>
        </is>
      </c>
      <c r="Z420" t="inlineStr">
        <is>
          <t>n-acetyl-l-tyrosine</t>
        </is>
      </c>
      <c r="AF420" t="inlineStr">
        <is>
          <t>n acetyl l tyrosine</t>
        </is>
      </c>
      <c r="AH420" t="inlineStr">
        <is>
          <t>Pass 45 duplicate consolidation</t>
        </is>
      </c>
      <c r="AI420" t="inlineStr">
        <is>
          <t>N-acetyl amino acid derivative</t>
        </is>
      </c>
      <c r="AJ420" t="inlineStr">
        <is>
          <t>Unknown</t>
        </is>
      </c>
      <c r="AK420" t="inlineStr">
        <is>
          <t>unclassified</t>
        </is>
      </c>
      <c r="AL420" t="inlineStr">
        <is>
          <t>Pass 46 mechanism + evidence consolidation</t>
        </is>
      </c>
      <c r="AM420" t="n">
        <v>3</v>
      </c>
      <c r="AN420" t="inlineStr">
        <is>
          <t>D</t>
        </is>
      </c>
      <c r="AO420" t="inlineStr">
        <is>
          <t>Pass 47 compound scoring</t>
        </is>
      </c>
    </row>
    <row r="421">
      <c r="A421" t="inlineStr">
        <is>
          <t>n-acetylcysteine</t>
        </is>
      </c>
      <c r="B421" t="inlineStr">
        <is>
          <t>n-acetylcysteine (nac)</t>
        </is>
      </c>
      <c r="D421" t="inlineStr">
        <is>
          <t>amino acid derivative / thiol</t>
        </is>
      </c>
      <c r="E421" t="inlineStr">
        <is>
          <t>Replenishes glutathione by serving as a cysteine precursor; also has direct reducing activity and breaks disulfide bonds in mucus.</t>
        </is>
      </c>
      <c r="F421" t="inlineStr">
        <is>
          <t>unclassified</t>
        </is>
      </c>
      <c r="W421" t="n">
        <v>2</v>
      </c>
      <c r="X421" t="inlineStr">
        <is>
          <t>Low</t>
        </is>
      </c>
      <c r="Z421" t="inlineStr">
        <is>
          <t>n-acetylcysteine</t>
        </is>
      </c>
      <c r="AF421" t="inlineStr">
        <is>
          <t>n acetylcysteine</t>
        </is>
      </c>
      <c r="AH421" t="inlineStr">
        <is>
          <t>Pass 45 duplicate consolidation</t>
        </is>
      </c>
      <c r="AI421" t="inlineStr">
        <is>
          <t>amino acid derivative / thiol</t>
        </is>
      </c>
      <c r="AJ421" t="inlineStr">
        <is>
          <t>Unknown</t>
        </is>
      </c>
      <c r="AK421" t="inlineStr">
        <is>
          <t>unclassified</t>
        </is>
      </c>
      <c r="AL421" t="inlineStr">
        <is>
          <t>Pass 46 mechanism + evidence consolidation</t>
        </is>
      </c>
      <c r="AM421" t="n">
        <v>3</v>
      </c>
      <c r="AN421" t="inlineStr">
        <is>
          <t>D</t>
        </is>
      </c>
      <c r="AO421" t="inlineStr">
        <is>
          <t>Pass 47 compound scoring</t>
        </is>
      </c>
    </row>
    <row r="422">
      <c r="A422" t="inlineStr">
        <is>
          <t>n-dimethylhistamine</t>
        </is>
      </c>
      <c r="B422" t="inlineStr">
        <is>
          <t>n-dimethylhistamine</t>
        </is>
      </c>
      <c r="D422" t="inlineStr">
        <is>
          <t>other</t>
        </is>
      </c>
      <c r="E422" t="inlineStr">
        <is>
          <t>insufficient evidence</t>
        </is>
      </c>
      <c r="F422" t="inlineStr">
        <is>
          <t>unclassified</t>
        </is>
      </c>
      <c r="W422" t="n">
        <v>2</v>
      </c>
      <c r="X422" t="inlineStr">
        <is>
          <t>Low</t>
        </is>
      </c>
      <c r="Z422" t="inlineStr">
        <is>
          <t>n-dimethylhistamine</t>
        </is>
      </c>
      <c r="AF422" t="inlineStr">
        <is>
          <t>n dimethylhistamine</t>
        </is>
      </c>
      <c r="AH422" t="inlineStr">
        <is>
          <t>Pass 45 duplicate consolidation</t>
        </is>
      </c>
      <c r="AI422" t="inlineStr">
        <is>
          <t>other</t>
        </is>
      </c>
      <c r="AJ422" t="inlineStr">
        <is>
          <t>Unknown</t>
        </is>
      </c>
      <c r="AK422" t="inlineStr">
        <is>
          <t>unclassified</t>
        </is>
      </c>
      <c r="AL422" t="inlineStr">
        <is>
          <t>Pass 46 mechanism + evidence consolidation</t>
        </is>
      </c>
      <c r="AM422" t="n">
        <v>3</v>
      </c>
      <c r="AN422" t="inlineStr">
        <is>
          <t>D</t>
        </is>
      </c>
      <c r="AO422" t="inlineStr">
        <is>
          <t>Pass 47 compound scoring</t>
        </is>
      </c>
    </row>
    <row r="423">
      <c r="A423" t="inlineStr">
        <is>
          <t>n-dimethyltryptamine</t>
        </is>
      </c>
      <c r="B423" t="inlineStr">
        <is>
          <t>n-dimethyltryptamine (dmt)</t>
        </is>
      </c>
      <c r="D423" t="inlineStr">
        <is>
          <t>alkaloid</t>
        </is>
      </c>
      <c r="E423" t="inlineStr">
        <is>
          <t>DMT acts primarily as a serotonergic psychedelic with activity at 5-HT2A receptors, while additional interactions at 5-HT1A, 5-HT2C, and sigma-1 receptors have been reported.</t>
        </is>
      </c>
      <c r="F423" t="inlineStr">
        <is>
          <t>unclassified</t>
        </is>
      </c>
      <c r="W423" t="n">
        <v>2</v>
      </c>
      <c r="X423" t="inlineStr">
        <is>
          <t>Low</t>
        </is>
      </c>
      <c r="Z423" t="inlineStr">
        <is>
          <t>n-dimethyltryptamine</t>
        </is>
      </c>
      <c r="AF423" t="inlineStr">
        <is>
          <t>n dimethyltryptamine</t>
        </is>
      </c>
      <c r="AH423" t="inlineStr">
        <is>
          <t>Pass 45 duplicate consolidation</t>
        </is>
      </c>
      <c r="AI423" t="inlineStr">
        <is>
          <t>alkaloid</t>
        </is>
      </c>
      <c r="AJ423" t="inlineStr">
        <is>
          <t>Unknown</t>
        </is>
      </c>
      <c r="AK423" t="inlineStr">
        <is>
          <t>unclassified</t>
        </is>
      </c>
      <c r="AL423" t="inlineStr">
        <is>
          <t>Pass 46 mechanism + evidence consolidation</t>
        </is>
      </c>
      <c r="AM423" t="n">
        <v>3</v>
      </c>
      <c r="AN423" t="inlineStr">
        <is>
          <t>D</t>
        </is>
      </c>
      <c r="AO423" t="inlineStr">
        <is>
          <t>Pass 47 compound scoring</t>
        </is>
      </c>
    </row>
    <row r="424">
      <c r="A424" t="inlineStr">
        <is>
          <t>n-methylasimilobine</t>
        </is>
      </c>
      <c r="B424" t="inlineStr">
        <is>
          <t>n-methylasimilobine</t>
        </is>
      </c>
      <c r="D424" t="inlineStr">
        <is>
          <t>other</t>
        </is>
      </c>
      <c r="E424" t="inlineStr">
        <is>
          <t>insufficient evidence</t>
        </is>
      </c>
      <c r="F424" t="inlineStr">
        <is>
          <t>unclassified</t>
        </is>
      </c>
      <c r="W424" t="n">
        <v>2</v>
      </c>
      <c r="X424" t="inlineStr">
        <is>
          <t>Low</t>
        </is>
      </c>
      <c r="Z424" t="inlineStr">
        <is>
          <t>n-methylasimilobine</t>
        </is>
      </c>
      <c r="AF424" t="inlineStr">
        <is>
          <t>n methylasimilobine</t>
        </is>
      </c>
      <c r="AH424" t="inlineStr">
        <is>
          <t>Pass 45 duplicate consolidation</t>
        </is>
      </c>
      <c r="AI424" t="inlineStr">
        <is>
          <t>other</t>
        </is>
      </c>
      <c r="AJ424" t="inlineStr">
        <is>
          <t>Unknown</t>
        </is>
      </c>
      <c r="AK424" t="inlineStr">
        <is>
          <t>unclassified</t>
        </is>
      </c>
      <c r="AL424" t="inlineStr">
        <is>
          <t>Pass 46 mechanism + evidence consolidation</t>
        </is>
      </c>
      <c r="AM424" t="n">
        <v>3</v>
      </c>
      <c r="AN424" t="inlineStr">
        <is>
          <t>D</t>
        </is>
      </c>
      <c r="AO424" t="inlineStr">
        <is>
          <t>Pass 47 compound scoring</t>
        </is>
      </c>
    </row>
    <row r="425">
      <c r="A425" t="inlineStr">
        <is>
          <t>n-methyltryptamine</t>
        </is>
      </c>
      <c r="B425" t="inlineStr">
        <is>
          <t>n-methyltryptamine (nmt)</t>
        </is>
      </c>
      <c r="D425" t="inlineStr">
        <is>
          <t>alkaloid</t>
        </is>
      </c>
      <c r="E425" t="inlineStr">
        <is>
          <t>DMT acts primarily as a 5-HT2A receptor agonist with additional sigma-1 receptor activity (proposed).</t>
        </is>
      </c>
      <c r="F425" t="inlineStr">
        <is>
          <t>unclassified</t>
        </is>
      </c>
      <c r="W425" t="n">
        <v>2</v>
      </c>
      <c r="X425" t="inlineStr">
        <is>
          <t>Low</t>
        </is>
      </c>
      <c r="Z425" t="inlineStr">
        <is>
          <t>n-methyltryptamine</t>
        </is>
      </c>
      <c r="AF425" t="inlineStr">
        <is>
          <t>n methyltryptamine</t>
        </is>
      </c>
      <c r="AH425" t="inlineStr">
        <is>
          <t>Pass 45 duplicate consolidation</t>
        </is>
      </c>
      <c r="AI425" t="inlineStr">
        <is>
          <t>alkaloid</t>
        </is>
      </c>
      <c r="AJ425" t="inlineStr">
        <is>
          <t>Unknown</t>
        </is>
      </c>
      <c r="AK425" t="inlineStr">
        <is>
          <t>unclassified</t>
        </is>
      </c>
      <c r="AL425" t="inlineStr">
        <is>
          <t>Pass 46 mechanism + evidence consolidation</t>
        </is>
      </c>
      <c r="AM425" t="n">
        <v>3</v>
      </c>
      <c r="AN425" t="inlineStr">
        <is>
          <t>D</t>
        </is>
      </c>
      <c r="AO425" t="inlineStr">
        <is>
          <t>Pass 47 compound scoring</t>
        </is>
      </c>
    </row>
    <row r="426">
      <c r="A426" t="inlineStr">
        <is>
          <t>n-monomethylhistamine</t>
        </is>
      </c>
      <c r="B426" t="inlineStr">
        <is>
          <t>n-monomethylhistamine</t>
        </is>
      </c>
      <c r="D426" t="inlineStr">
        <is>
          <t>other</t>
        </is>
      </c>
      <c r="E426" t="inlineStr">
        <is>
          <t>insufficient evidence</t>
        </is>
      </c>
      <c r="F426" t="inlineStr">
        <is>
          <t>unclassified</t>
        </is>
      </c>
      <c r="W426" t="n">
        <v>2</v>
      </c>
      <c r="X426" t="inlineStr">
        <is>
          <t>Low</t>
        </is>
      </c>
      <c r="Z426" t="inlineStr">
        <is>
          <t>n-monomethylhistamine</t>
        </is>
      </c>
      <c r="AF426" t="inlineStr">
        <is>
          <t>n monomethylhistamine</t>
        </is>
      </c>
      <c r="AH426" t="inlineStr">
        <is>
          <t>Pass 45 duplicate consolidation</t>
        </is>
      </c>
      <c r="AI426" t="inlineStr">
        <is>
          <t>other</t>
        </is>
      </c>
      <c r="AJ426" t="inlineStr">
        <is>
          <t>Unknown</t>
        </is>
      </c>
      <c r="AK426" t="inlineStr">
        <is>
          <t>unclassified</t>
        </is>
      </c>
      <c r="AL426" t="inlineStr">
        <is>
          <t>Pass 46 mechanism + evidence consolidation</t>
        </is>
      </c>
      <c r="AM426" t="n">
        <v>3</v>
      </c>
      <c r="AN426" t="inlineStr">
        <is>
          <t>D</t>
        </is>
      </c>
      <c r="AO426" t="inlineStr">
        <is>
          <t>Pass 47 compound scoring</t>
        </is>
      </c>
    </row>
    <row r="427">
      <c r="A427" t="inlineStr">
        <is>
          <t>neoquassin</t>
        </is>
      </c>
      <c r="B427" t="inlineStr">
        <is>
          <t>neoquassin</t>
        </is>
      </c>
      <c r="D427" t="inlineStr">
        <is>
          <t>other</t>
        </is>
      </c>
      <c r="E427" t="inlineStr">
        <is>
          <t>insufficient evidence</t>
        </is>
      </c>
      <c r="F427" t="inlineStr">
        <is>
          <t>unclassified</t>
        </is>
      </c>
      <c r="W427" t="n">
        <v>2</v>
      </c>
      <c r="X427" t="inlineStr">
        <is>
          <t>Low</t>
        </is>
      </c>
      <c r="Z427" t="inlineStr">
        <is>
          <t>neoquassin</t>
        </is>
      </c>
      <c r="AF427" t="inlineStr">
        <is>
          <t>neoquassin</t>
        </is>
      </c>
      <c r="AH427" t="inlineStr">
        <is>
          <t>Pass 45 duplicate consolidation</t>
        </is>
      </c>
      <c r="AI427" t="inlineStr">
        <is>
          <t>other</t>
        </is>
      </c>
      <c r="AJ427" t="inlineStr">
        <is>
          <t>Unknown</t>
        </is>
      </c>
      <c r="AK427" t="inlineStr">
        <is>
          <t>unclassified</t>
        </is>
      </c>
      <c r="AL427" t="inlineStr">
        <is>
          <t>Pass 46 mechanism + evidence consolidation</t>
        </is>
      </c>
      <c r="AM427" t="n">
        <v>3</v>
      </c>
      <c r="AN427" t="inlineStr">
        <is>
          <t>D</t>
        </is>
      </c>
      <c r="AO427" t="inlineStr">
        <is>
          <t>Pass 47 compound scoring</t>
        </is>
      </c>
    </row>
    <row r="428">
      <c r="A428" t="inlineStr">
        <is>
          <t>neral</t>
        </is>
      </c>
      <c r="B428" t="inlineStr">
        <is>
          <t>neral</t>
        </is>
      </c>
      <c r="D428" t="inlineStr">
        <is>
          <t>flavonoids</t>
        </is>
      </c>
      <c r="E428" t="inlineStr">
        <is>
          <t>insufficient evidence</t>
        </is>
      </c>
      <c r="F428" t="inlineStr">
        <is>
          <t>unclassified</t>
        </is>
      </c>
      <c r="W428" t="n">
        <v>2</v>
      </c>
      <c r="X428" t="inlineStr">
        <is>
          <t>Low</t>
        </is>
      </c>
      <c r="Z428" t="inlineStr">
        <is>
          <t>neral</t>
        </is>
      </c>
      <c r="AF428" t="inlineStr">
        <is>
          <t>neral</t>
        </is>
      </c>
      <c r="AH428" t="inlineStr">
        <is>
          <t>Pass 45 duplicate consolidation</t>
        </is>
      </c>
      <c r="AI428" t="inlineStr">
        <is>
          <t>flavonoids</t>
        </is>
      </c>
      <c r="AJ428" t="inlineStr">
        <is>
          <t>Unknown</t>
        </is>
      </c>
      <c r="AK428" t="inlineStr">
        <is>
          <t>unclassified</t>
        </is>
      </c>
      <c r="AL428" t="inlineStr">
        <is>
          <t>Pass 46 mechanism + evidence consolidation</t>
        </is>
      </c>
      <c r="AM428" t="n">
        <v>3</v>
      </c>
      <c r="AN428" t="inlineStr">
        <is>
          <t>D</t>
        </is>
      </c>
      <c r="AO428" t="inlineStr">
        <is>
          <t>Pass 47 compound scoring</t>
        </is>
      </c>
    </row>
    <row r="429">
      <c r="A429" t="inlineStr">
        <is>
          <t>neriine</t>
        </is>
      </c>
      <c r="B429" t="inlineStr">
        <is>
          <t>neriine</t>
        </is>
      </c>
      <c r="D429" t="inlineStr">
        <is>
          <t>cardiac glycosides</t>
        </is>
      </c>
      <c r="E429" t="inlineStr">
        <is>
          <t>insufficient evidence</t>
        </is>
      </c>
      <c r="F429" t="inlineStr">
        <is>
          <t>unclassified</t>
        </is>
      </c>
      <c r="W429" t="n">
        <v>2</v>
      </c>
      <c r="X429" t="inlineStr">
        <is>
          <t>Low</t>
        </is>
      </c>
      <c r="Z429" t="inlineStr">
        <is>
          <t>neriine</t>
        </is>
      </c>
      <c r="AF429" t="inlineStr">
        <is>
          <t>neriine</t>
        </is>
      </c>
      <c r="AH429" t="inlineStr">
        <is>
          <t>Pass 45 duplicate consolidation</t>
        </is>
      </c>
      <c r="AI429" t="inlineStr">
        <is>
          <t>cardiac glycosides</t>
        </is>
      </c>
      <c r="AJ429" t="inlineStr">
        <is>
          <t>Unknown</t>
        </is>
      </c>
      <c r="AK429" t="inlineStr">
        <is>
          <t>unclassified</t>
        </is>
      </c>
      <c r="AL429" t="inlineStr">
        <is>
          <t>Pass 46 mechanism + evidence consolidation</t>
        </is>
      </c>
      <c r="AM429" t="n">
        <v>3</v>
      </c>
      <c r="AN429" t="inlineStr">
        <is>
          <t>D</t>
        </is>
      </c>
      <c r="AO429" t="inlineStr">
        <is>
          <t>Pass 47 compound scoring</t>
        </is>
      </c>
    </row>
    <row r="430">
      <c r="A430" t="inlineStr">
        <is>
          <t>nesodine</t>
        </is>
      </c>
      <c r="B430" t="inlineStr">
        <is>
          <t>nesodine</t>
        </is>
      </c>
      <c r="D430" t="inlineStr">
        <is>
          <t>other</t>
        </is>
      </c>
      <c r="E430" t="inlineStr">
        <is>
          <t>Primary alkaloid cryogenine (vertine) has CNS activity; precise receptor targets are not well-characterized in humans. Marked as mechanism not fully established.</t>
        </is>
      </c>
      <c r="F430" t="inlineStr">
        <is>
          <t>unclassified</t>
        </is>
      </c>
      <c r="W430" t="n">
        <v>2</v>
      </c>
      <c r="X430" t="inlineStr">
        <is>
          <t>Low</t>
        </is>
      </c>
      <c r="Z430" t="inlineStr">
        <is>
          <t>nesodine</t>
        </is>
      </c>
      <c r="AF430" t="inlineStr">
        <is>
          <t>nesodine</t>
        </is>
      </c>
      <c r="AH430" t="inlineStr">
        <is>
          <t>Pass 45 duplicate consolidation</t>
        </is>
      </c>
      <c r="AI430" t="inlineStr">
        <is>
          <t>other</t>
        </is>
      </c>
      <c r="AJ430" t="inlineStr">
        <is>
          <t>Human</t>
        </is>
      </c>
      <c r="AK430" t="inlineStr">
        <is>
          <t>unclassified</t>
        </is>
      </c>
      <c r="AL430" t="inlineStr">
        <is>
          <t>Pass 46 mechanism + evidence consolidation</t>
        </is>
      </c>
      <c r="AM430" t="n">
        <v>7</v>
      </c>
      <c r="AN430" t="inlineStr">
        <is>
          <t>B</t>
        </is>
      </c>
      <c r="AO430" t="inlineStr">
        <is>
          <t>Pass 47 compound scoring</t>
        </is>
      </c>
    </row>
    <row r="431">
      <c r="A431" t="inlineStr">
        <is>
          <t>niacin</t>
        </is>
      </c>
      <c r="B431" t="inlineStr">
        <is>
          <t>niacin</t>
        </is>
      </c>
      <c r="D431" t="inlineStr">
        <is>
          <t>water-soluble vitamin</t>
        </is>
      </c>
      <c r="E431" t="inlineStr">
        <is>
          <t>Converted to the coenzymes NAD and NADP, which support more than 400 enzymatic reactions in cellular redox metabolism, ATP production, genome maintenance, gene expression, and cellular communication.</t>
        </is>
      </c>
      <c r="F431" t="inlineStr">
        <is>
          <t>unclassified</t>
        </is>
      </c>
      <c r="W431" t="n">
        <v>2</v>
      </c>
      <c r="X431" t="inlineStr">
        <is>
          <t>Low</t>
        </is>
      </c>
      <c r="Z431" t="inlineStr">
        <is>
          <t>niacin</t>
        </is>
      </c>
      <c r="AF431" t="inlineStr">
        <is>
          <t>niacin</t>
        </is>
      </c>
      <c r="AH431" t="inlineStr">
        <is>
          <t>Pass 45 duplicate consolidation</t>
        </is>
      </c>
      <c r="AI431" t="inlineStr">
        <is>
          <t>water-soluble vitamin</t>
        </is>
      </c>
      <c r="AJ431" t="inlineStr">
        <is>
          <t>Unknown</t>
        </is>
      </c>
      <c r="AK431" t="inlineStr">
        <is>
          <t>unclassified</t>
        </is>
      </c>
      <c r="AL431" t="inlineStr">
        <is>
          <t>Pass 46 mechanism + evidence consolidation</t>
        </is>
      </c>
      <c r="AM431" t="n">
        <v>3</v>
      </c>
      <c r="AN431" t="inlineStr">
        <is>
          <t>D</t>
        </is>
      </c>
      <c r="AO431" t="inlineStr">
        <is>
          <t>Pass 47 compound scoring</t>
        </is>
      </c>
    </row>
    <row r="432">
      <c r="A432" t="inlineStr">
        <is>
          <t>nicotine</t>
        </is>
      </c>
      <c r="B432" t="inlineStr">
        <is>
          <t>nicotine</t>
        </is>
      </c>
      <c r="D432" t="inlineStr">
        <is>
          <t>other</t>
        </is>
      </c>
      <c r="E432" t="inlineStr">
        <is>
          <t>Nicotine acts as an agonist at nicotinic acetylcholine receptors, increasing dopamine and norepinephrine release.</t>
        </is>
      </c>
      <c r="F432" t="inlineStr">
        <is>
          <t>unclassified</t>
        </is>
      </c>
      <c r="W432" t="n">
        <v>2</v>
      </c>
      <c r="X432" t="inlineStr">
        <is>
          <t>Low</t>
        </is>
      </c>
      <c r="Z432" t="inlineStr">
        <is>
          <t>nicotine</t>
        </is>
      </c>
      <c r="AF432" t="inlineStr">
        <is>
          <t>nicotine</t>
        </is>
      </c>
      <c r="AH432" t="inlineStr">
        <is>
          <t>Pass 45 duplicate consolidation</t>
        </is>
      </c>
      <c r="AI432" t="inlineStr">
        <is>
          <t>other</t>
        </is>
      </c>
      <c r="AJ432" t="inlineStr">
        <is>
          <t>Unknown</t>
        </is>
      </c>
      <c r="AK432" t="inlineStr">
        <is>
          <t>unclassified</t>
        </is>
      </c>
      <c r="AL432" t="inlineStr">
        <is>
          <t>Pass 46 mechanism + evidence consolidation</t>
        </is>
      </c>
      <c r="AM432" t="n">
        <v>3</v>
      </c>
      <c r="AN432" t="inlineStr">
        <is>
          <t>D</t>
        </is>
      </c>
      <c r="AO432" t="inlineStr">
        <is>
          <t>Pass 47 compound scoring</t>
        </is>
      </c>
    </row>
    <row r="433">
      <c r="A433" t="inlineStr">
        <is>
          <t>Nicotinic acid</t>
        </is>
      </c>
      <c r="B433" t="inlineStr">
        <is>
          <t>Vitamin</t>
        </is>
      </c>
      <c r="C433" t="inlineStr">
        <is>
          <t>Mucuna pruriens</t>
        </is>
      </c>
      <c r="D433" t="inlineStr">
        <is>
          <t>Metabolic support</t>
        </is>
      </c>
      <c r="E433" t="inlineStr">
        <is>
          <t>Human</t>
        </is>
      </c>
      <c r="F433" t="inlineStr">
        <is>
          <t>unclassified</t>
        </is>
      </c>
      <c r="W433" t="n">
        <v>2</v>
      </c>
      <c r="X433" t="inlineStr">
        <is>
          <t>Low</t>
        </is>
      </c>
      <c r="Z433" t="inlineStr">
        <is>
          <t>Nicotinic acid</t>
        </is>
      </c>
      <c r="AF433" t="inlineStr">
        <is>
          <t>nicotinic acid</t>
        </is>
      </c>
      <c r="AH433" t="inlineStr">
        <is>
          <t>Pass 45 duplicate consolidation</t>
        </is>
      </c>
      <c r="AI433" t="inlineStr">
        <is>
          <t>Metabolic support</t>
        </is>
      </c>
      <c r="AJ433" t="inlineStr">
        <is>
          <t>Human</t>
        </is>
      </c>
      <c r="AK433" t="inlineStr">
        <is>
          <t>unclassified</t>
        </is>
      </c>
      <c r="AL433" t="inlineStr">
        <is>
          <t>Pass 46 mechanism + evidence consolidation</t>
        </is>
      </c>
      <c r="AM433" t="n">
        <v>7</v>
      </c>
      <c r="AN433" t="inlineStr">
        <is>
          <t>B</t>
        </is>
      </c>
      <c r="AO433" t="inlineStr">
        <is>
          <t>Pass 47 compound scoring</t>
        </is>
      </c>
    </row>
    <row r="434">
      <c r="A434" t="inlineStr">
        <is>
          <t>nigellone</t>
        </is>
      </c>
      <c r="B434" t="inlineStr">
        <is>
          <t>nigellone</t>
        </is>
      </c>
      <c r="D434" t="inlineStr">
        <is>
          <t>Thymoquinone, nigellone, essential oils</t>
        </is>
      </c>
      <c r="E434" t="inlineStr">
        <is>
          <t>insufficient evidence</t>
        </is>
      </c>
      <c r="F434" t="inlineStr">
        <is>
          <t>unclassified</t>
        </is>
      </c>
      <c r="W434" t="n">
        <v>2</v>
      </c>
      <c r="X434" t="inlineStr">
        <is>
          <t>Low</t>
        </is>
      </c>
      <c r="Z434" t="inlineStr">
        <is>
          <t>nigellone</t>
        </is>
      </c>
      <c r="AF434" t="inlineStr">
        <is>
          <t>nigellone</t>
        </is>
      </c>
      <c r="AH434" t="inlineStr">
        <is>
          <t>Pass 45 duplicate consolidation</t>
        </is>
      </c>
      <c r="AI434" t="inlineStr">
        <is>
          <t>Thymoquinone, nigellone, essential oils</t>
        </is>
      </c>
      <c r="AJ434" t="inlineStr">
        <is>
          <t>Unknown</t>
        </is>
      </c>
      <c r="AK434" t="inlineStr">
        <is>
          <t>unclassified</t>
        </is>
      </c>
      <c r="AL434" t="inlineStr">
        <is>
          <t>Pass 46 mechanism + evidence consolidation</t>
        </is>
      </c>
      <c r="AM434" t="n">
        <v>3</v>
      </c>
      <c r="AN434" t="inlineStr">
        <is>
          <t>D</t>
        </is>
      </c>
      <c r="AO434" t="inlineStr">
        <is>
          <t>Pass 47 compound scoring</t>
        </is>
      </c>
    </row>
    <row r="435">
      <c r="A435" t="inlineStr">
        <is>
          <t>nimbin</t>
        </is>
      </c>
      <c r="B435" t="inlineStr">
        <is>
          <t>nimbin</t>
        </is>
      </c>
      <c r="D435" t="inlineStr">
        <is>
          <t>other</t>
        </is>
      </c>
      <c r="E435" t="inlineStr">
        <is>
          <t>insufficient evidence</t>
        </is>
      </c>
      <c r="F435" t="inlineStr">
        <is>
          <t>unclassified</t>
        </is>
      </c>
      <c r="W435" t="n">
        <v>2</v>
      </c>
      <c r="X435" t="inlineStr">
        <is>
          <t>Low</t>
        </is>
      </c>
      <c r="Z435" t="inlineStr">
        <is>
          <t>nimbin</t>
        </is>
      </c>
      <c r="AF435" t="inlineStr">
        <is>
          <t>nimbin</t>
        </is>
      </c>
      <c r="AH435" t="inlineStr">
        <is>
          <t>Pass 45 duplicate consolidation</t>
        </is>
      </c>
      <c r="AI435" t="inlineStr">
        <is>
          <t>other</t>
        </is>
      </c>
      <c r="AJ435" t="inlineStr">
        <is>
          <t>Unknown</t>
        </is>
      </c>
      <c r="AK435" t="inlineStr">
        <is>
          <t>unclassified</t>
        </is>
      </c>
      <c r="AL435" t="inlineStr">
        <is>
          <t>Pass 46 mechanism + evidence consolidation</t>
        </is>
      </c>
      <c r="AM435" t="n">
        <v>3</v>
      </c>
      <c r="AN435" t="inlineStr">
        <is>
          <t>D</t>
        </is>
      </c>
      <c r="AO435" t="inlineStr">
        <is>
          <t>Pass 47 compound scoring</t>
        </is>
      </c>
    </row>
    <row r="436">
      <c r="A436" t="inlineStr">
        <is>
          <t>nordihydrocapsaicin</t>
        </is>
      </c>
      <c r="B436" t="inlineStr">
        <is>
          <t>nordihydrocapsaicin</t>
        </is>
      </c>
      <c r="D436" t="inlineStr">
        <is>
          <t>other</t>
        </is>
      </c>
      <c r="E436" t="inlineStr">
        <is>
          <t>Capsaicinoids, especially capsaicin, act primarily as TRPV1 agonists; downstream effects include sensory neuron activation followed by desensitization and antinociceptive effects.</t>
        </is>
      </c>
      <c r="F436" t="inlineStr">
        <is>
          <t>unclassified</t>
        </is>
      </c>
      <c r="W436" t="n">
        <v>2</v>
      </c>
      <c r="X436" t="inlineStr">
        <is>
          <t>Low</t>
        </is>
      </c>
      <c r="Z436" t="inlineStr">
        <is>
          <t>nordihydrocapsaicin</t>
        </is>
      </c>
      <c r="AF436" t="inlineStr">
        <is>
          <t>nordihydrocapsaicin</t>
        </is>
      </c>
      <c r="AH436" t="inlineStr">
        <is>
          <t>Pass 45 duplicate consolidation</t>
        </is>
      </c>
      <c r="AI436" t="inlineStr">
        <is>
          <t>other</t>
        </is>
      </c>
      <c r="AJ436" t="inlineStr">
        <is>
          <t>Unknown</t>
        </is>
      </c>
      <c r="AK436" t="inlineStr">
        <is>
          <t>unclassified</t>
        </is>
      </c>
      <c r="AL436" t="inlineStr">
        <is>
          <t>Pass 46 mechanism + evidence consolidation</t>
        </is>
      </c>
      <c r="AM436" t="n">
        <v>3</v>
      </c>
      <c r="AN436" t="inlineStr">
        <is>
          <t>D</t>
        </is>
      </c>
      <c r="AO436" t="inlineStr">
        <is>
          <t>Pass 47 compound scoring</t>
        </is>
      </c>
    </row>
    <row r="437">
      <c r="A437" t="inlineStr">
        <is>
          <t>norephedrine</t>
        </is>
      </c>
      <c r="B437" t="inlineStr">
        <is>
          <t>norephedrine</t>
        </is>
      </c>
      <c r="D437" t="inlineStr">
        <is>
          <t>other</t>
        </is>
      </c>
      <c r="E437" t="inlineStr">
        <is>
          <t>insufficient evidence</t>
        </is>
      </c>
      <c r="F437" t="inlineStr">
        <is>
          <t>unclassified</t>
        </is>
      </c>
      <c r="W437" t="n">
        <v>2</v>
      </c>
      <c r="X437" t="inlineStr">
        <is>
          <t>Low</t>
        </is>
      </c>
      <c r="Z437" t="inlineStr">
        <is>
          <t>norephedrine</t>
        </is>
      </c>
      <c r="AF437" t="inlineStr">
        <is>
          <t>norephedrine</t>
        </is>
      </c>
      <c r="AH437" t="inlineStr">
        <is>
          <t>Pass 45 duplicate consolidation</t>
        </is>
      </c>
      <c r="AI437" t="inlineStr">
        <is>
          <t>other</t>
        </is>
      </c>
      <c r="AJ437" t="inlineStr">
        <is>
          <t>Unknown</t>
        </is>
      </c>
      <c r="AK437" t="inlineStr">
        <is>
          <t>unclassified</t>
        </is>
      </c>
      <c r="AL437" t="inlineStr">
        <is>
          <t>Pass 46 mechanism + evidence consolidation</t>
        </is>
      </c>
      <c r="AM437" t="n">
        <v>3</v>
      </c>
      <c r="AN437" t="inlineStr">
        <is>
          <t>D</t>
        </is>
      </c>
      <c r="AO437" t="inlineStr">
        <is>
          <t>Pass 47 compound scoring</t>
        </is>
      </c>
    </row>
    <row r="438">
      <c r="A438" t="inlineStr">
        <is>
          <t>nornicotine</t>
        </is>
      </c>
      <c r="B438" t="inlineStr">
        <is>
          <t>nornicotine</t>
        </is>
      </c>
      <c r="D438" t="inlineStr">
        <is>
          <t>other</t>
        </is>
      </c>
      <c r="E438" t="inlineStr">
        <is>
          <t>Nicotine acts as an agonist at nicotinic acetylcholine receptors, increasing dopamine and norepinephrine release.</t>
        </is>
      </c>
      <c r="F438" t="inlineStr">
        <is>
          <t>unclassified</t>
        </is>
      </c>
      <c r="W438" t="n">
        <v>2</v>
      </c>
      <c r="X438" t="inlineStr">
        <is>
          <t>Low</t>
        </is>
      </c>
      <c r="Z438" t="inlineStr">
        <is>
          <t>nornicotine</t>
        </is>
      </c>
      <c r="AF438" t="inlineStr">
        <is>
          <t>nornicotine</t>
        </is>
      </c>
      <c r="AH438" t="inlineStr">
        <is>
          <t>Pass 45 duplicate consolidation</t>
        </is>
      </c>
      <c r="AI438" t="inlineStr">
        <is>
          <t>other</t>
        </is>
      </c>
      <c r="AJ438" t="inlineStr">
        <is>
          <t>Unknown</t>
        </is>
      </c>
      <c r="AK438" t="inlineStr">
        <is>
          <t>unclassified</t>
        </is>
      </c>
      <c r="AL438" t="inlineStr">
        <is>
          <t>Pass 46 mechanism + evidence consolidation</t>
        </is>
      </c>
      <c r="AM438" t="n">
        <v>3</v>
      </c>
      <c r="AN438" t="inlineStr">
        <is>
          <t>D</t>
        </is>
      </c>
      <c r="AO438" t="inlineStr">
        <is>
          <t>Pass 47 compound scoring</t>
        </is>
      </c>
    </row>
    <row r="439">
      <c r="A439" t="inlineStr">
        <is>
          <t>notoginsenoside r1</t>
        </is>
      </c>
      <c r="B439" t="inlineStr">
        <is>
          <t>notoginsenoside R1</t>
        </is>
      </c>
      <c r="D439" t="inlineStr">
        <is>
          <t>triterpene saponin</t>
        </is>
      </c>
      <c r="E439" t="inlineStr">
        <is>
          <t>Notoginseng constituent associated with vascular and recovery positioning.</t>
        </is>
      </c>
      <c r="F439" t="inlineStr">
        <is>
          <t>unclassified</t>
        </is>
      </c>
      <c r="W439" t="n">
        <v>2</v>
      </c>
      <c r="X439" t="inlineStr">
        <is>
          <t>Low</t>
        </is>
      </c>
      <c r="Z439" t="inlineStr">
        <is>
          <t>notoginsenoside r1</t>
        </is>
      </c>
      <c r="AF439" t="inlineStr">
        <is>
          <t>notoginsenoside r1</t>
        </is>
      </c>
      <c r="AH439" t="inlineStr">
        <is>
          <t>Pass 45 duplicate consolidation</t>
        </is>
      </c>
      <c r="AI439" t="inlineStr">
        <is>
          <t>triterpene saponin</t>
        </is>
      </c>
      <c r="AJ439" t="inlineStr">
        <is>
          <t>Unknown</t>
        </is>
      </c>
      <c r="AK439" t="inlineStr">
        <is>
          <t>unclassified</t>
        </is>
      </c>
      <c r="AL439" t="inlineStr">
        <is>
          <t>Pass 46 mechanism + evidence consolidation</t>
        </is>
      </c>
      <c r="AM439" t="n">
        <v>3</v>
      </c>
      <c r="AN439" t="inlineStr">
        <is>
          <t>D</t>
        </is>
      </c>
      <c r="AO439" t="inlineStr">
        <is>
          <t>Pass 47 compound scoring</t>
        </is>
      </c>
    </row>
    <row r="440">
      <c r="A440" t="inlineStr">
        <is>
          <t>nuciferine</t>
        </is>
      </c>
      <c r="B440" t="inlineStr">
        <is>
          <t>nuciferine</t>
        </is>
      </c>
      <c r="C440" t="inlineStr">
        <is>
          <t>Blue Lotus</t>
        </is>
      </c>
      <c r="D440" t="inlineStr">
        <is>
          <t>other</t>
        </is>
      </c>
      <c r="E440" t="inlineStr">
        <is>
          <t>Compounds show dopaminergic receptor interaction and mild sedative effects.</t>
        </is>
      </c>
      <c r="F440" t="inlineStr">
        <is>
          <t>unclassified</t>
        </is>
      </c>
      <c r="U440" t="inlineStr">
        <is>
          <t>Pass 13 linked existing compound to additional top herb</t>
        </is>
      </c>
      <c r="W440" t="n">
        <v>2</v>
      </c>
      <c r="X440" t="inlineStr">
        <is>
          <t>Low</t>
        </is>
      </c>
      <c r="Z440" t="inlineStr">
        <is>
          <t>nuciferine</t>
        </is>
      </c>
      <c r="AF440" t="inlineStr">
        <is>
          <t>nuciferine</t>
        </is>
      </c>
      <c r="AH440" t="inlineStr">
        <is>
          <t>Pass 45 duplicate consolidation</t>
        </is>
      </c>
      <c r="AI440" t="inlineStr">
        <is>
          <t>other</t>
        </is>
      </c>
      <c r="AJ440" t="inlineStr">
        <is>
          <t>Unknown</t>
        </is>
      </c>
      <c r="AK440" t="inlineStr">
        <is>
          <t>unclassified</t>
        </is>
      </c>
      <c r="AL440" t="inlineStr">
        <is>
          <t>Pass 46 mechanism + evidence consolidation</t>
        </is>
      </c>
      <c r="AM440" t="n">
        <v>3</v>
      </c>
      <c r="AN440" t="inlineStr">
        <is>
          <t>D</t>
        </is>
      </c>
      <c r="AO440" t="inlineStr">
        <is>
          <t>Pass 47 compound scoring</t>
        </is>
      </c>
    </row>
    <row r="441">
      <c r="A441" t="inlineStr">
        <is>
          <t>oleandrin</t>
        </is>
      </c>
      <c r="B441" t="inlineStr">
        <is>
          <t>oleandrin</t>
        </is>
      </c>
      <c r="D441" t="inlineStr">
        <is>
          <t>cardiac glycosides</t>
        </is>
      </c>
      <c r="E441" t="inlineStr">
        <is>
          <t>insufficient evidence</t>
        </is>
      </c>
      <c r="F441" t="inlineStr">
        <is>
          <t>unclassified</t>
        </is>
      </c>
      <c r="W441" t="n">
        <v>2</v>
      </c>
      <c r="X441" t="inlineStr">
        <is>
          <t>Low</t>
        </is>
      </c>
      <c r="Z441" t="inlineStr">
        <is>
          <t>oleandrin</t>
        </is>
      </c>
      <c r="AF441" t="inlineStr">
        <is>
          <t>oleandrin</t>
        </is>
      </c>
      <c r="AH441" t="inlineStr">
        <is>
          <t>Pass 45 duplicate consolidation</t>
        </is>
      </c>
      <c r="AI441" t="inlineStr">
        <is>
          <t>cardiac glycosides</t>
        </is>
      </c>
      <c r="AJ441" t="inlineStr">
        <is>
          <t>Unknown</t>
        </is>
      </c>
      <c r="AK441" t="inlineStr">
        <is>
          <t>unclassified</t>
        </is>
      </c>
      <c r="AL441" t="inlineStr">
        <is>
          <t>Pass 46 mechanism + evidence consolidation</t>
        </is>
      </c>
      <c r="AM441" t="n">
        <v>3</v>
      </c>
      <c r="AN441" t="inlineStr">
        <is>
          <t>D</t>
        </is>
      </c>
      <c r="AO441" t="inlineStr">
        <is>
          <t>Pass 47 compound scoring</t>
        </is>
      </c>
    </row>
    <row r="442">
      <c r="A442" t="inlineStr">
        <is>
          <t>omega-3 fatty acids</t>
        </is>
      </c>
      <c r="B442" t="inlineStr">
        <is>
          <t>omega-3 fatty acids</t>
        </is>
      </c>
      <c r="D442" t="inlineStr">
        <is>
          <t>polyunsaturated fatty acids</t>
        </is>
      </c>
      <c r="E442" t="inlineStr">
        <is>
          <t>Incorporation into cell membranes with downstream modulation of eicosanoid/resolvin signaling and reduction of hepatic triglyceride production.</t>
        </is>
      </c>
      <c r="F442" t="inlineStr">
        <is>
          <t>unclassified</t>
        </is>
      </c>
      <c r="W442" t="n">
        <v>2</v>
      </c>
      <c r="X442" t="inlineStr">
        <is>
          <t>Low</t>
        </is>
      </c>
      <c r="Z442" t="inlineStr">
        <is>
          <t>omega-3 fatty acids</t>
        </is>
      </c>
      <c r="AF442" t="inlineStr">
        <is>
          <t>omega 3 fatty acids</t>
        </is>
      </c>
      <c r="AH442" t="inlineStr">
        <is>
          <t>Pass 45 duplicate consolidation</t>
        </is>
      </c>
      <c r="AI442" t="inlineStr">
        <is>
          <t>polyunsaturated fatty acids</t>
        </is>
      </c>
      <c r="AJ442" t="inlineStr">
        <is>
          <t>Unknown</t>
        </is>
      </c>
      <c r="AK442" t="inlineStr">
        <is>
          <t>unclassified</t>
        </is>
      </c>
      <c r="AL442" t="inlineStr">
        <is>
          <t>Pass 46 mechanism + evidence consolidation</t>
        </is>
      </c>
      <c r="AM442" t="n">
        <v>3</v>
      </c>
      <c r="AN442" t="inlineStr">
        <is>
          <t>D</t>
        </is>
      </c>
      <c r="AO442" t="inlineStr">
        <is>
          <t>Pass 47 compound scoring</t>
        </is>
      </c>
    </row>
    <row r="443">
      <c r="A443" t="inlineStr">
        <is>
          <t>ophiopogonin d</t>
        </is>
      </c>
      <c r="B443" t="inlineStr">
        <is>
          <t>ophiopogonin D</t>
        </is>
      </c>
      <c r="D443" t="inlineStr">
        <is>
          <t>steroidal saponin</t>
        </is>
      </c>
      <c r="E443" t="inlineStr">
        <is>
          <t>Ophiopogon constituent associated with demulcent and respiratory positioning.</t>
        </is>
      </c>
      <c r="F443" t="inlineStr">
        <is>
          <t>unclassified</t>
        </is>
      </c>
      <c r="W443" t="n">
        <v>2</v>
      </c>
      <c r="X443" t="inlineStr">
        <is>
          <t>Low</t>
        </is>
      </c>
      <c r="Z443" t="inlineStr">
        <is>
          <t>ophiopogonin d</t>
        </is>
      </c>
      <c r="AF443" t="inlineStr">
        <is>
          <t>ophiopogonin d</t>
        </is>
      </c>
      <c r="AH443" t="inlineStr">
        <is>
          <t>Pass 45 duplicate consolidation</t>
        </is>
      </c>
      <c r="AI443" t="inlineStr">
        <is>
          <t>steroidal saponin</t>
        </is>
      </c>
      <c r="AJ443" t="inlineStr">
        <is>
          <t>Unknown</t>
        </is>
      </c>
      <c r="AK443" t="inlineStr">
        <is>
          <t>unclassified</t>
        </is>
      </c>
      <c r="AL443" t="inlineStr">
        <is>
          <t>Pass 46 mechanism + evidence consolidation</t>
        </is>
      </c>
      <c r="AM443" t="n">
        <v>3</v>
      </c>
      <c r="AN443" t="inlineStr">
        <is>
          <t>D</t>
        </is>
      </c>
      <c r="AO443" t="inlineStr">
        <is>
          <t>Pass 47 compound scoring</t>
        </is>
      </c>
    </row>
    <row r="444">
      <c r="A444" t="inlineStr">
        <is>
          <t>osthole</t>
        </is>
      </c>
      <c r="B444" t="inlineStr">
        <is>
          <t>osthole</t>
        </is>
      </c>
      <c r="D444" t="inlineStr">
        <is>
          <t>Osthole, coumarins, volatile oils</t>
        </is>
      </c>
      <c r="E444" t="inlineStr">
        <is>
          <t>insufficient evidence</t>
        </is>
      </c>
      <c r="F444" t="inlineStr">
        <is>
          <t>unclassified</t>
        </is>
      </c>
      <c r="W444" t="n">
        <v>2</v>
      </c>
      <c r="X444" t="inlineStr">
        <is>
          <t>Low</t>
        </is>
      </c>
      <c r="Z444" t="inlineStr">
        <is>
          <t>osthole</t>
        </is>
      </c>
      <c r="AF444" t="inlineStr">
        <is>
          <t>osthole</t>
        </is>
      </c>
      <c r="AH444" t="inlineStr">
        <is>
          <t>Pass 45 duplicate consolidation</t>
        </is>
      </c>
      <c r="AI444" t="inlineStr">
        <is>
          <t>Osthole, coumarins, volatile oils</t>
        </is>
      </c>
      <c r="AJ444" t="inlineStr">
        <is>
          <t>Unknown</t>
        </is>
      </c>
      <c r="AK444" t="inlineStr">
        <is>
          <t>unclassified</t>
        </is>
      </c>
      <c r="AL444" t="inlineStr">
        <is>
          <t>Pass 46 mechanism + evidence consolidation</t>
        </is>
      </c>
      <c r="AM444" t="n">
        <v>3</v>
      </c>
      <c r="AN444" t="inlineStr">
        <is>
          <t>D</t>
        </is>
      </c>
      <c r="AO444" t="inlineStr">
        <is>
          <t>Pass 47 compound scoring</t>
        </is>
      </c>
    </row>
    <row r="445">
      <c r="A445" t="inlineStr">
        <is>
          <t>oxyacanthine</t>
        </is>
      </c>
      <c r="B445" t="inlineStr">
        <is>
          <t>oxyacanthine</t>
        </is>
      </c>
      <c r="D445" t="inlineStr">
        <is>
          <t>other</t>
        </is>
      </c>
      <c r="E445" t="inlineStr">
        <is>
          <t>insufficient evidence</t>
        </is>
      </c>
      <c r="F445" t="inlineStr">
        <is>
          <t>unclassified</t>
        </is>
      </c>
      <c r="W445" t="n">
        <v>2</v>
      </c>
      <c r="X445" t="inlineStr">
        <is>
          <t>Low</t>
        </is>
      </c>
      <c r="Z445" t="inlineStr">
        <is>
          <t>oxyacanthine</t>
        </is>
      </c>
      <c r="AF445" t="inlineStr">
        <is>
          <t>oxyacanthine</t>
        </is>
      </c>
      <c r="AH445" t="inlineStr">
        <is>
          <t>Pass 45 duplicate consolidation</t>
        </is>
      </c>
      <c r="AI445" t="inlineStr">
        <is>
          <t>other</t>
        </is>
      </c>
      <c r="AJ445" t="inlineStr">
        <is>
          <t>Unknown</t>
        </is>
      </c>
      <c r="AK445" t="inlineStr">
        <is>
          <t>unclassified</t>
        </is>
      </c>
      <c r="AL445" t="inlineStr">
        <is>
          <t>Pass 46 mechanism + evidence consolidation</t>
        </is>
      </c>
      <c r="AM445" t="n">
        <v>3</v>
      </c>
      <c r="AN445" t="inlineStr">
        <is>
          <t>D</t>
        </is>
      </c>
      <c r="AO445" t="inlineStr">
        <is>
          <t>Pass 47 compound scoring</t>
        </is>
      </c>
    </row>
    <row r="446">
      <c r="A446" t="inlineStr">
        <is>
          <t>oxyberberine</t>
        </is>
      </c>
      <c r="B446" t="inlineStr">
        <is>
          <t>oxyberberine</t>
        </is>
      </c>
      <c r="D446" t="inlineStr">
        <is>
          <t>protopine alkaloids</t>
        </is>
      </c>
      <c r="E446" t="inlineStr">
        <is>
          <t>insufficient evidence</t>
        </is>
      </c>
      <c r="F446" t="inlineStr">
        <is>
          <t>unclassified</t>
        </is>
      </c>
      <c r="W446" t="n">
        <v>2</v>
      </c>
      <c r="X446" t="inlineStr">
        <is>
          <t>Low</t>
        </is>
      </c>
      <c r="Z446" t="inlineStr">
        <is>
          <t>oxyberberine</t>
        </is>
      </c>
      <c r="AF446" t="inlineStr">
        <is>
          <t>oxyberberine</t>
        </is>
      </c>
      <c r="AH446" t="inlineStr">
        <is>
          <t>Pass 45 duplicate consolidation</t>
        </is>
      </c>
      <c r="AI446" t="inlineStr">
        <is>
          <t>protopine alkaloids</t>
        </is>
      </c>
      <c r="AJ446" t="inlineStr">
        <is>
          <t>Unknown</t>
        </is>
      </c>
      <c r="AK446" t="inlineStr">
        <is>
          <t>unclassified</t>
        </is>
      </c>
      <c r="AL446" t="inlineStr">
        <is>
          <t>Pass 46 mechanism + evidence consolidation</t>
        </is>
      </c>
      <c r="AM446" t="n">
        <v>3</v>
      </c>
      <c r="AN446" t="inlineStr">
        <is>
          <t>D</t>
        </is>
      </c>
      <c r="AO446" t="inlineStr">
        <is>
          <t>Pass 47 compound scoring</t>
        </is>
      </c>
    </row>
    <row r="447">
      <c r="A447" t="inlineStr">
        <is>
          <t>oxymatrine</t>
        </is>
      </c>
      <c r="B447" t="inlineStr">
        <is>
          <t>oxymatrine</t>
        </is>
      </c>
      <c r="D447" t="inlineStr">
        <is>
          <t>other</t>
        </is>
      </c>
      <c r="E447" t="inlineStr">
        <is>
          <t>insufficient evidence</t>
        </is>
      </c>
      <c r="F447" t="inlineStr">
        <is>
          <t>unclassified</t>
        </is>
      </c>
      <c r="W447" t="n">
        <v>2</v>
      </c>
      <c r="X447" t="inlineStr">
        <is>
          <t>Low</t>
        </is>
      </c>
      <c r="Z447" t="inlineStr">
        <is>
          <t>oxymatrine</t>
        </is>
      </c>
      <c r="AF447" t="inlineStr">
        <is>
          <t>oxymatrine</t>
        </is>
      </c>
      <c r="AH447" t="inlineStr">
        <is>
          <t>Pass 45 duplicate consolidation</t>
        </is>
      </c>
      <c r="AI447" t="inlineStr">
        <is>
          <t>other</t>
        </is>
      </c>
      <c r="AJ447" t="inlineStr">
        <is>
          <t>Unknown</t>
        </is>
      </c>
      <c r="AK447" t="inlineStr">
        <is>
          <t>unclassified</t>
        </is>
      </c>
      <c r="AL447" t="inlineStr">
        <is>
          <t>Pass 46 mechanism + evidence consolidation</t>
        </is>
      </c>
      <c r="AM447" t="n">
        <v>3</v>
      </c>
      <c r="AN447" t="inlineStr">
        <is>
          <t>D</t>
        </is>
      </c>
      <c r="AO447" t="inlineStr">
        <is>
          <t>Pass 47 compound scoring</t>
        </is>
      </c>
    </row>
    <row r="448">
      <c r="A448" t="inlineStr">
        <is>
          <t>pachymic acid</t>
        </is>
      </c>
      <c r="B448" t="inlineStr">
        <is>
          <t>pachymic acid</t>
        </is>
      </c>
      <c r="D448" t="inlineStr">
        <is>
          <t>polysaccharides; triterpenes</t>
        </is>
      </c>
      <c r="E448" t="inlineStr">
        <is>
          <t>insufficient evidence</t>
        </is>
      </c>
      <c r="F448" t="inlineStr">
        <is>
          <t>unclassified</t>
        </is>
      </c>
      <c r="W448" t="n">
        <v>2</v>
      </c>
      <c r="X448" t="inlineStr">
        <is>
          <t>Low</t>
        </is>
      </c>
      <c r="Z448" t="inlineStr">
        <is>
          <t>pachymic acid</t>
        </is>
      </c>
      <c r="AF448" t="inlineStr">
        <is>
          <t>pachymic acid</t>
        </is>
      </c>
      <c r="AH448" t="inlineStr">
        <is>
          <t>Pass 45 duplicate consolidation</t>
        </is>
      </c>
      <c r="AI448" t="inlineStr">
        <is>
          <t>polysaccharides; triterpenes</t>
        </is>
      </c>
      <c r="AJ448" t="inlineStr">
        <is>
          <t>Unknown</t>
        </is>
      </c>
      <c r="AK448" t="inlineStr">
        <is>
          <t>unclassified</t>
        </is>
      </c>
      <c r="AL448" t="inlineStr">
        <is>
          <t>Pass 46 mechanism + evidence consolidation</t>
        </is>
      </c>
      <c r="AM448" t="n">
        <v>3</v>
      </c>
      <c r="AN448" t="inlineStr">
        <is>
          <t>D</t>
        </is>
      </c>
      <c r="AO448" t="inlineStr">
        <is>
          <t>Pass 47 compound scoring</t>
        </is>
      </c>
    </row>
    <row r="449">
      <c r="A449" t="inlineStr">
        <is>
          <t>paeoniflorin</t>
        </is>
      </c>
      <c r="B449" t="inlineStr">
        <is>
          <t>paeoniflorin</t>
        </is>
      </c>
      <c r="D449" t="inlineStr">
        <is>
          <t>monoterpene glycoside</t>
        </is>
      </c>
      <c r="E449" t="inlineStr">
        <is>
          <t>White-peony constituent associated with traditional cycle and calming positioning.</t>
        </is>
      </c>
      <c r="F449" t="inlineStr">
        <is>
          <t>unclassified</t>
        </is>
      </c>
      <c r="W449" t="n">
        <v>2</v>
      </c>
      <c r="X449" t="inlineStr">
        <is>
          <t>Low</t>
        </is>
      </c>
      <c r="Z449" t="inlineStr">
        <is>
          <t>paeoniflorin</t>
        </is>
      </c>
      <c r="AF449" t="inlineStr">
        <is>
          <t>paeoniflorin</t>
        </is>
      </c>
      <c r="AH449" t="inlineStr">
        <is>
          <t>Pass 45 duplicate consolidation</t>
        </is>
      </c>
      <c r="AI449" t="inlineStr">
        <is>
          <t>monoterpene glycoside</t>
        </is>
      </c>
      <c r="AJ449" t="inlineStr">
        <is>
          <t>Unknown</t>
        </is>
      </c>
      <c r="AK449" t="inlineStr">
        <is>
          <t>unclassified</t>
        </is>
      </c>
      <c r="AL449" t="inlineStr">
        <is>
          <t>Pass 46 mechanism + evidence consolidation</t>
        </is>
      </c>
      <c r="AM449" t="n">
        <v>3</v>
      </c>
      <c r="AN449" t="inlineStr">
        <is>
          <t>D</t>
        </is>
      </c>
      <c r="AO449" t="inlineStr">
        <is>
          <t>Pass 47 compound scoring</t>
        </is>
      </c>
    </row>
    <row r="450">
      <c r="A450" t="inlineStr">
        <is>
          <t>palmatine</t>
        </is>
      </c>
      <c r="B450" t="inlineStr">
        <is>
          <t>palmatine</t>
        </is>
      </c>
      <c r="D450" t="inlineStr">
        <is>
          <t>other</t>
        </is>
      </c>
      <c r="E450" t="inlineStr">
        <is>
          <t>insufficient evidence</t>
        </is>
      </c>
      <c r="F450" t="inlineStr">
        <is>
          <t>unclassified</t>
        </is>
      </c>
      <c r="W450" t="n">
        <v>2</v>
      </c>
      <c r="X450" t="inlineStr">
        <is>
          <t>Low</t>
        </is>
      </c>
      <c r="Z450" t="inlineStr">
        <is>
          <t>palmatine</t>
        </is>
      </c>
      <c r="AF450" t="inlineStr">
        <is>
          <t>palmatine</t>
        </is>
      </c>
      <c r="AH450" t="inlineStr">
        <is>
          <t>Pass 45 duplicate consolidation</t>
        </is>
      </c>
      <c r="AI450" t="inlineStr">
        <is>
          <t>other</t>
        </is>
      </c>
      <c r="AJ450" t="inlineStr">
        <is>
          <t>Unknown</t>
        </is>
      </c>
      <c r="AK450" t="inlineStr">
        <is>
          <t>unclassified</t>
        </is>
      </c>
      <c r="AL450" t="inlineStr">
        <is>
          <t>Pass 46 mechanism + evidence consolidation</t>
        </is>
      </c>
      <c r="AM450" t="n">
        <v>3</v>
      </c>
      <c r="AN450" t="inlineStr">
        <is>
          <t>D</t>
        </is>
      </c>
      <c r="AO450" t="inlineStr">
        <is>
          <t>Pass 47 compound scoring</t>
        </is>
      </c>
    </row>
    <row r="451">
      <c r="A451" t="inlineStr">
        <is>
          <t>palustrol</t>
        </is>
      </c>
      <c r="B451" t="inlineStr">
        <is>
          <t>palustrol</t>
        </is>
      </c>
      <c r="D451" t="inlineStr">
        <is>
          <t>essential oils</t>
        </is>
      </c>
      <c r="E451" t="inlineStr">
        <is>
          <t>insufficient evidence</t>
        </is>
      </c>
      <c r="F451" t="inlineStr">
        <is>
          <t>unclassified</t>
        </is>
      </c>
      <c r="W451" t="n">
        <v>2</v>
      </c>
      <c r="X451" t="inlineStr">
        <is>
          <t>Low</t>
        </is>
      </c>
      <c r="Z451" t="inlineStr">
        <is>
          <t>palustrol</t>
        </is>
      </c>
      <c r="AF451" t="inlineStr">
        <is>
          <t>palustrol</t>
        </is>
      </c>
      <c r="AH451" t="inlineStr">
        <is>
          <t>Pass 45 duplicate consolidation</t>
        </is>
      </c>
      <c r="AI451" t="inlineStr">
        <is>
          <t>essential oils</t>
        </is>
      </c>
      <c r="AJ451" t="inlineStr">
        <is>
          <t>Unknown</t>
        </is>
      </c>
      <c r="AK451" t="inlineStr">
        <is>
          <t>unclassified</t>
        </is>
      </c>
      <c r="AL451" t="inlineStr">
        <is>
          <t>Pass 46 mechanism + evidence consolidation</t>
        </is>
      </c>
      <c r="AM451" t="n">
        <v>3</v>
      </c>
      <c r="AN451" t="inlineStr">
        <is>
          <t>D</t>
        </is>
      </c>
      <c r="AO451" t="inlineStr">
        <is>
          <t>Pass 47 compound scoring</t>
        </is>
      </c>
    </row>
    <row r="452">
      <c r="A452" t="inlineStr">
        <is>
          <t>panduratin a</t>
        </is>
      </c>
      <c r="B452" t="inlineStr">
        <is>
          <t>panduratin a</t>
        </is>
      </c>
      <c r="D452" t="inlineStr">
        <is>
          <t>other</t>
        </is>
      </c>
      <c r="E452" t="inlineStr">
        <is>
          <t>insufficient evidence</t>
        </is>
      </c>
      <c r="F452" t="inlineStr">
        <is>
          <t>unclassified</t>
        </is>
      </c>
      <c r="W452" t="n">
        <v>2</v>
      </c>
      <c r="X452" t="inlineStr">
        <is>
          <t>Low</t>
        </is>
      </c>
      <c r="Z452" t="inlineStr">
        <is>
          <t>panduratin a</t>
        </is>
      </c>
      <c r="AF452" t="inlineStr">
        <is>
          <t>panduratin a</t>
        </is>
      </c>
      <c r="AH452" t="inlineStr">
        <is>
          <t>Pass 45 duplicate consolidation</t>
        </is>
      </c>
      <c r="AI452" t="inlineStr">
        <is>
          <t>other</t>
        </is>
      </c>
      <c r="AJ452" t="inlineStr">
        <is>
          <t>Unknown</t>
        </is>
      </c>
      <c r="AK452" t="inlineStr">
        <is>
          <t>unclassified</t>
        </is>
      </c>
      <c r="AL452" t="inlineStr">
        <is>
          <t>Pass 46 mechanism + evidence consolidation</t>
        </is>
      </c>
      <c r="AM452" t="n">
        <v>3</v>
      </c>
      <c r="AN452" t="inlineStr">
        <is>
          <t>D</t>
        </is>
      </c>
      <c r="AO452" t="inlineStr">
        <is>
          <t>Pass 47 compound scoring</t>
        </is>
      </c>
    </row>
    <row r="453">
      <c r="A453" t="inlineStr">
        <is>
          <t>paniculatin</t>
        </is>
      </c>
      <c r="B453" t="inlineStr">
        <is>
          <t>paniculatin</t>
        </is>
      </c>
      <c r="D453" t="inlineStr">
        <is>
          <t>other</t>
        </is>
      </c>
      <c r="E453" t="inlineStr">
        <is>
          <t>insufficient evidence</t>
        </is>
      </c>
      <c r="F453" t="inlineStr">
        <is>
          <t>unclassified</t>
        </is>
      </c>
      <c r="W453" t="n">
        <v>2</v>
      </c>
      <c r="X453" t="inlineStr">
        <is>
          <t>Low</t>
        </is>
      </c>
      <c r="Z453" t="inlineStr">
        <is>
          <t>paniculatin</t>
        </is>
      </c>
      <c r="AF453" t="inlineStr">
        <is>
          <t>paniculatin</t>
        </is>
      </c>
      <c r="AH453" t="inlineStr">
        <is>
          <t>Pass 45 duplicate consolidation</t>
        </is>
      </c>
      <c r="AI453" t="inlineStr">
        <is>
          <t>other</t>
        </is>
      </c>
      <c r="AJ453" t="inlineStr">
        <is>
          <t>Unknown</t>
        </is>
      </c>
      <c r="AK453" t="inlineStr">
        <is>
          <t>unclassified</t>
        </is>
      </c>
      <c r="AL453" t="inlineStr">
        <is>
          <t>Pass 46 mechanism + evidence consolidation</t>
        </is>
      </c>
      <c r="AM453" t="n">
        <v>3</v>
      </c>
      <c r="AN453" t="inlineStr">
        <is>
          <t>D</t>
        </is>
      </c>
      <c r="AO453" t="inlineStr">
        <is>
          <t>Pass 47 compound scoring</t>
        </is>
      </c>
    </row>
    <row r="454">
      <c r="A454" t="inlineStr">
        <is>
          <t>papain</t>
        </is>
      </c>
      <c r="B454" t="inlineStr">
        <is>
          <t>papain</t>
        </is>
      </c>
      <c r="D454" t="inlineStr">
        <is>
          <t>other</t>
        </is>
      </c>
      <c r="E454" t="inlineStr">
        <is>
          <t>insufficient evidence</t>
        </is>
      </c>
      <c r="F454" t="inlineStr">
        <is>
          <t>unclassified</t>
        </is>
      </c>
      <c r="W454" t="n">
        <v>2</v>
      </c>
      <c r="X454" t="inlineStr">
        <is>
          <t>Low</t>
        </is>
      </c>
      <c r="Z454" t="inlineStr">
        <is>
          <t>papain</t>
        </is>
      </c>
      <c r="AF454" t="inlineStr">
        <is>
          <t>papain</t>
        </is>
      </c>
      <c r="AH454" t="inlineStr">
        <is>
          <t>Pass 45 duplicate consolidation</t>
        </is>
      </c>
      <c r="AI454" t="inlineStr">
        <is>
          <t>other</t>
        </is>
      </c>
      <c r="AJ454" t="inlineStr">
        <is>
          <t>Unknown</t>
        </is>
      </c>
      <c r="AK454" t="inlineStr">
        <is>
          <t>unclassified</t>
        </is>
      </c>
      <c r="AL454" t="inlineStr">
        <is>
          <t>Pass 46 mechanism + evidence consolidation</t>
        </is>
      </c>
      <c r="AM454" t="n">
        <v>3</v>
      </c>
      <c r="AN454" t="inlineStr">
        <is>
          <t>D</t>
        </is>
      </c>
      <c r="AO454" t="inlineStr">
        <is>
          <t>Pass 47 compound scoring</t>
        </is>
      </c>
    </row>
    <row r="455">
      <c r="A455" t="inlineStr">
        <is>
          <t>parthenolide</t>
        </is>
      </c>
      <c r="B455" t="inlineStr">
        <is>
          <t>parthenolide</t>
        </is>
      </c>
      <c r="D455" t="inlineStr">
        <is>
          <t>sesquiterpene lactone</t>
        </is>
      </c>
      <c r="E455" t="inlineStr">
        <is>
          <t>Primary active compound.</t>
        </is>
      </c>
      <c r="F455" t="inlineStr">
        <is>
          <t>unclassified</t>
        </is>
      </c>
      <c r="W455" t="n">
        <v>2</v>
      </c>
      <c r="X455" t="inlineStr">
        <is>
          <t>Low</t>
        </is>
      </c>
      <c r="Z455" t="inlineStr">
        <is>
          <t>parthenolide</t>
        </is>
      </c>
      <c r="AF455" t="inlineStr">
        <is>
          <t>parthenolide</t>
        </is>
      </c>
      <c r="AH455" t="inlineStr">
        <is>
          <t>Pass 45 duplicate consolidation</t>
        </is>
      </c>
      <c r="AI455" t="inlineStr">
        <is>
          <t>sesquiterpene lactone</t>
        </is>
      </c>
      <c r="AJ455" t="inlineStr">
        <is>
          <t>Unknown</t>
        </is>
      </c>
      <c r="AK455" t="inlineStr">
        <is>
          <t>unclassified</t>
        </is>
      </c>
      <c r="AL455" t="inlineStr">
        <is>
          <t>Pass 46 mechanism + evidence consolidation</t>
        </is>
      </c>
      <c r="AM455" t="n">
        <v>3</v>
      </c>
      <c r="AN455" t="inlineStr">
        <is>
          <t>D</t>
        </is>
      </c>
      <c r="AO455" t="inlineStr">
        <is>
          <t>Pass 47 compound scoring</t>
        </is>
      </c>
    </row>
    <row r="456">
      <c r="A456" t="inlineStr">
        <is>
          <t>pectin</t>
        </is>
      </c>
      <c r="B456" t="inlineStr">
        <is>
          <t>pectin</t>
        </is>
      </c>
      <c r="D456" t="inlineStr">
        <is>
          <t>mucilage polysaccharides; flavonoids</t>
        </is>
      </c>
      <c r="E456" t="inlineStr">
        <is>
          <t>insufficient evidence</t>
        </is>
      </c>
      <c r="F456" t="inlineStr">
        <is>
          <t>unclassified</t>
        </is>
      </c>
      <c r="W456" t="n">
        <v>2</v>
      </c>
      <c r="X456" t="inlineStr">
        <is>
          <t>Low</t>
        </is>
      </c>
      <c r="Z456" t="inlineStr">
        <is>
          <t>pectin</t>
        </is>
      </c>
      <c r="AF456" t="inlineStr">
        <is>
          <t>pectin</t>
        </is>
      </c>
      <c r="AH456" t="inlineStr">
        <is>
          <t>Pass 45 duplicate consolidation</t>
        </is>
      </c>
      <c r="AI456" t="inlineStr">
        <is>
          <t>mucilage polysaccharides; flavonoids</t>
        </is>
      </c>
      <c r="AJ456" t="inlineStr">
        <is>
          <t>Unknown</t>
        </is>
      </c>
      <c r="AK456" t="inlineStr">
        <is>
          <t>unclassified</t>
        </is>
      </c>
      <c r="AL456" t="inlineStr">
        <is>
          <t>Pass 46 mechanism + evidence consolidation</t>
        </is>
      </c>
      <c r="AM456" t="n">
        <v>3</v>
      </c>
      <c r="AN456" t="inlineStr">
        <is>
          <t>D</t>
        </is>
      </c>
      <c r="AO456" t="inlineStr">
        <is>
          <t>Pass 47 compound scoring</t>
        </is>
      </c>
    </row>
    <row r="457">
      <c r="A457" t="inlineStr">
        <is>
          <t>pellucidin a</t>
        </is>
      </c>
      <c r="B457" t="inlineStr">
        <is>
          <t>pellucidin a</t>
        </is>
      </c>
      <c r="D457" t="inlineStr">
        <is>
          <t>flavonoids; secolignans</t>
        </is>
      </c>
      <c r="E457" t="inlineStr">
        <is>
          <t>insufficient evidence</t>
        </is>
      </c>
      <c r="F457" t="inlineStr">
        <is>
          <t>unclassified</t>
        </is>
      </c>
      <c r="W457" t="n">
        <v>2</v>
      </c>
      <c r="X457" t="inlineStr">
        <is>
          <t>Low</t>
        </is>
      </c>
      <c r="Z457" t="inlineStr">
        <is>
          <t>pellucidin a</t>
        </is>
      </c>
      <c r="AF457" t="inlineStr">
        <is>
          <t>pellucidin a</t>
        </is>
      </c>
      <c r="AH457" t="inlineStr">
        <is>
          <t>Pass 45 duplicate consolidation</t>
        </is>
      </c>
      <c r="AI457" t="inlineStr">
        <is>
          <t>flavonoids; secolignans</t>
        </is>
      </c>
      <c r="AJ457" t="inlineStr">
        <is>
          <t>Unknown</t>
        </is>
      </c>
      <c r="AK457" t="inlineStr">
        <is>
          <t>unclassified</t>
        </is>
      </c>
      <c r="AL457" t="inlineStr">
        <is>
          <t>Pass 46 mechanism + evidence consolidation</t>
        </is>
      </c>
      <c r="AM457" t="n">
        <v>3</v>
      </c>
      <c r="AN457" t="inlineStr">
        <is>
          <t>D</t>
        </is>
      </c>
      <c r="AO457" t="inlineStr">
        <is>
          <t>Pass 47 compound scoring</t>
        </is>
      </c>
    </row>
    <row r="458">
      <c r="A458" t="inlineStr">
        <is>
          <t>perillaldehyde</t>
        </is>
      </c>
      <c r="B458" t="inlineStr">
        <is>
          <t>perillaldehyde</t>
        </is>
      </c>
      <c r="D458" t="inlineStr">
        <is>
          <t>monoterpene aldehyde</t>
        </is>
      </c>
      <c r="E458" t="inlineStr">
        <is>
          <t>Perilla constituent associated with seasonal and aromatic positioning.</t>
        </is>
      </c>
      <c r="F458" t="inlineStr">
        <is>
          <t>unclassified</t>
        </is>
      </c>
      <c r="W458" t="n">
        <v>2</v>
      </c>
      <c r="X458" t="inlineStr">
        <is>
          <t>Low</t>
        </is>
      </c>
      <c r="Z458" t="inlineStr">
        <is>
          <t>perillaldehyde</t>
        </is>
      </c>
      <c r="AF458" t="inlineStr">
        <is>
          <t>perillaldehyde</t>
        </is>
      </c>
      <c r="AH458" t="inlineStr">
        <is>
          <t>Pass 45 duplicate consolidation</t>
        </is>
      </c>
      <c r="AI458" t="inlineStr">
        <is>
          <t>monoterpene aldehyde</t>
        </is>
      </c>
      <c r="AJ458" t="inlineStr">
        <is>
          <t>Unknown</t>
        </is>
      </c>
      <c r="AK458" t="inlineStr">
        <is>
          <t>unclassified</t>
        </is>
      </c>
      <c r="AL458" t="inlineStr">
        <is>
          <t>Pass 46 mechanism + evidence consolidation</t>
        </is>
      </c>
      <c r="AM458" t="n">
        <v>3</v>
      </c>
      <c r="AN458" t="inlineStr">
        <is>
          <t>D</t>
        </is>
      </c>
      <c r="AO458" t="inlineStr">
        <is>
          <t>Pass 47 compound scoring</t>
        </is>
      </c>
    </row>
    <row r="459">
      <c r="A459" t="inlineStr">
        <is>
          <t>peruvoside</t>
        </is>
      </c>
      <c r="B459" t="inlineStr">
        <is>
          <t>peruvoside</t>
        </is>
      </c>
      <c r="D459" t="inlineStr">
        <is>
          <t>cardiac glycosides</t>
        </is>
      </c>
      <c r="E459" t="inlineStr">
        <is>
          <t>insufficient evidence</t>
        </is>
      </c>
      <c r="F459" t="inlineStr">
        <is>
          <t>unclassified</t>
        </is>
      </c>
      <c r="W459" t="n">
        <v>2</v>
      </c>
      <c r="X459" t="inlineStr">
        <is>
          <t>Low</t>
        </is>
      </c>
      <c r="Z459" t="inlineStr">
        <is>
          <t>peruvoside</t>
        </is>
      </c>
      <c r="AF459" t="inlineStr">
        <is>
          <t>peruvoside</t>
        </is>
      </c>
      <c r="AH459" t="inlineStr">
        <is>
          <t>Pass 45 duplicate consolidation</t>
        </is>
      </c>
      <c r="AI459" t="inlineStr">
        <is>
          <t>cardiac glycosides</t>
        </is>
      </c>
      <c r="AJ459" t="inlineStr">
        <is>
          <t>Unknown</t>
        </is>
      </c>
      <c r="AK459" t="inlineStr">
        <is>
          <t>unclassified</t>
        </is>
      </c>
      <c r="AL459" t="inlineStr">
        <is>
          <t>Pass 46 mechanism + evidence consolidation</t>
        </is>
      </c>
      <c r="AM459" t="n">
        <v>3</v>
      </c>
      <c r="AN459" t="inlineStr">
        <is>
          <t>D</t>
        </is>
      </c>
      <c r="AO459" t="inlineStr">
        <is>
          <t>Pass 47 compound scoring</t>
        </is>
      </c>
    </row>
    <row r="460">
      <c r="A460" t="inlineStr">
        <is>
          <t>petasin</t>
        </is>
      </c>
      <c r="B460" t="inlineStr">
        <is>
          <t>petasin</t>
        </is>
      </c>
      <c r="D460" t="inlineStr">
        <is>
          <t>sesquiterpene</t>
        </is>
      </c>
      <c r="E460" t="inlineStr">
        <is>
          <t>Primary active compound.</t>
        </is>
      </c>
      <c r="F460" t="inlineStr">
        <is>
          <t>unclassified</t>
        </is>
      </c>
      <c r="W460" t="n">
        <v>2</v>
      </c>
      <c r="X460" t="inlineStr">
        <is>
          <t>Low</t>
        </is>
      </c>
      <c r="Z460" t="inlineStr">
        <is>
          <t>petasin</t>
        </is>
      </c>
      <c r="AF460" t="inlineStr">
        <is>
          <t>petasin</t>
        </is>
      </c>
      <c r="AH460" t="inlineStr">
        <is>
          <t>Pass 45 duplicate consolidation</t>
        </is>
      </c>
      <c r="AI460" t="inlineStr">
        <is>
          <t>sesquiterpene</t>
        </is>
      </c>
      <c r="AJ460" t="inlineStr">
        <is>
          <t>Unknown</t>
        </is>
      </c>
      <c r="AK460" t="inlineStr">
        <is>
          <t>unclassified</t>
        </is>
      </c>
      <c r="AL460" t="inlineStr">
        <is>
          <t>Pass 46 mechanism + evidence consolidation</t>
        </is>
      </c>
      <c r="AM460" t="n">
        <v>3</v>
      </c>
      <c r="AN460" t="inlineStr">
        <is>
          <t>D</t>
        </is>
      </c>
      <c r="AO460" t="inlineStr">
        <is>
          <t>Pass 47 compound scoring</t>
        </is>
      </c>
    </row>
    <row r="461">
      <c r="A461" t="inlineStr">
        <is>
          <t>pfaffic acid</t>
        </is>
      </c>
      <c r="B461" t="inlineStr">
        <is>
          <t>pfaffic acid</t>
        </is>
      </c>
      <c r="D461" t="inlineStr">
        <is>
          <t>triterpene acid</t>
        </is>
      </c>
      <c r="E461" t="inlineStr">
        <is>
          <t>Suma constituent associated with traditional restorative positioning.</t>
        </is>
      </c>
      <c r="F461" t="inlineStr">
        <is>
          <t>unclassified</t>
        </is>
      </c>
      <c r="W461" t="n">
        <v>2</v>
      </c>
      <c r="X461" t="inlineStr">
        <is>
          <t>Low</t>
        </is>
      </c>
      <c r="Z461" t="inlineStr">
        <is>
          <t>pfaffic acid</t>
        </is>
      </c>
      <c r="AF461" t="inlineStr">
        <is>
          <t>pfaffic acid</t>
        </is>
      </c>
      <c r="AH461" t="inlineStr">
        <is>
          <t>Pass 45 duplicate consolidation</t>
        </is>
      </c>
      <c r="AI461" t="inlineStr">
        <is>
          <t>triterpene acid</t>
        </is>
      </c>
      <c r="AJ461" t="inlineStr">
        <is>
          <t>Unknown</t>
        </is>
      </c>
      <c r="AK461" t="inlineStr">
        <is>
          <t>unclassified</t>
        </is>
      </c>
      <c r="AL461" t="inlineStr">
        <is>
          <t>Pass 46 mechanism + evidence consolidation</t>
        </is>
      </c>
      <c r="AM461" t="n">
        <v>3</v>
      </c>
      <c r="AN461" t="inlineStr">
        <is>
          <t>D</t>
        </is>
      </c>
      <c r="AO461" t="inlineStr">
        <is>
          <t>Pass 47 compound scoring</t>
        </is>
      </c>
    </row>
    <row r="462">
      <c r="A462" t="inlineStr">
        <is>
          <t>phosphatidylserine</t>
        </is>
      </c>
      <c r="B462" t="inlineStr">
        <is>
          <t>phosphatidylserine</t>
        </is>
      </c>
      <c r="D462" t="inlineStr">
        <is>
          <t>phospholipid</t>
        </is>
      </c>
      <c r="E462" t="inlineStr">
        <is>
          <t>Membrane phospholipid involved in neuronal membrane structure, signaling, and apoptosis-related membrane dynamics; supplemental use is usually framed around membrane support and stress-response modulation rather than a single receptor target.</t>
        </is>
      </c>
      <c r="F462" t="inlineStr">
        <is>
          <t>unclassified</t>
        </is>
      </c>
      <c r="W462" t="n">
        <v>2</v>
      </c>
      <c r="X462" t="inlineStr">
        <is>
          <t>Low</t>
        </is>
      </c>
      <c r="Z462" t="inlineStr">
        <is>
          <t>phosphatidylserine</t>
        </is>
      </c>
      <c r="AF462" t="inlineStr">
        <is>
          <t>phosphatidylserine</t>
        </is>
      </c>
      <c r="AH462" t="inlineStr">
        <is>
          <t>Pass 45 duplicate consolidation</t>
        </is>
      </c>
      <c r="AI462" t="inlineStr">
        <is>
          <t>phospholipid</t>
        </is>
      </c>
      <c r="AJ462" t="inlineStr">
        <is>
          <t>Unknown</t>
        </is>
      </c>
      <c r="AK462" t="inlineStr">
        <is>
          <t>unclassified</t>
        </is>
      </c>
      <c r="AL462" t="inlineStr">
        <is>
          <t>Pass 46 mechanism + evidence consolidation</t>
        </is>
      </c>
      <c r="AM462" t="n">
        <v>3</v>
      </c>
      <c r="AN462" t="inlineStr">
        <is>
          <t>D</t>
        </is>
      </c>
      <c r="AO462" t="inlineStr">
        <is>
          <t>Pass 47 compound scoring</t>
        </is>
      </c>
    </row>
    <row r="463">
      <c r="A463" t="inlineStr">
        <is>
          <t>Phyllanthin</t>
        </is>
      </c>
      <c r="B463" t="inlineStr">
        <is>
          <t>Lignan</t>
        </is>
      </c>
      <c r="C463" t="inlineStr">
        <is>
          <t>Phyllanthus amarus</t>
        </is>
      </c>
      <c r="D463" t="inlineStr">
        <is>
          <t>Hepatoprotective</t>
        </is>
      </c>
      <c r="E463" t="inlineStr">
        <is>
          <t>Mixed</t>
        </is>
      </c>
      <c r="F463" t="inlineStr">
        <is>
          <t>unclassified</t>
        </is>
      </c>
      <c r="W463" t="n">
        <v>2</v>
      </c>
      <c r="X463" t="inlineStr">
        <is>
          <t>Low</t>
        </is>
      </c>
      <c r="Z463" t="inlineStr">
        <is>
          <t>Phyllanthin</t>
        </is>
      </c>
      <c r="AF463" t="inlineStr">
        <is>
          <t>phyllanthin</t>
        </is>
      </c>
      <c r="AH463" t="inlineStr">
        <is>
          <t>Pass 45 duplicate consolidation</t>
        </is>
      </c>
      <c r="AI463" t="inlineStr">
        <is>
          <t>Hepatoprotective</t>
        </is>
      </c>
      <c r="AJ463" t="inlineStr">
        <is>
          <t>Unknown</t>
        </is>
      </c>
      <c r="AK463" t="inlineStr">
        <is>
          <t>unclassified</t>
        </is>
      </c>
      <c r="AL463" t="inlineStr">
        <is>
          <t>Pass 46 mechanism + evidence consolidation</t>
        </is>
      </c>
      <c r="AM463" t="n">
        <v>3</v>
      </c>
      <c r="AN463" t="inlineStr">
        <is>
          <t>D</t>
        </is>
      </c>
      <c r="AO463" t="inlineStr">
        <is>
          <t>Pass 47 compound scoring</t>
        </is>
      </c>
    </row>
    <row r="464">
      <c r="A464" t="inlineStr">
        <is>
          <t>picrocrocin</t>
        </is>
      </c>
      <c r="B464" t="inlineStr">
        <is>
          <t>picrocrocin</t>
        </is>
      </c>
      <c r="D464" t="inlineStr">
        <is>
          <t>other</t>
        </is>
      </c>
      <c r="E464" t="inlineStr">
        <is>
          <t>insufficient evidence</t>
        </is>
      </c>
      <c r="F464" t="inlineStr">
        <is>
          <t>unclassified</t>
        </is>
      </c>
      <c r="W464" t="n">
        <v>2</v>
      </c>
      <c r="X464" t="inlineStr">
        <is>
          <t>Low</t>
        </is>
      </c>
      <c r="Z464" t="inlineStr">
        <is>
          <t>picrocrocin</t>
        </is>
      </c>
      <c r="AF464" t="inlineStr">
        <is>
          <t>picrocrocin</t>
        </is>
      </c>
      <c r="AH464" t="inlineStr">
        <is>
          <t>Pass 45 duplicate consolidation</t>
        </is>
      </c>
      <c r="AI464" t="inlineStr">
        <is>
          <t>other</t>
        </is>
      </c>
      <c r="AJ464" t="inlineStr">
        <is>
          <t>Unknown</t>
        </is>
      </c>
      <c r="AK464" t="inlineStr">
        <is>
          <t>unclassified</t>
        </is>
      </c>
      <c r="AL464" t="inlineStr">
        <is>
          <t>Pass 46 mechanism + evidence consolidation</t>
        </is>
      </c>
      <c r="AM464" t="n">
        <v>3</v>
      </c>
      <c r="AN464" t="inlineStr">
        <is>
          <t>D</t>
        </is>
      </c>
      <c r="AO464" t="inlineStr">
        <is>
          <t>Pass 47 compound scoring</t>
        </is>
      </c>
    </row>
    <row r="465">
      <c r="A465" t="inlineStr">
        <is>
          <t>pinene</t>
        </is>
      </c>
      <c r="B465" t="inlineStr">
        <is>
          <t>pinene</t>
        </is>
      </c>
      <c r="D465" t="inlineStr">
        <is>
          <t>terpenes (myrcene</t>
        </is>
      </c>
      <c r="E465" t="inlineStr">
        <is>
          <t>THC acts at CB1 receptors; terpenes may modulate neurotransmitter systems and pharmacokinetics.</t>
        </is>
      </c>
      <c r="F465" t="inlineStr">
        <is>
          <t>unclassified</t>
        </is>
      </c>
      <c r="W465" t="n">
        <v>2</v>
      </c>
      <c r="X465" t="inlineStr">
        <is>
          <t>Low</t>
        </is>
      </c>
      <c r="Z465" t="inlineStr">
        <is>
          <t>pinene</t>
        </is>
      </c>
      <c r="AF465" t="inlineStr">
        <is>
          <t>pinene</t>
        </is>
      </c>
      <c r="AH465" t="inlineStr">
        <is>
          <t>Pass 45 duplicate consolidation</t>
        </is>
      </c>
      <c r="AI465" t="inlineStr">
        <is>
          <t>terpenes (myrcene</t>
        </is>
      </c>
      <c r="AJ465" t="inlineStr">
        <is>
          <t>Unknown</t>
        </is>
      </c>
      <c r="AK465" t="inlineStr">
        <is>
          <t>unclassified</t>
        </is>
      </c>
      <c r="AL465" t="inlineStr">
        <is>
          <t>Pass 46 mechanism + evidence consolidation</t>
        </is>
      </c>
      <c r="AM465" t="n">
        <v>3</v>
      </c>
      <c r="AN465" t="inlineStr">
        <is>
          <t>D</t>
        </is>
      </c>
      <c r="AO465" t="inlineStr">
        <is>
          <t>Pass 47 compound scoring</t>
        </is>
      </c>
    </row>
    <row r="466">
      <c r="A466" t="inlineStr">
        <is>
          <t>pinocembrin</t>
        </is>
      </c>
      <c r="B466" t="inlineStr">
        <is>
          <t>pinocembrin</t>
        </is>
      </c>
      <c r="D466" t="inlineStr">
        <is>
          <t>other</t>
        </is>
      </c>
      <c r="E466" t="inlineStr">
        <is>
          <t>insufficient evidence</t>
        </is>
      </c>
      <c r="F466" t="inlineStr">
        <is>
          <t>unclassified</t>
        </is>
      </c>
      <c r="W466" t="n">
        <v>2</v>
      </c>
      <c r="X466" t="inlineStr">
        <is>
          <t>Low</t>
        </is>
      </c>
      <c r="Z466" t="inlineStr">
        <is>
          <t>pinocembrin</t>
        </is>
      </c>
      <c r="AF466" t="inlineStr">
        <is>
          <t>pinocembrin</t>
        </is>
      </c>
      <c r="AH466" t="inlineStr">
        <is>
          <t>Pass 45 duplicate consolidation</t>
        </is>
      </c>
      <c r="AI466" t="inlineStr">
        <is>
          <t>other</t>
        </is>
      </c>
      <c r="AJ466" t="inlineStr">
        <is>
          <t>Unknown</t>
        </is>
      </c>
      <c r="AK466" t="inlineStr">
        <is>
          <t>unclassified</t>
        </is>
      </c>
      <c r="AL466" t="inlineStr">
        <is>
          <t>Pass 46 mechanism + evidence consolidation</t>
        </is>
      </c>
      <c r="AM466" t="n">
        <v>3</v>
      </c>
      <c r="AN466" t="inlineStr">
        <is>
          <t>D</t>
        </is>
      </c>
      <c r="AO466" t="inlineStr">
        <is>
          <t>Pass 47 compound scoring</t>
        </is>
      </c>
    </row>
    <row r="467">
      <c r="A467" t="inlineStr">
        <is>
          <t>pinostrobin</t>
        </is>
      </c>
      <c r="B467" t="inlineStr">
        <is>
          <t>pinostrobin</t>
        </is>
      </c>
      <c r="D467" t="inlineStr">
        <is>
          <t>other</t>
        </is>
      </c>
      <c r="E467" t="inlineStr">
        <is>
          <t>insufficient evidence</t>
        </is>
      </c>
      <c r="F467" t="inlineStr">
        <is>
          <t>unclassified</t>
        </is>
      </c>
      <c r="W467" t="n">
        <v>2</v>
      </c>
      <c r="X467" t="inlineStr">
        <is>
          <t>Low</t>
        </is>
      </c>
      <c r="Z467" t="inlineStr">
        <is>
          <t>pinostrobin</t>
        </is>
      </c>
      <c r="AF467" t="inlineStr">
        <is>
          <t>pinostrobin</t>
        </is>
      </c>
      <c r="AH467" t="inlineStr">
        <is>
          <t>Pass 45 duplicate consolidation</t>
        </is>
      </c>
      <c r="AI467" t="inlineStr">
        <is>
          <t>other</t>
        </is>
      </c>
      <c r="AJ467" t="inlineStr">
        <is>
          <t>Unknown</t>
        </is>
      </c>
      <c r="AK467" t="inlineStr">
        <is>
          <t>unclassified</t>
        </is>
      </c>
      <c r="AL467" t="inlineStr">
        <is>
          <t>Pass 46 mechanism + evidence consolidation</t>
        </is>
      </c>
      <c r="AM467" t="n">
        <v>3</v>
      </c>
      <c r="AN467" t="inlineStr">
        <is>
          <t>D</t>
        </is>
      </c>
      <c r="AO467" t="inlineStr">
        <is>
          <t>Pass 47 compound scoring</t>
        </is>
      </c>
    </row>
    <row r="468">
      <c r="A468" t="inlineStr">
        <is>
          <t>Piperine</t>
        </is>
      </c>
      <c r="B468" t="inlineStr">
        <is>
          <t>Alkaloid</t>
        </is>
      </c>
      <c r="C468" t="inlineStr">
        <is>
          <t>Black Pepper</t>
        </is>
      </c>
      <c r="D468" t="inlineStr">
        <is>
          <t>Bioavailability modulation</t>
        </is>
      </c>
      <c r="E468" t="inlineStr">
        <is>
          <t>Inhibits drug metabolism enzymes and enhances bioavailability</t>
        </is>
      </c>
      <c r="F468" t="inlineStr">
        <is>
          <t>unclassified; bioavailability modulation; absorption enhancement</t>
        </is>
      </c>
      <c r="U468" t="inlineStr">
        <is>
          <t>Pass 13 normalized herb display names to monograph common names; Pass 45 merged 2 rows into canonical compound entry</t>
        </is>
      </c>
      <c r="W468" t="n">
        <v>4</v>
      </c>
      <c r="X468" t="inlineStr">
        <is>
          <t>Medium</t>
        </is>
      </c>
      <c r="Z468" t="inlineStr">
        <is>
          <t>Piperine</t>
        </is>
      </c>
      <c r="AF468" t="inlineStr">
        <is>
          <t>piperine</t>
        </is>
      </c>
      <c r="AH468" t="inlineStr">
        <is>
          <t>Pass 45 duplicate consolidation</t>
        </is>
      </c>
      <c r="AI468" t="inlineStr">
        <is>
          <t>Bioavailability modulation</t>
        </is>
      </c>
      <c r="AJ468" t="inlineStr">
        <is>
          <t>Unknown</t>
        </is>
      </c>
      <c r="AK468" t="inlineStr">
        <is>
          <t>absorption enhancement; bioavailability modulation; unclassified</t>
        </is>
      </c>
      <c r="AL468" t="inlineStr">
        <is>
          <t>Pass 46 mechanism + evidence consolidation</t>
        </is>
      </c>
      <c r="AM468" t="n">
        <v>5</v>
      </c>
      <c r="AN468" t="inlineStr">
        <is>
          <t>C</t>
        </is>
      </c>
      <c r="AO468" t="inlineStr">
        <is>
          <t>Pass 47 compound scoring</t>
        </is>
      </c>
    </row>
    <row r="469">
      <c r="A469" t="inlineStr">
        <is>
          <t>podophyllotoxin</t>
        </is>
      </c>
      <c r="B469" t="inlineStr">
        <is>
          <t>podophyllotoxin</t>
        </is>
      </c>
      <c r="D469" t="inlineStr">
        <is>
          <t>lignans</t>
        </is>
      </c>
      <c r="E469" t="inlineStr">
        <is>
          <t>insufficient evidence</t>
        </is>
      </c>
      <c r="F469" t="inlineStr">
        <is>
          <t>unclassified</t>
        </is>
      </c>
      <c r="W469" t="n">
        <v>2</v>
      </c>
      <c r="X469" t="inlineStr">
        <is>
          <t>Low</t>
        </is>
      </c>
      <c r="Z469" t="inlineStr">
        <is>
          <t>podophyllotoxin</t>
        </is>
      </c>
      <c r="AF469" t="inlineStr">
        <is>
          <t>podophyllotoxin</t>
        </is>
      </c>
      <c r="AH469" t="inlineStr">
        <is>
          <t>Pass 45 duplicate consolidation</t>
        </is>
      </c>
      <c r="AI469" t="inlineStr">
        <is>
          <t>lignans</t>
        </is>
      </c>
      <c r="AJ469" t="inlineStr">
        <is>
          <t>Unknown</t>
        </is>
      </c>
      <c r="AK469" t="inlineStr">
        <is>
          <t>unclassified</t>
        </is>
      </c>
      <c r="AL469" t="inlineStr">
        <is>
          <t>Pass 46 mechanism + evidence consolidation</t>
        </is>
      </c>
      <c r="AM469" t="n">
        <v>3</v>
      </c>
      <c r="AN469" t="inlineStr">
        <is>
          <t>D</t>
        </is>
      </c>
      <c r="AO469" t="inlineStr">
        <is>
          <t>Pass 47 compound scoring</t>
        </is>
      </c>
    </row>
    <row r="470">
      <c r="A470" t="inlineStr">
        <is>
          <t>polygodial</t>
        </is>
      </c>
      <c r="B470" t="inlineStr">
        <is>
          <t>polygodial</t>
        </is>
      </c>
      <c r="D470" t="inlineStr">
        <is>
          <t>Polygodial, flavonoids</t>
        </is>
      </c>
      <c r="E470" t="inlineStr">
        <is>
          <t>insufficient evidence</t>
        </is>
      </c>
      <c r="F470" t="inlineStr">
        <is>
          <t>unclassified</t>
        </is>
      </c>
      <c r="W470" t="n">
        <v>2</v>
      </c>
      <c r="X470" t="inlineStr">
        <is>
          <t>Low</t>
        </is>
      </c>
      <c r="Z470" t="inlineStr">
        <is>
          <t>polygodial</t>
        </is>
      </c>
      <c r="AF470" t="inlineStr">
        <is>
          <t>polygodial</t>
        </is>
      </c>
      <c r="AH470" t="inlineStr">
        <is>
          <t>Pass 45 duplicate consolidation</t>
        </is>
      </c>
      <c r="AI470" t="inlineStr">
        <is>
          <t>Polygodial, flavonoids</t>
        </is>
      </c>
      <c r="AJ470" t="inlineStr">
        <is>
          <t>Unknown</t>
        </is>
      </c>
      <c r="AK470" t="inlineStr">
        <is>
          <t>unclassified</t>
        </is>
      </c>
      <c r="AL470" t="inlineStr">
        <is>
          <t>Pass 46 mechanism + evidence consolidation</t>
        </is>
      </c>
      <c r="AM470" t="n">
        <v>3</v>
      </c>
      <c r="AN470" t="inlineStr">
        <is>
          <t>D</t>
        </is>
      </c>
      <c r="AO470" t="inlineStr">
        <is>
          <t>Pass 47 compound scoring</t>
        </is>
      </c>
    </row>
    <row r="471">
      <c r="A471" t="inlineStr">
        <is>
          <t>polypeptide-p</t>
        </is>
      </c>
      <c r="B471" t="inlineStr">
        <is>
          <t>polypeptide-p</t>
        </is>
      </c>
      <c r="D471" t="inlineStr">
        <is>
          <t>other</t>
        </is>
      </c>
      <c r="E471" t="inlineStr">
        <is>
          <t>insufficient evidence</t>
        </is>
      </c>
      <c r="F471" t="inlineStr">
        <is>
          <t>unclassified</t>
        </is>
      </c>
      <c r="W471" t="n">
        <v>2</v>
      </c>
      <c r="X471" t="inlineStr">
        <is>
          <t>Low</t>
        </is>
      </c>
      <c r="Z471" t="inlineStr">
        <is>
          <t>polypeptide-p</t>
        </is>
      </c>
      <c r="AF471" t="inlineStr">
        <is>
          <t>polypeptide p</t>
        </is>
      </c>
      <c r="AH471" t="inlineStr">
        <is>
          <t>Pass 45 duplicate consolidation</t>
        </is>
      </c>
      <c r="AI471" t="inlineStr">
        <is>
          <t>other</t>
        </is>
      </c>
      <c r="AJ471" t="inlineStr">
        <is>
          <t>Unknown</t>
        </is>
      </c>
      <c r="AK471" t="inlineStr">
        <is>
          <t>unclassified</t>
        </is>
      </c>
      <c r="AL471" t="inlineStr">
        <is>
          <t>Pass 46 mechanism + evidence consolidation</t>
        </is>
      </c>
      <c r="AM471" t="n">
        <v>3</v>
      </c>
      <c r="AN471" t="inlineStr">
        <is>
          <t>D</t>
        </is>
      </c>
      <c r="AO471" t="inlineStr">
        <is>
          <t>Pass 47 compound scoring</t>
        </is>
      </c>
    </row>
    <row r="472">
      <c r="A472" t="inlineStr">
        <is>
          <t>pristimerin</t>
        </is>
      </c>
      <c r="B472" t="inlineStr">
        <is>
          <t>pristimerin</t>
        </is>
      </c>
      <c r="D472" t="inlineStr">
        <is>
          <t>other</t>
        </is>
      </c>
      <c r="E472" t="inlineStr">
        <is>
          <t>insufficient evidence</t>
        </is>
      </c>
      <c r="F472" t="inlineStr">
        <is>
          <t>unclassified</t>
        </is>
      </c>
      <c r="W472" t="n">
        <v>2</v>
      </c>
      <c r="X472" t="inlineStr">
        <is>
          <t>Low</t>
        </is>
      </c>
      <c r="Z472" t="inlineStr">
        <is>
          <t>pristimerin</t>
        </is>
      </c>
      <c r="AF472" t="inlineStr">
        <is>
          <t>pristimerin</t>
        </is>
      </c>
      <c r="AH472" t="inlineStr">
        <is>
          <t>Pass 45 duplicate consolidation</t>
        </is>
      </c>
      <c r="AI472" t="inlineStr">
        <is>
          <t>other</t>
        </is>
      </c>
      <c r="AJ472" t="inlineStr">
        <is>
          <t>Unknown</t>
        </is>
      </c>
      <c r="AK472" t="inlineStr">
        <is>
          <t>unclassified</t>
        </is>
      </c>
      <c r="AL472" t="inlineStr">
        <is>
          <t>Pass 46 mechanism + evidence consolidation</t>
        </is>
      </c>
      <c r="AM472" t="n">
        <v>3</v>
      </c>
      <c r="AN472" t="inlineStr">
        <is>
          <t>D</t>
        </is>
      </c>
      <c r="AO472" t="inlineStr">
        <is>
          <t>Pass 47 compound scoring</t>
        </is>
      </c>
    </row>
    <row r="473">
      <c r="A473" t="inlineStr">
        <is>
          <t>probiotics</t>
        </is>
      </c>
      <c r="B473" t="inlineStr">
        <is>
          <t>probiotics</t>
        </is>
      </c>
      <c r="D473" t="inlineStr">
        <is>
          <t>live biotherapeutic / microbiome-active category</t>
        </is>
      </c>
      <c r="E473" t="inlineStr">
        <is>
          <t>Strain-specific effects that can include colonization resistance, gut barrier support, immune modulation, and altered short-chain fatty acid production.</t>
        </is>
      </c>
      <c r="F473" t="inlineStr">
        <is>
          <t>unclassified</t>
        </is>
      </c>
      <c r="W473" t="n">
        <v>2</v>
      </c>
      <c r="X473" t="inlineStr">
        <is>
          <t>Low</t>
        </is>
      </c>
      <c r="Z473" t="inlineStr">
        <is>
          <t>probiotics</t>
        </is>
      </c>
      <c r="AF473" t="inlineStr">
        <is>
          <t>probiotics</t>
        </is>
      </c>
      <c r="AH473" t="inlineStr">
        <is>
          <t>Pass 45 duplicate consolidation</t>
        </is>
      </c>
      <c r="AI473" t="inlineStr">
        <is>
          <t>live biotherapeutic / microbiome-active category</t>
        </is>
      </c>
      <c r="AJ473" t="inlineStr">
        <is>
          <t>Unknown</t>
        </is>
      </c>
      <c r="AK473" t="inlineStr">
        <is>
          <t>unclassified</t>
        </is>
      </c>
      <c r="AL473" t="inlineStr">
        <is>
          <t>Pass 46 mechanism + evidence consolidation</t>
        </is>
      </c>
      <c r="AM473" t="n">
        <v>3</v>
      </c>
      <c r="AN473" t="inlineStr">
        <is>
          <t>D</t>
        </is>
      </c>
      <c r="AO473" t="inlineStr">
        <is>
          <t>Pass 47 compound scoring</t>
        </is>
      </c>
    </row>
    <row r="474">
      <c r="A474" t="inlineStr">
        <is>
          <t>procyanidin b2</t>
        </is>
      </c>
      <c r="B474" t="inlineStr">
        <is>
          <t>procyanidin B2</t>
        </is>
      </c>
      <c r="D474" t="inlineStr">
        <is>
          <t>polyphenol</t>
        </is>
      </c>
      <c r="E474" t="inlineStr">
        <is>
          <t>Hawthorn constituent linked to vascular support.</t>
        </is>
      </c>
      <c r="F474" t="inlineStr">
        <is>
          <t>unclassified</t>
        </is>
      </c>
      <c r="W474" t="n">
        <v>2</v>
      </c>
      <c r="X474" t="inlineStr">
        <is>
          <t>Low</t>
        </is>
      </c>
      <c r="Z474" t="inlineStr">
        <is>
          <t>procyanidin b2</t>
        </is>
      </c>
      <c r="AF474" t="inlineStr">
        <is>
          <t>procyanidin b2</t>
        </is>
      </c>
      <c r="AH474" t="inlineStr">
        <is>
          <t>Pass 45 duplicate consolidation</t>
        </is>
      </c>
      <c r="AI474" t="inlineStr">
        <is>
          <t>polyphenol</t>
        </is>
      </c>
      <c r="AJ474" t="inlineStr">
        <is>
          <t>Unknown</t>
        </is>
      </c>
      <c r="AK474" t="inlineStr">
        <is>
          <t>unclassified</t>
        </is>
      </c>
      <c r="AL474" t="inlineStr">
        <is>
          <t>Pass 46 mechanism + evidence consolidation</t>
        </is>
      </c>
      <c r="AM474" t="n">
        <v>3</v>
      </c>
      <c r="AN474" t="inlineStr">
        <is>
          <t>D</t>
        </is>
      </c>
      <c r="AO474" t="inlineStr">
        <is>
          <t>Pass 47 compound scoring</t>
        </is>
      </c>
    </row>
    <row r="475">
      <c r="A475" t="inlineStr">
        <is>
          <t>protoanemonin</t>
        </is>
      </c>
      <c r="B475" t="inlineStr">
        <is>
          <t>protoanemonin</t>
        </is>
      </c>
      <c r="D475" t="inlineStr">
        <is>
          <t>Protoanemonin, flavonoids, triterpenes</t>
        </is>
      </c>
      <c r="E475" t="inlineStr">
        <is>
          <t>insufficient evidence</t>
        </is>
      </c>
      <c r="F475" t="inlineStr">
        <is>
          <t>unclassified</t>
        </is>
      </c>
      <c r="W475" t="n">
        <v>2</v>
      </c>
      <c r="X475" t="inlineStr">
        <is>
          <t>Low</t>
        </is>
      </c>
      <c r="Z475" t="inlineStr">
        <is>
          <t>protoanemonin</t>
        </is>
      </c>
      <c r="AF475" t="inlineStr">
        <is>
          <t>protoanemonin</t>
        </is>
      </c>
      <c r="AH475" t="inlineStr">
        <is>
          <t>Pass 45 duplicate consolidation</t>
        </is>
      </c>
      <c r="AI475" t="inlineStr">
        <is>
          <t>Protoanemonin, flavonoids, triterpenes</t>
        </is>
      </c>
      <c r="AJ475" t="inlineStr">
        <is>
          <t>Unknown</t>
        </is>
      </c>
      <c r="AK475" t="inlineStr">
        <is>
          <t>unclassified</t>
        </is>
      </c>
      <c r="AL475" t="inlineStr">
        <is>
          <t>Pass 46 mechanism + evidence consolidation</t>
        </is>
      </c>
      <c r="AM475" t="n">
        <v>3</v>
      </c>
      <c r="AN475" t="inlineStr">
        <is>
          <t>D</t>
        </is>
      </c>
      <c r="AO475" t="inlineStr">
        <is>
          <t>Pass 47 compound scoring</t>
        </is>
      </c>
    </row>
    <row r="476">
      <c r="A476" t="inlineStr">
        <is>
          <t>protopine</t>
        </is>
      </c>
      <c r="B476" t="inlineStr">
        <is>
          <t>protopine</t>
        </is>
      </c>
      <c r="D476" t="inlineStr">
        <is>
          <t>other</t>
        </is>
      </c>
      <c r="E476" t="inlineStr">
        <is>
          <t>insufficient evidence</t>
        </is>
      </c>
      <c r="F476" t="inlineStr">
        <is>
          <t>unclassified</t>
        </is>
      </c>
      <c r="W476" t="n">
        <v>2</v>
      </c>
      <c r="X476" t="inlineStr">
        <is>
          <t>Low</t>
        </is>
      </c>
      <c r="Z476" t="inlineStr">
        <is>
          <t>protopine</t>
        </is>
      </c>
      <c r="AF476" t="inlineStr">
        <is>
          <t>protopine</t>
        </is>
      </c>
      <c r="AH476" t="inlineStr">
        <is>
          <t>Pass 45 duplicate consolidation</t>
        </is>
      </c>
      <c r="AI476" t="inlineStr">
        <is>
          <t>other</t>
        </is>
      </c>
      <c r="AJ476" t="inlineStr">
        <is>
          <t>Unknown</t>
        </is>
      </c>
      <c r="AK476" t="inlineStr">
        <is>
          <t>unclassified</t>
        </is>
      </c>
      <c r="AL476" t="inlineStr">
        <is>
          <t>Pass 46 mechanism + evidence consolidation</t>
        </is>
      </c>
      <c r="AM476" t="n">
        <v>3</v>
      </c>
      <c r="AN476" t="inlineStr">
        <is>
          <t>D</t>
        </is>
      </c>
      <c r="AO476" t="inlineStr">
        <is>
          <t>Pass 47 compound scoring</t>
        </is>
      </c>
    </row>
    <row r="477">
      <c r="A477" t="inlineStr">
        <is>
          <t>pseudoephedrine</t>
        </is>
      </c>
      <c r="B477" t="inlineStr">
        <is>
          <t>pseudoephedrine</t>
        </is>
      </c>
      <c r="D477" t="inlineStr">
        <is>
          <t>other</t>
        </is>
      </c>
      <c r="E477" t="inlineStr">
        <is>
          <t>Ephedrine alkaloids act as mixed sympathomimetics, directly stimulating alpha- and beta-adrenergic receptors and indirectly increasing synaptic norepinephrine.</t>
        </is>
      </c>
      <c r="F477" t="inlineStr">
        <is>
          <t>unclassified</t>
        </is>
      </c>
      <c r="W477" t="n">
        <v>2</v>
      </c>
      <c r="X477" t="inlineStr">
        <is>
          <t>Low</t>
        </is>
      </c>
      <c r="Z477" t="inlineStr">
        <is>
          <t>pseudoephedrine</t>
        </is>
      </c>
      <c r="AF477" t="inlineStr">
        <is>
          <t>pseudoephedrine</t>
        </is>
      </c>
      <c r="AH477" t="inlineStr">
        <is>
          <t>Pass 45 duplicate consolidation</t>
        </is>
      </c>
      <c r="AI477" t="inlineStr">
        <is>
          <t>other</t>
        </is>
      </c>
      <c r="AJ477" t="inlineStr">
        <is>
          <t>Unknown</t>
        </is>
      </c>
      <c r="AK477" t="inlineStr">
        <is>
          <t>unclassified</t>
        </is>
      </c>
      <c r="AL477" t="inlineStr">
        <is>
          <t>Pass 46 mechanism + evidence consolidation</t>
        </is>
      </c>
      <c r="AM477" t="n">
        <v>3</v>
      </c>
      <c r="AN477" t="inlineStr">
        <is>
          <t>D</t>
        </is>
      </c>
      <c r="AO477" t="inlineStr">
        <is>
          <t>Pass 47 compound scoring</t>
        </is>
      </c>
    </row>
    <row r="478">
      <c r="A478" t="inlineStr">
        <is>
          <t>pseudohypericin</t>
        </is>
      </c>
      <c r="B478" t="inlineStr">
        <is>
          <t>pseudohypericin</t>
        </is>
      </c>
      <c r="D478" t="inlineStr">
        <is>
          <t>naphthodianthrone</t>
        </is>
      </c>
      <c r="E478" t="inlineStr">
        <is>
          <t>proposed mechanism based on preclinical data: photodynamic, antiviral, and redox-active signaling; no established human mechanism.</t>
        </is>
      </c>
      <c r="F478" t="inlineStr">
        <is>
          <t>unclassified</t>
        </is>
      </c>
      <c r="W478" t="n">
        <v>2</v>
      </c>
      <c r="X478" t="inlineStr">
        <is>
          <t>Low</t>
        </is>
      </c>
      <c r="Z478" t="inlineStr">
        <is>
          <t>pseudohypericin</t>
        </is>
      </c>
      <c r="AF478" t="inlineStr">
        <is>
          <t>pseudohypericin</t>
        </is>
      </c>
      <c r="AH478" t="inlineStr">
        <is>
          <t>Pass 45 duplicate consolidation</t>
        </is>
      </c>
      <c r="AI478" t="inlineStr">
        <is>
          <t>naphthodianthrone</t>
        </is>
      </c>
      <c r="AJ478" t="inlineStr">
        <is>
          <t>Human</t>
        </is>
      </c>
      <c r="AK478" t="inlineStr">
        <is>
          <t>unclassified</t>
        </is>
      </c>
      <c r="AL478" t="inlineStr">
        <is>
          <t>Pass 46 mechanism + evidence consolidation</t>
        </is>
      </c>
      <c r="AM478" t="n">
        <v>7</v>
      </c>
      <c r="AN478" t="inlineStr">
        <is>
          <t>B</t>
        </is>
      </c>
      <c r="AO478" t="inlineStr">
        <is>
          <t>Pass 47 compound scoring</t>
        </is>
      </c>
    </row>
    <row r="479">
      <c r="A479" t="inlineStr">
        <is>
          <t>psilocin</t>
        </is>
      </c>
      <c r="B479" t="inlineStr">
        <is>
          <t>psilocin</t>
        </is>
      </c>
      <c r="D479" t="inlineStr">
        <is>
          <t>other</t>
        </is>
      </c>
      <c r="E479" t="inlineStr">
        <is>
          <t>insufficient evidence</t>
        </is>
      </c>
      <c r="F479" t="inlineStr">
        <is>
          <t>unclassified</t>
        </is>
      </c>
      <c r="W479" t="n">
        <v>2</v>
      </c>
      <c r="X479" t="inlineStr">
        <is>
          <t>Low</t>
        </is>
      </c>
      <c r="Z479" t="inlineStr">
        <is>
          <t>psilocin</t>
        </is>
      </c>
      <c r="AF479" t="inlineStr">
        <is>
          <t>psilocin</t>
        </is>
      </c>
      <c r="AH479" t="inlineStr">
        <is>
          <t>Pass 45 duplicate consolidation</t>
        </is>
      </c>
      <c r="AI479" t="inlineStr">
        <is>
          <t>other</t>
        </is>
      </c>
      <c r="AJ479" t="inlineStr">
        <is>
          <t>Unknown</t>
        </is>
      </c>
      <c r="AK479" t="inlineStr">
        <is>
          <t>unclassified</t>
        </is>
      </c>
      <c r="AL479" t="inlineStr">
        <is>
          <t>Pass 46 mechanism + evidence consolidation</t>
        </is>
      </c>
      <c r="AM479" t="n">
        <v>3</v>
      </c>
      <c r="AN479" t="inlineStr">
        <is>
          <t>D</t>
        </is>
      </c>
      <c r="AO479" t="inlineStr">
        <is>
          <t>Pass 47 compound scoring</t>
        </is>
      </c>
    </row>
    <row r="480">
      <c r="A480" t="inlineStr">
        <is>
          <t>psilocybin</t>
        </is>
      </c>
      <c r="B480" t="inlineStr">
        <is>
          <t>psilocybin</t>
        </is>
      </c>
      <c r="D480" t="inlineStr">
        <is>
          <t>other</t>
        </is>
      </c>
      <c r="E480" t="inlineStr">
        <is>
          <t>Converted to psilocin which acts as 5-HT2A agonist.</t>
        </is>
      </c>
      <c r="F480" t="inlineStr">
        <is>
          <t>unclassified</t>
        </is>
      </c>
      <c r="W480" t="n">
        <v>2</v>
      </c>
      <c r="X480" t="inlineStr">
        <is>
          <t>Low</t>
        </is>
      </c>
      <c r="Z480" t="inlineStr">
        <is>
          <t>psilocybin</t>
        </is>
      </c>
      <c r="AF480" t="inlineStr">
        <is>
          <t>psilocybin</t>
        </is>
      </c>
      <c r="AH480" t="inlineStr">
        <is>
          <t>Pass 45 duplicate consolidation</t>
        </is>
      </c>
      <c r="AI480" t="inlineStr">
        <is>
          <t>other</t>
        </is>
      </c>
      <c r="AJ480" t="inlineStr">
        <is>
          <t>Unknown</t>
        </is>
      </c>
      <c r="AK480" t="inlineStr">
        <is>
          <t>unclassified</t>
        </is>
      </c>
      <c r="AL480" t="inlineStr">
        <is>
          <t>Pass 46 mechanism + evidence consolidation</t>
        </is>
      </c>
      <c r="AM480" t="n">
        <v>3</v>
      </c>
      <c r="AN480" t="inlineStr">
        <is>
          <t>D</t>
        </is>
      </c>
      <c r="AO480" t="inlineStr">
        <is>
          <t>Pass 47 compound scoring</t>
        </is>
      </c>
    </row>
    <row r="481">
      <c r="A481" t="inlineStr">
        <is>
          <t>psk</t>
        </is>
      </c>
      <c r="B481" t="inlineStr">
        <is>
          <t>PSK</t>
        </is>
      </c>
      <c r="D481" t="inlineStr">
        <is>
          <t>polysaccharide</t>
        </is>
      </c>
      <c r="E481" t="inlineStr">
        <is>
          <t>Turkey Tail polysaccharide linked to immune support.</t>
        </is>
      </c>
      <c r="F481" t="inlineStr">
        <is>
          <t>unclassified</t>
        </is>
      </c>
      <c r="W481" t="n">
        <v>2</v>
      </c>
      <c r="X481" t="inlineStr">
        <is>
          <t>Low</t>
        </is>
      </c>
      <c r="Z481" t="inlineStr">
        <is>
          <t>psk</t>
        </is>
      </c>
      <c r="AF481" t="inlineStr">
        <is>
          <t>psk</t>
        </is>
      </c>
      <c r="AH481" t="inlineStr">
        <is>
          <t>Pass 45 duplicate consolidation</t>
        </is>
      </c>
      <c r="AI481" t="inlineStr">
        <is>
          <t>polysaccharide</t>
        </is>
      </c>
      <c r="AJ481" t="inlineStr">
        <is>
          <t>Unknown</t>
        </is>
      </c>
      <c r="AK481" t="inlineStr">
        <is>
          <t>unclassified</t>
        </is>
      </c>
      <c r="AL481" t="inlineStr">
        <is>
          <t>Pass 46 mechanism + evidence consolidation</t>
        </is>
      </c>
      <c r="AM481" t="n">
        <v>3</v>
      </c>
      <c r="AN481" t="inlineStr">
        <is>
          <t>D</t>
        </is>
      </c>
      <c r="AO481" t="inlineStr">
        <is>
          <t>Pass 47 compound scoring</t>
        </is>
      </c>
    </row>
    <row r="482">
      <c r="A482" t="inlineStr">
        <is>
          <t>puerarin</t>
        </is>
      </c>
      <c r="B482" t="inlineStr">
        <is>
          <t>puerarin</t>
        </is>
      </c>
      <c r="D482" t="inlineStr">
        <is>
          <t>isoflavone</t>
        </is>
      </c>
      <c r="E482" t="inlineStr">
        <is>
          <t>Primary active compound.</t>
        </is>
      </c>
      <c r="F482" t="inlineStr">
        <is>
          <t>unclassified</t>
        </is>
      </c>
      <c r="W482" t="n">
        <v>2</v>
      </c>
      <c r="X482" t="inlineStr">
        <is>
          <t>Low</t>
        </is>
      </c>
      <c r="Z482" t="inlineStr">
        <is>
          <t>puerarin</t>
        </is>
      </c>
      <c r="AF482" t="inlineStr">
        <is>
          <t>puerarin</t>
        </is>
      </c>
      <c r="AH482" t="inlineStr">
        <is>
          <t>Pass 45 duplicate consolidation</t>
        </is>
      </c>
      <c r="AI482" t="inlineStr">
        <is>
          <t>isoflavone</t>
        </is>
      </c>
      <c r="AJ482" t="inlineStr">
        <is>
          <t>Unknown</t>
        </is>
      </c>
      <c r="AK482" t="inlineStr">
        <is>
          <t>unclassified</t>
        </is>
      </c>
      <c r="AL482" t="inlineStr">
        <is>
          <t>Pass 46 mechanism + evidence consolidation</t>
        </is>
      </c>
      <c r="AM482" t="n">
        <v>3</v>
      </c>
      <c r="AN482" t="inlineStr">
        <is>
          <t>D</t>
        </is>
      </c>
      <c r="AO482" t="inlineStr">
        <is>
          <t>Pass 47 compound scoring</t>
        </is>
      </c>
    </row>
    <row r="483">
      <c r="A483" t="inlineStr">
        <is>
          <t>pulegone</t>
        </is>
      </c>
      <c r="B483" t="inlineStr">
        <is>
          <t>pulegone</t>
        </is>
      </c>
      <c r="D483" t="inlineStr">
        <is>
          <t>monoterpene ketone</t>
        </is>
      </c>
      <c r="E483" t="inlineStr">
        <is>
          <t>metabolized to hepatotoxic intermediates in high doses; safety-relevant compound</t>
        </is>
      </c>
      <c r="F483" t="inlineStr">
        <is>
          <t>unclassified</t>
        </is>
      </c>
      <c r="W483" t="n">
        <v>2</v>
      </c>
      <c r="X483" t="inlineStr">
        <is>
          <t>Low</t>
        </is>
      </c>
      <c r="Z483" t="inlineStr">
        <is>
          <t>pulegone</t>
        </is>
      </c>
      <c r="AF483" t="inlineStr">
        <is>
          <t>pulegone</t>
        </is>
      </c>
      <c r="AH483" t="inlineStr">
        <is>
          <t>Pass 45 duplicate consolidation</t>
        </is>
      </c>
      <c r="AI483" t="inlineStr">
        <is>
          <t>monoterpene ketone</t>
        </is>
      </c>
      <c r="AJ483" t="inlineStr">
        <is>
          <t>Unknown</t>
        </is>
      </c>
      <c r="AK483" t="inlineStr">
        <is>
          <t>unclassified</t>
        </is>
      </c>
      <c r="AL483" t="inlineStr">
        <is>
          <t>Pass 46 mechanism + evidence consolidation</t>
        </is>
      </c>
      <c r="AM483" t="n">
        <v>3</v>
      </c>
      <c r="AN483" t="inlineStr">
        <is>
          <t>D</t>
        </is>
      </c>
      <c r="AO483" t="inlineStr">
        <is>
          <t>Pass 47 compound scoring</t>
        </is>
      </c>
    </row>
    <row r="484">
      <c r="A484" t="inlineStr">
        <is>
          <t>Punarnavine</t>
        </is>
      </c>
      <c r="B484" t="inlineStr">
        <is>
          <t>punarnavine</t>
        </is>
      </c>
      <c r="C484" t="inlineStr">
        <is>
          <t>Boerhavia diffusa</t>
        </is>
      </c>
      <c r="D484" t="inlineStr">
        <is>
          <t>Punarnavine, alkaloids, flavonoids</t>
        </is>
      </c>
      <c r="E484" t="inlineStr">
        <is>
          <t>insufficient evidence</t>
        </is>
      </c>
      <c r="F484" t="inlineStr">
        <is>
          <t>unclassified</t>
        </is>
      </c>
      <c r="U484" t="inlineStr">
        <is>
          <t>Pass 45 merged 2 rows into canonical compound entry</t>
        </is>
      </c>
      <c r="W484" t="n">
        <v>2</v>
      </c>
      <c r="X484" t="inlineStr">
        <is>
          <t>Low</t>
        </is>
      </c>
      <c r="Z484" t="inlineStr">
        <is>
          <t>Punarnavine</t>
        </is>
      </c>
      <c r="AF484" t="inlineStr">
        <is>
          <t>punarnavine</t>
        </is>
      </c>
      <c r="AH484" t="inlineStr">
        <is>
          <t>Pass 45 duplicate consolidation</t>
        </is>
      </c>
      <c r="AI484" t="inlineStr">
        <is>
          <t>Punarnavine, alkaloids, flavonoids</t>
        </is>
      </c>
      <c r="AJ484" t="inlineStr">
        <is>
          <t>Unknown</t>
        </is>
      </c>
      <c r="AK484" t="inlineStr">
        <is>
          <t>unclassified</t>
        </is>
      </c>
      <c r="AL484" t="inlineStr">
        <is>
          <t>Pass 46 mechanism + evidence consolidation</t>
        </is>
      </c>
      <c r="AM484" t="n">
        <v>3</v>
      </c>
      <c r="AN484" t="inlineStr">
        <is>
          <t>D</t>
        </is>
      </c>
      <c r="AO484" t="inlineStr">
        <is>
          <t>Pass 47 compound scoring</t>
        </is>
      </c>
    </row>
    <row r="485">
      <c r="A485" t="inlineStr">
        <is>
          <t>punicalagins</t>
        </is>
      </c>
      <c r="B485" t="inlineStr">
        <is>
          <t>punicalagins</t>
        </is>
      </c>
      <c r="D485" t="inlineStr">
        <is>
          <t>ellagitannins</t>
        </is>
      </c>
      <c r="E485" t="inlineStr">
        <is>
          <t>Pomegranate polyphenols associated with antioxidant and vascular-support positioning.</t>
        </is>
      </c>
      <c r="F485" t="inlineStr">
        <is>
          <t>unclassified</t>
        </is>
      </c>
      <c r="W485" t="n">
        <v>2</v>
      </c>
      <c r="X485" t="inlineStr">
        <is>
          <t>Low</t>
        </is>
      </c>
      <c r="Z485" t="inlineStr">
        <is>
          <t>punicalagins</t>
        </is>
      </c>
      <c r="AF485" t="inlineStr">
        <is>
          <t>punicalagins</t>
        </is>
      </c>
      <c r="AH485" t="inlineStr">
        <is>
          <t>Pass 45 duplicate consolidation</t>
        </is>
      </c>
      <c r="AI485" t="inlineStr">
        <is>
          <t>ellagitannins</t>
        </is>
      </c>
      <c r="AJ485" t="inlineStr">
        <is>
          <t>Unknown</t>
        </is>
      </c>
      <c r="AK485" t="inlineStr">
        <is>
          <t>unclassified</t>
        </is>
      </c>
      <c r="AL485" t="inlineStr">
        <is>
          <t>Pass 46 mechanism + evidence consolidation</t>
        </is>
      </c>
      <c r="AM485" t="n">
        <v>3</v>
      </c>
      <c r="AN485" t="inlineStr">
        <is>
          <t>D</t>
        </is>
      </c>
      <c r="AO485" t="inlineStr">
        <is>
          <t>Pass 47 compound scoring</t>
        </is>
      </c>
    </row>
    <row r="486">
      <c r="A486" t="inlineStr">
        <is>
          <t>pyridoxine</t>
        </is>
      </c>
      <c r="B486" t="inlineStr">
        <is>
          <t>pyridoxine</t>
        </is>
      </c>
      <c r="D486" t="inlineStr">
        <is>
          <t>water-soluble vitamin</t>
        </is>
      </c>
      <c r="E486" t="inlineStr">
        <is>
          <t>Converted to active coenzyme forms PLP and PMP, which participate in more than 100 enzyme reactions, especially amino-acid metabolism, neurotransmitter biosynthesis, hemoglobin formation, and homocysteine regulation.</t>
        </is>
      </c>
      <c r="F486" t="inlineStr">
        <is>
          <t>unclassified</t>
        </is>
      </c>
      <c r="W486" t="n">
        <v>2</v>
      </c>
      <c r="X486" t="inlineStr">
        <is>
          <t>Low</t>
        </is>
      </c>
      <c r="Z486" t="inlineStr">
        <is>
          <t>pyridoxine</t>
        </is>
      </c>
      <c r="AF486" t="inlineStr">
        <is>
          <t>pyridoxine</t>
        </is>
      </c>
      <c r="AH486" t="inlineStr">
        <is>
          <t>Pass 45 duplicate consolidation</t>
        </is>
      </c>
      <c r="AI486" t="inlineStr">
        <is>
          <t>water-soluble vitamin</t>
        </is>
      </c>
      <c r="AJ486" t="inlineStr">
        <is>
          <t>Unknown</t>
        </is>
      </c>
      <c r="AK486" t="inlineStr">
        <is>
          <t>unclassified</t>
        </is>
      </c>
      <c r="AL486" t="inlineStr">
        <is>
          <t>Pass 46 mechanism + evidence consolidation</t>
        </is>
      </c>
      <c r="AM486" t="n">
        <v>3</v>
      </c>
      <c r="AN486" t="inlineStr">
        <is>
          <t>D</t>
        </is>
      </c>
      <c r="AO486" t="inlineStr">
        <is>
          <t>Pass 47 compound scoring</t>
        </is>
      </c>
    </row>
    <row r="487">
      <c r="A487" t="inlineStr">
        <is>
          <t>quadrangularin a</t>
        </is>
      </c>
      <c r="B487" t="inlineStr">
        <is>
          <t>quadrangularin A</t>
        </is>
      </c>
      <c r="D487" t="inlineStr">
        <is>
          <t>stilbene derivative</t>
        </is>
      </c>
      <c r="E487" t="inlineStr">
        <is>
          <t>Cissus-associated constituent linked to connective-tissue and recovery-adjacent positioning.</t>
        </is>
      </c>
      <c r="F487" t="inlineStr">
        <is>
          <t>unclassified</t>
        </is>
      </c>
      <c r="W487" t="n">
        <v>2</v>
      </c>
      <c r="X487" t="inlineStr">
        <is>
          <t>Low</t>
        </is>
      </c>
      <c r="Z487" t="inlineStr">
        <is>
          <t>quadrangularin a</t>
        </is>
      </c>
      <c r="AF487" t="inlineStr">
        <is>
          <t>quadrangularin a</t>
        </is>
      </c>
      <c r="AH487" t="inlineStr">
        <is>
          <t>Pass 45 duplicate consolidation</t>
        </is>
      </c>
      <c r="AI487" t="inlineStr">
        <is>
          <t>stilbene derivative</t>
        </is>
      </c>
      <c r="AJ487" t="inlineStr">
        <is>
          <t>Unknown</t>
        </is>
      </c>
      <c r="AK487" t="inlineStr">
        <is>
          <t>unclassified</t>
        </is>
      </c>
      <c r="AL487" t="inlineStr">
        <is>
          <t>Pass 46 mechanism + evidence consolidation</t>
        </is>
      </c>
      <c r="AM487" t="n">
        <v>3</v>
      </c>
      <c r="AN487" t="inlineStr">
        <is>
          <t>D</t>
        </is>
      </c>
      <c r="AO487" t="inlineStr">
        <is>
          <t>Pass 47 compound scoring</t>
        </is>
      </c>
    </row>
    <row r="488">
      <c r="A488" t="inlineStr">
        <is>
          <t>quassin</t>
        </is>
      </c>
      <c r="B488" t="inlineStr">
        <is>
          <t>quassin</t>
        </is>
      </c>
      <c r="D488" t="inlineStr">
        <is>
          <t>other</t>
        </is>
      </c>
      <c r="E488" t="inlineStr">
        <is>
          <t>insufficient evidence</t>
        </is>
      </c>
      <c r="F488" t="inlineStr">
        <is>
          <t>unclassified</t>
        </is>
      </c>
      <c r="W488" t="n">
        <v>2</v>
      </c>
      <c r="X488" t="inlineStr">
        <is>
          <t>Low</t>
        </is>
      </c>
      <c r="Z488" t="inlineStr">
        <is>
          <t>quassin</t>
        </is>
      </c>
      <c r="AF488" t="inlineStr">
        <is>
          <t>quassin</t>
        </is>
      </c>
      <c r="AH488" t="inlineStr">
        <is>
          <t>Pass 45 duplicate consolidation</t>
        </is>
      </c>
      <c r="AI488" t="inlineStr">
        <is>
          <t>other</t>
        </is>
      </c>
      <c r="AJ488" t="inlineStr">
        <is>
          <t>Unknown</t>
        </is>
      </c>
      <c r="AK488" t="inlineStr">
        <is>
          <t>unclassified</t>
        </is>
      </c>
      <c r="AL488" t="inlineStr">
        <is>
          <t>Pass 46 mechanism + evidence consolidation</t>
        </is>
      </c>
      <c r="AM488" t="n">
        <v>3</v>
      </c>
      <c r="AN488" t="inlineStr">
        <is>
          <t>D</t>
        </is>
      </c>
      <c r="AO488" t="inlineStr">
        <is>
          <t>Pass 47 compound scoring</t>
        </is>
      </c>
    </row>
    <row r="489">
      <c r="A489" t="inlineStr">
        <is>
          <t>quebrachine</t>
        </is>
      </c>
      <c r="B489" t="inlineStr">
        <is>
          <t>quebrachine</t>
        </is>
      </c>
      <c r="D489" t="inlineStr">
        <is>
          <t>yohimbine-type alkaloids</t>
        </is>
      </c>
      <c r="E489" t="inlineStr">
        <is>
          <t>insufficient evidence</t>
        </is>
      </c>
      <c r="F489" t="inlineStr">
        <is>
          <t>unclassified</t>
        </is>
      </c>
      <c r="W489" t="n">
        <v>2</v>
      </c>
      <c r="X489" t="inlineStr">
        <is>
          <t>Low</t>
        </is>
      </c>
      <c r="Z489" t="inlineStr">
        <is>
          <t>quebrachine</t>
        </is>
      </c>
      <c r="AF489" t="inlineStr">
        <is>
          <t>quebrachine</t>
        </is>
      </c>
      <c r="AH489" t="inlineStr">
        <is>
          <t>Pass 45 duplicate consolidation</t>
        </is>
      </c>
      <c r="AI489" t="inlineStr">
        <is>
          <t>yohimbine-type alkaloids</t>
        </is>
      </c>
      <c r="AJ489" t="inlineStr">
        <is>
          <t>Unknown</t>
        </is>
      </c>
      <c r="AK489" t="inlineStr">
        <is>
          <t>unclassified</t>
        </is>
      </c>
      <c r="AL489" t="inlineStr">
        <is>
          <t>Pass 46 mechanism + evidence consolidation</t>
        </is>
      </c>
      <c r="AM489" t="n">
        <v>3</v>
      </c>
      <c r="AN489" t="inlineStr">
        <is>
          <t>D</t>
        </is>
      </c>
      <c r="AO489" t="inlineStr">
        <is>
          <t>Pass 47 compound scoring</t>
        </is>
      </c>
    </row>
    <row r="490">
      <c r="A490" t="inlineStr">
        <is>
          <t>Quercetin</t>
        </is>
      </c>
      <c r="B490" t="inlineStr">
        <is>
          <t>Flavonoid</t>
        </is>
      </c>
      <c r="C490" t="inlineStr">
        <is>
          <t>Multiple; Ginkgo Biloba</t>
        </is>
      </c>
      <c r="D490" t="inlineStr">
        <is>
          <t>Anti-inflammatory</t>
        </is>
      </c>
      <c r="E490" t="inlineStr">
        <is>
          <t>Broad anti-inflammatory and antioxidant flavonol activity with inhibition of NF-kB-linked inflammatory signaling and enzyme-level effects that include xanthine oxidase inhibition in experimental systems.</t>
        </is>
      </c>
      <c r="F490" t="inlineStr">
        <is>
          <t>unclassified; NF-kB inhibition; mast-cell modulation; oxidative stress reduction</t>
        </is>
      </c>
      <c r="U490" t="inlineStr">
        <is>
          <t>Pass 13 linked existing compound to additional top herb; Pass 45 merged 2 rows into canonical compound entry</t>
        </is>
      </c>
      <c r="W490" t="n">
        <v>4</v>
      </c>
      <c r="X490" t="inlineStr">
        <is>
          <t>Medium</t>
        </is>
      </c>
      <c r="Z490" t="inlineStr">
        <is>
          <t>Quercetin</t>
        </is>
      </c>
      <c r="AF490" t="inlineStr">
        <is>
          <t>quercetin</t>
        </is>
      </c>
      <c r="AH490" t="inlineStr">
        <is>
          <t>Pass 45 duplicate consolidation</t>
        </is>
      </c>
      <c r="AI490" t="inlineStr">
        <is>
          <t>Anti-inflammatory</t>
        </is>
      </c>
      <c r="AJ490" t="inlineStr">
        <is>
          <t>Unknown</t>
        </is>
      </c>
      <c r="AK490" t="inlineStr">
        <is>
          <t>mast-cell modulation; nf-kb inhibition; oxidative stress reduction; unclassified</t>
        </is>
      </c>
      <c r="AL490" t="inlineStr">
        <is>
          <t>Pass 46 mechanism + evidence consolidation</t>
        </is>
      </c>
      <c r="AM490" t="n">
        <v>6</v>
      </c>
      <c r="AN490" t="inlineStr">
        <is>
          <t>C</t>
        </is>
      </c>
      <c r="AO490" t="inlineStr">
        <is>
          <t>Pass 47 compound scoring</t>
        </is>
      </c>
    </row>
    <row r="491">
      <c r="A491" t="inlineStr">
        <is>
          <t>quercitrin</t>
        </is>
      </c>
      <c r="B491" t="inlineStr">
        <is>
          <t>quercitrin</t>
        </is>
      </c>
      <c r="D491" t="inlineStr">
        <is>
          <t>protopine alkaloids</t>
        </is>
      </c>
      <c r="E491" t="inlineStr">
        <is>
          <t>insufficient evidence</t>
        </is>
      </c>
      <c r="F491" t="inlineStr">
        <is>
          <t>unclassified</t>
        </is>
      </c>
      <c r="W491" t="n">
        <v>2</v>
      </c>
      <c r="X491" t="inlineStr">
        <is>
          <t>Low</t>
        </is>
      </c>
      <c r="Z491" t="inlineStr">
        <is>
          <t>quercitrin</t>
        </is>
      </c>
      <c r="AF491" t="inlineStr">
        <is>
          <t>quercitrin</t>
        </is>
      </c>
      <c r="AH491" t="inlineStr">
        <is>
          <t>Pass 45 duplicate consolidation</t>
        </is>
      </c>
      <c r="AI491" t="inlineStr">
        <is>
          <t>protopine alkaloids</t>
        </is>
      </c>
      <c r="AJ491" t="inlineStr">
        <is>
          <t>Unknown</t>
        </is>
      </c>
      <c r="AK491" t="inlineStr">
        <is>
          <t>unclassified</t>
        </is>
      </c>
      <c r="AL491" t="inlineStr">
        <is>
          <t>Pass 46 mechanism + evidence consolidation</t>
        </is>
      </c>
      <c r="AM491" t="n">
        <v>3</v>
      </c>
      <c r="AN491" t="inlineStr">
        <is>
          <t>D</t>
        </is>
      </c>
      <c r="AO491" t="inlineStr">
        <is>
          <t>Pass 47 compound scoring</t>
        </is>
      </c>
    </row>
    <row r="492">
      <c r="A492" t="inlineStr">
        <is>
          <t>rb2</t>
        </is>
      </c>
      <c r="B492" t="inlineStr">
        <is>
          <t>rb2</t>
        </is>
      </c>
      <c r="D492" t="inlineStr">
        <is>
          <t>other</t>
        </is>
      </c>
      <c r="E492" t="inlineStr">
        <is>
          <t>insufficient evidence</t>
        </is>
      </c>
      <c r="F492" t="inlineStr">
        <is>
          <t>unclassified</t>
        </is>
      </c>
      <c r="W492" t="n">
        <v>2</v>
      </c>
      <c r="X492" t="inlineStr">
        <is>
          <t>Low</t>
        </is>
      </c>
      <c r="Z492" t="inlineStr">
        <is>
          <t>rb2</t>
        </is>
      </c>
      <c r="AF492" t="inlineStr">
        <is>
          <t>rb2</t>
        </is>
      </c>
      <c r="AH492" t="inlineStr">
        <is>
          <t>Pass 45 duplicate consolidation</t>
        </is>
      </c>
      <c r="AI492" t="inlineStr">
        <is>
          <t>other</t>
        </is>
      </c>
      <c r="AJ492" t="inlineStr">
        <is>
          <t>Unknown</t>
        </is>
      </c>
      <c r="AK492" t="inlineStr">
        <is>
          <t>unclassified</t>
        </is>
      </c>
      <c r="AL492" t="inlineStr">
        <is>
          <t>Pass 46 mechanism + evidence consolidation</t>
        </is>
      </c>
      <c r="AM492" t="n">
        <v>3</v>
      </c>
      <c r="AN492" t="inlineStr">
        <is>
          <t>D</t>
        </is>
      </c>
      <c r="AO492" t="inlineStr">
        <is>
          <t>Pass 47 compound scoring</t>
        </is>
      </c>
    </row>
    <row r="493">
      <c r="A493" t="inlineStr">
        <is>
          <t>reserpine</t>
        </is>
      </c>
      <c r="B493" t="inlineStr">
        <is>
          <t>reserpine</t>
        </is>
      </c>
      <c r="D493" t="inlineStr">
        <is>
          <t>other</t>
        </is>
      </c>
      <c r="E493" t="inlineStr">
        <is>
          <t>insufficient evidence</t>
        </is>
      </c>
      <c r="F493" t="inlineStr">
        <is>
          <t>unclassified</t>
        </is>
      </c>
      <c r="W493" t="n">
        <v>2</v>
      </c>
      <c r="X493" t="inlineStr">
        <is>
          <t>Low</t>
        </is>
      </c>
      <c r="Z493" t="inlineStr">
        <is>
          <t>reserpine</t>
        </is>
      </c>
      <c r="AF493" t="inlineStr">
        <is>
          <t>reserpine</t>
        </is>
      </c>
      <c r="AH493" t="inlineStr">
        <is>
          <t>Pass 45 duplicate consolidation</t>
        </is>
      </c>
      <c r="AI493" t="inlineStr">
        <is>
          <t>other</t>
        </is>
      </c>
      <c r="AJ493" t="inlineStr">
        <is>
          <t>Unknown</t>
        </is>
      </c>
      <c r="AK493" t="inlineStr">
        <is>
          <t>unclassified</t>
        </is>
      </c>
      <c r="AL493" t="inlineStr">
        <is>
          <t>Pass 46 mechanism + evidence consolidation</t>
        </is>
      </c>
      <c r="AM493" t="n">
        <v>3</v>
      </c>
      <c r="AN493" t="inlineStr">
        <is>
          <t>D</t>
        </is>
      </c>
      <c r="AO493" t="inlineStr">
        <is>
          <t>Pass 47 compound scoring</t>
        </is>
      </c>
    </row>
    <row r="494">
      <c r="A494" t="inlineStr">
        <is>
          <t>Resveratrol</t>
        </is>
      </c>
      <c r="B494" t="inlineStr">
        <is>
          <t>resveratrol</t>
        </is>
      </c>
      <c r="C494" t="inlineStr">
        <is>
          <t>Polygonum cuspidatum</t>
        </is>
      </c>
      <c r="D494" t="inlineStr">
        <is>
          <t>Antioxidant</t>
        </is>
      </c>
      <c r="E494" t="inlineStr">
        <is>
          <t>Polyphenolic signaling modulator with reported activation of SIRT1/AMPK-related pathways and suppression of NF-kB-associated inflammatory signaling; many claims remain formulation- and context-dependent.</t>
        </is>
      </c>
      <c r="F494" t="inlineStr">
        <is>
          <t>unclassified; AMPK activation; SIRT1-associated signaling; oxidative stress reduction</t>
        </is>
      </c>
      <c r="U494" t="inlineStr">
        <is>
          <t>Pass 45 merged 2 rows into canonical compound entry</t>
        </is>
      </c>
      <c r="W494" t="n">
        <v>4</v>
      </c>
      <c r="X494" t="inlineStr">
        <is>
          <t>Medium</t>
        </is>
      </c>
      <c r="Z494" t="inlineStr">
        <is>
          <t>Resveratrol</t>
        </is>
      </c>
      <c r="AF494" t="inlineStr">
        <is>
          <t>resveratrol</t>
        </is>
      </c>
      <c r="AH494" t="inlineStr">
        <is>
          <t>Pass 45 duplicate consolidation</t>
        </is>
      </c>
      <c r="AI494" t="inlineStr">
        <is>
          <t>Antioxidant</t>
        </is>
      </c>
      <c r="AJ494" t="inlineStr">
        <is>
          <t>Unknown</t>
        </is>
      </c>
      <c r="AK494" t="inlineStr">
        <is>
          <t>ampk activation; oxidative stress reduction; sirt1-associated signaling; unclassified</t>
        </is>
      </c>
      <c r="AL494" t="inlineStr">
        <is>
          <t>Pass 46 mechanism + evidence consolidation</t>
        </is>
      </c>
      <c r="AM494" t="n">
        <v>6</v>
      </c>
      <c r="AN494" t="inlineStr">
        <is>
          <t>C</t>
        </is>
      </c>
      <c r="AO494" t="inlineStr">
        <is>
          <t>Pass 47 compound scoring</t>
        </is>
      </c>
    </row>
    <row r="495">
      <c r="A495" t="inlineStr">
        <is>
          <t>rhodiola salidroside rosavin</t>
        </is>
      </c>
      <c r="B495" t="inlineStr">
        <is>
          <t>rhodiola (salidroside/rosavin)</t>
        </is>
      </c>
      <c r="D495" t="inlineStr">
        <is>
          <t>phenolic glycoside</t>
        </is>
      </c>
      <c r="E495" t="inlineStr">
        <is>
          <t>Modulates AMPK and stress-response pathways</t>
        </is>
      </c>
      <c r="F495" t="inlineStr">
        <is>
          <t>unclassified</t>
        </is>
      </c>
      <c r="W495" t="n">
        <v>2</v>
      </c>
      <c r="X495" t="inlineStr">
        <is>
          <t>Low</t>
        </is>
      </c>
      <c r="Z495" t="inlineStr">
        <is>
          <t>rhodiola salidroside rosavin</t>
        </is>
      </c>
      <c r="AF495" t="inlineStr">
        <is>
          <t>rhodiola salidroside rosavin</t>
        </is>
      </c>
      <c r="AH495" t="inlineStr">
        <is>
          <t>Pass 45 duplicate consolidation</t>
        </is>
      </c>
      <c r="AI495" t="inlineStr">
        <is>
          <t>phenolic glycoside</t>
        </is>
      </c>
      <c r="AJ495" t="inlineStr">
        <is>
          <t>Unknown</t>
        </is>
      </c>
      <c r="AK495" t="inlineStr">
        <is>
          <t>unclassified</t>
        </is>
      </c>
      <c r="AL495" t="inlineStr">
        <is>
          <t>Pass 46 mechanism + evidence consolidation</t>
        </is>
      </c>
      <c r="AM495" t="n">
        <v>3</v>
      </c>
      <c r="AN495" t="inlineStr">
        <is>
          <t>D</t>
        </is>
      </c>
      <c r="AO495" t="inlineStr">
        <is>
          <t>Pass 47 compound scoring</t>
        </is>
      </c>
    </row>
    <row r="496">
      <c r="A496" t="inlineStr">
        <is>
          <t>rhodiosin</t>
        </is>
      </c>
      <c r="B496" t="inlineStr">
        <is>
          <t>rhodiosin</t>
        </is>
      </c>
      <c r="C496" t="inlineStr">
        <is>
          <t>herbacetin-7-O-glucorhamnoside</t>
        </is>
      </c>
      <c r="D496" t="inlineStr">
        <is>
          <t>flavonol glycoside</t>
        </is>
      </c>
      <c r="E496" t="inlineStr">
        <is>
          <t>proposed mechanism based on preclinical data: antioxidant and anti-inflammatory signaling effects are reported in Rhodiola constituent literature, but no established human mechanism exists.</t>
        </is>
      </c>
      <c r="F496" t="inlineStr">
        <is>
          <t>unclassified</t>
        </is>
      </c>
      <c r="W496" t="n">
        <v>2</v>
      </c>
      <c r="X496" t="inlineStr">
        <is>
          <t>Low</t>
        </is>
      </c>
      <c r="Z496" t="inlineStr">
        <is>
          <t>rhodiosin</t>
        </is>
      </c>
      <c r="AF496" t="inlineStr">
        <is>
          <t>rhodiosin</t>
        </is>
      </c>
      <c r="AH496" t="inlineStr">
        <is>
          <t>Pass 45 duplicate consolidation</t>
        </is>
      </c>
      <c r="AI496" t="inlineStr">
        <is>
          <t>flavonol glycoside</t>
        </is>
      </c>
      <c r="AJ496" t="inlineStr">
        <is>
          <t>Human</t>
        </is>
      </c>
      <c r="AK496" t="inlineStr">
        <is>
          <t>unclassified</t>
        </is>
      </c>
      <c r="AL496" t="inlineStr">
        <is>
          <t>Pass 46 mechanism + evidence consolidation</t>
        </is>
      </c>
      <c r="AM496" t="n">
        <v>7</v>
      </c>
      <c r="AN496" t="inlineStr">
        <is>
          <t>B</t>
        </is>
      </c>
      <c r="AO496" t="inlineStr">
        <is>
          <t>Pass 47 compound scoring</t>
        </is>
      </c>
    </row>
    <row r="497">
      <c r="A497" t="inlineStr">
        <is>
          <t>riboflavin</t>
        </is>
      </c>
      <c r="B497" t="inlineStr">
        <is>
          <t>riboflavin</t>
        </is>
      </c>
      <c r="D497" t="inlineStr">
        <is>
          <t>water-soluble vitamin</t>
        </is>
      </c>
      <c r="E497" t="inlineStr">
        <is>
          <t>Essential component of the coenzymes FMN and FAD, which support energy production, cellular function, growth and development, and metabolism of fats, drugs, and steroids.</t>
        </is>
      </c>
      <c r="F497" t="inlineStr">
        <is>
          <t>unclassified</t>
        </is>
      </c>
      <c r="W497" t="n">
        <v>2</v>
      </c>
      <c r="X497" t="inlineStr">
        <is>
          <t>Low</t>
        </is>
      </c>
      <c r="Z497" t="inlineStr">
        <is>
          <t>riboflavin</t>
        </is>
      </c>
      <c r="AF497" t="inlineStr">
        <is>
          <t>riboflavin</t>
        </is>
      </c>
      <c r="AH497" t="inlineStr">
        <is>
          <t>Pass 45 duplicate consolidation</t>
        </is>
      </c>
      <c r="AI497" t="inlineStr">
        <is>
          <t>water-soluble vitamin</t>
        </is>
      </c>
      <c r="AJ497" t="inlineStr">
        <is>
          <t>Unknown</t>
        </is>
      </c>
      <c r="AK497" t="inlineStr">
        <is>
          <t>unclassified</t>
        </is>
      </c>
      <c r="AL497" t="inlineStr">
        <is>
          <t>Pass 46 mechanism + evidence consolidation</t>
        </is>
      </c>
      <c r="AM497" t="n">
        <v>3</v>
      </c>
      <c r="AN497" t="inlineStr">
        <is>
          <t>D</t>
        </is>
      </c>
      <c r="AO497" t="inlineStr">
        <is>
          <t>Pass 47 compound scoring</t>
        </is>
      </c>
    </row>
    <row r="498">
      <c r="A498" t="inlineStr">
        <is>
          <t>ricin</t>
        </is>
      </c>
      <c r="B498" t="inlineStr">
        <is>
          <t>ricin</t>
        </is>
      </c>
      <c r="D498" t="inlineStr">
        <is>
          <t>other</t>
        </is>
      </c>
      <c r="E498" t="inlineStr">
        <is>
          <t>insufficient evidence</t>
        </is>
      </c>
      <c r="F498" t="inlineStr">
        <is>
          <t>unclassified</t>
        </is>
      </c>
      <c r="W498" t="n">
        <v>2</v>
      </c>
      <c r="X498" t="inlineStr">
        <is>
          <t>Low</t>
        </is>
      </c>
      <c r="Z498" t="inlineStr">
        <is>
          <t>ricin</t>
        </is>
      </c>
      <c r="AF498" t="inlineStr">
        <is>
          <t>ricin</t>
        </is>
      </c>
      <c r="AH498" t="inlineStr">
        <is>
          <t>Pass 45 duplicate consolidation</t>
        </is>
      </c>
      <c r="AI498" t="inlineStr">
        <is>
          <t>other</t>
        </is>
      </c>
      <c r="AJ498" t="inlineStr">
        <is>
          <t>Unknown</t>
        </is>
      </c>
      <c r="AK498" t="inlineStr">
        <is>
          <t>unclassified</t>
        </is>
      </c>
      <c r="AL498" t="inlineStr">
        <is>
          <t>Pass 46 mechanism + evidence consolidation</t>
        </is>
      </c>
      <c r="AM498" t="n">
        <v>3</v>
      </c>
      <c r="AN498" t="inlineStr">
        <is>
          <t>D</t>
        </is>
      </c>
      <c r="AO498" t="inlineStr">
        <is>
          <t>Pass 47 compound scoring</t>
        </is>
      </c>
    </row>
    <row r="499">
      <c r="A499" t="inlineStr">
        <is>
          <t>ricinoleic acid</t>
        </is>
      </c>
      <c r="B499" t="inlineStr">
        <is>
          <t>ricinoleic acid</t>
        </is>
      </c>
      <c r="D499" t="inlineStr">
        <is>
          <t>organic acid</t>
        </is>
      </c>
      <c r="E499" t="inlineStr">
        <is>
          <t>insufficient evidence</t>
        </is>
      </c>
      <c r="F499" t="inlineStr">
        <is>
          <t>unclassified</t>
        </is>
      </c>
      <c r="W499" t="n">
        <v>2</v>
      </c>
      <c r="X499" t="inlineStr">
        <is>
          <t>Low</t>
        </is>
      </c>
      <c r="Z499" t="inlineStr">
        <is>
          <t>ricinoleic acid</t>
        </is>
      </c>
      <c r="AF499" t="inlineStr">
        <is>
          <t>ricinoleic acid</t>
        </is>
      </c>
      <c r="AH499" t="inlineStr">
        <is>
          <t>Pass 45 duplicate consolidation</t>
        </is>
      </c>
      <c r="AI499" t="inlineStr">
        <is>
          <t>organic acid</t>
        </is>
      </c>
      <c r="AJ499" t="inlineStr">
        <is>
          <t>Unknown</t>
        </is>
      </c>
      <c r="AK499" t="inlineStr">
        <is>
          <t>unclassified</t>
        </is>
      </c>
      <c r="AL499" t="inlineStr">
        <is>
          <t>Pass 46 mechanism + evidence consolidation</t>
        </is>
      </c>
      <c r="AM499" t="n">
        <v>3</v>
      </c>
      <c r="AN499" t="inlineStr">
        <is>
          <t>D</t>
        </is>
      </c>
      <c r="AO499" t="inlineStr">
        <is>
          <t>Pass 47 compound scoring</t>
        </is>
      </c>
    </row>
    <row r="500">
      <c r="A500" t="inlineStr">
        <is>
          <t>roemerine</t>
        </is>
      </c>
      <c r="B500" t="inlineStr">
        <is>
          <t>roemerine</t>
        </is>
      </c>
      <c r="D500" t="inlineStr">
        <is>
          <t>other</t>
        </is>
      </c>
      <c r="E500" t="inlineStr">
        <is>
          <t>insufficient evidence</t>
        </is>
      </c>
      <c r="F500" t="inlineStr">
        <is>
          <t>unclassified</t>
        </is>
      </c>
      <c r="W500" t="n">
        <v>2</v>
      </c>
      <c r="X500" t="inlineStr">
        <is>
          <t>Low</t>
        </is>
      </c>
      <c r="Z500" t="inlineStr">
        <is>
          <t>roemerine</t>
        </is>
      </c>
      <c r="AF500" t="inlineStr">
        <is>
          <t>roemerine</t>
        </is>
      </c>
      <c r="AH500" t="inlineStr">
        <is>
          <t>Pass 45 duplicate consolidation</t>
        </is>
      </c>
      <c r="AI500" t="inlineStr">
        <is>
          <t>other</t>
        </is>
      </c>
      <c r="AJ500" t="inlineStr">
        <is>
          <t>Unknown</t>
        </is>
      </c>
      <c r="AK500" t="inlineStr">
        <is>
          <t>unclassified</t>
        </is>
      </c>
      <c r="AL500" t="inlineStr">
        <is>
          <t>Pass 46 mechanism + evidence consolidation</t>
        </is>
      </c>
      <c r="AM500" t="n">
        <v>3</v>
      </c>
      <c r="AN500" t="inlineStr">
        <is>
          <t>D</t>
        </is>
      </c>
      <c r="AO500" t="inlineStr">
        <is>
          <t>Pass 47 compound scoring</t>
        </is>
      </c>
    </row>
    <row r="501">
      <c r="A501" t="inlineStr">
        <is>
          <t>Rosarin</t>
        </is>
      </c>
      <c r="B501" t="inlineStr">
        <is>
          <t>Phenylpropanoid glycoside</t>
        </is>
      </c>
      <c r="C501" t="inlineStr">
        <is>
          <t>rhodioloside B; rosarin glycoside; Rhodiola</t>
        </is>
      </c>
      <c r="D501" t="inlineStr">
        <is>
          <t>phenylpropanoid glycoside</t>
        </is>
      </c>
      <c r="E501" t="inlineStr">
        <is>
          <t>No established human mechanism. proposed mechanism based on preclinical data: antioxidant/stress-response activity inferred from Rhodiola constituent studies; used more reliably as a chemotaxonomic and extract-standardization marker than as a standalone validated pharmacologic agent.</t>
        </is>
      </c>
      <c r="F501" t="inlineStr">
        <is>
          <t>unclassified; reinforcement</t>
        </is>
      </c>
      <c r="U501" t="inlineStr">
        <is>
          <t>Pass 45 merged 2 rows into canonical compound entry</t>
        </is>
      </c>
      <c r="W501" t="n">
        <v>3</v>
      </c>
      <c r="X501" t="inlineStr">
        <is>
          <t>Medium</t>
        </is>
      </c>
      <c r="Z501" t="inlineStr">
        <is>
          <t>Rosarin</t>
        </is>
      </c>
      <c r="AF501" t="inlineStr">
        <is>
          <t>rosarin</t>
        </is>
      </c>
      <c r="AH501" t="inlineStr">
        <is>
          <t>Pass 45 duplicate consolidation</t>
        </is>
      </c>
      <c r="AI501" t="inlineStr">
        <is>
          <t>phenylpropanoid glycoside</t>
        </is>
      </c>
      <c r="AJ501" t="inlineStr">
        <is>
          <t>Human</t>
        </is>
      </c>
      <c r="AK501" t="inlineStr">
        <is>
          <t>reinforcement; unclassified</t>
        </is>
      </c>
      <c r="AL501" t="inlineStr">
        <is>
          <t>Pass 46 mechanism + evidence consolidation</t>
        </is>
      </c>
      <c r="AM501" t="n">
        <v>8</v>
      </c>
      <c r="AN501" t="inlineStr">
        <is>
          <t>B</t>
        </is>
      </c>
      <c r="AO501" t="inlineStr">
        <is>
          <t>Pass 47 compound scoring</t>
        </is>
      </c>
    </row>
    <row r="502">
      <c r="A502" t="inlineStr">
        <is>
          <t>Rosavin</t>
        </is>
      </c>
      <c r="B502" t="inlineStr">
        <is>
          <t>Phenylpropanoid glycoside</t>
        </is>
      </c>
      <c r="C502" t="inlineStr">
        <is>
          <t>Rhodiola</t>
        </is>
      </c>
      <c r="D502" t="inlineStr">
        <is>
          <t>Adaptogenic and stress-response modulation</t>
        </is>
      </c>
      <c r="E502" t="inlineStr">
        <is>
          <t>Proposed mechanism based on preclinical and limited human data: rosavin is a characteristic Rhodiola rosea marker compound associated with adaptogenic and monoamine/stress-response effects in standardized extracts.</t>
        </is>
      </c>
      <c r="F502" t="inlineStr">
        <is>
          <t>unclassified; reinforcement</t>
        </is>
      </c>
      <c r="U502" t="inlineStr">
        <is>
          <t>Pass 45 merged 2 rows into canonical compound entry</t>
        </is>
      </c>
      <c r="W502" t="n">
        <v>3</v>
      </c>
      <c r="X502" t="inlineStr">
        <is>
          <t>Medium</t>
        </is>
      </c>
      <c r="Z502" t="inlineStr">
        <is>
          <t>Rosavin</t>
        </is>
      </c>
      <c r="AF502" t="inlineStr">
        <is>
          <t>rosavin</t>
        </is>
      </c>
      <c r="AH502" t="inlineStr">
        <is>
          <t>Pass 45 duplicate consolidation</t>
        </is>
      </c>
      <c r="AI502" t="inlineStr">
        <is>
          <t>Adaptogenic and stress-response modulation</t>
        </is>
      </c>
      <c r="AJ502" t="inlineStr">
        <is>
          <t>Human</t>
        </is>
      </c>
      <c r="AK502" t="inlineStr">
        <is>
          <t>reinforcement; unclassified</t>
        </is>
      </c>
      <c r="AL502" t="inlineStr">
        <is>
          <t>Pass 46 mechanism + evidence consolidation</t>
        </is>
      </c>
      <c r="AM502" t="n">
        <v>8</v>
      </c>
      <c r="AN502" t="inlineStr">
        <is>
          <t>B</t>
        </is>
      </c>
      <c r="AO502" t="inlineStr">
        <is>
          <t>Pass 47 compound scoring</t>
        </is>
      </c>
    </row>
    <row r="503">
      <c r="A503" t="inlineStr">
        <is>
          <t>Rosin</t>
        </is>
      </c>
      <c r="B503" t="inlineStr">
        <is>
          <t>Phenylpropanoid glycoside</t>
        </is>
      </c>
      <c r="C503" t="inlineStr">
        <is>
          <t>cinnamyl alcohol beta-D-glucoside; rosin glycoside; Rhodiola</t>
        </is>
      </c>
      <c r="D503" t="inlineStr">
        <is>
          <t>phenylpropanoid glycoside</t>
        </is>
      </c>
      <c r="E503" t="inlineStr">
        <is>
          <t>No established human mechanism. proposed mechanism based on preclinical data: antioxidant/stress-response contribution inferred from Rhodiola constituent work; current evidence is insufficient to assign a validated single-compound pathway model.</t>
        </is>
      </c>
      <c r="F503" t="inlineStr">
        <is>
          <t>unclassified; reinforcement</t>
        </is>
      </c>
      <c r="U503" t="inlineStr">
        <is>
          <t>Pass 45 merged 2 rows into canonical compound entry</t>
        </is>
      </c>
      <c r="W503" t="n">
        <v>3</v>
      </c>
      <c r="X503" t="inlineStr">
        <is>
          <t>Medium</t>
        </is>
      </c>
      <c r="Z503" t="inlineStr">
        <is>
          <t>Rosin</t>
        </is>
      </c>
      <c r="AF503" t="inlineStr">
        <is>
          <t>rosin</t>
        </is>
      </c>
      <c r="AH503" t="inlineStr">
        <is>
          <t>Pass 45 duplicate consolidation</t>
        </is>
      </c>
      <c r="AI503" t="inlineStr">
        <is>
          <t>phenylpropanoid glycoside</t>
        </is>
      </c>
      <c r="AJ503" t="inlineStr">
        <is>
          <t>Human</t>
        </is>
      </c>
      <c r="AK503" t="inlineStr">
        <is>
          <t>reinforcement; unclassified</t>
        </is>
      </c>
      <c r="AL503" t="inlineStr">
        <is>
          <t>Pass 46 mechanism + evidence consolidation</t>
        </is>
      </c>
      <c r="AM503" t="n">
        <v>8</v>
      </c>
      <c r="AN503" t="inlineStr">
        <is>
          <t>B</t>
        </is>
      </c>
      <c r="AO503" t="inlineStr">
        <is>
          <t>Pass 47 compound scoring</t>
        </is>
      </c>
    </row>
    <row r="504">
      <c r="A504" t="inlineStr">
        <is>
          <t>rosiridin</t>
        </is>
      </c>
      <c r="B504" t="inlineStr">
        <is>
          <t>rosiridin</t>
        </is>
      </c>
      <c r="D504" t="inlineStr">
        <is>
          <t>monoterpene glycoside</t>
        </is>
      </c>
      <c r="E504" t="inlineStr">
        <is>
          <t>proposed mechanism based on preclinical data: monoamine oxidase inhibitory and adaptogen-associated CNS effects are reported in Rhodiola literature, but no established human mechanism exists.</t>
        </is>
      </c>
      <c r="F504" t="inlineStr">
        <is>
          <t>unclassified</t>
        </is>
      </c>
      <c r="W504" t="n">
        <v>2</v>
      </c>
      <c r="X504" t="inlineStr">
        <is>
          <t>Low</t>
        </is>
      </c>
      <c r="Z504" t="inlineStr">
        <is>
          <t>rosiridin</t>
        </is>
      </c>
      <c r="AF504" t="inlineStr">
        <is>
          <t>rosiridin</t>
        </is>
      </c>
      <c r="AH504" t="inlineStr">
        <is>
          <t>Pass 45 duplicate consolidation</t>
        </is>
      </c>
      <c r="AI504" t="inlineStr">
        <is>
          <t>monoterpene glycoside</t>
        </is>
      </c>
      <c r="AJ504" t="inlineStr">
        <is>
          <t>Human</t>
        </is>
      </c>
      <c r="AK504" t="inlineStr">
        <is>
          <t>unclassified</t>
        </is>
      </c>
      <c r="AL504" t="inlineStr">
        <is>
          <t>Pass 46 mechanism + evidence consolidation</t>
        </is>
      </c>
      <c r="AM504" t="n">
        <v>7</v>
      </c>
      <c r="AN504" t="inlineStr">
        <is>
          <t>B</t>
        </is>
      </c>
      <c r="AO504" t="inlineStr">
        <is>
          <t>Pass 47 compound scoring</t>
        </is>
      </c>
    </row>
    <row r="505">
      <c r="A505" t="inlineStr">
        <is>
          <t>Rosmarinic acid</t>
        </is>
      </c>
      <c r="B505" t="inlineStr">
        <is>
          <t>rosmarinic acid</t>
        </is>
      </c>
      <c r="C505" t="inlineStr">
        <is>
          <t>Rosmarinus officinalis; Holy Basil</t>
        </is>
      </c>
      <c r="D505" t="inlineStr">
        <is>
          <t>Antioxidant and anti-inflammatory signaling</t>
        </is>
      </c>
      <c r="E505" t="inlineStr">
        <is>
          <t>Demonstrated antioxidant and anti-inflammatory activity through inhibition of complement activation, COX/LOX signaling, and reactive oxygen species formation; also reported to inhibit GABA transaminase and support increased GABA availability.</t>
        </is>
      </c>
      <c r="F505" t="inlineStr">
        <is>
          <t>unclassified; NF-kB inhibition; oxidative stress reduction; reinforcement</t>
        </is>
      </c>
      <c r="U505" t="inlineStr">
        <is>
          <t>Pass 45 merged 3 rows into canonical compound entry</t>
        </is>
      </c>
      <c r="W505" t="n">
        <v>4</v>
      </c>
      <c r="X505" t="inlineStr">
        <is>
          <t>Medium</t>
        </is>
      </c>
      <c r="Z505" t="inlineStr">
        <is>
          <t>Rosmarinic acid</t>
        </is>
      </c>
      <c r="AF505" t="inlineStr">
        <is>
          <t>rosmarinic acid</t>
        </is>
      </c>
      <c r="AH505" t="inlineStr">
        <is>
          <t>Pass 45 duplicate consolidation</t>
        </is>
      </c>
      <c r="AI505" t="inlineStr">
        <is>
          <t>Antioxidant and anti-inflammatory signaling</t>
        </is>
      </c>
      <c r="AJ505" t="inlineStr">
        <is>
          <t>Unknown</t>
        </is>
      </c>
      <c r="AK505" t="inlineStr">
        <is>
          <t>nf-kb inhibition; oxidative stress reduction; reinforcement; unclassified</t>
        </is>
      </c>
      <c r="AL505" t="inlineStr">
        <is>
          <t>Pass 46 mechanism + evidence consolidation</t>
        </is>
      </c>
      <c r="AM505" t="n">
        <v>6</v>
      </c>
      <c r="AN505" t="inlineStr">
        <is>
          <t>C</t>
        </is>
      </c>
      <c r="AO505" t="inlineStr">
        <is>
          <t>Pass 47 compound scoring</t>
        </is>
      </c>
    </row>
    <row r="506">
      <c r="A506" t="inlineStr">
        <is>
          <t>rutaecarpine</t>
        </is>
      </c>
      <c r="B506" t="inlineStr">
        <is>
          <t>rutaecarpine</t>
        </is>
      </c>
      <c r="D506" t="inlineStr">
        <is>
          <t>other</t>
        </is>
      </c>
      <c r="E506" t="inlineStr">
        <is>
          <t>insufficient evidence</t>
        </is>
      </c>
      <c r="F506" t="inlineStr">
        <is>
          <t>unclassified</t>
        </is>
      </c>
      <c r="W506" t="n">
        <v>2</v>
      </c>
      <c r="X506" t="inlineStr">
        <is>
          <t>Low</t>
        </is>
      </c>
      <c r="Z506" t="inlineStr">
        <is>
          <t>rutaecarpine</t>
        </is>
      </c>
      <c r="AF506" t="inlineStr">
        <is>
          <t>rutaecarpine</t>
        </is>
      </c>
      <c r="AH506" t="inlineStr">
        <is>
          <t>Pass 45 duplicate consolidation</t>
        </is>
      </c>
      <c r="AI506" t="inlineStr">
        <is>
          <t>other</t>
        </is>
      </c>
      <c r="AJ506" t="inlineStr">
        <is>
          <t>Unknown</t>
        </is>
      </c>
      <c r="AK506" t="inlineStr">
        <is>
          <t>unclassified</t>
        </is>
      </c>
      <c r="AL506" t="inlineStr">
        <is>
          <t>Pass 46 mechanism + evidence consolidation</t>
        </is>
      </c>
      <c r="AM506" t="n">
        <v>3</v>
      </c>
      <c r="AN506" t="inlineStr">
        <is>
          <t>D</t>
        </is>
      </c>
      <c r="AO506" t="inlineStr">
        <is>
          <t>Pass 47 compound scoring</t>
        </is>
      </c>
    </row>
    <row r="507">
      <c r="A507" t="inlineStr">
        <is>
          <t>rutin</t>
        </is>
      </c>
      <c r="B507" t="inlineStr">
        <is>
          <t>rutin</t>
        </is>
      </c>
      <c r="D507" t="inlineStr">
        <is>
          <t>other</t>
        </is>
      </c>
      <c r="E507" t="inlineStr">
        <is>
          <t>insufficient evidence</t>
        </is>
      </c>
      <c r="F507" t="inlineStr">
        <is>
          <t>unclassified</t>
        </is>
      </c>
      <c r="W507" t="n">
        <v>2</v>
      </c>
      <c r="X507" t="inlineStr">
        <is>
          <t>Low</t>
        </is>
      </c>
      <c r="Z507" t="inlineStr">
        <is>
          <t>rutin</t>
        </is>
      </c>
      <c r="AF507" t="inlineStr">
        <is>
          <t>rutin</t>
        </is>
      </c>
      <c r="AH507" t="inlineStr">
        <is>
          <t>Pass 45 duplicate consolidation</t>
        </is>
      </c>
      <c r="AI507" t="inlineStr">
        <is>
          <t>other</t>
        </is>
      </c>
      <c r="AJ507" t="inlineStr">
        <is>
          <t>Unknown</t>
        </is>
      </c>
      <c r="AK507" t="inlineStr">
        <is>
          <t>unclassified</t>
        </is>
      </c>
      <c r="AL507" t="inlineStr">
        <is>
          <t>Pass 46 mechanism + evidence consolidation</t>
        </is>
      </c>
      <c r="AM507" t="n">
        <v>3</v>
      </c>
      <c r="AN507" t="inlineStr">
        <is>
          <t>D</t>
        </is>
      </c>
      <c r="AO507" t="inlineStr">
        <is>
          <t>Pass 47 compound scoring</t>
        </is>
      </c>
    </row>
    <row r="508">
      <c r="A508" t="inlineStr">
        <is>
          <t>s-adenosyl-l-methionine</t>
        </is>
      </c>
      <c r="B508" t="inlineStr">
        <is>
          <t>s-adenosyl-l-methionine (same)</t>
        </is>
      </c>
      <c r="D508" t="inlineStr">
        <is>
          <t>sulfonium metabolite / methyl donor</t>
        </is>
      </c>
      <c r="E508" t="inlineStr">
        <is>
          <t>Universal methyl donor in transmethylation reactions; also participates in transsulfuration and polyamine biosynthesis.</t>
        </is>
      </c>
      <c r="F508" t="inlineStr">
        <is>
          <t>unclassified</t>
        </is>
      </c>
      <c r="W508" t="n">
        <v>2</v>
      </c>
      <c r="X508" t="inlineStr">
        <is>
          <t>Low</t>
        </is>
      </c>
      <c r="Z508" t="inlineStr">
        <is>
          <t>s-adenosyl-l-methionine</t>
        </is>
      </c>
      <c r="AF508" t="inlineStr">
        <is>
          <t>s adenosyl l methionine</t>
        </is>
      </c>
      <c r="AH508" t="inlineStr">
        <is>
          <t>Pass 45 duplicate consolidation</t>
        </is>
      </c>
      <c r="AI508" t="inlineStr">
        <is>
          <t>sulfonium metabolite / methyl donor</t>
        </is>
      </c>
      <c r="AJ508" t="inlineStr">
        <is>
          <t>Unknown</t>
        </is>
      </c>
      <c r="AK508" t="inlineStr">
        <is>
          <t>unclassified</t>
        </is>
      </c>
      <c r="AL508" t="inlineStr">
        <is>
          <t>Pass 46 mechanism + evidence consolidation</t>
        </is>
      </c>
      <c r="AM508" t="n">
        <v>3</v>
      </c>
      <c r="AN508" t="inlineStr">
        <is>
          <t>D</t>
        </is>
      </c>
      <c r="AO508" t="inlineStr">
        <is>
          <t>Pass 47 compound scoring</t>
        </is>
      </c>
    </row>
    <row r="509">
      <c r="A509" t="inlineStr">
        <is>
          <t>s-allyl-cysteine</t>
        </is>
      </c>
      <c r="B509" t="inlineStr">
        <is>
          <t>S-allyl-cysteine</t>
        </is>
      </c>
      <c r="D509" t="inlineStr">
        <is>
          <t>organosulfur amino acid</t>
        </is>
      </c>
      <c r="E509" t="inlineStr">
        <is>
          <t>proposed mechanism based on preclinical data: antioxidant and cardiometabolic-support signaling reported in garlic literature; no established human therapeutic mechanism.</t>
        </is>
      </c>
      <c r="F509" t="inlineStr">
        <is>
          <t>unclassified</t>
        </is>
      </c>
      <c r="W509" t="n">
        <v>2</v>
      </c>
      <c r="X509" t="inlineStr">
        <is>
          <t>Low</t>
        </is>
      </c>
      <c r="Z509" t="inlineStr">
        <is>
          <t>s-allyl-cysteine</t>
        </is>
      </c>
      <c r="AF509" t="inlineStr">
        <is>
          <t>s allyl cysteine</t>
        </is>
      </c>
      <c r="AH509" t="inlineStr">
        <is>
          <t>Pass 45 duplicate consolidation</t>
        </is>
      </c>
      <c r="AI509" t="inlineStr">
        <is>
          <t>organosulfur amino acid</t>
        </is>
      </c>
      <c r="AJ509" t="inlineStr">
        <is>
          <t>Human</t>
        </is>
      </c>
      <c r="AK509" t="inlineStr">
        <is>
          <t>unclassified</t>
        </is>
      </c>
      <c r="AL509" t="inlineStr">
        <is>
          <t>Pass 46 mechanism + evidence consolidation</t>
        </is>
      </c>
      <c r="AM509" t="n">
        <v>7</v>
      </c>
      <c r="AN509" t="inlineStr">
        <is>
          <t>B</t>
        </is>
      </c>
      <c r="AO509" t="inlineStr">
        <is>
          <t>Pass 47 compound scoring</t>
        </is>
      </c>
    </row>
    <row r="510">
      <c r="A510" t="inlineStr">
        <is>
          <t>safranal</t>
        </is>
      </c>
      <c r="B510" t="inlineStr">
        <is>
          <t>safranal</t>
        </is>
      </c>
      <c r="D510" t="inlineStr">
        <is>
          <t>other</t>
        </is>
      </c>
      <c r="E510" t="inlineStr">
        <is>
          <t>insufficient evidence</t>
        </is>
      </c>
      <c r="F510" t="inlineStr">
        <is>
          <t>unclassified</t>
        </is>
      </c>
      <c r="W510" t="n">
        <v>2</v>
      </c>
      <c r="X510" t="inlineStr">
        <is>
          <t>Low</t>
        </is>
      </c>
      <c r="Z510" t="inlineStr">
        <is>
          <t>safranal</t>
        </is>
      </c>
      <c r="AF510" t="inlineStr">
        <is>
          <t>safranal</t>
        </is>
      </c>
      <c r="AH510" t="inlineStr">
        <is>
          <t>Pass 45 duplicate consolidation</t>
        </is>
      </c>
      <c r="AI510" t="inlineStr">
        <is>
          <t>other</t>
        </is>
      </c>
      <c r="AJ510" t="inlineStr">
        <is>
          <t>Unknown</t>
        </is>
      </c>
      <c r="AK510" t="inlineStr">
        <is>
          <t>unclassified</t>
        </is>
      </c>
      <c r="AL510" t="inlineStr">
        <is>
          <t>Pass 46 mechanism + evidence consolidation</t>
        </is>
      </c>
      <c r="AM510" t="n">
        <v>3</v>
      </c>
      <c r="AN510" t="inlineStr">
        <is>
          <t>D</t>
        </is>
      </c>
      <c r="AO510" t="inlineStr">
        <is>
          <t>Pass 47 compound scoring</t>
        </is>
      </c>
    </row>
    <row r="511">
      <c r="A511" t="inlineStr">
        <is>
          <t>safrole</t>
        </is>
      </c>
      <c r="B511" t="inlineStr">
        <is>
          <t>safrole</t>
        </is>
      </c>
      <c r="D511" t="inlineStr">
        <is>
          <t>essential oils</t>
        </is>
      </c>
      <c r="E511" t="inlineStr">
        <is>
          <t>insufficient evidence</t>
        </is>
      </c>
      <c r="F511" t="inlineStr">
        <is>
          <t>unclassified</t>
        </is>
      </c>
      <c r="W511" t="n">
        <v>2</v>
      </c>
      <c r="X511" t="inlineStr">
        <is>
          <t>Low</t>
        </is>
      </c>
      <c r="Z511" t="inlineStr">
        <is>
          <t>safrole</t>
        </is>
      </c>
      <c r="AF511" t="inlineStr">
        <is>
          <t>safrole</t>
        </is>
      </c>
      <c r="AH511" t="inlineStr">
        <is>
          <t>Pass 45 duplicate consolidation</t>
        </is>
      </c>
      <c r="AI511" t="inlineStr">
        <is>
          <t>essential oils</t>
        </is>
      </c>
      <c r="AJ511" t="inlineStr">
        <is>
          <t>Unknown</t>
        </is>
      </c>
      <c r="AK511" t="inlineStr">
        <is>
          <t>unclassified</t>
        </is>
      </c>
      <c r="AL511" t="inlineStr">
        <is>
          <t>Pass 46 mechanism + evidence consolidation</t>
        </is>
      </c>
      <c r="AM511" t="n">
        <v>3</v>
      </c>
      <c r="AN511" t="inlineStr">
        <is>
          <t>D</t>
        </is>
      </c>
      <c r="AO511" t="inlineStr">
        <is>
          <t>Pass 47 compound scoring</t>
        </is>
      </c>
    </row>
    <row r="512">
      <c r="A512" t="inlineStr">
        <is>
          <t>saikosaponin a</t>
        </is>
      </c>
      <c r="B512" t="inlineStr">
        <is>
          <t>saikosaponin A</t>
        </is>
      </c>
      <c r="D512" t="inlineStr">
        <is>
          <t>triterpene saponin</t>
        </is>
      </c>
      <c r="E512" t="inlineStr">
        <is>
          <t>Bupleurum constituent associated with traditional liver and stress positioning.</t>
        </is>
      </c>
      <c r="F512" t="inlineStr">
        <is>
          <t>unclassified</t>
        </is>
      </c>
      <c r="W512" t="n">
        <v>2</v>
      </c>
      <c r="X512" t="inlineStr">
        <is>
          <t>Low</t>
        </is>
      </c>
      <c r="Z512" t="inlineStr">
        <is>
          <t>saikosaponin a</t>
        </is>
      </c>
      <c r="AF512" t="inlineStr">
        <is>
          <t>saikosaponin a</t>
        </is>
      </c>
      <c r="AH512" t="inlineStr">
        <is>
          <t>Pass 45 duplicate consolidation</t>
        </is>
      </c>
      <c r="AI512" t="inlineStr">
        <is>
          <t>triterpene saponin</t>
        </is>
      </c>
      <c r="AJ512" t="inlineStr">
        <is>
          <t>Unknown</t>
        </is>
      </c>
      <c r="AK512" t="inlineStr">
        <is>
          <t>unclassified</t>
        </is>
      </c>
      <c r="AL512" t="inlineStr">
        <is>
          <t>Pass 46 mechanism + evidence consolidation</t>
        </is>
      </c>
      <c r="AM512" t="n">
        <v>3</v>
      </c>
      <c r="AN512" t="inlineStr">
        <is>
          <t>D</t>
        </is>
      </c>
      <c r="AO512" t="inlineStr">
        <is>
          <t>Pass 47 compound scoring</t>
        </is>
      </c>
    </row>
    <row r="513">
      <c r="A513" t="inlineStr">
        <is>
          <t>salacinol</t>
        </is>
      </c>
      <c r="B513" t="inlineStr">
        <is>
          <t>salacinol</t>
        </is>
      </c>
      <c r="D513" t="inlineStr">
        <is>
          <t>other</t>
        </is>
      </c>
      <c r="E513" t="inlineStr">
        <is>
          <t>insufficient evidence</t>
        </is>
      </c>
      <c r="F513" t="inlineStr">
        <is>
          <t>unclassified</t>
        </is>
      </c>
      <c r="W513" t="n">
        <v>2</v>
      </c>
      <c r="X513" t="inlineStr">
        <is>
          <t>Low</t>
        </is>
      </c>
      <c r="Z513" t="inlineStr">
        <is>
          <t>salacinol</t>
        </is>
      </c>
      <c r="AF513" t="inlineStr">
        <is>
          <t>salacinol</t>
        </is>
      </c>
      <c r="AH513" t="inlineStr">
        <is>
          <t>Pass 45 duplicate consolidation</t>
        </is>
      </c>
      <c r="AI513" t="inlineStr">
        <is>
          <t>other</t>
        </is>
      </c>
      <c r="AJ513" t="inlineStr">
        <is>
          <t>Unknown</t>
        </is>
      </c>
      <c r="AK513" t="inlineStr">
        <is>
          <t>unclassified</t>
        </is>
      </c>
      <c r="AL513" t="inlineStr">
        <is>
          <t>Pass 46 mechanism + evidence consolidation</t>
        </is>
      </c>
      <c r="AM513" t="n">
        <v>3</v>
      </c>
      <c r="AN513" t="inlineStr">
        <is>
          <t>D</t>
        </is>
      </c>
      <c r="AO513" t="inlineStr">
        <is>
          <t>Pass 47 compound scoring</t>
        </is>
      </c>
    </row>
    <row r="514">
      <c r="A514" t="inlineStr">
        <is>
          <t>salicin</t>
        </is>
      </c>
      <c r="B514" t="inlineStr">
        <is>
          <t>salicin</t>
        </is>
      </c>
      <c r="D514" t="inlineStr">
        <is>
          <t>Salicin, polyphenols, flavonoids</t>
        </is>
      </c>
      <c r="E514" t="inlineStr">
        <is>
          <t>insufficient evidence</t>
        </is>
      </c>
      <c r="F514" t="inlineStr">
        <is>
          <t>unclassified</t>
        </is>
      </c>
      <c r="W514" t="n">
        <v>2</v>
      </c>
      <c r="X514" t="inlineStr">
        <is>
          <t>Low</t>
        </is>
      </c>
      <c r="Z514" t="inlineStr">
        <is>
          <t>salicin</t>
        </is>
      </c>
      <c r="AF514" t="inlineStr">
        <is>
          <t>salicin</t>
        </is>
      </c>
      <c r="AH514" t="inlineStr">
        <is>
          <t>Pass 45 duplicate consolidation</t>
        </is>
      </c>
      <c r="AI514" t="inlineStr">
        <is>
          <t>Salicin, polyphenols, flavonoids</t>
        </is>
      </c>
      <c r="AJ514" t="inlineStr">
        <is>
          <t>Unknown</t>
        </is>
      </c>
      <c r="AK514" t="inlineStr">
        <is>
          <t>unclassified</t>
        </is>
      </c>
      <c r="AL514" t="inlineStr">
        <is>
          <t>Pass 46 mechanism + evidence consolidation</t>
        </is>
      </c>
      <c r="AM514" t="n">
        <v>3</v>
      </c>
      <c r="AN514" t="inlineStr">
        <is>
          <t>D</t>
        </is>
      </c>
      <c r="AO514" t="inlineStr">
        <is>
          <t>Pass 47 compound scoring</t>
        </is>
      </c>
    </row>
    <row r="515">
      <c r="A515" t="inlineStr">
        <is>
          <t>salicylic acid</t>
        </is>
      </c>
      <c r="B515" t="inlineStr">
        <is>
          <t>salicylic acid</t>
        </is>
      </c>
      <c r="D515" t="inlineStr">
        <is>
          <t>Tannins, salicylic acid, flavonoids</t>
        </is>
      </c>
      <c r="E515" t="inlineStr">
        <is>
          <t>insufficient evidence</t>
        </is>
      </c>
      <c r="F515" t="inlineStr">
        <is>
          <t>unclassified</t>
        </is>
      </c>
      <c r="W515" t="n">
        <v>2</v>
      </c>
      <c r="X515" t="inlineStr">
        <is>
          <t>Low</t>
        </is>
      </c>
      <c r="Z515" t="inlineStr">
        <is>
          <t>salicylic acid</t>
        </is>
      </c>
      <c r="AF515" t="inlineStr">
        <is>
          <t>salicylic acid</t>
        </is>
      </c>
      <c r="AH515" t="inlineStr">
        <is>
          <t>Pass 45 duplicate consolidation</t>
        </is>
      </c>
      <c r="AI515" t="inlineStr">
        <is>
          <t>Tannins, salicylic acid, flavonoids</t>
        </is>
      </c>
      <c r="AJ515" t="inlineStr">
        <is>
          <t>Unknown</t>
        </is>
      </c>
      <c r="AK515" t="inlineStr">
        <is>
          <t>unclassified</t>
        </is>
      </c>
      <c r="AL515" t="inlineStr">
        <is>
          <t>Pass 46 mechanism + evidence consolidation</t>
        </is>
      </c>
      <c r="AM515" t="n">
        <v>3</v>
      </c>
      <c r="AN515" t="inlineStr">
        <is>
          <t>D</t>
        </is>
      </c>
      <c r="AO515" t="inlineStr">
        <is>
          <t>Pass 47 compound scoring</t>
        </is>
      </c>
    </row>
    <row r="516">
      <c r="A516" t="inlineStr">
        <is>
          <t>Salidroside</t>
        </is>
      </c>
      <c r="B516" t="inlineStr">
        <is>
          <t>Phenolic glycoside</t>
        </is>
      </c>
      <c r="C516" t="inlineStr">
        <is>
          <t>Rhodiola</t>
        </is>
      </c>
      <c r="D516" t="inlineStr">
        <is>
          <t>Neuroprotective and adaptogenic signaling</t>
        </is>
      </c>
      <c r="E516" t="inlineStr">
        <is>
          <t>Salidroside shows cytoprotective, metabolic, and stress-response activity across preclinical and limited human literature, with repeated linkage to AMPK, PI3K/Akt, and Nrf2-associated pathways.</t>
        </is>
      </c>
      <c r="F516" t="inlineStr">
        <is>
          <t>unclassified; reinforcement</t>
        </is>
      </c>
      <c r="U516" t="inlineStr">
        <is>
          <t>Pass 45 merged 2 rows into canonical compound entry</t>
        </is>
      </c>
      <c r="W516" t="n">
        <v>3</v>
      </c>
      <c r="X516" t="inlineStr">
        <is>
          <t>Medium</t>
        </is>
      </c>
      <c r="Z516" t="inlineStr">
        <is>
          <t>Salidroside</t>
        </is>
      </c>
      <c r="AF516" t="inlineStr">
        <is>
          <t>salidroside</t>
        </is>
      </c>
      <c r="AH516" t="inlineStr">
        <is>
          <t>Pass 45 duplicate consolidation</t>
        </is>
      </c>
      <c r="AI516" t="inlineStr">
        <is>
          <t>Neuroprotective and adaptogenic signaling</t>
        </is>
      </c>
      <c r="AJ516" t="inlineStr">
        <is>
          <t>Human</t>
        </is>
      </c>
      <c r="AK516" t="inlineStr">
        <is>
          <t>reinforcement; unclassified</t>
        </is>
      </c>
      <c r="AL516" t="inlineStr">
        <is>
          <t>Pass 46 mechanism + evidence consolidation</t>
        </is>
      </c>
      <c r="AM516" t="n">
        <v>8</v>
      </c>
      <c r="AN516" t="inlineStr">
        <is>
          <t>B</t>
        </is>
      </c>
      <c r="AO516" t="inlineStr">
        <is>
          <t>Pass 47 compound scoring</t>
        </is>
      </c>
    </row>
    <row r="517">
      <c r="A517" t="inlineStr">
        <is>
          <t>Salvianolic acid B</t>
        </is>
      </c>
      <c r="B517" t="inlineStr">
        <is>
          <t>salvianolic acid B</t>
        </is>
      </c>
      <c r="C517" t="inlineStr">
        <is>
          <t>Salvia miltiorrhiza</t>
        </is>
      </c>
      <c r="D517" t="inlineStr">
        <is>
          <t>phenolic acid</t>
        </is>
      </c>
      <c r="E517" t="inlineStr">
        <is>
          <t>Polyphenolic constituent of Danshen associated with antioxidant and vascular-protective signaling.</t>
        </is>
      </c>
      <c r="F517" t="inlineStr">
        <is>
          <t>unclassified; oxidative stress reduction; vascular signaling</t>
        </is>
      </c>
      <c r="U517" t="inlineStr">
        <is>
          <t>Pass 45 merged 2 rows into canonical compound entry</t>
        </is>
      </c>
      <c r="W517" t="n">
        <v>4</v>
      </c>
      <c r="X517" t="inlineStr">
        <is>
          <t>Medium</t>
        </is>
      </c>
      <c r="Z517" t="inlineStr">
        <is>
          <t>Salvianolic acid B</t>
        </is>
      </c>
      <c r="AF517" t="inlineStr">
        <is>
          <t>salvianolic acid b</t>
        </is>
      </c>
      <c r="AH517" t="inlineStr">
        <is>
          <t>Pass 45 duplicate consolidation</t>
        </is>
      </c>
      <c r="AI517" t="inlineStr">
        <is>
          <t>phenolic acid</t>
        </is>
      </c>
      <c r="AJ517" t="inlineStr">
        <is>
          <t>Unknown</t>
        </is>
      </c>
      <c r="AK517" t="inlineStr">
        <is>
          <t>oxidative stress reduction; unclassified; vascular signaling</t>
        </is>
      </c>
      <c r="AL517" t="inlineStr">
        <is>
          <t>Pass 46 mechanism + evidence consolidation</t>
        </is>
      </c>
      <c r="AM517" t="n">
        <v>5</v>
      </c>
      <c r="AN517" t="inlineStr">
        <is>
          <t>C</t>
        </is>
      </c>
      <c r="AO517" t="inlineStr">
        <is>
          <t>Pass 47 compound scoring</t>
        </is>
      </c>
    </row>
    <row r="518">
      <c r="A518" t="inlineStr">
        <is>
          <t>salvinorin a</t>
        </is>
      </c>
      <c r="B518" t="inlineStr">
        <is>
          <t>salvinorin a</t>
        </is>
      </c>
      <c r="D518" t="inlineStr">
        <is>
          <t>other</t>
        </is>
      </c>
      <c r="E518" t="inlineStr">
        <is>
          <t>Salvinorin A is a potent kappa-opioid receptor agonist producing dissociative and hallucinogenic effects.</t>
        </is>
      </c>
      <c r="F518" t="inlineStr">
        <is>
          <t>unclassified</t>
        </is>
      </c>
      <c r="W518" t="n">
        <v>2</v>
      </c>
      <c r="X518" t="inlineStr">
        <is>
          <t>Low</t>
        </is>
      </c>
      <c r="Z518" t="inlineStr">
        <is>
          <t>salvinorin a</t>
        </is>
      </c>
      <c r="AF518" t="inlineStr">
        <is>
          <t>salvinorin a</t>
        </is>
      </c>
      <c r="AH518" t="inlineStr">
        <is>
          <t>Pass 45 duplicate consolidation</t>
        </is>
      </c>
      <c r="AI518" t="inlineStr">
        <is>
          <t>other</t>
        </is>
      </c>
      <c r="AJ518" t="inlineStr">
        <is>
          <t>Unknown</t>
        </is>
      </c>
      <c r="AK518" t="inlineStr">
        <is>
          <t>unclassified</t>
        </is>
      </c>
      <c r="AL518" t="inlineStr">
        <is>
          <t>Pass 46 mechanism + evidence consolidation</t>
        </is>
      </c>
      <c r="AM518" t="n">
        <v>3</v>
      </c>
      <c r="AN518" t="inlineStr">
        <is>
          <t>D</t>
        </is>
      </c>
      <c r="AO518" t="inlineStr">
        <is>
          <t>Pass 47 compound scoring</t>
        </is>
      </c>
    </row>
    <row r="519">
      <c r="A519" t="inlineStr">
        <is>
          <t>sambunigrin</t>
        </is>
      </c>
      <c r="B519" t="inlineStr">
        <is>
          <t>sambunigrin</t>
        </is>
      </c>
      <c r="D519" t="inlineStr">
        <is>
          <t>Anthocyanins, flavonoids, sambunigrin</t>
        </is>
      </c>
      <c r="E519" t="inlineStr">
        <is>
          <t>insufficient evidence</t>
        </is>
      </c>
      <c r="F519" t="inlineStr">
        <is>
          <t>unclassified</t>
        </is>
      </c>
      <c r="W519" t="n">
        <v>2</v>
      </c>
      <c r="X519" t="inlineStr">
        <is>
          <t>Low</t>
        </is>
      </c>
      <c r="Z519" t="inlineStr">
        <is>
          <t>sambunigrin</t>
        </is>
      </c>
      <c r="AF519" t="inlineStr">
        <is>
          <t>sambunigrin</t>
        </is>
      </c>
      <c r="AH519" t="inlineStr">
        <is>
          <t>Pass 45 duplicate consolidation</t>
        </is>
      </c>
      <c r="AI519" t="inlineStr">
        <is>
          <t>Anthocyanins, flavonoids, sambunigrin</t>
        </is>
      </c>
      <c r="AJ519" t="inlineStr">
        <is>
          <t>Unknown</t>
        </is>
      </c>
      <c r="AK519" t="inlineStr">
        <is>
          <t>unclassified</t>
        </is>
      </c>
      <c r="AL519" t="inlineStr">
        <is>
          <t>Pass 46 mechanism + evidence consolidation</t>
        </is>
      </c>
      <c r="AM519" t="n">
        <v>3</v>
      </c>
      <c r="AN519" t="inlineStr">
        <is>
          <t>D</t>
        </is>
      </c>
      <c r="AO519" t="inlineStr">
        <is>
          <t>Pass 47 compound scoring</t>
        </is>
      </c>
    </row>
    <row r="520">
      <c r="A520" t="inlineStr">
        <is>
          <t>sanguinarine</t>
        </is>
      </c>
      <c r="B520" t="inlineStr">
        <is>
          <t>sanguinarine</t>
        </is>
      </c>
      <c r="D520" t="inlineStr">
        <is>
          <t>other</t>
        </is>
      </c>
      <c r="E520" t="inlineStr">
        <is>
          <t>insufficient evidence</t>
        </is>
      </c>
      <c r="F520" t="inlineStr">
        <is>
          <t>unclassified</t>
        </is>
      </c>
      <c r="W520" t="n">
        <v>2</v>
      </c>
      <c r="X520" t="inlineStr">
        <is>
          <t>Low</t>
        </is>
      </c>
      <c r="Z520" t="inlineStr">
        <is>
          <t>sanguinarine</t>
        </is>
      </c>
      <c r="AF520" t="inlineStr">
        <is>
          <t>sanguinarine</t>
        </is>
      </c>
      <c r="AH520" t="inlineStr">
        <is>
          <t>Pass 45 duplicate consolidation</t>
        </is>
      </c>
      <c r="AI520" t="inlineStr">
        <is>
          <t>other</t>
        </is>
      </c>
      <c r="AJ520" t="inlineStr">
        <is>
          <t>Unknown</t>
        </is>
      </c>
      <c r="AK520" t="inlineStr">
        <is>
          <t>unclassified</t>
        </is>
      </c>
      <c r="AL520" t="inlineStr">
        <is>
          <t>Pass 46 mechanism + evidence consolidation</t>
        </is>
      </c>
      <c r="AM520" t="n">
        <v>3</v>
      </c>
      <c r="AN520" t="inlineStr">
        <is>
          <t>D</t>
        </is>
      </c>
      <c r="AO520" t="inlineStr">
        <is>
          <t>Pass 47 compound scoring</t>
        </is>
      </c>
    </row>
    <row r="521">
      <c r="A521" t="inlineStr">
        <is>
          <t>saponins hederacoside</t>
        </is>
      </c>
      <c r="B521" t="inlineStr">
        <is>
          <t>saponins (hederacoside)</t>
        </is>
      </c>
      <c r="D521" t="inlineStr">
        <is>
          <t>Saponins (hederacoside), flavonoids</t>
        </is>
      </c>
      <c r="E521" t="inlineStr">
        <is>
          <t>insufficient evidence</t>
        </is>
      </c>
      <c r="F521" t="inlineStr">
        <is>
          <t>unclassified</t>
        </is>
      </c>
      <c r="W521" t="n">
        <v>2</v>
      </c>
      <c r="X521" t="inlineStr">
        <is>
          <t>Low</t>
        </is>
      </c>
      <c r="Z521" t="inlineStr">
        <is>
          <t>saponins hederacoside</t>
        </is>
      </c>
      <c r="AF521" t="inlineStr">
        <is>
          <t>saponins hederacoside</t>
        </is>
      </c>
      <c r="AH521" t="inlineStr">
        <is>
          <t>Pass 45 duplicate consolidation</t>
        </is>
      </c>
      <c r="AI521" t="inlineStr">
        <is>
          <t>Saponins (hederacoside), flavonoids</t>
        </is>
      </c>
      <c r="AJ521" t="inlineStr">
        <is>
          <t>Unknown</t>
        </is>
      </c>
      <c r="AK521" t="inlineStr">
        <is>
          <t>unclassified</t>
        </is>
      </c>
      <c r="AL521" t="inlineStr">
        <is>
          <t>Pass 46 mechanism + evidence consolidation</t>
        </is>
      </c>
      <c r="AM521" t="n">
        <v>3</v>
      </c>
      <c r="AN521" t="inlineStr">
        <is>
          <t>D</t>
        </is>
      </c>
      <c r="AO521" t="inlineStr">
        <is>
          <t>Pass 47 compound scoring</t>
        </is>
      </c>
    </row>
    <row r="522">
      <c r="A522" t="inlineStr">
        <is>
          <t>sarsaponin</t>
        </is>
      </c>
      <c r="B522" t="inlineStr">
        <is>
          <t>sarsaponin</t>
        </is>
      </c>
      <c r="D522" t="inlineStr">
        <is>
          <t>Sarsaponin, phytosterols</t>
        </is>
      </c>
      <c r="E522" t="inlineStr">
        <is>
          <t>insufficient evidence</t>
        </is>
      </c>
      <c r="F522" t="inlineStr">
        <is>
          <t>unclassified</t>
        </is>
      </c>
      <c r="W522" t="n">
        <v>2</v>
      </c>
      <c r="X522" t="inlineStr">
        <is>
          <t>Low</t>
        </is>
      </c>
      <c r="Z522" t="inlineStr">
        <is>
          <t>sarsaponin</t>
        </is>
      </c>
      <c r="AF522" t="inlineStr">
        <is>
          <t>sarsaponin</t>
        </is>
      </c>
      <c r="AH522" t="inlineStr">
        <is>
          <t>Pass 45 duplicate consolidation</t>
        </is>
      </c>
      <c r="AI522" t="inlineStr">
        <is>
          <t>Sarsaponin, phytosterols</t>
        </is>
      </c>
      <c r="AJ522" t="inlineStr">
        <is>
          <t>Unknown</t>
        </is>
      </c>
      <c r="AK522" t="inlineStr">
        <is>
          <t>unclassified</t>
        </is>
      </c>
      <c r="AL522" t="inlineStr">
        <is>
          <t>Pass 46 mechanism + evidence consolidation</t>
        </is>
      </c>
      <c r="AM522" t="n">
        <v>3</v>
      </c>
      <c r="AN522" t="inlineStr">
        <is>
          <t>D</t>
        </is>
      </c>
      <c r="AO522" t="inlineStr">
        <is>
          <t>Pass 47 compound scoring</t>
        </is>
      </c>
    </row>
    <row r="523">
      <c r="A523" t="inlineStr">
        <is>
          <t>schisandrin</t>
        </is>
      </c>
      <c r="B523" t="inlineStr">
        <is>
          <t>schisandrin</t>
        </is>
      </c>
      <c r="D523" t="inlineStr">
        <is>
          <t>Schisandrin, gomisin, lignans</t>
        </is>
      </c>
      <c r="E523" t="inlineStr">
        <is>
          <t>insufficient evidence</t>
        </is>
      </c>
      <c r="F523" t="inlineStr">
        <is>
          <t>unclassified</t>
        </is>
      </c>
      <c r="W523" t="n">
        <v>2</v>
      </c>
      <c r="X523" t="inlineStr">
        <is>
          <t>Low</t>
        </is>
      </c>
      <c r="Z523" t="inlineStr">
        <is>
          <t>schisandrin</t>
        </is>
      </c>
      <c r="AF523" t="inlineStr">
        <is>
          <t>schisandrin</t>
        </is>
      </c>
      <c r="AH523" t="inlineStr">
        <is>
          <t>Pass 45 duplicate consolidation</t>
        </is>
      </c>
      <c r="AI523" t="inlineStr">
        <is>
          <t>Schisandrin, gomisin, lignans</t>
        </is>
      </c>
      <c r="AJ523" t="inlineStr">
        <is>
          <t>Unknown</t>
        </is>
      </c>
      <c r="AK523" t="inlineStr">
        <is>
          <t>unclassified</t>
        </is>
      </c>
      <c r="AL523" t="inlineStr">
        <is>
          <t>Pass 46 mechanism + evidence consolidation</t>
        </is>
      </c>
      <c r="AM523" t="n">
        <v>3</v>
      </c>
      <c r="AN523" t="inlineStr">
        <is>
          <t>D</t>
        </is>
      </c>
      <c r="AO523" t="inlineStr">
        <is>
          <t>Pass 47 compound scoring</t>
        </is>
      </c>
    </row>
    <row r="524">
      <c r="A524" t="inlineStr">
        <is>
          <t>sciadopitysin</t>
        </is>
      </c>
      <c r="B524" t="inlineStr">
        <is>
          <t>sciadopitysin</t>
        </is>
      </c>
      <c r="D524" t="inlineStr">
        <is>
          <t>biflavonoid</t>
        </is>
      </c>
      <c r="E524" t="inlineStr">
        <is>
          <t>proposed mechanism based on preclinical data: anti-inflammatory and antioxidant signaling reported in biflavonoid literature; no established human mechanism.</t>
        </is>
      </c>
      <c r="F524" t="inlineStr">
        <is>
          <t>unclassified</t>
        </is>
      </c>
      <c r="W524" t="n">
        <v>2</v>
      </c>
      <c r="X524" t="inlineStr">
        <is>
          <t>Low</t>
        </is>
      </c>
      <c r="Z524" t="inlineStr">
        <is>
          <t>sciadopitysin</t>
        </is>
      </c>
      <c r="AF524" t="inlineStr">
        <is>
          <t>sciadopitysin</t>
        </is>
      </c>
      <c r="AH524" t="inlineStr">
        <is>
          <t>Pass 45 duplicate consolidation</t>
        </is>
      </c>
      <c r="AI524" t="inlineStr">
        <is>
          <t>biflavonoid</t>
        </is>
      </c>
      <c r="AJ524" t="inlineStr">
        <is>
          <t>Human</t>
        </is>
      </c>
      <c r="AK524" t="inlineStr">
        <is>
          <t>unclassified</t>
        </is>
      </c>
      <c r="AL524" t="inlineStr">
        <is>
          <t>Pass 46 mechanism + evidence consolidation</t>
        </is>
      </c>
      <c r="AM524" t="n">
        <v>7</v>
      </c>
      <c r="AN524" t="inlineStr">
        <is>
          <t>B</t>
        </is>
      </c>
      <c r="AO524" t="inlineStr">
        <is>
          <t>Pass 47 compound scoring</t>
        </is>
      </c>
    </row>
    <row r="525">
      <c r="A525" t="inlineStr">
        <is>
          <t>scopadulcic acid</t>
        </is>
      </c>
      <c r="B525" t="inlineStr">
        <is>
          <t>scopadulcic acid</t>
        </is>
      </c>
      <c r="D525" t="inlineStr">
        <is>
          <t>flavonoids</t>
        </is>
      </c>
      <c r="E525" t="inlineStr">
        <is>
          <t>insufficient evidence</t>
        </is>
      </c>
      <c r="F525" t="inlineStr">
        <is>
          <t>unclassified</t>
        </is>
      </c>
      <c r="W525" t="n">
        <v>2</v>
      </c>
      <c r="X525" t="inlineStr">
        <is>
          <t>Low</t>
        </is>
      </c>
      <c r="Z525" t="inlineStr">
        <is>
          <t>scopadulcic acid</t>
        </is>
      </c>
      <c r="AF525" t="inlineStr">
        <is>
          <t>scopadulcic acid</t>
        </is>
      </c>
      <c r="AH525" t="inlineStr">
        <is>
          <t>Pass 45 duplicate consolidation</t>
        </is>
      </c>
      <c r="AI525" t="inlineStr">
        <is>
          <t>flavonoids</t>
        </is>
      </c>
      <c r="AJ525" t="inlineStr">
        <is>
          <t>Unknown</t>
        </is>
      </c>
      <c r="AK525" t="inlineStr">
        <is>
          <t>unclassified</t>
        </is>
      </c>
      <c r="AL525" t="inlineStr">
        <is>
          <t>Pass 46 mechanism + evidence consolidation</t>
        </is>
      </c>
      <c r="AM525" t="n">
        <v>3</v>
      </c>
      <c r="AN525" t="inlineStr">
        <is>
          <t>D</t>
        </is>
      </c>
      <c r="AO525" t="inlineStr">
        <is>
          <t>Pass 47 compound scoring</t>
        </is>
      </c>
    </row>
    <row r="526">
      <c r="A526" t="inlineStr">
        <is>
          <t>scoparin</t>
        </is>
      </c>
      <c r="B526" t="inlineStr">
        <is>
          <t>scoparin</t>
        </is>
      </c>
      <c r="D526" t="inlineStr">
        <is>
          <t>flavonoids</t>
        </is>
      </c>
      <c r="E526" t="inlineStr">
        <is>
          <t>insufficient evidence</t>
        </is>
      </c>
      <c r="F526" t="inlineStr">
        <is>
          <t>unclassified</t>
        </is>
      </c>
      <c r="W526" t="n">
        <v>2</v>
      </c>
      <c r="X526" t="inlineStr">
        <is>
          <t>Low</t>
        </is>
      </c>
      <c r="Z526" t="inlineStr">
        <is>
          <t>scoparin</t>
        </is>
      </c>
      <c r="AF526" t="inlineStr">
        <is>
          <t>scoparin</t>
        </is>
      </c>
      <c r="AH526" t="inlineStr">
        <is>
          <t>Pass 45 duplicate consolidation</t>
        </is>
      </c>
      <c r="AI526" t="inlineStr">
        <is>
          <t>flavonoids</t>
        </is>
      </c>
      <c r="AJ526" t="inlineStr">
        <is>
          <t>Unknown</t>
        </is>
      </c>
      <c r="AK526" t="inlineStr">
        <is>
          <t>unclassified</t>
        </is>
      </c>
      <c r="AL526" t="inlineStr">
        <is>
          <t>Pass 46 mechanism + evidence consolidation</t>
        </is>
      </c>
      <c r="AM526" t="n">
        <v>3</v>
      </c>
      <c r="AN526" t="inlineStr">
        <is>
          <t>D</t>
        </is>
      </c>
      <c r="AO526" t="inlineStr">
        <is>
          <t>Pass 47 compound scoring</t>
        </is>
      </c>
    </row>
    <row r="527">
      <c r="A527" t="inlineStr">
        <is>
          <t>scopolamine</t>
        </is>
      </c>
      <c r="B527" t="inlineStr">
        <is>
          <t>scopolamine</t>
        </is>
      </c>
      <c r="D527" t="inlineStr">
        <is>
          <t>alkaloid</t>
        </is>
      </c>
      <c r="E527" t="inlineStr">
        <is>
          <t>Scopolamine, hyoscyamine, and atropine block muscarinic acetylcholine receptors (anticholinergic), disrupting sensory and cognitive processing.</t>
        </is>
      </c>
      <c r="F527" t="inlineStr">
        <is>
          <t>unclassified</t>
        </is>
      </c>
      <c r="W527" t="n">
        <v>2</v>
      </c>
      <c r="X527" t="inlineStr">
        <is>
          <t>Low</t>
        </is>
      </c>
      <c r="Z527" t="inlineStr">
        <is>
          <t>scopolamine</t>
        </is>
      </c>
      <c r="AF527" t="inlineStr">
        <is>
          <t>scopolamine</t>
        </is>
      </c>
      <c r="AH527" t="inlineStr">
        <is>
          <t>Pass 45 duplicate consolidation</t>
        </is>
      </c>
      <c r="AI527" t="inlineStr">
        <is>
          <t>alkaloid</t>
        </is>
      </c>
      <c r="AJ527" t="inlineStr">
        <is>
          <t>Unknown</t>
        </is>
      </c>
      <c r="AK527" t="inlineStr">
        <is>
          <t>unclassified</t>
        </is>
      </c>
      <c r="AL527" t="inlineStr">
        <is>
          <t>Pass 46 mechanism + evidence consolidation</t>
        </is>
      </c>
      <c r="AM527" t="n">
        <v>3</v>
      </c>
      <c r="AN527" t="inlineStr">
        <is>
          <t>D</t>
        </is>
      </c>
      <c r="AO527" t="inlineStr">
        <is>
          <t>Pass 47 compound scoring</t>
        </is>
      </c>
    </row>
    <row r="528">
      <c r="A528" t="inlineStr">
        <is>
          <t>scopoletin</t>
        </is>
      </c>
      <c r="B528" t="inlineStr">
        <is>
          <t>scopoletin</t>
        </is>
      </c>
      <c r="D528" t="inlineStr">
        <is>
          <t>Scopoletin, damnacanthal, polysaccharides</t>
        </is>
      </c>
      <c r="E528" t="inlineStr">
        <is>
          <t>insufficient evidence</t>
        </is>
      </c>
      <c r="F528" t="inlineStr">
        <is>
          <t>unclassified</t>
        </is>
      </c>
      <c r="W528" t="n">
        <v>2</v>
      </c>
      <c r="X528" t="inlineStr">
        <is>
          <t>Low</t>
        </is>
      </c>
      <c r="Z528" t="inlineStr">
        <is>
          <t>scopoletin</t>
        </is>
      </c>
      <c r="AF528" t="inlineStr">
        <is>
          <t>scopoletin</t>
        </is>
      </c>
      <c r="AH528" t="inlineStr">
        <is>
          <t>Pass 45 duplicate consolidation</t>
        </is>
      </c>
      <c r="AI528" t="inlineStr">
        <is>
          <t>Scopoletin, damnacanthal, polysaccharides</t>
        </is>
      </c>
      <c r="AJ528" t="inlineStr">
        <is>
          <t>Unknown</t>
        </is>
      </c>
      <c r="AK528" t="inlineStr">
        <is>
          <t>unclassified</t>
        </is>
      </c>
      <c r="AL528" t="inlineStr">
        <is>
          <t>Pass 46 mechanism + evidence consolidation</t>
        </is>
      </c>
      <c r="AM528" t="n">
        <v>3</v>
      </c>
      <c r="AN528" t="inlineStr">
        <is>
          <t>D</t>
        </is>
      </c>
      <c r="AO528" t="inlineStr">
        <is>
          <t>Pass 47 compound scoring</t>
        </is>
      </c>
    </row>
    <row r="529">
      <c r="A529" t="inlineStr">
        <is>
          <t>scutellarin</t>
        </is>
      </c>
      <c r="B529" t="inlineStr">
        <is>
          <t>scutellarin</t>
        </is>
      </c>
      <c r="D529" t="inlineStr">
        <is>
          <t>other</t>
        </is>
      </c>
      <c r="E529" t="inlineStr">
        <is>
          <t>American skullcap flavonoids are associated with anticonvulsant and anxiolytic activity; GABAergic signaling and broader neuroinhibitory effects have been proposed in preclinical work.</t>
        </is>
      </c>
      <c r="F529" t="inlineStr">
        <is>
          <t>unclassified</t>
        </is>
      </c>
      <c r="W529" t="n">
        <v>2</v>
      </c>
      <c r="X529" t="inlineStr">
        <is>
          <t>Low</t>
        </is>
      </c>
      <c r="Z529" t="inlineStr">
        <is>
          <t>scutellarin</t>
        </is>
      </c>
      <c r="AF529" t="inlineStr">
        <is>
          <t>scutellarin</t>
        </is>
      </c>
      <c r="AH529" t="inlineStr">
        <is>
          <t>Pass 45 duplicate consolidation</t>
        </is>
      </c>
      <c r="AI529" t="inlineStr">
        <is>
          <t>other</t>
        </is>
      </c>
      <c r="AJ529" t="inlineStr">
        <is>
          <t>Clinical</t>
        </is>
      </c>
      <c r="AK529" t="inlineStr">
        <is>
          <t>unclassified</t>
        </is>
      </c>
      <c r="AL529" t="inlineStr">
        <is>
          <t>Pass 46 mechanism + evidence consolidation</t>
        </is>
      </c>
      <c r="AM529" t="n">
        <v>6</v>
      </c>
      <c r="AN529" t="inlineStr">
        <is>
          <t>C</t>
        </is>
      </c>
      <c r="AO529" t="inlineStr">
        <is>
          <t>Pass 47 compound scoring</t>
        </is>
      </c>
    </row>
    <row r="530">
      <c r="A530" t="inlineStr">
        <is>
          <t>selenium</t>
        </is>
      </c>
      <c r="B530" t="inlineStr">
        <is>
          <t>selenium</t>
        </is>
      </c>
      <c r="D530" t="inlineStr">
        <is>
          <t>essential trace mineral</t>
        </is>
      </c>
      <c r="E530" t="inlineStr">
        <is>
          <t>Constituent of 25 human selenoproteins including glutathione peroxidases, thioredoxin reductases, and selenoprotein P; supports thyroid hormone metabolism, DNA synthesis, reproduction, and protection from oxidative damage.</t>
        </is>
      </c>
      <c r="F530" t="inlineStr">
        <is>
          <t>unclassified</t>
        </is>
      </c>
      <c r="W530" t="n">
        <v>2</v>
      </c>
      <c r="X530" t="inlineStr">
        <is>
          <t>Low</t>
        </is>
      </c>
      <c r="Z530" t="inlineStr">
        <is>
          <t>selenium</t>
        </is>
      </c>
      <c r="AF530" t="inlineStr">
        <is>
          <t>selenium</t>
        </is>
      </c>
      <c r="AH530" t="inlineStr">
        <is>
          <t>Pass 45 duplicate consolidation</t>
        </is>
      </c>
      <c r="AI530" t="inlineStr">
        <is>
          <t>essential trace mineral</t>
        </is>
      </c>
      <c r="AJ530" t="inlineStr">
        <is>
          <t>Human</t>
        </is>
      </c>
      <c r="AK530" t="inlineStr">
        <is>
          <t>unclassified</t>
        </is>
      </c>
      <c r="AL530" t="inlineStr">
        <is>
          <t>Pass 46 mechanism + evidence consolidation</t>
        </is>
      </c>
      <c r="AM530" t="n">
        <v>7</v>
      </c>
      <c r="AN530" t="inlineStr">
        <is>
          <t>B</t>
        </is>
      </c>
      <c r="AO530" t="inlineStr">
        <is>
          <t>Pass 47 compound scoring</t>
        </is>
      </c>
    </row>
    <row r="531">
      <c r="A531" t="inlineStr">
        <is>
          <t>sempervirine</t>
        </is>
      </c>
      <c r="B531" t="inlineStr">
        <is>
          <t>sempervirine</t>
        </is>
      </c>
      <c r="D531" t="inlineStr">
        <is>
          <t>other</t>
        </is>
      </c>
      <c r="E531" t="inlineStr">
        <is>
          <t>Gelsemium alkaloids act on the central and peripheral nervous system; gelsemine has demonstrated antinociceptive activity at spinal alpha3 glycine receptors, while toxic alkaloids can cause convulsions and respiratory failure.</t>
        </is>
      </c>
      <c r="F531" t="inlineStr">
        <is>
          <t>unclassified</t>
        </is>
      </c>
      <c r="W531" t="n">
        <v>2</v>
      </c>
      <c r="X531" t="inlineStr">
        <is>
          <t>Low</t>
        </is>
      </c>
      <c r="Z531" t="inlineStr">
        <is>
          <t>sempervirine</t>
        </is>
      </c>
      <c r="AF531" t="inlineStr">
        <is>
          <t>sempervirine</t>
        </is>
      </c>
      <c r="AH531" t="inlineStr">
        <is>
          <t>Pass 45 duplicate consolidation</t>
        </is>
      </c>
      <c r="AI531" t="inlineStr">
        <is>
          <t>other</t>
        </is>
      </c>
      <c r="AJ531" t="inlineStr">
        <is>
          <t>Unknown</t>
        </is>
      </c>
      <c r="AK531" t="inlineStr">
        <is>
          <t>unclassified</t>
        </is>
      </c>
      <c r="AL531" t="inlineStr">
        <is>
          <t>Pass 46 mechanism + evidence consolidation</t>
        </is>
      </c>
      <c r="AM531" t="n">
        <v>3</v>
      </c>
      <c r="AN531" t="inlineStr">
        <is>
          <t>D</t>
        </is>
      </c>
      <c r="AO531" t="inlineStr">
        <is>
          <t>Pass 47 compound scoring</t>
        </is>
      </c>
    </row>
    <row r="532">
      <c r="A532" t="inlineStr">
        <is>
          <t>serotonin</t>
        </is>
      </c>
      <c r="B532" t="inlineStr">
        <is>
          <t>serotonin</t>
        </is>
      </c>
      <c r="D532" t="inlineStr">
        <is>
          <t>lignans; flavonoids</t>
        </is>
      </c>
      <c r="E532" t="inlineStr">
        <is>
          <t>insufficient evidence</t>
        </is>
      </c>
      <c r="F532" t="inlineStr">
        <is>
          <t>serotonin signaling</t>
        </is>
      </c>
      <c r="W532" t="n">
        <v>2</v>
      </c>
      <c r="X532" t="inlineStr">
        <is>
          <t>Low</t>
        </is>
      </c>
      <c r="Z532" t="inlineStr">
        <is>
          <t>serotonin</t>
        </is>
      </c>
      <c r="AF532" t="inlineStr">
        <is>
          <t>serotonin</t>
        </is>
      </c>
      <c r="AH532" t="inlineStr">
        <is>
          <t>Pass 45 duplicate consolidation</t>
        </is>
      </c>
      <c r="AI532" t="inlineStr">
        <is>
          <t>lignans; flavonoids</t>
        </is>
      </c>
      <c r="AJ532" t="inlineStr">
        <is>
          <t>Unknown</t>
        </is>
      </c>
      <c r="AK532" t="inlineStr">
        <is>
          <t>serotonin signaling</t>
        </is>
      </c>
      <c r="AL532" t="inlineStr">
        <is>
          <t>Pass 46 mechanism + evidence consolidation</t>
        </is>
      </c>
      <c r="AM532" t="n">
        <v>3</v>
      </c>
      <c r="AN532" t="inlineStr">
        <is>
          <t>D</t>
        </is>
      </c>
      <c r="AO532" t="inlineStr">
        <is>
          <t>Pass 47 compound scoring</t>
        </is>
      </c>
    </row>
    <row r="533">
      <c r="A533" t="inlineStr">
        <is>
          <t>serpentine</t>
        </is>
      </c>
      <c r="B533" t="inlineStr">
        <is>
          <t>serpentine</t>
        </is>
      </c>
      <c r="D533" t="inlineStr">
        <is>
          <t>other</t>
        </is>
      </c>
      <c r="E533" t="inlineStr">
        <is>
          <t>insufficient evidence</t>
        </is>
      </c>
      <c r="F533" t="inlineStr">
        <is>
          <t>unclassified</t>
        </is>
      </c>
      <c r="W533" t="n">
        <v>2</v>
      </c>
      <c r="X533" t="inlineStr">
        <is>
          <t>Low</t>
        </is>
      </c>
      <c r="Z533" t="inlineStr">
        <is>
          <t>serpentine</t>
        </is>
      </c>
      <c r="AF533" t="inlineStr">
        <is>
          <t>serpentine</t>
        </is>
      </c>
      <c r="AH533" t="inlineStr">
        <is>
          <t>Pass 45 duplicate consolidation</t>
        </is>
      </c>
      <c r="AI533" t="inlineStr">
        <is>
          <t>other</t>
        </is>
      </c>
      <c r="AJ533" t="inlineStr">
        <is>
          <t>Unknown</t>
        </is>
      </c>
      <c r="AK533" t="inlineStr">
        <is>
          <t>unclassified</t>
        </is>
      </c>
      <c r="AL533" t="inlineStr">
        <is>
          <t>Pass 46 mechanism + evidence consolidation</t>
        </is>
      </c>
      <c r="AM533" t="n">
        <v>3</v>
      </c>
      <c r="AN533" t="inlineStr">
        <is>
          <t>D</t>
        </is>
      </c>
      <c r="AO533" t="inlineStr">
        <is>
          <t>Pass 47 compound scoring</t>
        </is>
      </c>
    </row>
    <row r="534">
      <c r="A534" t="inlineStr">
        <is>
          <t>silica</t>
        </is>
      </c>
      <c r="B534" t="inlineStr">
        <is>
          <t>silica</t>
        </is>
      </c>
      <c r="D534" t="inlineStr">
        <is>
          <t>Silica, flavonoids, alkaloids</t>
        </is>
      </c>
      <c r="E534" t="inlineStr">
        <is>
          <t>insufficient evidence</t>
        </is>
      </c>
      <c r="F534" t="inlineStr">
        <is>
          <t>unclassified</t>
        </is>
      </c>
      <c r="W534" t="n">
        <v>2</v>
      </c>
      <c r="X534" t="inlineStr">
        <is>
          <t>Low</t>
        </is>
      </c>
      <c r="Z534" t="inlineStr">
        <is>
          <t>silica</t>
        </is>
      </c>
      <c r="AF534" t="inlineStr">
        <is>
          <t>silica</t>
        </is>
      </c>
      <c r="AH534" t="inlineStr">
        <is>
          <t>Pass 45 duplicate consolidation</t>
        </is>
      </c>
      <c r="AI534" t="inlineStr">
        <is>
          <t>Silica, flavonoids, alkaloids</t>
        </is>
      </c>
      <c r="AJ534" t="inlineStr">
        <is>
          <t>Unknown</t>
        </is>
      </c>
      <c r="AK534" t="inlineStr">
        <is>
          <t>unclassified</t>
        </is>
      </c>
      <c r="AL534" t="inlineStr">
        <is>
          <t>Pass 46 mechanism + evidence consolidation</t>
        </is>
      </c>
      <c r="AM534" t="n">
        <v>3</v>
      </c>
      <c r="AN534" t="inlineStr">
        <is>
          <t>D</t>
        </is>
      </c>
      <c r="AO534" t="inlineStr">
        <is>
          <t>Pass 47 compound scoring</t>
        </is>
      </c>
    </row>
    <row r="535">
      <c r="A535" t="inlineStr">
        <is>
          <t>silybin a</t>
        </is>
      </c>
      <c r="B535" t="inlineStr">
        <is>
          <t>silybin A</t>
        </is>
      </c>
      <c r="C535" t="inlineStr">
        <is>
          <t>silibinin A</t>
        </is>
      </c>
      <c r="D535" t="inlineStr">
        <is>
          <t>flavonolignan</t>
        </is>
      </c>
      <c r="E535" t="inlineStr">
        <is>
          <t>proposed mechanism based on preclinical data: antioxidant, anti-inflammatory, and hepatoprotective signaling reported in silymarin literature; no isolated-compound human mechanism is established.</t>
        </is>
      </c>
      <c r="F535" t="inlineStr">
        <is>
          <t>unclassified</t>
        </is>
      </c>
      <c r="W535" t="n">
        <v>2</v>
      </c>
      <c r="X535" t="inlineStr">
        <is>
          <t>Low</t>
        </is>
      </c>
      <c r="Z535" t="inlineStr">
        <is>
          <t>silybin a</t>
        </is>
      </c>
      <c r="AF535" t="inlineStr">
        <is>
          <t>silybin a</t>
        </is>
      </c>
      <c r="AH535" t="inlineStr">
        <is>
          <t>Pass 45 duplicate consolidation</t>
        </is>
      </c>
      <c r="AI535" t="inlineStr">
        <is>
          <t>flavonolignan</t>
        </is>
      </c>
      <c r="AJ535" t="inlineStr">
        <is>
          <t>Human</t>
        </is>
      </c>
      <c r="AK535" t="inlineStr">
        <is>
          <t>unclassified</t>
        </is>
      </c>
      <c r="AL535" t="inlineStr">
        <is>
          <t>Pass 46 mechanism + evidence consolidation</t>
        </is>
      </c>
      <c r="AM535" t="n">
        <v>7</v>
      </c>
      <c r="AN535" t="inlineStr">
        <is>
          <t>B</t>
        </is>
      </c>
      <c r="AO535" t="inlineStr">
        <is>
          <t>Pass 47 compound scoring</t>
        </is>
      </c>
    </row>
    <row r="536">
      <c r="A536" t="inlineStr">
        <is>
          <t>silybin b</t>
        </is>
      </c>
      <c r="B536" t="inlineStr">
        <is>
          <t>silybin B</t>
        </is>
      </c>
      <c r="C536" t="inlineStr">
        <is>
          <t>silibinin B</t>
        </is>
      </c>
      <c r="D536" t="inlineStr">
        <is>
          <t>flavonolignan</t>
        </is>
      </c>
      <c r="E536" t="inlineStr">
        <is>
          <t>proposed mechanism based on preclinical data: antioxidant, anti-inflammatory, and hepatoprotective signaling reported in silymarin literature; no isolated-compound human mechanism is established.</t>
        </is>
      </c>
      <c r="F536" t="inlineStr">
        <is>
          <t>unclassified</t>
        </is>
      </c>
      <c r="W536" t="n">
        <v>2</v>
      </c>
      <c r="X536" t="inlineStr">
        <is>
          <t>Low</t>
        </is>
      </c>
      <c r="Z536" t="inlineStr">
        <is>
          <t>silybin b</t>
        </is>
      </c>
      <c r="AF536" t="inlineStr">
        <is>
          <t>silybin b</t>
        </is>
      </c>
      <c r="AH536" t="inlineStr">
        <is>
          <t>Pass 45 duplicate consolidation</t>
        </is>
      </c>
      <c r="AI536" t="inlineStr">
        <is>
          <t>flavonolignan</t>
        </is>
      </c>
      <c r="AJ536" t="inlineStr">
        <is>
          <t>Human</t>
        </is>
      </c>
      <c r="AK536" t="inlineStr">
        <is>
          <t>unclassified</t>
        </is>
      </c>
      <c r="AL536" t="inlineStr">
        <is>
          <t>Pass 46 mechanism + evidence consolidation</t>
        </is>
      </c>
      <c r="AM536" t="n">
        <v>7</v>
      </c>
      <c r="AN536" t="inlineStr">
        <is>
          <t>B</t>
        </is>
      </c>
      <c r="AO536" t="inlineStr">
        <is>
          <t>Pass 47 compound scoring</t>
        </is>
      </c>
    </row>
    <row r="537">
      <c r="A537" t="inlineStr">
        <is>
          <t>silychristin</t>
        </is>
      </c>
      <c r="B537" t="inlineStr">
        <is>
          <t>silychristin</t>
        </is>
      </c>
      <c r="D537" t="inlineStr">
        <is>
          <t>other</t>
        </is>
      </c>
      <c r="E537" t="inlineStr">
        <is>
          <t>insufficient evidence</t>
        </is>
      </c>
      <c r="F537" t="inlineStr">
        <is>
          <t>unclassified</t>
        </is>
      </c>
      <c r="W537" t="n">
        <v>2</v>
      </c>
      <c r="X537" t="inlineStr">
        <is>
          <t>Low</t>
        </is>
      </c>
      <c r="Z537" t="inlineStr">
        <is>
          <t>silychristin</t>
        </is>
      </c>
      <c r="AF537" t="inlineStr">
        <is>
          <t>silychristin</t>
        </is>
      </c>
      <c r="AH537" t="inlineStr">
        <is>
          <t>Pass 45 duplicate consolidation</t>
        </is>
      </c>
      <c r="AI537" t="inlineStr">
        <is>
          <t>other</t>
        </is>
      </c>
      <c r="AJ537" t="inlineStr">
        <is>
          <t>Unknown</t>
        </is>
      </c>
      <c r="AK537" t="inlineStr">
        <is>
          <t>unclassified</t>
        </is>
      </c>
      <c r="AL537" t="inlineStr">
        <is>
          <t>Pass 46 mechanism + evidence consolidation</t>
        </is>
      </c>
      <c r="AM537" t="n">
        <v>3</v>
      </c>
      <c r="AN537" t="inlineStr">
        <is>
          <t>D</t>
        </is>
      </c>
      <c r="AO537" t="inlineStr">
        <is>
          <t>Pass 47 compound scoring</t>
        </is>
      </c>
    </row>
    <row r="538">
      <c r="A538" t="inlineStr">
        <is>
          <t>silydianin</t>
        </is>
      </c>
      <c r="B538" t="inlineStr">
        <is>
          <t>silydianin</t>
        </is>
      </c>
      <c r="D538" t="inlineStr">
        <is>
          <t>other</t>
        </is>
      </c>
      <c r="E538" t="inlineStr">
        <is>
          <t>insufficient evidence</t>
        </is>
      </c>
      <c r="F538" t="inlineStr">
        <is>
          <t>unclassified</t>
        </is>
      </c>
      <c r="W538" t="n">
        <v>2</v>
      </c>
      <c r="X538" t="inlineStr">
        <is>
          <t>Low</t>
        </is>
      </c>
      <c r="Z538" t="inlineStr">
        <is>
          <t>silydianin</t>
        </is>
      </c>
      <c r="AF538" t="inlineStr">
        <is>
          <t>silydianin</t>
        </is>
      </c>
      <c r="AH538" t="inlineStr">
        <is>
          <t>Pass 45 duplicate consolidation</t>
        </is>
      </c>
      <c r="AI538" t="inlineStr">
        <is>
          <t>other</t>
        </is>
      </c>
      <c r="AJ538" t="inlineStr">
        <is>
          <t>Unknown</t>
        </is>
      </c>
      <c r="AK538" t="inlineStr">
        <is>
          <t>unclassified</t>
        </is>
      </c>
      <c r="AL538" t="inlineStr">
        <is>
          <t>Pass 46 mechanism + evidence consolidation</t>
        </is>
      </c>
      <c r="AM538" t="n">
        <v>3</v>
      </c>
      <c r="AN538" t="inlineStr">
        <is>
          <t>D</t>
        </is>
      </c>
      <c r="AO538" t="inlineStr">
        <is>
          <t>Pass 47 compound scoring</t>
        </is>
      </c>
    </row>
    <row r="539">
      <c r="A539" t="inlineStr">
        <is>
          <t>silymarin</t>
        </is>
      </c>
      <c r="B539" t="inlineStr">
        <is>
          <t>silymarin</t>
        </is>
      </c>
      <c r="D539" t="inlineStr">
        <is>
          <t>flavonolignan complex</t>
        </is>
      </c>
      <c r="E539" t="inlineStr">
        <is>
          <t>Milk thistle complex linked to hepatoprotective antioxidant support.</t>
        </is>
      </c>
      <c r="F539" t="inlineStr">
        <is>
          <t>unclassified</t>
        </is>
      </c>
      <c r="W539" t="n">
        <v>2</v>
      </c>
      <c r="X539" t="inlineStr">
        <is>
          <t>Low</t>
        </is>
      </c>
      <c r="Z539" t="inlineStr">
        <is>
          <t>silymarin</t>
        </is>
      </c>
      <c r="AF539" t="inlineStr">
        <is>
          <t>silymarin</t>
        </is>
      </c>
      <c r="AH539" t="inlineStr">
        <is>
          <t>Pass 45 duplicate consolidation</t>
        </is>
      </c>
      <c r="AI539" t="inlineStr">
        <is>
          <t>flavonolignan complex</t>
        </is>
      </c>
      <c r="AJ539" t="inlineStr">
        <is>
          <t>Unknown</t>
        </is>
      </c>
      <c r="AK539" t="inlineStr">
        <is>
          <t>unclassified</t>
        </is>
      </c>
      <c r="AL539" t="inlineStr">
        <is>
          <t>Pass 46 mechanism + evidence consolidation</t>
        </is>
      </c>
      <c r="AM539" t="n">
        <v>3</v>
      </c>
      <c r="AN539" t="inlineStr">
        <is>
          <t>D</t>
        </is>
      </c>
      <c r="AO539" t="inlineStr">
        <is>
          <t>Pass 47 compound scoring</t>
        </is>
      </c>
    </row>
    <row r="540">
      <c r="A540" t="inlineStr">
        <is>
          <t>silymarin silibinin</t>
        </is>
      </c>
      <c r="B540" t="inlineStr">
        <is>
          <t>silymarin (silibinin</t>
        </is>
      </c>
      <c r="D540" t="inlineStr">
        <is>
          <t>other</t>
        </is>
      </c>
      <c r="E540" t="inlineStr">
        <is>
          <t>insufficient evidence</t>
        </is>
      </c>
      <c r="F540" t="inlineStr">
        <is>
          <t>unclassified</t>
        </is>
      </c>
      <c r="W540" t="n">
        <v>2</v>
      </c>
      <c r="X540" t="inlineStr">
        <is>
          <t>Low</t>
        </is>
      </c>
      <c r="Z540" t="inlineStr">
        <is>
          <t>silymarin silibinin</t>
        </is>
      </c>
      <c r="AF540" t="inlineStr">
        <is>
          <t>silymarin silibinin</t>
        </is>
      </c>
      <c r="AH540" t="inlineStr">
        <is>
          <t>Pass 45 duplicate consolidation</t>
        </is>
      </c>
      <c r="AI540" t="inlineStr">
        <is>
          <t>other</t>
        </is>
      </c>
      <c r="AJ540" t="inlineStr">
        <is>
          <t>Unknown</t>
        </is>
      </c>
      <c r="AK540" t="inlineStr">
        <is>
          <t>unclassified</t>
        </is>
      </c>
      <c r="AL540" t="inlineStr">
        <is>
          <t>Pass 46 mechanism + evidence consolidation</t>
        </is>
      </c>
      <c r="AM540" t="n">
        <v>3</v>
      </c>
      <c r="AN540" t="inlineStr">
        <is>
          <t>D</t>
        </is>
      </c>
      <c r="AO540" t="inlineStr">
        <is>
          <t>Pass 47 compound scoring</t>
        </is>
      </c>
    </row>
    <row r="541">
      <c r="A541" t="inlineStr">
        <is>
          <t>sinigrin</t>
        </is>
      </c>
      <c r="B541" t="inlineStr">
        <is>
          <t>sinigrin</t>
        </is>
      </c>
      <c r="D541" t="inlineStr">
        <is>
          <t>other</t>
        </is>
      </c>
      <c r="E541" t="inlineStr">
        <is>
          <t>insufficient evidence</t>
        </is>
      </c>
      <c r="F541" t="inlineStr">
        <is>
          <t>unclassified</t>
        </is>
      </c>
      <c r="W541" t="n">
        <v>2</v>
      </c>
      <c r="X541" t="inlineStr">
        <is>
          <t>Low</t>
        </is>
      </c>
      <c r="Z541" t="inlineStr">
        <is>
          <t>sinigrin</t>
        </is>
      </c>
      <c r="AF541" t="inlineStr">
        <is>
          <t>sinigrin</t>
        </is>
      </c>
      <c r="AH541" t="inlineStr">
        <is>
          <t>Pass 45 duplicate consolidation</t>
        </is>
      </c>
      <c r="AI541" t="inlineStr">
        <is>
          <t>other</t>
        </is>
      </c>
      <c r="AJ541" t="inlineStr">
        <is>
          <t>Unknown</t>
        </is>
      </c>
      <c r="AK541" t="inlineStr">
        <is>
          <t>unclassified</t>
        </is>
      </c>
      <c r="AL541" t="inlineStr">
        <is>
          <t>Pass 46 mechanism + evidence consolidation</t>
        </is>
      </c>
      <c r="AM541" t="n">
        <v>3</v>
      </c>
      <c r="AN541" t="inlineStr">
        <is>
          <t>D</t>
        </is>
      </c>
      <c r="AO541" t="inlineStr">
        <is>
          <t>Pass 47 compound scoring</t>
        </is>
      </c>
    </row>
    <row r="542">
      <c r="A542" t="inlineStr">
        <is>
          <t>sitoindoside ix</t>
        </is>
      </c>
      <c r="B542" t="inlineStr">
        <is>
          <t>sitoindoside IX</t>
        </is>
      </c>
      <c r="C542" t="inlineStr">
        <is>
          <t>27-O-beta-D-glucopyranosyl withaferin A</t>
        </is>
      </c>
      <c r="D542" t="inlineStr">
        <is>
          <t>withanolide glycoside / withanolide saponin</t>
        </is>
      </c>
      <c r="E542" t="inlineStr">
        <is>
          <t>No established human mechanism. proposed mechanism based on preclinical data: neuroprotective and immunomodulatory activity inferred from Withania constituent studies; isolated-compound mechanistic literature is limited.</t>
        </is>
      </c>
      <c r="F542" t="inlineStr">
        <is>
          <t>unclassified</t>
        </is>
      </c>
      <c r="W542" t="n">
        <v>2</v>
      </c>
      <c r="X542" t="inlineStr">
        <is>
          <t>Low</t>
        </is>
      </c>
      <c r="Z542" t="inlineStr">
        <is>
          <t>sitoindoside ix</t>
        </is>
      </c>
      <c r="AF542" t="inlineStr">
        <is>
          <t>sitoindoside ix</t>
        </is>
      </c>
      <c r="AH542" t="inlineStr">
        <is>
          <t>Pass 45 duplicate consolidation</t>
        </is>
      </c>
      <c r="AI542" t="inlineStr">
        <is>
          <t>withanolide glycoside / withanolide saponin</t>
        </is>
      </c>
      <c r="AJ542" t="inlineStr">
        <is>
          <t>Human</t>
        </is>
      </c>
      <c r="AK542" t="inlineStr">
        <is>
          <t>unclassified</t>
        </is>
      </c>
      <c r="AL542" t="inlineStr">
        <is>
          <t>Pass 46 mechanism + evidence consolidation</t>
        </is>
      </c>
      <c r="AM542" t="n">
        <v>7</v>
      </c>
      <c r="AN542" t="inlineStr">
        <is>
          <t>B</t>
        </is>
      </c>
      <c r="AO542" t="inlineStr">
        <is>
          <t>Pass 47 compound scoring</t>
        </is>
      </c>
    </row>
    <row r="543">
      <c r="A543" t="inlineStr">
        <is>
          <t>sitoindoside x</t>
        </is>
      </c>
      <c r="B543" t="inlineStr">
        <is>
          <t>sitoindoside X</t>
        </is>
      </c>
      <c r="D543" t="inlineStr">
        <is>
          <t>steroidal glycoside / sitoindoside</t>
        </is>
      </c>
      <c r="E543" t="inlineStr">
        <is>
          <t>No established human mechanism. proposed mechanism based on preclinical data: neuroprotective and adaptogen-associated effects inferred from older Withania extract/constituent studies rather than strong isolated-compound literature.</t>
        </is>
      </c>
      <c r="F543" t="inlineStr">
        <is>
          <t>unclassified</t>
        </is>
      </c>
      <c r="W543" t="n">
        <v>2</v>
      </c>
      <c r="X543" t="inlineStr">
        <is>
          <t>Low</t>
        </is>
      </c>
      <c r="Z543" t="inlineStr">
        <is>
          <t>sitoindoside x</t>
        </is>
      </c>
      <c r="AF543" t="inlineStr">
        <is>
          <t>sitoindoside x</t>
        </is>
      </c>
      <c r="AH543" t="inlineStr">
        <is>
          <t>Pass 45 duplicate consolidation</t>
        </is>
      </c>
      <c r="AI543" t="inlineStr">
        <is>
          <t>steroidal glycoside / sitoindoside</t>
        </is>
      </c>
      <c r="AJ543" t="inlineStr">
        <is>
          <t>Human</t>
        </is>
      </c>
      <c r="AK543" t="inlineStr">
        <is>
          <t>unclassified</t>
        </is>
      </c>
      <c r="AL543" t="inlineStr">
        <is>
          <t>Pass 46 mechanism + evidence consolidation</t>
        </is>
      </c>
      <c r="AM543" t="n">
        <v>7</v>
      </c>
      <c r="AN543" t="inlineStr">
        <is>
          <t>B</t>
        </is>
      </c>
      <c r="AO543" t="inlineStr">
        <is>
          <t>Pass 47 compound scoring</t>
        </is>
      </c>
    </row>
    <row r="544">
      <c r="A544" t="inlineStr">
        <is>
          <t>skimmianine</t>
        </is>
      </c>
      <c r="B544" t="inlineStr">
        <is>
          <t>skimmianine</t>
        </is>
      </c>
      <c r="D544" t="inlineStr">
        <is>
          <t>coumarins</t>
        </is>
      </c>
      <c r="E544" t="inlineStr">
        <is>
          <t>insufficient evidence</t>
        </is>
      </c>
      <c r="F544" t="inlineStr">
        <is>
          <t>unclassified</t>
        </is>
      </c>
      <c r="W544" t="n">
        <v>2</v>
      </c>
      <c r="X544" t="inlineStr">
        <is>
          <t>Low</t>
        </is>
      </c>
      <c r="Z544" t="inlineStr">
        <is>
          <t>skimmianine</t>
        </is>
      </c>
      <c r="AF544" t="inlineStr">
        <is>
          <t>skimmianine</t>
        </is>
      </c>
      <c r="AH544" t="inlineStr">
        <is>
          <t>Pass 45 duplicate consolidation</t>
        </is>
      </c>
      <c r="AI544" t="inlineStr">
        <is>
          <t>coumarins</t>
        </is>
      </c>
      <c r="AJ544" t="inlineStr">
        <is>
          <t>Unknown</t>
        </is>
      </c>
      <c r="AK544" t="inlineStr">
        <is>
          <t>unclassified</t>
        </is>
      </c>
      <c r="AL544" t="inlineStr">
        <is>
          <t>Pass 46 mechanism + evidence consolidation</t>
        </is>
      </c>
      <c r="AM544" t="n">
        <v>3</v>
      </c>
      <c r="AN544" t="inlineStr">
        <is>
          <t>D</t>
        </is>
      </c>
      <c r="AO544" t="inlineStr">
        <is>
          <t>Pass 47 compound scoring</t>
        </is>
      </c>
    </row>
    <row r="545">
      <c r="A545" t="inlineStr">
        <is>
          <t>solamargine</t>
        </is>
      </c>
      <c r="B545" t="inlineStr">
        <is>
          <t>solamargine</t>
        </is>
      </c>
      <c r="D545" t="inlineStr">
        <is>
          <t>Solanine, solamargine, flavonoids</t>
        </is>
      </c>
      <c r="E545" t="inlineStr">
        <is>
          <t>insufficient evidence</t>
        </is>
      </c>
      <c r="F545" t="inlineStr">
        <is>
          <t>unclassified</t>
        </is>
      </c>
      <c r="W545" t="n">
        <v>2</v>
      </c>
      <c r="X545" t="inlineStr">
        <is>
          <t>Low</t>
        </is>
      </c>
      <c r="Z545" t="inlineStr">
        <is>
          <t>solamargine</t>
        </is>
      </c>
      <c r="AF545" t="inlineStr">
        <is>
          <t>solamargine</t>
        </is>
      </c>
      <c r="AH545" t="inlineStr">
        <is>
          <t>Pass 45 duplicate consolidation</t>
        </is>
      </c>
      <c r="AI545" t="inlineStr">
        <is>
          <t>Solanine, solamargine, flavonoids</t>
        </is>
      </c>
      <c r="AJ545" t="inlineStr">
        <is>
          <t>Unknown</t>
        </is>
      </c>
      <c r="AK545" t="inlineStr">
        <is>
          <t>unclassified</t>
        </is>
      </c>
      <c r="AL545" t="inlineStr">
        <is>
          <t>Pass 46 mechanism + evidence consolidation</t>
        </is>
      </c>
      <c r="AM545" t="n">
        <v>3</v>
      </c>
      <c r="AN545" t="inlineStr">
        <is>
          <t>D</t>
        </is>
      </c>
      <c r="AO545" t="inlineStr">
        <is>
          <t>Pass 47 compound scoring</t>
        </is>
      </c>
    </row>
    <row r="546">
      <c r="A546" t="inlineStr">
        <is>
          <t>solanine</t>
        </is>
      </c>
      <c r="B546" t="inlineStr">
        <is>
          <t>solanine</t>
        </is>
      </c>
      <c r="D546" t="inlineStr">
        <is>
          <t>Solanine, solamargine, flavonoids</t>
        </is>
      </c>
      <c r="E546" t="inlineStr">
        <is>
          <t>insufficient evidence</t>
        </is>
      </c>
      <c r="F546" t="inlineStr">
        <is>
          <t>unclassified</t>
        </is>
      </c>
      <c r="W546" t="n">
        <v>2</v>
      </c>
      <c r="X546" t="inlineStr">
        <is>
          <t>Low</t>
        </is>
      </c>
      <c r="Z546" t="inlineStr">
        <is>
          <t>solanine</t>
        </is>
      </c>
      <c r="AF546" t="inlineStr">
        <is>
          <t>solanine</t>
        </is>
      </c>
      <c r="AH546" t="inlineStr">
        <is>
          <t>Pass 45 duplicate consolidation</t>
        </is>
      </c>
      <c r="AI546" t="inlineStr">
        <is>
          <t>Solanine, solamargine, flavonoids</t>
        </is>
      </c>
      <c r="AJ546" t="inlineStr">
        <is>
          <t>Unknown</t>
        </is>
      </c>
      <c r="AK546" t="inlineStr">
        <is>
          <t>unclassified</t>
        </is>
      </c>
      <c r="AL546" t="inlineStr">
        <is>
          <t>Pass 46 mechanism + evidence consolidation</t>
        </is>
      </c>
      <c r="AM546" t="n">
        <v>3</v>
      </c>
      <c r="AN546" t="inlineStr">
        <is>
          <t>D</t>
        </is>
      </c>
      <c r="AO546" t="inlineStr">
        <is>
          <t>Pass 47 compound scoring</t>
        </is>
      </c>
    </row>
    <row r="547">
      <c r="A547" t="inlineStr">
        <is>
          <t>spilanthol</t>
        </is>
      </c>
      <c r="B547" t="inlineStr">
        <is>
          <t>spilanthol</t>
        </is>
      </c>
      <c r="D547" t="inlineStr">
        <is>
          <t>other</t>
        </is>
      </c>
      <c r="E547" t="inlineStr">
        <is>
          <t>Spilanthol activates trigeminal sensory pathways and may modulate ion channels; detailed receptor mapping remains limited.</t>
        </is>
      </c>
      <c r="F547" t="inlineStr">
        <is>
          <t>unclassified</t>
        </is>
      </c>
      <c r="W547" t="n">
        <v>2</v>
      </c>
      <c r="X547" t="inlineStr">
        <is>
          <t>Low</t>
        </is>
      </c>
      <c r="Z547" t="inlineStr">
        <is>
          <t>spilanthol</t>
        </is>
      </c>
      <c r="AF547" t="inlineStr">
        <is>
          <t>spilanthol</t>
        </is>
      </c>
      <c r="AH547" t="inlineStr">
        <is>
          <t>Pass 45 duplicate consolidation</t>
        </is>
      </c>
      <c r="AI547" t="inlineStr">
        <is>
          <t>other</t>
        </is>
      </c>
      <c r="AJ547" t="inlineStr">
        <is>
          <t>Unknown</t>
        </is>
      </c>
      <c r="AK547" t="inlineStr">
        <is>
          <t>unclassified</t>
        </is>
      </c>
      <c r="AL547" t="inlineStr">
        <is>
          <t>Pass 46 mechanism + evidence consolidation</t>
        </is>
      </c>
      <c r="AM547" t="n">
        <v>3</v>
      </c>
      <c r="AN547" t="inlineStr">
        <is>
          <t>D</t>
        </is>
      </c>
      <c r="AO547" t="inlineStr">
        <is>
          <t>Pass 47 compound scoring</t>
        </is>
      </c>
    </row>
    <row r="548">
      <c r="A548" t="inlineStr">
        <is>
          <t>stachydrine</t>
        </is>
      </c>
      <c r="B548" t="inlineStr">
        <is>
          <t>stachydrine</t>
        </is>
      </c>
      <c r="D548" t="inlineStr">
        <is>
          <t>other</t>
        </is>
      </c>
      <c r="E548" t="inlineStr">
        <is>
          <t>insufficient evidence</t>
        </is>
      </c>
      <c r="F548" t="inlineStr">
        <is>
          <t>unclassified</t>
        </is>
      </c>
      <c r="W548" t="n">
        <v>2</v>
      </c>
      <c r="X548" t="inlineStr">
        <is>
          <t>Low</t>
        </is>
      </c>
      <c r="Z548" t="inlineStr">
        <is>
          <t>stachydrine</t>
        </is>
      </c>
      <c r="AF548" t="inlineStr">
        <is>
          <t>stachydrine</t>
        </is>
      </c>
      <c r="AH548" t="inlineStr">
        <is>
          <t>Pass 45 duplicate consolidation</t>
        </is>
      </c>
      <c r="AI548" t="inlineStr">
        <is>
          <t>other</t>
        </is>
      </c>
      <c r="AJ548" t="inlineStr">
        <is>
          <t>Unknown</t>
        </is>
      </c>
      <c r="AK548" t="inlineStr">
        <is>
          <t>unclassified</t>
        </is>
      </c>
      <c r="AL548" t="inlineStr">
        <is>
          <t>Pass 46 mechanism + evidence consolidation</t>
        </is>
      </c>
      <c r="AM548" t="n">
        <v>3</v>
      </c>
      <c r="AN548" t="inlineStr">
        <is>
          <t>D</t>
        </is>
      </c>
      <c r="AO548" t="inlineStr">
        <is>
          <t>Pass 47 compound scoring</t>
        </is>
      </c>
    </row>
    <row r="549">
      <c r="A549" t="inlineStr">
        <is>
          <t>sulforaphane</t>
        </is>
      </c>
      <c r="B549" t="inlineStr">
        <is>
          <t>sulforaphane</t>
        </is>
      </c>
      <c r="D549" t="inlineStr">
        <is>
          <t>isothiocyanate</t>
        </is>
      </c>
      <c r="E549" t="inlineStr">
        <is>
          <t>Activates Nrf2 pathway and phase II detox enzymes</t>
        </is>
      </c>
      <c r="F549" t="inlineStr">
        <is>
          <t>unclassified</t>
        </is>
      </c>
      <c r="W549" t="n">
        <v>2</v>
      </c>
      <c r="X549" t="inlineStr">
        <is>
          <t>Low</t>
        </is>
      </c>
      <c r="Z549" t="inlineStr">
        <is>
          <t>sulforaphane</t>
        </is>
      </c>
      <c r="AF549" t="inlineStr">
        <is>
          <t>sulforaphane</t>
        </is>
      </c>
      <c r="AH549" t="inlineStr">
        <is>
          <t>Pass 45 duplicate consolidation</t>
        </is>
      </c>
      <c r="AI549" t="inlineStr">
        <is>
          <t>isothiocyanate</t>
        </is>
      </c>
      <c r="AJ549" t="inlineStr">
        <is>
          <t>Unknown</t>
        </is>
      </c>
      <c r="AK549" t="inlineStr">
        <is>
          <t>unclassified</t>
        </is>
      </c>
      <c r="AL549" t="inlineStr">
        <is>
          <t>Pass 46 mechanism + evidence consolidation</t>
        </is>
      </c>
      <c r="AM549" t="n">
        <v>3</v>
      </c>
      <c r="AN549" t="inlineStr">
        <is>
          <t>D</t>
        </is>
      </c>
      <c r="AO549" t="inlineStr">
        <is>
          <t>Pass 47 compound scoring</t>
        </is>
      </c>
    </row>
    <row r="550">
      <c r="A550" t="inlineStr">
        <is>
          <t>swertiamarin</t>
        </is>
      </c>
      <c r="B550" t="inlineStr">
        <is>
          <t>swertiamarin</t>
        </is>
      </c>
      <c r="D550" t="inlineStr">
        <is>
          <t>other</t>
        </is>
      </c>
      <c r="E550" t="inlineStr">
        <is>
          <t>insufficient evidence</t>
        </is>
      </c>
      <c r="F550" t="inlineStr">
        <is>
          <t>unclassified</t>
        </is>
      </c>
      <c r="W550" t="n">
        <v>2</v>
      </c>
      <c r="X550" t="inlineStr">
        <is>
          <t>Low</t>
        </is>
      </c>
      <c r="Z550" t="inlineStr">
        <is>
          <t>swertiamarin</t>
        </is>
      </c>
      <c r="AF550" t="inlineStr">
        <is>
          <t>swertiamarin</t>
        </is>
      </c>
      <c r="AH550" t="inlineStr">
        <is>
          <t>Pass 45 duplicate consolidation</t>
        </is>
      </c>
      <c r="AI550" t="inlineStr">
        <is>
          <t>other</t>
        </is>
      </c>
      <c r="AJ550" t="inlineStr">
        <is>
          <t>Unknown</t>
        </is>
      </c>
      <c r="AK550" t="inlineStr">
        <is>
          <t>unclassified</t>
        </is>
      </c>
      <c r="AL550" t="inlineStr">
        <is>
          <t>Pass 46 mechanism + evidence consolidation</t>
        </is>
      </c>
      <c r="AM550" t="n">
        <v>3</v>
      </c>
      <c r="AN550" t="inlineStr">
        <is>
          <t>D</t>
        </is>
      </c>
      <c r="AO550" t="inlineStr">
        <is>
          <t>Pass 47 compound scoring</t>
        </is>
      </c>
    </row>
    <row r="551">
      <c r="A551" t="inlineStr">
        <is>
          <t>synephrine</t>
        </is>
      </c>
      <c r="B551" t="inlineStr">
        <is>
          <t>synephrine</t>
        </is>
      </c>
      <c r="D551" t="inlineStr">
        <is>
          <t>Synephrine, flavonoids, limonene</t>
        </is>
      </c>
      <c r="E551" t="inlineStr">
        <is>
          <t>insufficient evidence</t>
        </is>
      </c>
      <c r="F551" t="inlineStr">
        <is>
          <t>unclassified</t>
        </is>
      </c>
      <c r="W551" t="n">
        <v>2</v>
      </c>
      <c r="X551" t="inlineStr">
        <is>
          <t>Low</t>
        </is>
      </c>
      <c r="Z551" t="inlineStr">
        <is>
          <t>synephrine</t>
        </is>
      </c>
      <c r="AF551" t="inlineStr">
        <is>
          <t>synephrine</t>
        </is>
      </c>
      <c r="AH551" t="inlineStr">
        <is>
          <t>Pass 45 duplicate consolidation</t>
        </is>
      </c>
      <c r="AI551" t="inlineStr">
        <is>
          <t>Synephrine, flavonoids, limonene</t>
        </is>
      </c>
      <c r="AJ551" t="inlineStr">
        <is>
          <t>Unknown</t>
        </is>
      </c>
      <c r="AK551" t="inlineStr">
        <is>
          <t>unclassified</t>
        </is>
      </c>
      <c r="AL551" t="inlineStr">
        <is>
          <t>Pass 46 mechanism + evidence consolidation</t>
        </is>
      </c>
      <c r="AM551" t="n">
        <v>3</v>
      </c>
      <c r="AN551" t="inlineStr">
        <is>
          <t>D</t>
        </is>
      </c>
      <c r="AO551" t="inlineStr">
        <is>
          <t>Pass 47 compound scoring</t>
        </is>
      </c>
    </row>
    <row r="552">
      <c r="A552" t="inlineStr">
        <is>
          <t>tangshenoside i</t>
        </is>
      </c>
      <c r="B552" t="inlineStr">
        <is>
          <t>tangshenoside I</t>
        </is>
      </c>
      <c r="D552" t="inlineStr">
        <is>
          <t>glycoside</t>
        </is>
      </c>
      <c r="E552" t="inlineStr">
        <is>
          <t>Codonopsis constituent associated with restorative and fatigue-support positioning.</t>
        </is>
      </c>
      <c r="F552" t="inlineStr">
        <is>
          <t>unclassified</t>
        </is>
      </c>
      <c r="W552" t="n">
        <v>2</v>
      </c>
      <c r="X552" t="inlineStr">
        <is>
          <t>Low</t>
        </is>
      </c>
      <c r="Z552" t="inlineStr">
        <is>
          <t>tangshenoside i</t>
        </is>
      </c>
      <c r="AF552" t="inlineStr">
        <is>
          <t>tangshenoside i</t>
        </is>
      </c>
      <c r="AH552" t="inlineStr">
        <is>
          <t>Pass 45 duplicate consolidation</t>
        </is>
      </c>
      <c r="AI552" t="inlineStr">
        <is>
          <t>glycoside</t>
        </is>
      </c>
      <c r="AJ552" t="inlineStr">
        <is>
          <t>Unknown</t>
        </is>
      </c>
      <c r="AK552" t="inlineStr">
        <is>
          <t>unclassified</t>
        </is>
      </c>
      <c r="AL552" t="inlineStr">
        <is>
          <t>Pass 46 mechanism + evidence consolidation</t>
        </is>
      </c>
      <c r="AM552" t="n">
        <v>3</v>
      </c>
      <c r="AN552" t="inlineStr">
        <is>
          <t>D</t>
        </is>
      </c>
      <c r="AO552" t="inlineStr">
        <is>
          <t>Pass 47 compound scoring</t>
        </is>
      </c>
    </row>
    <row r="553">
      <c r="A553" t="inlineStr">
        <is>
          <t>Tanshinone IIA</t>
        </is>
      </c>
      <c r="B553" t="inlineStr">
        <is>
          <t>tanshinone IIA</t>
        </is>
      </c>
      <c r="C553" t="inlineStr">
        <is>
          <t>Salvia miltiorrhiza</t>
        </is>
      </c>
      <c r="D553" t="inlineStr">
        <is>
          <t>diterpenoid quinone</t>
        </is>
      </c>
      <c r="E553" t="inlineStr">
        <is>
          <t>Lipophilic diterpenoid quinone from Danshen associated with vascular, anti-inflammatory, and redox-related signaling in preclinical and translational literature.</t>
        </is>
      </c>
      <c r="F553" t="inlineStr">
        <is>
          <t>unclassified; NF-kB inhibition; cardiovascular signaling</t>
        </is>
      </c>
      <c r="U553" t="inlineStr">
        <is>
          <t>Pass 45 merged 2 rows into canonical compound entry</t>
        </is>
      </c>
      <c r="W553" t="n">
        <v>4</v>
      </c>
      <c r="X553" t="inlineStr">
        <is>
          <t>Medium</t>
        </is>
      </c>
      <c r="Z553" t="inlineStr">
        <is>
          <t>Tanshinone IIA</t>
        </is>
      </c>
      <c r="AF553" t="inlineStr">
        <is>
          <t>tanshinone iia</t>
        </is>
      </c>
      <c r="AH553" t="inlineStr">
        <is>
          <t>Pass 45 duplicate consolidation</t>
        </is>
      </c>
      <c r="AI553" t="inlineStr">
        <is>
          <t>diterpenoid quinone</t>
        </is>
      </c>
      <c r="AJ553" t="inlineStr">
        <is>
          <t>Clinical</t>
        </is>
      </c>
      <c r="AK553" t="inlineStr">
        <is>
          <t>cardiovascular signaling; nf-kb inhibition; unclassified</t>
        </is>
      </c>
      <c r="AL553" t="inlineStr">
        <is>
          <t>Pass 46 mechanism + evidence consolidation</t>
        </is>
      </c>
      <c r="AM553" t="n">
        <v>8</v>
      </c>
      <c r="AN553" t="inlineStr">
        <is>
          <t>B</t>
        </is>
      </c>
      <c r="AO553" t="inlineStr">
        <is>
          <t>Pass 47 compound scoring</t>
        </is>
      </c>
    </row>
    <row r="554">
      <c r="A554" t="inlineStr">
        <is>
          <t>taraxasterol</t>
        </is>
      </c>
      <c r="B554" t="inlineStr">
        <is>
          <t>taraxasterol</t>
        </is>
      </c>
      <c r="D554" t="inlineStr">
        <is>
          <t>Taraxasterol, inulin, sesquiterpene lactones</t>
        </is>
      </c>
      <c r="E554" t="inlineStr">
        <is>
          <t>insufficient evidence</t>
        </is>
      </c>
      <c r="F554" t="inlineStr">
        <is>
          <t>unclassified</t>
        </is>
      </c>
      <c r="W554" t="n">
        <v>2</v>
      </c>
      <c r="X554" t="inlineStr">
        <is>
          <t>Low</t>
        </is>
      </c>
      <c r="Z554" t="inlineStr">
        <is>
          <t>taraxasterol</t>
        </is>
      </c>
      <c r="AF554" t="inlineStr">
        <is>
          <t>taraxasterol</t>
        </is>
      </c>
      <c r="AH554" t="inlineStr">
        <is>
          <t>Pass 45 duplicate consolidation</t>
        </is>
      </c>
      <c r="AI554" t="inlineStr">
        <is>
          <t>Taraxasterol, inulin, sesquiterpene lactones</t>
        </is>
      </c>
      <c r="AJ554" t="inlineStr">
        <is>
          <t>Unknown</t>
        </is>
      </c>
      <c r="AK554" t="inlineStr">
        <is>
          <t>unclassified</t>
        </is>
      </c>
      <c r="AL554" t="inlineStr">
        <is>
          <t>Pass 46 mechanism + evidence consolidation</t>
        </is>
      </c>
      <c r="AM554" t="n">
        <v>3</v>
      </c>
      <c r="AN554" t="inlineStr">
        <is>
          <t>D</t>
        </is>
      </c>
      <c r="AO554" t="inlineStr">
        <is>
          <t>Pass 47 compound scoring</t>
        </is>
      </c>
    </row>
    <row r="555">
      <c r="A555" t="inlineStr">
        <is>
          <t>tartaric acid</t>
        </is>
      </c>
      <c r="B555" t="inlineStr">
        <is>
          <t>tartaric acid</t>
        </is>
      </c>
      <c r="D555" t="inlineStr">
        <is>
          <t>organic acid</t>
        </is>
      </c>
      <c r="E555" t="inlineStr">
        <is>
          <t>Tamarind constituent associated with digestive-support positioning.</t>
        </is>
      </c>
      <c r="F555" t="inlineStr">
        <is>
          <t>unclassified</t>
        </is>
      </c>
      <c r="W555" t="n">
        <v>2</v>
      </c>
      <c r="X555" t="inlineStr">
        <is>
          <t>Low</t>
        </is>
      </c>
      <c r="Z555" t="inlineStr">
        <is>
          <t>tartaric acid</t>
        </is>
      </c>
      <c r="AF555" t="inlineStr">
        <is>
          <t>tartaric acid</t>
        </is>
      </c>
      <c r="AH555" t="inlineStr">
        <is>
          <t>Pass 45 duplicate consolidation</t>
        </is>
      </c>
      <c r="AI555" t="inlineStr">
        <is>
          <t>organic acid</t>
        </is>
      </c>
      <c r="AJ555" t="inlineStr">
        <is>
          <t>Unknown</t>
        </is>
      </c>
      <c r="AK555" t="inlineStr">
        <is>
          <t>unclassified</t>
        </is>
      </c>
      <c r="AL555" t="inlineStr">
        <is>
          <t>Pass 46 mechanism + evidence consolidation</t>
        </is>
      </c>
      <c r="AM555" t="n">
        <v>3</v>
      </c>
      <c r="AN555" t="inlineStr">
        <is>
          <t>D</t>
        </is>
      </c>
      <c r="AO555" t="inlineStr">
        <is>
          <t>Pass 47 compound scoring</t>
        </is>
      </c>
    </row>
    <row r="556">
      <c r="A556" t="inlineStr">
        <is>
          <t>taspine</t>
        </is>
      </c>
      <c r="B556" t="inlineStr">
        <is>
          <t>taspine</t>
        </is>
      </c>
      <c r="D556" t="inlineStr">
        <is>
          <t>Proanthocyanidins, taspine, alkaloids</t>
        </is>
      </c>
      <c r="E556" t="inlineStr">
        <is>
          <t>insufficient evidence</t>
        </is>
      </c>
      <c r="F556" t="inlineStr">
        <is>
          <t>unclassified</t>
        </is>
      </c>
      <c r="W556" t="n">
        <v>2</v>
      </c>
      <c r="X556" t="inlineStr">
        <is>
          <t>Low</t>
        </is>
      </c>
      <c r="Z556" t="inlineStr">
        <is>
          <t>taspine</t>
        </is>
      </c>
      <c r="AF556" t="inlineStr">
        <is>
          <t>taspine</t>
        </is>
      </c>
      <c r="AH556" t="inlineStr">
        <is>
          <t>Pass 45 duplicate consolidation</t>
        </is>
      </c>
      <c r="AI556" t="inlineStr">
        <is>
          <t>Proanthocyanidins, taspine, alkaloids</t>
        </is>
      </c>
      <c r="AJ556" t="inlineStr">
        <is>
          <t>Unknown</t>
        </is>
      </c>
      <c r="AK556" t="inlineStr">
        <is>
          <t>unclassified</t>
        </is>
      </c>
      <c r="AL556" t="inlineStr">
        <is>
          <t>Pass 46 mechanism + evidence consolidation</t>
        </is>
      </c>
      <c r="AM556" t="n">
        <v>3</v>
      </c>
      <c r="AN556" t="inlineStr">
        <is>
          <t>D</t>
        </is>
      </c>
      <c r="AO556" t="inlineStr">
        <is>
          <t>Pass 47 compound scoring</t>
        </is>
      </c>
    </row>
    <row r="557">
      <c r="A557" t="inlineStr">
        <is>
          <t>taurine</t>
        </is>
      </c>
      <c r="B557" t="inlineStr">
        <is>
          <t>taurine</t>
        </is>
      </c>
      <c r="D557" t="inlineStr">
        <is>
          <t>amino sulfonic acid</t>
        </is>
      </c>
      <c r="E557" t="inlineStr">
        <is>
          <t>Modulates inhibitory neurotransmission and osmoregulation; interacts with GABAergic and glycinergic systems.</t>
        </is>
      </c>
      <c r="F557" t="inlineStr">
        <is>
          <t>unclassified</t>
        </is>
      </c>
      <c r="W557" t="n">
        <v>2</v>
      </c>
      <c r="X557" t="inlineStr">
        <is>
          <t>Low</t>
        </is>
      </c>
      <c r="Z557" t="inlineStr">
        <is>
          <t>taurine</t>
        </is>
      </c>
      <c r="AF557" t="inlineStr">
        <is>
          <t>taurine</t>
        </is>
      </c>
      <c r="AH557" t="inlineStr">
        <is>
          <t>Pass 45 duplicate consolidation</t>
        </is>
      </c>
      <c r="AI557" t="inlineStr">
        <is>
          <t>amino sulfonic acid</t>
        </is>
      </c>
      <c r="AJ557" t="inlineStr">
        <is>
          <t>Unknown</t>
        </is>
      </c>
      <c r="AK557" t="inlineStr">
        <is>
          <t>unclassified</t>
        </is>
      </c>
      <c r="AL557" t="inlineStr">
        <is>
          <t>Pass 46 mechanism + evidence consolidation</t>
        </is>
      </c>
      <c r="AM557" t="n">
        <v>3</v>
      </c>
      <c r="AN557" t="inlineStr">
        <is>
          <t>D</t>
        </is>
      </c>
      <c r="AO557" t="inlineStr">
        <is>
          <t>Pass 47 compound scoring</t>
        </is>
      </c>
    </row>
    <row r="558">
      <c r="A558" t="inlineStr">
        <is>
          <t>tenuifolin</t>
        </is>
      </c>
      <c r="B558" t="inlineStr">
        <is>
          <t>tenuifolin</t>
        </is>
      </c>
      <c r="D558" t="inlineStr">
        <is>
          <t>triterpene saponin</t>
        </is>
      </c>
      <c r="E558" t="inlineStr">
        <is>
          <t>Polygala constituent associated with traditional cognitive and calming positioning.</t>
        </is>
      </c>
      <c r="F558" t="inlineStr">
        <is>
          <t>unclassified</t>
        </is>
      </c>
      <c r="W558" t="n">
        <v>2</v>
      </c>
      <c r="X558" t="inlineStr">
        <is>
          <t>Low</t>
        </is>
      </c>
      <c r="Z558" t="inlineStr">
        <is>
          <t>tenuifolin</t>
        </is>
      </c>
      <c r="AF558" t="inlineStr">
        <is>
          <t>tenuifolin</t>
        </is>
      </c>
      <c r="AH558" t="inlineStr">
        <is>
          <t>Pass 45 duplicate consolidation</t>
        </is>
      </c>
      <c r="AI558" t="inlineStr">
        <is>
          <t>triterpene saponin</t>
        </is>
      </c>
      <c r="AJ558" t="inlineStr">
        <is>
          <t>Unknown</t>
        </is>
      </c>
      <c r="AK558" t="inlineStr">
        <is>
          <t>unclassified</t>
        </is>
      </c>
      <c r="AL558" t="inlineStr">
        <is>
          <t>Pass 46 mechanism + evidence consolidation</t>
        </is>
      </c>
      <c r="AM558" t="n">
        <v>3</v>
      </c>
      <c r="AN558" t="inlineStr">
        <is>
          <t>D</t>
        </is>
      </c>
      <c r="AO558" t="inlineStr">
        <is>
          <t>Pass 47 compound scoring</t>
        </is>
      </c>
    </row>
    <row r="559">
      <c r="A559" t="inlineStr">
        <is>
          <t>tephrosin</t>
        </is>
      </c>
      <c r="B559" t="inlineStr">
        <is>
          <t>tephrosin</t>
        </is>
      </c>
      <c r="D559" t="inlineStr">
        <is>
          <t>other</t>
        </is>
      </c>
      <c r="E559" t="inlineStr">
        <is>
          <t>insufficient evidence</t>
        </is>
      </c>
      <c r="F559" t="inlineStr">
        <is>
          <t>unclassified</t>
        </is>
      </c>
      <c r="W559" t="n">
        <v>2</v>
      </c>
      <c r="X559" t="inlineStr">
        <is>
          <t>Low</t>
        </is>
      </c>
      <c r="Z559" t="inlineStr">
        <is>
          <t>tephrosin</t>
        </is>
      </c>
      <c r="AF559" t="inlineStr">
        <is>
          <t>tephrosin</t>
        </is>
      </c>
      <c r="AH559" t="inlineStr">
        <is>
          <t>Pass 45 duplicate consolidation</t>
        </is>
      </c>
      <c r="AI559" t="inlineStr">
        <is>
          <t>other</t>
        </is>
      </c>
      <c r="AJ559" t="inlineStr">
        <is>
          <t>Unknown</t>
        </is>
      </c>
      <c r="AK559" t="inlineStr">
        <is>
          <t>unclassified</t>
        </is>
      </c>
      <c r="AL559" t="inlineStr">
        <is>
          <t>Pass 46 mechanism + evidence consolidation</t>
        </is>
      </c>
      <c r="AM559" t="n">
        <v>3</v>
      </c>
      <c r="AN559" t="inlineStr">
        <is>
          <t>D</t>
        </is>
      </c>
      <c r="AO559" t="inlineStr">
        <is>
          <t>Pass 47 compound scoring</t>
        </is>
      </c>
    </row>
    <row r="560">
      <c r="A560" t="inlineStr">
        <is>
          <t>terpinen-4-ol</t>
        </is>
      </c>
      <c r="B560" t="inlineStr">
        <is>
          <t>terpinen-4-ol</t>
        </is>
      </c>
      <c r="D560" t="inlineStr">
        <is>
          <t>Terpinen-4-ol, cineole, monoterpenes</t>
        </is>
      </c>
      <c r="E560" t="inlineStr">
        <is>
          <t>insufficient evidence</t>
        </is>
      </c>
      <c r="F560" t="inlineStr">
        <is>
          <t>unclassified</t>
        </is>
      </c>
      <c r="W560" t="n">
        <v>2</v>
      </c>
      <c r="X560" t="inlineStr">
        <is>
          <t>Low</t>
        </is>
      </c>
      <c r="Z560" t="inlineStr">
        <is>
          <t>terpinen-4-ol</t>
        </is>
      </c>
      <c r="AF560" t="inlineStr">
        <is>
          <t>terpinen 4 ol</t>
        </is>
      </c>
      <c r="AH560" t="inlineStr">
        <is>
          <t>Pass 45 duplicate consolidation</t>
        </is>
      </c>
      <c r="AI560" t="inlineStr">
        <is>
          <t>Terpinen-4-ol, cineole, monoterpenes</t>
        </is>
      </c>
      <c r="AJ560" t="inlineStr">
        <is>
          <t>Unknown</t>
        </is>
      </c>
      <c r="AK560" t="inlineStr">
        <is>
          <t>unclassified</t>
        </is>
      </c>
      <c r="AL560" t="inlineStr">
        <is>
          <t>Pass 46 mechanism + evidence consolidation</t>
        </is>
      </c>
      <c r="AM560" t="n">
        <v>3</v>
      </c>
      <c r="AN560" t="inlineStr">
        <is>
          <t>D</t>
        </is>
      </c>
      <c r="AO560" t="inlineStr">
        <is>
          <t>Pass 47 compound scoring</t>
        </is>
      </c>
    </row>
    <row r="561">
      <c r="A561" t="inlineStr">
        <is>
          <t>terpinyl acetate</t>
        </is>
      </c>
      <c r="B561" t="inlineStr">
        <is>
          <t>terpinyl acetate</t>
        </is>
      </c>
      <c r="D561" t="inlineStr">
        <is>
          <t>terpene ester</t>
        </is>
      </c>
      <c r="E561" t="inlineStr">
        <is>
          <t>Cardamom constituent associated with digestive and aromatic positioning.</t>
        </is>
      </c>
      <c r="F561" t="inlineStr">
        <is>
          <t>unclassified</t>
        </is>
      </c>
      <c r="W561" t="n">
        <v>2</v>
      </c>
      <c r="X561" t="inlineStr">
        <is>
          <t>Low</t>
        </is>
      </c>
      <c r="Z561" t="inlineStr">
        <is>
          <t>terpinyl acetate</t>
        </is>
      </c>
      <c r="AF561" t="inlineStr">
        <is>
          <t>terpinyl acetate</t>
        </is>
      </c>
      <c r="AH561" t="inlineStr">
        <is>
          <t>Pass 45 duplicate consolidation</t>
        </is>
      </c>
      <c r="AI561" t="inlineStr">
        <is>
          <t>terpene ester</t>
        </is>
      </c>
      <c r="AJ561" t="inlineStr">
        <is>
          <t>Unknown</t>
        </is>
      </c>
      <c r="AK561" t="inlineStr">
        <is>
          <t>unclassified</t>
        </is>
      </c>
      <c r="AL561" t="inlineStr">
        <is>
          <t>Pass 46 mechanism + evidence consolidation</t>
        </is>
      </c>
      <c r="AM561" t="n">
        <v>3</v>
      </c>
      <c r="AN561" t="inlineStr">
        <is>
          <t>D</t>
        </is>
      </c>
      <c r="AO561" t="inlineStr">
        <is>
          <t>Pass 47 compound scoring</t>
        </is>
      </c>
    </row>
    <row r="562">
      <c r="A562" t="inlineStr">
        <is>
          <t>tetrahydroharmine</t>
        </is>
      </c>
      <c r="B562" t="inlineStr">
        <is>
          <t>tetrahydroharmine</t>
        </is>
      </c>
      <c r="D562" t="inlineStr">
        <is>
          <t>other</t>
        </is>
      </c>
      <c r="E562" t="inlineStr">
        <is>
          <t>Beta-carboline alkaloids act as reversible MAO-A inhibitors, allowing oral activity of DMT and modulating serotonergic signaling.</t>
        </is>
      </c>
      <c r="F562" t="inlineStr">
        <is>
          <t>unclassified</t>
        </is>
      </c>
      <c r="W562" t="n">
        <v>2</v>
      </c>
      <c r="X562" t="inlineStr">
        <is>
          <t>Low</t>
        </is>
      </c>
      <c r="Z562" t="inlineStr">
        <is>
          <t>tetrahydroharmine</t>
        </is>
      </c>
      <c r="AF562" t="inlineStr">
        <is>
          <t>tetrahydroharmine</t>
        </is>
      </c>
      <c r="AH562" t="inlineStr">
        <is>
          <t>Pass 45 duplicate consolidation</t>
        </is>
      </c>
      <c r="AI562" t="inlineStr">
        <is>
          <t>other</t>
        </is>
      </c>
      <c r="AJ562" t="inlineStr">
        <is>
          <t>Unknown</t>
        </is>
      </c>
      <c r="AK562" t="inlineStr">
        <is>
          <t>unclassified</t>
        </is>
      </c>
      <c r="AL562" t="inlineStr">
        <is>
          <t>Pass 46 mechanism + evidence consolidation</t>
        </is>
      </c>
      <c r="AM562" t="n">
        <v>3</v>
      </c>
      <c r="AN562" t="inlineStr">
        <is>
          <t>D</t>
        </is>
      </c>
      <c r="AO562" t="inlineStr">
        <is>
          <t>Pass 47 compound scoring</t>
        </is>
      </c>
    </row>
    <row r="563">
      <c r="A563" t="inlineStr">
        <is>
          <t>tetrahydropalmatine</t>
        </is>
      </c>
      <c r="B563" t="inlineStr">
        <is>
          <t>tetrahydropalmatine</t>
        </is>
      </c>
      <c r="D563" t="inlineStr">
        <is>
          <t>other</t>
        </is>
      </c>
      <c r="E563" t="inlineStr">
        <is>
          <t>insufficient evidence</t>
        </is>
      </c>
      <c r="F563" t="inlineStr">
        <is>
          <t>unclassified</t>
        </is>
      </c>
      <c r="W563" t="n">
        <v>2</v>
      </c>
      <c r="X563" t="inlineStr">
        <is>
          <t>Low</t>
        </is>
      </c>
      <c r="Z563" t="inlineStr">
        <is>
          <t>tetrahydropalmatine</t>
        </is>
      </c>
      <c r="AF563" t="inlineStr">
        <is>
          <t>tetrahydropalmatine</t>
        </is>
      </c>
      <c r="AH563" t="inlineStr">
        <is>
          <t>Pass 45 duplicate consolidation</t>
        </is>
      </c>
      <c r="AI563" t="inlineStr">
        <is>
          <t>other</t>
        </is>
      </c>
      <c r="AJ563" t="inlineStr">
        <is>
          <t>Unknown</t>
        </is>
      </c>
      <c r="AK563" t="inlineStr">
        <is>
          <t>unclassified</t>
        </is>
      </c>
      <c r="AL563" t="inlineStr">
        <is>
          <t>Pass 46 mechanism + evidence consolidation</t>
        </is>
      </c>
      <c r="AM563" t="n">
        <v>3</v>
      </c>
      <c r="AN563" t="inlineStr">
        <is>
          <t>D</t>
        </is>
      </c>
      <c r="AO563" t="inlineStr">
        <is>
          <t>Pass 47 compound scoring</t>
        </is>
      </c>
    </row>
    <row r="564">
      <c r="A564" t="inlineStr">
        <is>
          <t>tetramethylpyrazine</t>
        </is>
      </c>
      <c r="B564" t="inlineStr">
        <is>
          <t>tetramethylpyrazine</t>
        </is>
      </c>
      <c r="D564" t="inlineStr">
        <is>
          <t>other</t>
        </is>
      </c>
      <c r="E564" t="inlineStr">
        <is>
          <t>insufficient evidence</t>
        </is>
      </c>
      <c r="F564" t="inlineStr">
        <is>
          <t>unclassified</t>
        </is>
      </c>
      <c r="W564" t="n">
        <v>2</v>
      </c>
      <c r="X564" t="inlineStr">
        <is>
          <t>Low</t>
        </is>
      </c>
      <c r="Z564" t="inlineStr">
        <is>
          <t>tetramethylpyrazine</t>
        </is>
      </c>
      <c r="AF564" t="inlineStr">
        <is>
          <t>tetramethylpyrazine</t>
        </is>
      </c>
      <c r="AH564" t="inlineStr">
        <is>
          <t>Pass 45 duplicate consolidation</t>
        </is>
      </c>
      <c r="AI564" t="inlineStr">
        <is>
          <t>other</t>
        </is>
      </c>
      <c r="AJ564" t="inlineStr">
        <is>
          <t>Unknown</t>
        </is>
      </c>
      <c r="AK564" t="inlineStr">
        <is>
          <t>unclassified</t>
        </is>
      </c>
      <c r="AL564" t="inlineStr">
        <is>
          <t>Pass 46 mechanism + evidence consolidation</t>
        </is>
      </c>
      <c r="AM564" t="n">
        <v>3</v>
      </c>
      <c r="AN564" t="inlineStr">
        <is>
          <t>D</t>
        </is>
      </c>
      <c r="AO564" t="inlineStr">
        <is>
          <t>Pass 47 compound scoring</t>
        </is>
      </c>
    </row>
    <row r="565">
      <c r="A565" t="inlineStr">
        <is>
          <t>tetrandrine</t>
        </is>
      </c>
      <c r="B565" t="inlineStr">
        <is>
          <t>tetrandrine</t>
        </is>
      </c>
      <c r="D565" t="inlineStr">
        <is>
          <t>biscoclaurine alkaloids</t>
        </is>
      </c>
      <c r="E565" t="inlineStr">
        <is>
          <t>insufficient evidence</t>
        </is>
      </c>
      <c r="F565" t="inlineStr">
        <is>
          <t>unclassified</t>
        </is>
      </c>
      <c r="W565" t="n">
        <v>2</v>
      </c>
      <c r="X565" t="inlineStr">
        <is>
          <t>Low</t>
        </is>
      </c>
      <c r="Z565" t="inlineStr">
        <is>
          <t>tetrandrine</t>
        </is>
      </c>
      <c r="AF565" t="inlineStr">
        <is>
          <t>tetrandrine</t>
        </is>
      </c>
      <c r="AH565" t="inlineStr">
        <is>
          <t>Pass 45 duplicate consolidation</t>
        </is>
      </c>
      <c r="AI565" t="inlineStr">
        <is>
          <t>biscoclaurine alkaloids</t>
        </is>
      </c>
      <c r="AJ565" t="inlineStr">
        <is>
          <t>Unknown</t>
        </is>
      </c>
      <c r="AK565" t="inlineStr">
        <is>
          <t>unclassified</t>
        </is>
      </c>
      <c r="AL565" t="inlineStr">
        <is>
          <t>Pass 46 mechanism + evidence consolidation</t>
        </is>
      </c>
      <c r="AM565" t="n">
        <v>3</v>
      </c>
      <c r="AN565" t="inlineStr">
        <is>
          <t>D</t>
        </is>
      </c>
      <c r="AO565" t="inlineStr">
        <is>
          <t>Pass 47 compound scoring</t>
        </is>
      </c>
    </row>
    <row r="566">
      <c r="A566" t="inlineStr">
        <is>
          <t>thc</t>
        </is>
      </c>
      <c r="B566" t="inlineStr">
        <is>
          <t>thc</t>
        </is>
      </c>
      <c r="D566" t="inlineStr">
        <is>
          <t>terpenes</t>
        </is>
      </c>
      <c r="E566" t="inlineStr">
        <is>
          <t>THC acts at CB1 receptors; terpenes may modulate neurotransmitter systems and pharmacokinetics.</t>
        </is>
      </c>
      <c r="F566" t="inlineStr">
        <is>
          <t>unclassified</t>
        </is>
      </c>
      <c r="W566" t="n">
        <v>2</v>
      </c>
      <c r="X566" t="inlineStr">
        <is>
          <t>Low</t>
        </is>
      </c>
      <c r="Z566" t="inlineStr">
        <is>
          <t>thc</t>
        </is>
      </c>
      <c r="AF566" t="inlineStr">
        <is>
          <t>thc</t>
        </is>
      </c>
      <c r="AH566" t="inlineStr">
        <is>
          <t>Pass 45 duplicate consolidation</t>
        </is>
      </c>
      <c r="AI566" t="inlineStr">
        <is>
          <t>terpenes</t>
        </is>
      </c>
      <c r="AJ566" t="inlineStr">
        <is>
          <t>Unknown</t>
        </is>
      </c>
      <c r="AK566" t="inlineStr">
        <is>
          <t>unclassified</t>
        </is>
      </c>
      <c r="AL566" t="inlineStr">
        <is>
          <t>Pass 46 mechanism + evidence consolidation</t>
        </is>
      </c>
      <c r="AM566" t="n">
        <v>3</v>
      </c>
      <c r="AN566" t="inlineStr">
        <is>
          <t>D</t>
        </is>
      </c>
      <c r="AO566" t="inlineStr">
        <is>
          <t>Pass 47 compound scoring</t>
        </is>
      </c>
    </row>
    <row r="567">
      <c r="A567" t="inlineStr">
        <is>
          <t>Theanine</t>
        </is>
      </c>
      <c r="B567" t="inlineStr">
        <is>
          <t>Amino Acid</t>
        </is>
      </c>
      <c r="C567" t="inlineStr">
        <is>
          <t>Green Tea</t>
        </is>
      </c>
      <c r="D567" t="inlineStr">
        <is>
          <t>GABA modulation</t>
        </is>
      </c>
      <c r="E567" t="inlineStr">
        <is>
          <t>EGCG inhibits catechol-O-methyltransferase (COMT) and activates AMPK; caffeine antagonizes adenosine A1 and A2A receptors.</t>
        </is>
      </c>
      <c r="F567" t="inlineStr">
        <is>
          <t>unclassified; GABA-A modulation; calming CNS signaling; glutamatergic modulation</t>
        </is>
      </c>
      <c r="U567" t="inlineStr">
        <is>
          <t>Pass 13 normalized herb display names to monograph common names; Pass 45 merged 2 rows into canonical compound entry</t>
        </is>
      </c>
      <c r="W567" t="n">
        <v>4</v>
      </c>
      <c r="X567" t="inlineStr">
        <is>
          <t>Medium</t>
        </is>
      </c>
      <c r="Z567" t="inlineStr">
        <is>
          <t>Theanine</t>
        </is>
      </c>
      <c r="AF567" t="inlineStr">
        <is>
          <t>theanine</t>
        </is>
      </c>
      <c r="AH567" t="inlineStr">
        <is>
          <t>Pass 45 duplicate consolidation</t>
        </is>
      </c>
      <c r="AI567" t="inlineStr">
        <is>
          <t>GABA modulation</t>
        </is>
      </c>
      <c r="AJ567" t="inlineStr">
        <is>
          <t>Unknown</t>
        </is>
      </c>
      <c r="AK567" t="inlineStr">
        <is>
          <t>calming cns signaling; gaba-a modulation; glutamatergic modulation; unclassified</t>
        </is>
      </c>
      <c r="AL567" t="inlineStr">
        <is>
          <t>Pass 46 mechanism + evidence consolidation</t>
        </is>
      </c>
      <c r="AM567" t="n">
        <v>6</v>
      </c>
      <c r="AN567" t="inlineStr">
        <is>
          <t>C</t>
        </is>
      </c>
      <c r="AO567" t="inlineStr">
        <is>
          <t>Pass 47 compound scoring</t>
        </is>
      </c>
    </row>
    <row r="568">
      <c r="A568" t="inlineStr">
        <is>
          <t>thebaine</t>
        </is>
      </c>
      <c r="B568" t="inlineStr">
        <is>
          <t>thebaine</t>
        </is>
      </c>
      <c r="D568" t="inlineStr">
        <is>
          <t>other</t>
        </is>
      </c>
      <c r="E568" t="inlineStr">
        <is>
          <t>insufficient evidence</t>
        </is>
      </c>
      <c r="F568" t="inlineStr">
        <is>
          <t>unclassified</t>
        </is>
      </c>
      <c r="W568" t="n">
        <v>2</v>
      </c>
      <c r="X568" t="inlineStr">
        <is>
          <t>Low</t>
        </is>
      </c>
      <c r="Z568" t="inlineStr">
        <is>
          <t>thebaine</t>
        </is>
      </c>
      <c r="AF568" t="inlineStr">
        <is>
          <t>thebaine</t>
        </is>
      </c>
      <c r="AH568" t="inlineStr">
        <is>
          <t>Pass 45 duplicate consolidation</t>
        </is>
      </c>
      <c r="AI568" t="inlineStr">
        <is>
          <t>other</t>
        </is>
      </c>
      <c r="AJ568" t="inlineStr">
        <is>
          <t>Unknown</t>
        </is>
      </c>
      <c r="AK568" t="inlineStr">
        <is>
          <t>unclassified</t>
        </is>
      </c>
      <c r="AL568" t="inlineStr">
        <is>
          <t>Pass 46 mechanism + evidence consolidation</t>
        </is>
      </c>
      <c r="AM568" t="n">
        <v>3</v>
      </c>
      <c r="AN568" t="inlineStr">
        <is>
          <t>D</t>
        </is>
      </c>
      <c r="AO568" t="inlineStr">
        <is>
          <t>Pass 47 compound scoring</t>
        </is>
      </c>
    </row>
    <row r="569">
      <c r="A569" t="inlineStr">
        <is>
          <t>theobromine</t>
        </is>
      </c>
      <c r="B569" t="inlineStr">
        <is>
          <t>theobromine</t>
        </is>
      </c>
      <c r="D569" t="inlineStr">
        <is>
          <t>tannins</t>
        </is>
      </c>
      <c r="E569" t="inlineStr">
        <is>
          <t>Guarana's stimulant effects are driven primarily by caffeine acting as a nonselective adenosine receptor antagonist; other xanthines and polyphenols contribute secondary stimulant and antioxidant effects.</t>
        </is>
      </c>
      <c r="F569" t="inlineStr">
        <is>
          <t>unclassified</t>
        </is>
      </c>
      <c r="W569" t="n">
        <v>2</v>
      </c>
      <c r="X569" t="inlineStr">
        <is>
          <t>Low</t>
        </is>
      </c>
      <c r="Z569" t="inlineStr">
        <is>
          <t>theobromine</t>
        </is>
      </c>
      <c r="AF569" t="inlineStr">
        <is>
          <t>theobromine</t>
        </is>
      </c>
      <c r="AH569" t="inlineStr">
        <is>
          <t>Pass 45 duplicate consolidation</t>
        </is>
      </c>
      <c r="AI569" t="inlineStr">
        <is>
          <t>tannins</t>
        </is>
      </c>
      <c r="AJ569" t="inlineStr">
        <is>
          <t>Unknown</t>
        </is>
      </c>
      <c r="AK569" t="inlineStr">
        <is>
          <t>unclassified</t>
        </is>
      </c>
      <c r="AL569" t="inlineStr">
        <is>
          <t>Pass 46 mechanism + evidence consolidation</t>
        </is>
      </c>
      <c r="AM569" t="n">
        <v>3</v>
      </c>
      <c r="AN569" t="inlineStr">
        <is>
          <t>D</t>
        </is>
      </c>
      <c r="AO569" t="inlineStr">
        <is>
          <t>Pass 47 compound scoring</t>
        </is>
      </c>
    </row>
    <row r="570">
      <c r="A570" t="inlineStr">
        <is>
          <t>theophylline</t>
        </is>
      </c>
      <c r="B570" t="inlineStr">
        <is>
          <t>theophylline</t>
        </is>
      </c>
      <c r="D570" t="inlineStr">
        <is>
          <t>tannins</t>
        </is>
      </c>
      <c r="E570" t="inlineStr">
        <is>
          <t>Guarana's stimulant effects are driven primarily by caffeine acting as a nonselective adenosine receptor antagonist; other xanthines and polyphenols contribute secondary stimulant and antioxidant effects.</t>
        </is>
      </c>
      <c r="F570" t="inlineStr">
        <is>
          <t>unclassified</t>
        </is>
      </c>
      <c r="W570" t="n">
        <v>2</v>
      </c>
      <c r="X570" t="inlineStr">
        <is>
          <t>Low</t>
        </is>
      </c>
      <c r="Z570" t="inlineStr">
        <is>
          <t>theophylline</t>
        </is>
      </c>
      <c r="AF570" t="inlineStr">
        <is>
          <t>theophylline</t>
        </is>
      </c>
      <c r="AH570" t="inlineStr">
        <is>
          <t>Pass 45 duplicate consolidation</t>
        </is>
      </c>
      <c r="AI570" t="inlineStr">
        <is>
          <t>tannins</t>
        </is>
      </c>
      <c r="AJ570" t="inlineStr">
        <is>
          <t>Unknown</t>
        </is>
      </c>
      <c r="AK570" t="inlineStr">
        <is>
          <t>unclassified</t>
        </is>
      </c>
      <c r="AL570" t="inlineStr">
        <is>
          <t>Pass 46 mechanism + evidence consolidation</t>
        </is>
      </c>
      <c r="AM570" t="n">
        <v>3</v>
      </c>
      <c r="AN570" t="inlineStr">
        <is>
          <t>D</t>
        </is>
      </c>
      <c r="AO570" t="inlineStr">
        <is>
          <t>Pass 47 compound scoring</t>
        </is>
      </c>
    </row>
    <row r="571">
      <c r="A571" t="inlineStr">
        <is>
          <t>thevetin a</t>
        </is>
      </c>
      <c r="B571" t="inlineStr">
        <is>
          <t>thevetin a</t>
        </is>
      </c>
      <c r="D571" t="inlineStr">
        <is>
          <t>cardiac glycosides</t>
        </is>
      </c>
      <c r="E571" t="inlineStr">
        <is>
          <t>insufficient evidence</t>
        </is>
      </c>
      <c r="F571" t="inlineStr">
        <is>
          <t>unclassified</t>
        </is>
      </c>
      <c r="W571" t="n">
        <v>2</v>
      </c>
      <c r="X571" t="inlineStr">
        <is>
          <t>Low</t>
        </is>
      </c>
      <c r="Z571" t="inlineStr">
        <is>
          <t>thevetin a</t>
        </is>
      </c>
      <c r="AF571" t="inlineStr">
        <is>
          <t>thevetin a</t>
        </is>
      </c>
      <c r="AH571" t="inlineStr">
        <is>
          <t>Pass 45 duplicate consolidation</t>
        </is>
      </c>
      <c r="AI571" t="inlineStr">
        <is>
          <t>cardiac glycosides</t>
        </is>
      </c>
      <c r="AJ571" t="inlineStr">
        <is>
          <t>Unknown</t>
        </is>
      </c>
      <c r="AK571" t="inlineStr">
        <is>
          <t>unclassified</t>
        </is>
      </c>
      <c r="AL571" t="inlineStr">
        <is>
          <t>Pass 46 mechanism + evidence consolidation</t>
        </is>
      </c>
      <c r="AM571" t="n">
        <v>3</v>
      </c>
      <c r="AN571" t="inlineStr">
        <is>
          <t>D</t>
        </is>
      </c>
      <c r="AO571" t="inlineStr">
        <is>
          <t>Pass 47 compound scoring</t>
        </is>
      </c>
    </row>
    <row r="572">
      <c r="A572" t="inlineStr">
        <is>
          <t>thevetin b</t>
        </is>
      </c>
      <c r="B572" t="inlineStr">
        <is>
          <t>thevetin b</t>
        </is>
      </c>
      <c r="D572" t="inlineStr">
        <is>
          <t>cardiac glycosides</t>
        </is>
      </c>
      <c r="E572" t="inlineStr">
        <is>
          <t>insufficient evidence</t>
        </is>
      </c>
      <c r="F572" t="inlineStr">
        <is>
          <t>unclassified</t>
        </is>
      </c>
      <c r="W572" t="n">
        <v>2</v>
      </c>
      <c r="X572" t="inlineStr">
        <is>
          <t>Low</t>
        </is>
      </c>
      <c r="Z572" t="inlineStr">
        <is>
          <t>thevetin b</t>
        </is>
      </c>
      <c r="AF572" t="inlineStr">
        <is>
          <t>thevetin b</t>
        </is>
      </c>
      <c r="AH572" t="inlineStr">
        <is>
          <t>Pass 45 duplicate consolidation</t>
        </is>
      </c>
      <c r="AI572" t="inlineStr">
        <is>
          <t>cardiac glycosides</t>
        </is>
      </c>
      <c r="AJ572" t="inlineStr">
        <is>
          <t>Unknown</t>
        </is>
      </c>
      <c r="AK572" t="inlineStr">
        <is>
          <t>unclassified</t>
        </is>
      </c>
      <c r="AL572" t="inlineStr">
        <is>
          <t>Pass 46 mechanism + evidence consolidation</t>
        </is>
      </c>
      <c r="AM572" t="n">
        <v>3</v>
      </c>
      <c r="AN572" t="inlineStr">
        <is>
          <t>D</t>
        </is>
      </c>
      <c r="AO572" t="inlineStr">
        <is>
          <t>Pass 47 compound scoring</t>
        </is>
      </c>
    </row>
    <row r="573">
      <c r="A573" t="inlineStr">
        <is>
          <t>thujone</t>
        </is>
      </c>
      <c r="B573" t="inlineStr">
        <is>
          <t>thujone</t>
        </is>
      </c>
      <c r="D573" t="inlineStr">
        <is>
          <t>other</t>
        </is>
      </c>
      <c r="E573" t="inlineStr">
        <is>
          <t>insufficient evidence</t>
        </is>
      </c>
      <c r="F573" t="inlineStr">
        <is>
          <t>unclassified</t>
        </is>
      </c>
      <c r="W573" t="n">
        <v>2</v>
      </c>
      <c r="X573" t="inlineStr">
        <is>
          <t>Low</t>
        </is>
      </c>
      <c r="Z573" t="inlineStr">
        <is>
          <t>thujone</t>
        </is>
      </c>
      <c r="AF573" t="inlineStr">
        <is>
          <t>thujone</t>
        </is>
      </c>
      <c r="AH573" t="inlineStr">
        <is>
          <t>Pass 45 duplicate consolidation</t>
        </is>
      </c>
      <c r="AI573" t="inlineStr">
        <is>
          <t>other</t>
        </is>
      </c>
      <c r="AJ573" t="inlineStr">
        <is>
          <t>Unknown</t>
        </is>
      </c>
      <c r="AK573" t="inlineStr">
        <is>
          <t>unclassified</t>
        </is>
      </c>
      <c r="AL573" t="inlineStr">
        <is>
          <t>Pass 46 mechanism + evidence consolidation</t>
        </is>
      </c>
      <c r="AM573" t="n">
        <v>3</v>
      </c>
      <c r="AN573" t="inlineStr">
        <is>
          <t>D</t>
        </is>
      </c>
      <c r="AO573" t="inlineStr">
        <is>
          <t>Pass 47 compound scoring</t>
        </is>
      </c>
    </row>
    <row r="574">
      <c r="A574" t="inlineStr">
        <is>
          <t>thymol</t>
        </is>
      </c>
      <c r="B574" t="inlineStr">
        <is>
          <t>thymol</t>
        </is>
      </c>
      <c r="C574" t="inlineStr">
        <is>
          <t>Ajwain</t>
        </is>
      </c>
      <c r="D574" t="inlineStr">
        <is>
          <t>Thymol, carvacrol, essential oils</t>
        </is>
      </c>
      <c r="E574" t="inlineStr">
        <is>
          <t>insufficient evidence</t>
        </is>
      </c>
      <c r="F574" t="inlineStr">
        <is>
          <t>unclassified</t>
        </is>
      </c>
      <c r="U574" t="inlineStr">
        <is>
          <t>Pass 13 linked existing compound to additional top herb</t>
        </is>
      </c>
      <c r="W574" t="n">
        <v>2</v>
      </c>
      <c r="X574" t="inlineStr">
        <is>
          <t>Low</t>
        </is>
      </c>
      <c r="Z574" t="inlineStr">
        <is>
          <t>thymol</t>
        </is>
      </c>
      <c r="AF574" t="inlineStr">
        <is>
          <t>thymol</t>
        </is>
      </c>
      <c r="AH574" t="inlineStr">
        <is>
          <t>Pass 45 duplicate consolidation</t>
        </is>
      </c>
      <c r="AI574" t="inlineStr">
        <is>
          <t>Thymol, carvacrol, essential oils</t>
        </is>
      </c>
      <c r="AJ574" t="inlineStr">
        <is>
          <t>Unknown</t>
        </is>
      </c>
      <c r="AK574" t="inlineStr">
        <is>
          <t>unclassified</t>
        </is>
      </c>
      <c r="AL574" t="inlineStr">
        <is>
          <t>Pass 46 mechanism + evidence consolidation</t>
        </is>
      </c>
      <c r="AM574" t="n">
        <v>3</v>
      </c>
      <c r="AN574" t="inlineStr">
        <is>
          <t>D</t>
        </is>
      </c>
      <c r="AO574" t="inlineStr">
        <is>
          <t>Pass 47 compound scoring</t>
        </is>
      </c>
    </row>
    <row r="575">
      <c r="A575" t="inlineStr">
        <is>
          <t>thymoquinone</t>
        </is>
      </c>
      <c r="B575" t="inlineStr">
        <is>
          <t>thymoquinone</t>
        </is>
      </c>
      <c r="D575" t="inlineStr">
        <is>
          <t>Thymoquinone, nigellone, essential oils</t>
        </is>
      </c>
      <c r="E575" t="inlineStr">
        <is>
          <t>insufficient evidence</t>
        </is>
      </c>
      <c r="F575" t="inlineStr">
        <is>
          <t>unclassified</t>
        </is>
      </c>
      <c r="W575" t="n">
        <v>2</v>
      </c>
      <c r="X575" t="inlineStr">
        <is>
          <t>Low</t>
        </is>
      </c>
      <c r="Z575" t="inlineStr">
        <is>
          <t>thymoquinone</t>
        </is>
      </c>
      <c r="AF575" t="inlineStr">
        <is>
          <t>thymoquinone</t>
        </is>
      </c>
      <c r="AH575" t="inlineStr">
        <is>
          <t>Pass 45 duplicate consolidation</t>
        </is>
      </c>
      <c r="AI575" t="inlineStr">
        <is>
          <t>Thymoquinone, nigellone, essential oils</t>
        </is>
      </c>
      <c r="AJ575" t="inlineStr">
        <is>
          <t>Unknown</t>
        </is>
      </c>
      <c r="AK575" t="inlineStr">
        <is>
          <t>unclassified</t>
        </is>
      </c>
      <c r="AL575" t="inlineStr">
        <is>
          <t>Pass 46 mechanism + evidence consolidation</t>
        </is>
      </c>
      <c r="AM575" t="n">
        <v>3</v>
      </c>
      <c r="AN575" t="inlineStr">
        <is>
          <t>D</t>
        </is>
      </c>
      <c r="AO575" t="inlineStr">
        <is>
          <t>Pass 47 compound scoring</t>
        </is>
      </c>
    </row>
    <row r="576">
      <c r="A576" t="inlineStr">
        <is>
          <t>timosaponin aiii</t>
        </is>
      </c>
      <c r="B576" t="inlineStr">
        <is>
          <t>timosaponin aiii</t>
        </is>
      </c>
      <c r="D576" t="inlineStr">
        <is>
          <t>timosaponin AIII; saponins</t>
        </is>
      </c>
      <c r="E576" t="inlineStr">
        <is>
          <t>insufficient evidence</t>
        </is>
      </c>
      <c r="F576" t="inlineStr">
        <is>
          <t>unclassified</t>
        </is>
      </c>
      <c r="W576" t="n">
        <v>2</v>
      </c>
      <c r="X576" t="inlineStr">
        <is>
          <t>Low</t>
        </is>
      </c>
      <c r="Z576" t="inlineStr">
        <is>
          <t>timosaponin aiii</t>
        </is>
      </c>
      <c r="AF576" t="inlineStr">
        <is>
          <t>timosaponin aiii</t>
        </is>
      </c>
      <c r="AH576" t="inlineStr">
        <is>
          <t>Pass 45 duplicate consolidation</t>
        </is>
      </c>
      <c r="AI576" t="inlineStr">
        <is>
          <t>timosaponin AIII; saponins</t>
        </is>
      </c>
      <c r="AJ576" t="inlineStr">
        <is>
          <t>Unknown</t>
        </is>
      </c>
      <c r="AK576" t="inlineStr">
        <is>
          <t>unclassified</t>
        </is>
      </c>
      <c r="AL576" t="inlineStr">
        <is>
          <t>Pass 46 mechanism + evidence consolidation</t>
        </is>
      </c>
      <c r="AM576" t="n">
        <v>3</v>
      </c>
      <c r="AN576" t="inlineStr">
        <is>
          <t>D</t>
        </is>
      </c>
      <c r="AO576" t="inlineStr">
        <is>
          <t>Pass 47 compound scoring</t>
        </is>
      </c>
    </row>
    <row r="577">
      <c r="A577" t="inlineStr">
        <is>
          <t>tocopherols</t>
        </is>
      </c>
      <c r="B577" t="inlineStr">
        <is>
          <t>tocopherols</t>
        </is>
      </c>
      <c r="D577" t="inlineStr">
        <is>
          <t>lipid-soluble antioxidants</t>
        </is>
      </c>
      <c r="E577" t="inlineStr">
        <is>
          <t>Roselle-seed constituents associated with nutritive antioxidant positioning.</t>
        </is>
      </c>
      <c r="F577" t="inlineStr">
        <is>
          <t>oxidative stress reduction</t>
        </is>
      </c>
      <c r="W577" t="n">
        <v>2</v>
      </c>
      <c r="X577" t="inlineStr">
        <is>
          <t>Low</t>
        </is>
      </c>
      <c r="Z577" t="inlineStr">
        <is>
          <t>tocopherols</t>
        </is>
      </c>
      <c r="AF577" t="inlineStr">
        <is>
          <t>tocopherols</t>
        </is>
      </c>
      <c r="AH577" t="inlineStr">
        <is>
          <t>Pass 45 duplicate consolidation</t>
        </is>
      </c>
      <c r="AI577" t="inlineStr">
        <is>
          <t>lipid-soluble antioxidants</t>
        </is>
      </c>
      <c r="AJ577" t="inlineStr">
        <is>
          <t>Unknown</t>
        </is>
      </c>
      <c r="AK577" t="inlineStr">
        <is>
          <t>oxidative stress reduction</t>
        </is>
      </c>
      <c r="AL577" t="inlineStr">
        <is>
          <t>Pass 46 mechanism + evidence consolidation</t>
        </is>
      </c>
      <c r="AM577" t="n">
        <v>3</v>
      </c>
      <c r="AN577" t="inlineStr">
        <is>
          <t>D</t>
        </is>
      </c>
      <c r="AO577" t="inlineStr">
        <is>
          <t>Pass 47 compound scoring</t>
        </is>
      </c>
    </row>
    <row r="578">
      <c r="A578" t="inlineStr">
        <is>
          <t>trans-cinnamoylcocaine</t>
        </is>
      </c>
      <c r="B578" t="inlineStr">
        <is>
          <t>trans-cinnamoylcocaine</t>
        </is>
      </c>
      <c r="D578" t="inlineStr">
        <is>
          <t>other</t>
        </is>
      </c>
      <c r="E578" t="inlineStr">
        <is>
          <t>insufficient evidence</t>
        </is>
      </c>
      <c r="F578" t="inlineStr">
        <is>
          <t>unclassified</t>
        </is>
      </c>
      <c r="W578" t="n">
        <v>2</v>
      </c>
      <c r="X578" t="inlineStr">
        <is>
          <t>Low</t>
        </is>
      </c>
      <c r="Z578" t="inlineStr">
        <is>
          <t>trans-cinnamoylcocaine</t>
        </is>
      </c>
      <c r="AF578" t="inlineStr">
        <is>
          <t>trans cinnamoylcocaine</t>
        </is>
      </c>
      <c r="AH578" t="inlineStr">
        <is>
          <t>Pass 45 duplicate consolidation</t>
        </is>
      </c>
      <c r="AI578" t="inlineStr">
        <is>
          <t>other</t>
        </is>
      </c>
      <c r="AJ578" t="inlineStr">
        <is>
          <t>Unknown</t>
        </is>
      </c>
      <c r="AK578" t="inlineStr">
        <is>
          <t>unclassified</t>
        </is>
      </c>
      <c r="AL578" t="inlineStr">
        <is>
          <t>Pass 46 mechanism + evidence consolidation</t>
        </is>
      </c>
      <c r="AM578" t="n">
        <v>3</v>
      </c>
      <c r="AN578" t="inlineStr">
        <is>
          <t>D</t>
        </is>
      </c>
      <c r="AO578" t="inlineStr">
        <is>
          <t>Pass 47 compound scoring</t>
        </is>
      </c>
    </row>
    <row r="579">
      <c r="A579" t="inlineStr">
        <is>
          <t>trans-tiliroside</t>
        </is>
      </c>
      <c r="B579" t="inlineStr">
        <is>
          <t>trans-tiliroside</t>
        </is>
      </c>
      <c r="D579" t="inlineStr">
        <is>
          <t>glycosidic flavonoid</t>
        </is>
      </c>
      <c r="E579" t="inlineStr">
        <is>
          <t>Rose-hip constituent associated with antioxidant and joint-support positioning.</t>
        </is>
      </c>
      <c r="F579" t="inlineStr">
        <is>
          <t>unclassified</t>
        </is>
      </c>
      <c r="W579" t="n">
        <v>2</v>
      </c>
      <c r="X579" t="inlineStr">
        <is>
          <t>Low</t>
        </is>
      </c>
      <c r="Z579" t="inlineStr">
        <is>
          <t>trans-tiliroside</t>
        </is>
      </c>
      <c r="AF579" t="inlineStr">
        <is>
          <t>trans tiliroside</t>
        </is>
      </c>
      <c r="AH579" t="inlineStr">
        <is>
          <t>Pass 45 duplicate consolidation</t>
        </is>
      </c>
      <c r="AI579" t="inlineStr">
        <is>
          <t>glycosidic flavonoid</t>
        </is>
      </c>
      <c r="AJ579" t="inlineStr">
        <is>
          <t>Unknown</t>
        </is>
      </c>
      <c r="AK579" t="inlineStr">
        <is>
          <t>unclassified</t>
        </is>
      </c>
      <c r="AL579" t="inlineStr">
        <is>
          <t>Pass 46 mechanism + evidence consolidation</t>
        </is>
      </c>
      <c r="AM579" t="n">
        <v>3</v>
      </c>
      <c r="AN579" t="inlineStr">
        <is>
          <t>D</t>
        </is>
      </c>
      <c r="AO579" t="inlineStr">
        <is>
          <t>Pass 47 compound scoring</t>
        </is>
      </c>
    </row>
    <row r="580">
      <c r="A580" t="inlineStr">
        <is>
          <t>triandrin</t>
        </is>
      </c>
      <c r="B580" t="inlineStr">
        <is>
          <t>triandrin</t>
        </is>
      </c>
      <c r="C580" t="inlineStr">
        <is>
          <t>sachaliside; (E)-triandrin</t>
        </is>
      </c>
      <c r="D580" t="inlineStr">
        <is>
          <t>phenylpropanoid glycoside</t>
        </is>
      </c>
      <c r="E580" t="inlineStr">
        <is>
          <t>proposed mechanism based on preclinical data: adaptogen-associated transcriptional and signaling effects inferred from Rhodiola constituent studies, including GPCR/cAMP-PLC-related response signatures in cell models. No established human mechanism.</t>
        </is>
      </c>
      <c r="F580" t="inlineStr">
        <is>
          <t>unclassified</t>
        </is>
      </c>
      <c r="W580" t="n">
        <v>2</v>
      </c>
      <c r="X580" t="inlineStr">
        <is>
          <t>Low</t>
        </is>
      </c>
      <c r="Z580" t="inlineStr">
        <is>
          <t>triandrin</t>
        </is>
      </c>
      <c r="AF580" t="inlineStr">
        <is>
          <t>triandrin</t>
        </is>
      </c>
      <c r="AH580" t="inlineStr">
        <is>
          <t>Pass 45 duplicate consolidation</t>
        </is>
      </c>
      <c r="AI580" t="inlineStr">
        <is>
          <t>phenylpropanoid glycoside</t>
        </is>
      </c>
      <c r="AJ580" t="inlineStr">
        <is>
          <t>Human</t>
        </is>
      </c>
      <c r="AK580" t="inlineStr">
        <is>
          <t>unclassified</t>
        </is>
      </c>
      <c r="AL580" t="inlineStr">
        <is>
          <t>Pass 46 mechanism + evidence consolidation</t>
        </is>
      </c>
      <c r="AM580" t="n">
        <v>7</v>
      </c>
      <c r="AN580" t="inlineStr">
        <is>
          <t>B</t>
        </is>
      </c>
      <c r="AO580" t="inlineStr">
        <is>
          <t>Pass 47 compound scoring</t>
        </is>
      </c>
    </row>
    <row r="581">
      <c r="A581" t="inlineStr">
        <is>
          <t>trigonelline</t>
        </is>
      </c>
      <c r="B581" t="inlineStr">
        <is>
          <t>trigonelline</t>
        </is>
      </c>
      <c r="D581" t="inlineStr">
        <is>
          <t>other</t>
        </is>
      </c>
      <c r="E581" t="inlineStr">
        <is>
          <t>Coffee's stimulant effects are driven primarily by caffeine, which acts as a nonselective adenosine receptor antagonist; chlorogenic acids and diterpenes contribute additional antioxidant and metabolic effects.</t>
        </is>
      </c>
      <c r="F581" t="inlineStr">
        <is>
          <t>unclassified</t>
        </is>
      </c>
      <c r="W581" t="n">
        <v>2</v>
      </c>
      <c r="X581" t="inlineStr">
        <is>
          <t>Low</t>
        </is>
      </c>
      <c r="Z581" t="inlineStr">
        <is>
          <t>trigonelline</t>
        </is>
      </c>
      <c r="AF581" t="inlineStr">
        <is>
          <t>trigonelline</t>
        </is>
      </c>
      <c r="AH581" t="inlineStr">
        <is>
          <t>Pass 45 duplicate consolidation</t>
        </is>
      </c>
      <c r="AI581" t="inlineStr">
        <is>
          <t>other</t>
        </is>
      </c>
      <c r="AJ581" t="inlineStr">
        <is>
          <t>Unknown</t>
        </is>
      </c>
      <c r="AK581" t="inlineStr">
        <is>
          <t>unclassified</t>
        </is>
      </c>
      <c r="AL581" t="inlineStr">
        <is>
          <t>Pass 46 mechanism + evidence consolidation</t>
        </is>
      </c>
      <c r="AM581" t="n">
        <v>3</v>
      </c>
      <c r="AN581" t="inlineStr">
        <is>
          <t>D</t>
        </is>
      </c>
      <c r="AO581" t="inlineStr">
        <is>
          <t>Pass 47 compound scoring</t>
        </is>
      </c>
    </row>
    <row r="582">
      <c r="A582" t="inlineStr">
        <is>
          <t>triketones leptospermone</t>
        </is>
      </c>
      <c r="B582" t="inlineStr">
        <is>
          <t>triketones (leptospermone)</t>
        </is>
      </c>
      <c r="D582" t="inlineStr">
        <is>
          <t>Essential oils, triketones (leptospermone)</t>
        </is>
      </c>
      <c r="E582" t="inlineStr">
        <is>
          <t>insufficient evidence</t>
        </is>
      </c>
      <c r="F582" t="inlineStr">
        <is>
          <t>unclassified</t>
        </is>
      </c>
      <c r="W582" t="n">
        <v>2</v>
      </c>
      <c r="X582" t="inlineStr">
        <is>
          <t>Low</t>
        </is>
      </c>
      <c r="Z582" t="inlineStr">
        <is>
          <t>triketones leptospermone</t>
        </is>
      </c>
      <c r="AF582" t="inlineStr">
        <is>
          <t>triketones leptospermone</t>
        </is>
      </c>
      <c r="AH582" t="inlineStr">
        <is>
          <t>Pass 45 duplicate consolidation</t>
        </is>
      </c>
      <c r="AI582" t="inlineStr">
        <is>
          <t>Essential oils, triketones (leptospermone)</t>
        </is>
      </c>
      <c r="AJ582" t="inlineStr">
        <is>
          <t>Unknown</t>
        </is>
      </c>
      <c r="AK582" t="inlineStr">
        <is>
          <t>unclassified</t>
        </is>
      </c>
      <c r="AL582" t="inlineStr">
        <is>
          <t>Pass 46 mechanism + evidence consolidation</t>
        </is>
      </c>
      <c r="AM582" t="n">
        <v>3</v>
      </c>
      <c r="AN582" t="inlineStr">
        <is>
          <t>D</t>
        </is>
      </c>
      <c r="AO582" t="inlineStr">
        <is>
          <t>Pass 47 compound scoring</t>
        </is>
      </c>
    </row>
    <row r="583">
      <c r="A583" t="inlineStr">
        <is>
          <t>tropacocaine</t>
        </is>
      </c>
      <c r="B583" t="inlineStr">
        <is>
          <t>tropacocaine</t>
        </is>
      </c>
      <c r="D583" t="inlineStr">
        <is>
          <t>other</t>
        </is>
      </c>
      <c r="E583" t="inlineStr">
        <is>
          <t>insufficient evidence</t>
        </is>
      </c>
      <c r="F583" t="inlineStr">
        <is>
          <t>unclassified</t>
        </is>
      </c>
      <c r="W583" t="n">
        <v>2</v>
      </c>
      <c r="X583" t="inlineStr">
        <is>
          <t>Low</t>
        </is>
      </c>
      <c r="Z583" t="inlineStr">
        <is>
          <t>tropacocaine</t>
        </is>
      </c>
      <c r="AF583" t="inlineStr">
        <is>
          <t>tropacocaine</t>
        </is>
      </c>
      <c r="AH583" t="inlineStr">
        <is>
          <t>Pass 45 duplicate consolidation</t>
        </is>
      </c>
      <c r="AI583" t="inlineStr">
        <is>
          <t>other</t>
        </is>
      </c>
      <c r="AJ583" t="inlineStr">
        <is>
          <t>Unknown</t>
        </is>
      </c>
      <c r="AK583" t="inlineStr">
        <is>
          <t>unclassified</t>
        </is>
      </c>
      <c r="AL583" t="inlineStr">
        <is>
          <t>Pass 46 mechanism + evidence consolidation</t>
        </is>
      </c>
      <c r="AM583" t="n">
        <v>3</v>
      </c>
      <c r="AN583" t="inlineStr">
        <is>
          <t>D</t>
        </is>
      </c>
      <c r="AO583" t="inlineStr">
        <is>
          <t>Pass 47 compound scoring</t>
        </is>
      </c>
    </row>
    <row r="584">
      <c r="A584" t="inlineStr">
        <is>
          <t>tryptamine</t>
        </is>
      </c>
      <c r="B584" t="inlineStr">
        <is>
          <t>tryptamine</t>
        </is>
      </c>
      <c r="D584" t="inlineStr">
        <is>
          <t>alkaloid</t>
        </is>
      </c>
      <c r="E584" t="inlineStr">
        <is>
          <t>DMT acts primarily as a 5-HT2A receptor agonist with additional sigma-1 receptor activity (proposed).</t>
        </is>
      </c>
      <c r="F584" t="inlineStr">
        <is>
          <t>unclassified</t>
        </is>
      </c>
      <c r="W584" t="n">
        <v>2</v>
      </c>
      <c r="X584" t="inlineStr">
        <is>
          <t>Low</t>
        </is>
      </c>
      <c r="Z584" t="inlineStr">
        <is>
          <t>tryptamine</t>
        </is>
      </c>
      <c r="AF584" t="inlineStr">
        <is>
          <t>tryptamine</t>
        </is>
      </c>
      <c r="AH584" t="inlineStr">
        <is>
          <t>Pass 45 duplicate consolidation</t>
        </is>
      </c>
      <c r="AI584" t="inlineStr">
        <is>
          <t>alkaloid</t>
        </is>
      </c>
      <c r="AJ584" t="inlineStr">
        <is>
          <t>Unknown</t>
        </is>
      </c>
      <c r="AK584" t="inlineStr">
        <is>
          <t>unclassified</t>
        </is>
      </c>
      <c r="AL584" t="inlineStr">
        <is>
          <t>Pass 46 mechanism + evidence consolidation</t>
        </is>
      </c>
      <c r="AM584" t="n">
        <v>3</v>
      </c>
      <c r="AN584" t="inlineStr">
        <is>
          <t>D</t>
        </is>
      </c>
      <c r="AO584" t="inlineStr">
        <is>
          <t>Pass 47 compound scoring</t>
        </is>
      </c>
    </row>
    <row r="585">
      <c r="A585" t="inlineStr">
        <is>
          <t>tryptanthrin</t>
        </is>
      </c>
      <c r="B585" t="inlineStr">
        <is>
          <t>tryptanthrin</t>
        </is>
      </c>
      <c r="D585" t="inlineStr">
        <is>
          <t>indoloquinazoline alkaloid</t>
        </is>
      </c>
      <c r="E585" t="inlineStr">
        <is>
          <t>Isatis constituent associated with traditional immune and throat-support positioning.</t>
        </is>
      </c>
      <c r="F585" t="inlineStr">
        <is>
          <t>unclassified</t>
        </is>
      </c>
      <c r="W585" t="n">
        <v>2</v>
      </c>
      <c r="X585" t="inlineStr">
        <is>
          <t>Low</t>
        </is>
      </c>
      <c r="Z585" t="inlineStr">
        <is>
          <t>tryptanthrin</t>
        </is>
      </c>
      <c r="AF585" t="inlineStr">
        <is>
          <t>tryptanthrin</t>
        </is>
      </c>
      <c r="AH585" t="inlineStr">
        <is>
          <t>Pass 45 duplicate consolidation</t>
        </is>
      </c>
      <c r="AI585" t="inlineStr">
        <is>
          <t>indoloquinazoline alkaloid</t>
        </is>
      </c>
      <c r="AJ585" t="inlineStr">
        <is>
          <t>Unknown</t>
        </is>
      </c>
      <c r="AK585" t="inlineStr">
        <is>
          <t>unclassified</t>
        </is>
      </c>
      <c r="AL585" t="inlineStr">
        <is>
          <t>Pass 46 mechanism + evidence consolidation</t>
        </is>
      </c>
      <c r="AM585" t="n">
        <v>3</v>
      </c>
      <c r="AN585" t="inlineStr">
        <is>
          <t>D</t>
        </is>
      </c>
      <c r="AO585" t="inlineStr">
        <is>
          <t>Pass 47 compound scoring</t>
        </is>
      </c>
    </row>
    <row r="586">
      <c r="A586" t="inlineStr">
        <is>
          <t>turmerone</t>
        </is>
      </c>
      <c r="B586" t="inlineStr">
        <is>
          <t>turmerone</t>
        </is>
      </c>
      <c r="D586" t="inlineStr">
        <is>
          <t>Curcumin, turmerone, essential oils</t>
        </is>
      </c>
      <c r="E586" t="inlineStr">
        <is>
          <t>insufficient evidence</t>
        </is>
      </c>
      <c r="F586" t="inlineStr">
        <is>
          <t>unclassified</t>
        </is>
      </c>
      <c r="W586" t="n">
        <v>2</v>
      </c>
      <c r="X586" t="inlineStr">
        <is>
          <t>Low</t>
        </is>
      </c>
      <c r="Z586" t="inlineStr">
        <is>
          <t>turmerone</t>
        </is>
      </c>
      <c r="AF586" t="inlineStr">
        <is>
          <t>turmerone</t>
        </is>
      </c>
      <c r="AH586" t="inlineStr">
        <is>
          <t>Pass 45 duplicate consolidation</t>
        </is>
      </c>
      <c r="AI586" t="inlineStr">
        <is>
          <t>Curcumin, turmerone, essential oils</t>
        </is>
      </c>
      <c r="AJ586" t="inlineStr">
        <is>
          <t>Unknown</t>
        </is>
      </c>
      <c r="AK586" t="inlineStr">
        <is>
          <t>unclassified</t>
        </is>
      </c>
      <c r="AL586" t="inlineStr">
        <is>
          <t>Pass 46 mechanism + evidence consolidation</t>
        </is>
      </c>
      <c r="AM586" t="n">
        <v>3</v>
      </c>
      <c r="AN586" t="inlineStr">
        <is>
          <t>D</t>
        </is>
      </c>
      <c r="AO586" t="inlineStr">
        <is>
          <t>Pass 47 compound scoring</t>
        </is>
      </c>
    </row>
    <row r="587">
      <c r="A587" t="inlineStr">
        <is>
          <t>tussilagone</t>
        </is>
      </c>
      <c r="B587" t="inlineStr">
        <is>
          <t>tussilagone</t>
        </is>
      </c>
      <c r="D587" t="inlineStr">
        <is>
          <t>pyrrolizidine alkaloids</t>
        </is>
      </c>
      <c r="E587" t="inlineStr">
        <is>
          <t>insufficient evidence</t>
        </is>
      </c>
      <c r="F587" t="inlineStr">
        <is>
          <t>unclassified</t>
        </is>
      </c>
      <c r="W587" t="n">
        <v>2</v>
      </c>
      <c r="X587" t="inlineStr">
        <is>
          <t>Low</t>
        </is>
      </c>
      <c r="Z587" t="inlineStr">
        <is>
          <t>tussilagone</t>
        </is>
      </c>
      <c r="AF587" t="inlineStr">
        <is>
          <t>tussilagone</t>
        </is>
      </c>
      <c r="AH587" t="inlineStr">
        <is>
          <t>Pass 45 duplicate consolidation</t>
        </is>
      </c>
      <c r="AI587" t="inlineStr">
        <is>
          <t>pyrrolizidine alkaloids</t>
        </is>
      </c>
      <c r="AJ587" t="inlineStr">
        <is>
          <t>Unknown</t>
        </is>
      </c>
      <c r="AK587" t="inlineStr">
        <is>
          <t>unclassified</t>
        </is>
      </c>
      <c r="AL587" t="inlineStr">
        <is>
          <t>Pass 46 mechanism + evidence consolidation</t>
        </is>
      </c>
      <c r="AM587" t="n">
        <v>3</v>
      </c>
      <c r="AN587" t="inlineStr">
        <is>
          <t>D</t>
        </is>
      </c>
      <c r="AO587" t="inlineStr">
        <is>
          <t>Pass 47 compound scoring</t>
        </is>
      </c>
    </row>
    <row r="588">
      <c r="A588" t="inlineStr">
        <is>
          <t>tylophorine</t>
        </is>
      </c>
      <c r="B588" t="inlineStr">
        <is>
          <t>tylophorine</t>
        </is>
      </c>
      <c r="D588" t="inlineStr">
        <is>
          <t>Tylophorine, alkaloids</t>
        </is>
      </c>
      <c r="E588" t="inlineStr">
        <is>
          <t>insufficient evidence</t>
        </is>
      </c>
      <c r="F588" t="inlineStr">
        <is>
          <t>unclassified</t>
        </is>
      </c>
      <c r="W588" t="n">
        <v>2</v>
      </c>
      <c r="X588" t="inlineStr">
        <is>
          <t>Low</t>
        </is>
      </c>
      <c r="Z588" t="inlineStr">
        <is>
          <t>tylophorine</t>
        </is>
      </c>
      <c r="AF588" t="inlineStr">
        <is>
          <t>tylophorine</t>
        </is>
      </c>
      <c r="AH588" t="inlineStr">
        <is>
          <t>Pass 45 duplicate consolidation</t>
        </is>
      </c>
      <c r="AI588" t="inlineStr">
        <is>
          <t>Tylophorine, alkaloids</t>
        </is>
      </c>
      <c r="AJ588" t="inlineStr">
        <is>
          <t>Unknown</t>
        </is>
      </c>
      <c r="AK588" t="inlineStr">
        <is>
          <t>unclassified</t>
        </is>
      </c>
      <c r="AL588" t="inlineStr">
        <is>
          <t>Pass 46 mechanism + evidence consolidation</t>
        </is>
      </c>
      <c r="AM588" t="n">
        <v>3</v>
      </c>
      <c r="AN588" t="inlineStr">
        <is>
          <t>D</t>
        </is>
      </c>
      <c r="AO588" t="inlineStr">
        <is>
          <t>Pass 47 compound scoring</t>
        </is>
      </c>
    </row>
    <row r="589">
      <c r="A589" t="inlineStr">
        <is>
          <t>Tyrosol</t>
        </is>
      </c>
      <c r="B589" t="inlineStr">
        <is>
          <t>Phenolic</t>
        </is>
      </c>
      <c r="C589" t="inlineStr">
        <is>
          <t>p-tyrosol; 4-(2-hydroxyethyl)phenol; 2-(4-hydroxyphenyl)ethanol; Rhodiola</t>
        </is>
      </c>
      <c r="D589" t="inlineStr">
        <is>
          <t>simple phenolic alcohol / phenethyl alcohol</t>
        </is>
      </c>
      <c r="E589" t="inlineStr">
        <is>
          <t>proposed mechanism based on preclinical data: antioxidant and cytoprotective signaling, including Nrf2/HO-1-associated effects and ROS attenuation; human target-level confirmation is limited.</t>
        </is>
      </c>
      <c r="F589" t="inlineStr">
        <is>
          <t>unclassified; reinforcement</t>
        </is>
      </c>
      <c r="U589" t="inlineStr">
        <is>
          <t>Pass 45 merged 2 rows into canonical compound entry</t>
        </is>
      </c>
      <c r="W589" t="n">
        <v>3</v>
      </c>
      <c r="X589" t="inlineStr">
        <is>
          <t>Medium</t>
        </is>
      </c>
      <c r="Z589" t="inlineStr">
        <is>
          <t>Tyrosol</t>
        </is>
      </c>
      <c r="AF589" t="inlineStr">
        <is>
          <t>tyrosol</t>
        </is>
      </c>
      <c r="AH589" t="inlineStr">
        <is>
          <t>Pass 45 duplicate consolidation</t>
        </is>
      </c>
      <c r="AI589" t="inlineStr">
        <is>
          <t>simple phenolic alcohol / phenethyl alcohol</t>
        </is>
      </c>
      <c r="AJ589" t="inlineStr">
        <is>
          <t>Human</t>
        </is>
      </c>
      <c r="AK589" t="inlineStr">
        <is>
          <t>reinforcement; unclassified</t>
        </is>
      </c>
      <c r="AL589" t="inlineStr">
        <is>
          <t>Pass 46 mechanism + evidence consolidation</t>
        </is>
      </c>
      <c r="AM589" t="n">
        <v>8</v>
      </c>
      <c r="AN589" t="inlineStr">
        <is>
          <t>B</t>
        </is>
      </c>
      <c r="AO589" t="inlineStr">
        <is>
          <t>Pass 47 compound scoring</t>
        </is>
      </c>
    </row>
    <row r="590">
      <c r="A590" t="inlineStr">
        <is>
          <t>umbelliferone</t>
        </is>
      </c>
      <c r="B590" t="inlineStr">
        <is>
          <t>umbelliferone</t>
        </is>
      </c>
      <c r="D590" t="inlineStr">
        <is>
          <t>other</t>
        </is>
      </c>
      <c r="E590" t="inlineStr">
        <is>
          <t>insufficient evidence</t>
        </is>
      </c>
      <c r="F590" t="inlineStr">
        <is>
          <t>unclassified</t>
        </is>
      </c>
      <c r="W590" t="n">
        <v>2</v>
      </c>
      <c r="X590" t="inlineStr">
        <is>
          <t>Low</t>
        </is>
      </c>
      <c r="Z590" t="inlineStr">
        <is>
          <t>umbelliferone</t>
        </is>
      </c>
      <c r="AF590" t="inlineStr">
        <is>
          <t>umbelliferone</t>
        </is>
      </c>
      <c r="AH590" t="inlineStr">
        <is>
          <t>Pass 45 duplicate consolidation</t>
        </is>
      </c>
      <c r="AI590" t="inlineStr">
        <is>
          <t>other</t>
        </is>
      </c>
      <c r="AJ590" t="inlineStr">
        <is>
          <t>Unknown</t>
        </is>
      </c>
      <c r="AK590" t="inlineStr">
        <is>
          <t>unclassified</t>
        </is>
      </c>
      <c r="AL590" t="inlineStr">
        <is>
          <t>Pass 46 mechanism + evidence consolidation</t>
        </is>
      </c>
      <c r="AM590" t="n">
        <v>3</v>
      </c>
      <c r="AN590" t="inlineStr">
        <is>
          <t>D</t>
        </is>
      </c>
      <c r="AO590" t="inlineStr">
        <is>
          <t>Pass 47 compound scoring</t>
        </is>
      </c>
    </row>
    <row r="591">
      <c r="A591" t="inlineStr">
        <is>
          <t>umckalin</t>
        </is>
      </c>
      <c r="B591" t="inlineStr">
        <is>
          <t>umckalin</t>
        </is>
      </c>
      <c r="D591" t="inlineStr">
        <is>
          <t>Umckalin, coumarins, polyphenols</t>
        </is>
      </c>
      <c r="E591" t="inlineStr">
        <is>
          <t>insufficient evidence</t>
        </is>
      </c>
      <c r="F591" t="inlineStr">
        <is>
          <t>unclassified</t>
        </is>
      </c>
      <c r="W591" t="n">
        <v>2</v>
      </c>
      <c r="X591" t="inlineStr">
        <is>
          <t>Low</t>
        </is>
      </c>
      <c r="Z591" t="inlineStr">
        <is>
          <t>umckalin</t>
        </is>
      </c>
      <c r="AF591" t="inlineStr">
        <is>
          <t>umckalin</t>
        </is>
      </c>
      <c r="AH591" t="inlineStr">
        <is>
          <t>Pass 45 duplicate consolidation</t>
        </is>
      </c>
      <c r="AI591" t="inlineStr">
        <is>
          <t>Umckalin, coumarins, polyphenols</t>
        </is>
      </c>
      <c r="AJ591" t="inlineStr">
        <is>
          <t>Unknown</t>
        </is>
      </c>
      <c r="AK591" t="inlineStr">
        <is>
          <t>unclassified</t>
        </is>
      </c>
      <c r="AL591" t="inlineStr">
        <is>
          <t>Pass 46 mechanism + evidence consolidation</t>
        </is>
      </c>
      <c r="AM591" t="n">
        <v>3</v>
      </c>
      <c r="AN591" t="inlineStr">
        <is>
          <t>D</t>
        </is>
      </c>
      <c r="AO591" t="inlineStr">
        <is>
          <t>Pass 47 compound scoring</t>
        </is>
      </c>
    </row>
    <row r="592">
      <c r="A592" t="inlineStr">
        <is>
          <t>unresolved herb level entry</t>
        </is>
      </c>
      <c r="B592" t="inlineStr">
        <is>
          <t>UNRESOLVED_HERB_LEVEL_ENTRY</t>
        </is>
      </c>
      <c r="D592" t="inlineStr">
        <is>
          <t>alkaloids; flavonoids; saponins</t>
        </is>
      </c>
      <c r="E592" t="inlineStr">
        <is>
          <t>Likely involves antioxidant, anti-inflammatory, or neuromodulatory pathways; specific mechanisms not well characterized</t>
        </is>
      </c>
      <c r="F592" t="inlineStr">
        <is>
          <t>unclassified</t>
        </is>
      </c>
      <c r="W592" t="n">
        <v>2</v>
      </c>
      <c r="X592" t="inlineStr">
        <is>
          <t>Low</t>
        </is>
      </c>
      <c r="Z592" t="inlineStr">
        <is>
          <t>unresolved herb level entry</t>
        </is>
      </c>
      <c r="AF592" t="inlineStr">
        <is>
          <t>unresolved herb level entry</t>
        </is>
      </c>
      <c r="AH592" t="inlineStr">
        <is>
          <t>Pass 45 duplicate consolidation</t>
        </is>
      </c>
      <c r="AI592" t="inlineStr">
        <is>
          <t>alkaloids; flavonoids; saponins</t>
        </is>
      </c>
      <c r="AJ592" t="inlineStr">
        <is>
          <t>Unknown</t>
        </is>
      </c>
      <c r="AK592" t="inlineStr">
        <is>
          <t>unclassified</t>
        </is>
      </c>
      <c r="AL592" t="inlineStr">
        <is>
          <t>Pass 46 mechanism + evidence consolidation</t>
        </is>
      </c>
      <c r="AM592" t="n">
        <v>3</v>
      </c>
      <c r="AN592" t="inlineStr">
        <is>
          <t>D</t>
        </is>
      </c>
      <c r="AO592" t="inlineStr">
        <is>
          <t>Pass 47 compound scoring</t>
        </is>
      </c>
    </row>
    <row r="593">
      <c r="A593" t="inlineStr">
        <is>
          <t>uridine monophosphate</t>
        </is>
      </c>
      <c r="B593" t="inlineStr">
        <is>
          <t>uridine monophosphate (UMP)</t>
        </is>
      </c>
      <c r="D593" t="inlineStr">
        <is>
          <t>pyrimidine nucleotide</t>
        </is>
      </c>
      <c r="E593" t="inlineStr">
        <is>
          <t>Uridine-source nucleotide supporting pyrimidine salvage and membrane phosphatide synthesis; cognition-related framing usually centers on phospholipid synapse-support biology rather than direct neurotransmitter receptor activity.</t>
        </is>
      </c>
      <c r="F593" t="inlineStr">
        <is>
          <t>unclassified</t>
        </is>
      </c>
      <c r="W593" t="n">
        <v>2</v>
      </c>
      <c r="X593" t="inlineStr">
        <is>
          <t>Low</t>
        </is>
      </c>
      <c r="Z593" t="inlineStr">
        <is>
          <t>uridine monophosphate</t>
        </is>
      </c>
      <c r="AF593" t="inlineStr">
        <is>
          <t>uridine monophosphate</t>
        </is>
      </c>
      <c r="AH593" t="inlineStr">
        <is>
          <t>Pass 45 duplicate consolidation</t>
        </is>
      </c>
      <c r="AI593" t="inlineStr">
        <is>
          <t>pyrimidine nucleotide</t>
        </is>
      </c>
      <c r="AJ593" t="inlineStr">
        <is>
          <t>Unknown</t>
        </is>
      </c>
      <c r="AK593" t="inlineStr">
        <is>
          <t>unclassified</t>
        </is>
      </c>
      <c r="AL593" t="inlineStr">
        <is>
          <t>Pass 46 mechanism + evidence consolidation</t>
        </is>
      </c>
      <c r="AM593" t="n">
        <v>3</v>
      </c>
      <c r="AN593" t="inlineStr">
        <is>
          <t>D</t>
        </is>
      </c>
      <c r="AO593" t="inlineStr">
        <is>
          <t>Pass 47 compound scoring</t>
        </is>
      </c>
    </row>
    <row r="594">
      <c r="A594" t="inlineStr">
        <is>
          <t>Ursolic acid</t>
        </is>
      </c>
      <c r="B594" t="inlineStr">
        <is>
          <t>Triterpenoid</t>
        </is>
      </c>
      <c r="C594" t="inlineStr">
        <is>
          <t>Holy Basil</t>
        </is>
      </c>
      <c r="D594" t="inlineStr">
        <is>
          <t>Anti-inflammatory and cytoprotective signaling</t>
        </is>
      </c>
      <c r="E594" t="inlineStr">
        <is>
          <t>Anti-inflammatory and metabolic signaling modulator with reported NF-kB inhibition, AMPK activation, and downstream effects relevant to muscle protein synthesis and cellular stress response.</t>
        </is>
      </c>
      <c r="F594" t="inlineStr">
        <is>
          <t>unclassified; reinforcement</t>
        </is>
      </c>
      <c r="U594" t="inlineStr">
        <is>
          <t>Pass 45 merged 2 rows into canonical compound entry</t>
        </is>
      </c>
      <c r="W594" t="n">
        <v>3</v>
      </c>
      <c r="X594" t="inlineStr">
        <is>
          <t>Medium</t>
        </is>
      </c>
      <c r="Z594" t="inlineStr">
        <is>
          <t>Ursolic acid</t>
        </is>
      </c>
      <c r="AF594" t="inlineStr">
        <is>
          <t>ursolic acid</t>
        </is>
      </c>
      <c r="AH594" t="inlineStr">
        <is>
          <t>Pass 45 duplicate consolidation</t>
        </is>
      </c>
      <c r="AI594" t="inlineStr">
        <is>
          <t>Anti-inflammatory and cytoprotective signaling</t>
        </is>
      </c>
      <c r="AJ594" t="inlineStr">
        <is>
          <t>Unknown</t>
        </is>
      </c>
      <c r="AK594" t="inlineStr">
        <is>
          <t>reinforcement; unclassified</t>
        </is>
      </c>
      <c r="AL594" t="inlineStr">
        <is>
          <t>Pass 46 mechanism + evidence consolidation</t>
        </is>
      </c>
      <c r="AM594" t="n">
        <v>4</v>
      </c>
      <c r="AN594" t="inlineStr">
        <is>
          <t>C</t>
        </is>
      </c>
      <c r="AO594" t="inlineStr">
        <is>
          <t>Pass 47 compound scoring</t>
        </is>
      </c>
    </row>
    <row r="595">
      <c r="A595" t="inlineStr">
        <is>
          <t>uscharin</t>
        </is>
      </c>
      <c r="B595" t="inlineStr">
        <is>
          <t>uscharin</t>
        </is>
      </c>
      <c r="D595" t="inlineStr">
        <is>
          <t>cardiac glycosides</t>
        </is>
      </c>
      <c r="E595" t="inlineStr">
        <is>
          <t>insufficient evidence</t>
        </is>
      </c>
      <c r="F595" t="inlineStr">
        <is>
          <t>unclassified</t>
        </is>
      </c>
      <c r="W595" t="n">
        <v>2</v>
      </c>
      <c r="X595" t="inlineStr">
        <is>
          <t>Low</t>
        </is>
      </c>
      <c r="Z595" t="inlineStr">
        <is>
          <t>uscharin</t>
        </is>
      </c>
      <c r="AF595" t="inlineStr">
        <is>
          <t>uscharin</t>
        </is>
      </c>
      <c r="AH595" t="inlineStr">
        <is>
          <t>Pass 45 duplicate consolidation</t>
        </is>
      </c>
      <c r="AI595" t="inlineStr">
        <is>
          <t>cardiac glycosides</t>
        </is>
      </c>
      <c r="AJ595" t="inlineStr">
        <is>
          <t>Unknown</t>
        </is>
      </c>
      <c r="AK595" t="inlineStr">
        <is>
          <t>unclassified</t>
        </is>
      </c>
      <c r="AL595" t="inlineStr">
        <is>
          <t>Pass 46 mechanism + evidence consolidation</t>
        </is>
      </c>
      <c r="AM595" t="n">
        <v>3</v>
      </c>
      <c r="AN595" t="inlineStr">
        <is>
          <t>D</t>
        </is>
      </c>
      <c r="AO595" t="inlineStr">
        <is>
          <t>Pass 47 compound scoring</t>
        </is>
      </c>
    </row>
    <row r="596">
      <c r="A596" t="inlineStr">
        <is>
          <t>usnic acid</t>
        </is>
      </c>
      <c r="B596" t="inlineStr">
        <is>
          <t>usnic acid</t>
        </is>
      </c>
      <c r="D596" t="inlineStr">
        <is>
          <t>organic acid</t>
        </is>
      </c>
      <c r="E596" t="inlineStr">
        <is>
          <t>insufficient evidence</t>
        </is>
      </c>
      <c r="F596" t="inlineStr">
        <is>
          <t>unclassified</t>
        </is>
      </c>
      <c r="W596" t="n">
        <v>2</v>
      </c>
      <c r="X596" t="inlineStr">
        <is>
          <t>Low</t>
        </is>
      </c>
      <c r="Z596" t="inlineStr">
        <is>
          <t>usnic acid</t>
        </is>
      </c>
      <c r="AF596" t="inlineStr">
        <is>
          <t>usnic acid</t>
        </is>
      </c>
      <c r="AH596" t="inlineStr">
        <is>
          <t>Pass 45 duplicate consolidation</t>
        </is>
      </c>
      <c r="AI596" t="inlineStr">
        <is>
          <t>organic acid</t>
        </is>
      </c>
      <c r="AJ596" t="inlineStr">
        <is>
          <t>Unknown</t>
        </is>
      </c>
      <c r="AK596" t="inlineStr">
        <is>
          <t>unclassified</t>
        </is>
      </c>
      <c r="AL596" t="inlineStr">
        <is>
          <t>Pass 46 mechanism + evidence consolidation</t>
        </is>
      </c>
      <c r="AM596" t="n">
        <v>3</v>
      </c>
      <c r="AN596" t="inlineStr">
        <is>
          <t>D</t>
        </is>
      </c>
      <c r="AO596" t="inlineStr">
        <is>
          <t>Pass 47 compound scoring</t>
        </is>
      </c>
    </row>
    <row r="597">
      <c r="A597" t="inlineStr">
        <is>
          <t>valeranone</t>
        </is>
      </c>
      <c r="B597" t="inlineStr">
        <is>
          <t>valeranone</t>
        </is>
      </c>
      <c r="D597" t="inlineStr">
        <is>
          <t>sesquiterpenes</t>
        </is>
      </c>
      <c r="E597" t="inlineStr">
        <is>
          <t>insufficient evidence</t>
        </is>
      </c>
      <c r="F597" t="inlineStr">
        <is>
          <t>unclassified</t>
        </is>
      </c>
      <c r="W597" t="n">
        <v>2</v>
      </c>
      <c r="X597" t="inlineStr">
        <is>
          <t>Low</t>
        </is>
      </c>
      <c r="Z597" t="inlineStr">
        <is>
          <t>valeranone</t>
        </is>
      </c>
      <c r="AF597" t="inlineStr">
        <is>
          <t>valeranone</t>
        </is>
      </c>
      <c r="AH597" t="inlineStr">
        <is>
          <t>Pass 45 duplicate consolidation</t>
        </is>
      </c>
      <c r="AI597" t="inlineStr">
        <is>
          <t>sesquiterpenes</t>
        </is>
      </c>
      <c r="AJ597" t="inlineStr">
        <is>
          <t>Unknown</t>
        </is>
      </c>
      <c r="AK597" t="inlineStr">
        <is>
          <t>unclassified</t>
        </is>
      </c>
      <c r="AL597" t="inlineStr">
        <is>
          <t>Pass 46 mechanism + evidence consolidation</t>
        </is>
      </c>
      <c r="AM597" t="n">
        <v>3</v>
      </c>
      <c r="AN597" t="inlineStr">
        <is>
          <t>D</t>
        </is>
      </c>
      <c r="AO597" t="inlineStr">
        <is>
          <t>Pass 47 compound scoring</t>
        </is>
      </c>
    </row>
    <row r="598">
      <c r="A598" t="inlineStr">
        <is>
          <t>valerenal</t>
        </is>
      </c>
      <c r="B598" t="inlineStr">
        <is>
          <t>valerenal</t>
        </is>
      </c>
      <c r="D598" t="inlineStr">
        <is>
          <t>provisional_from_herb_monograph</t>
        </is>
      </c>
      <c r="F598" t="inlineStr">
        <is>
          <t>unclassified</t>
        </is>
      </c>
      <c r="W598" t="n">
        <v>2</v>
      </c>
      <c r="X598" t="inlineStr">
        <is>
          <t>Low</t>
        </is>
      </c>
      <c r="Z598" t="inlineStr">
        <is>
          <t>valerenal</t>
        </is>
      </c>
      <c r="AF598" t="inlineStr">
        <is>
          <t>valerenal</t>
        </is>
      </c>
      <c r="AH598" t="inlineStr">
        <is>
          <t>Pass 45 duplicate consolidation</t>
        </is>
      </c>
      <c r="AI598" t="inlineStr">
        <is>
          <t>provisional_from_herb_monograph</t>
        </is>
      </c>
      <c r="AJ598" t="inlineStr">
        <is>
          <t>Unknown</t>
        </is>
      </c>
      <c r="AK598" t="inlineStr">
        <is>
          <t>unclassified</t>
        </is>
      </c>
      <c r="AL598" t="inlineStr">
        <is>
          <t>Pass 46 mechanism + evidence consolidation</t>
        </is>
      </c>
      <c r="AM598" t="n">
        <v>3</v>
      </c>
      <c r="AN598" t="inlineStr">
        <is>
          <t>D</t>
        </is>
      </c>
      <c r="AO598" t="inlineStr">
        <is>
          <t>Pass 47 compound scoring</t>
        </is>
      </c>
    </row>
    <row r="599">
      <c r="A599" t="inlineStr">
        <is>
          <t>valerenic acid</t>
        </is>
      </c>
      <c r="B599" t="inlineStr">
        <is>
          <t>valerenic acid</t>
        </is>
      </c>
      <c r="D599" t="inlineStr">
        <is>
          <t>organic acid</t>
        </is>
      </c>
      <c r="E599" t="inlineStr">
        <is>
          <t>Valerenic acid binds beta-subunits of GABA-A receptors, enhancing chloride influx and inhibitory signaling.</t>
        </is>
      </c>
      <c r="F599" t="inlineStr">
        <is>
          <t>unclassified</t>
        </is>
      </c>
      <c r="W599" t="n">
        <v>2</v>
      </c>
      <c r="X599" t="inlineStr">
        <is>
          <t>Low</t>
        </is>
      </c>
      <c r="Z599" t="inlineStr">
        <is>
          <t>valerenic acid</t>
        </is>
      </c>
      <c r="AF599" t="inlineStr">
        <is>
          <t>valerenic acid</t>
        </is>
      </c>
      <c r="AH599" t="inlineStr">
        <is>
          <t>Pass 45 duplicate consolidation</t>
        </is>
      </c>
      <c r="AI599" t="inlineStr">
        <is>
          <t>organic acid</t>
        </is>
      </c>
      <c r="AJ599" t="inlineStr">
        <is>
          <t>Unknown</t>
        </is>
      </c>
      <c r="AK599" t="inlineStr">
        <is>
          <t>unclassified</t>
        </is>
      </c>
      <c r="AL599" t="inlineStr">
        <is>
          <t>Pass 46 mechanism + evidence consolidation</t>
        </is>
      </c>
      <c r="AM599" t="n">
        <v>3</v>
      </c>
      <c r="AN599" t="inlineStr">
        <is>
          <t>D</t>
        </is>
      </c>
      <c r="AO599" t="inlineStr">
        <is>
          <t>Pass 47 compound scoring</t>
        </is>
      </c>
    </row>
    <row r="600">
      <c r="A600" t="inlineStr">
        <is>
          <t>valerenol</t>
        </is>
      </c>
      <c r="B600" t="inlineStr">
        <is>
          <t>valerenol</t>
        </is>
      </c>
      <c r="D600" t="inlineStr">
        <is>
          <t>other</t>
        </is>
      </c>
      <c r="E600" t="inlineStr">
        <is>
          <t>Valerenic acid binds beta-subunits of GABA-A receptors, enhancing chloride influx and inhibitory signaling.</t>
        </is>
      </c>
      <c r="F600" t="inlineStr">
        <is>
          <t>unclassified</t>
        </is>
      </c>
      <c r="W600" t="n">
        <v>2</v>
      </c>
      <c r="X600" t="inlineStr">
        <is>
          <t>Low</t>
        </is>
      </c>
      <c r="Z600" t="inlineStr">
        <is>
          <t>valerenol</t>
        </is>
      </c>
      <c r="AF600" t="inlineStr">
        <is>
          <t>valerenol</t>
        </is>
      </c>
      <c r="AH600" t="inlineStr">
        <is>
          <t>Pass 45 duplicate consolidation</t>
        </is>
      </c>
      <c r="AI600" t="inlineStr">
        <is>
          <t>other</t>
        </is>
      </c>
      <c r="AJ600" t="inlineStr">
        <is>
          <t>Unknown</t>
        </is>
      </c>
      <c r="AK600" t="inlineStr">
        <is>
          <t>unclassified</t>
        </is>
      </c>
      <c r="AL600" t="inlineStr">
        <is>
          <t>Pass 46 mechanism + evidence consolidation</t>
        </is>
      </c>
      <c r="AM600" t="n">
        <v>3</v>
      </c>
      <c r="AN600" t="inlineStr">
        <is>
          <t>D</t>
        </is>
      </c>
      <c r="AO600" t="inlineStr">
        <is>
          <t>Pass 47 compound scoring</t>
        </is>
      </c>
    </row>
    <row r="601">
      <c r="A601" t="inlineStr">
        <is>
          <t>valerian valerenic acid</t>
        </is>
      </c>
      <c r="B601" t="inlineStr">
        <is>
          <t>valerian (valerenic acid)</t>
        </is>
      </c>
      <c r="D601" t="inlineStr">
        <is>
          <t>terpenoid</t>
        </is>
      </c>
      <c r="E601" t="inlineStr">
        <is>
          <t>GABA-A receptor modulation</t>
        </is>
      </c>
      <c r="F601" t="inlineStr">
        <is>
          <t>unclassified</t>
        </is>
      </c>
      <c r="W601" t="n">
        <v>2</v>
      </c>
      <c r="X601" t="inlineStr">
        <is>
          <t>Low</t>
        </is>
      </c>
      <c r="Z601" t="inlineStr">
        <is>
          <t>valerian valerenic acid</t>
        </is>
      </c>
      <c r="AF601" t="inlineStr">
        <is>
          <t>valerian valerenic acid</t>
        </is>
      </c>
      <c r="AH601" t="inlineStr">
        <is>
          <t>Pass 45 duplicate consolidation</t>
        </is>
      </c>
      <c r="AI601" t="inlineStr">
        <is>
          <t>terpenoid</t>
        </is>
      </c>
      <c r="AJ601" t="inlineStr">
        <is>
          <t>Unknown</t>
        </is>
      </c>
      <c r="AK601" t="inlineStr">
        <is>
          <t>unclassified</t>
        </is>
      </c>
      <c r="AL601" t="inlineStr">
        <is>
          <t>Pass 46 mechanism + evidence consolidation</t>
        </is>
      </c>
      <c r="AM601" t="n">
        <v>3</v>
      </c>
      <c r="AN601" t="inlineStr">
        <is>
          <t>D</t>
        </is>
      </c>
      <c r="AO601" t="inlineStr">
        <is>
          <t>Pass 47 compound scoring</t>
        </is>
      </c>
    </row>
    <row r="602">
      <c r="A602" t="inlineStr">
        <is>
          <t>valtrate</t>
        </is>
      </c>
      <c r="B602" t="inlineStr">
        <is>
          <t>valtrate</t>
        </is>
      </c>
      <c r="D602" t="inlineStr">
        <is>
          <t>valepotriates</t>
        </is>
      </c>
      <c r="F602" t="inlineStr">
        <is>
          <t>unclassified</t>
        </is>
      </c>
      <c r="W602" t="n">
        <v>2</v>
      </c>
      <c r="X602" t="inlineStr">
        <is>
          <t>Low</t>
        </is>
      </c>
      <c r="Z602" t="inlineStr">
        <is>
          <t>valtrate</t>
        </is>
      </c>
      <c r="AF602" t="inlineStr">
        <is>
          <t>valtrate</t>
        </is>
      </c>
      <c r="AH602" t="inlineStr">
        <is>
          <t>Pass 45 duplicate consolidation</t>
        </is>
      </c>
      <c r="AI602" t="inlineStr">
        <is>
          <t>valepotriates</t>
        </is>
      </c>
      <c r="AJ602" t="inlineStr">
        <is>
          <t>Unknown</t>
        </is>
      </c>
      <c r="AK602" t="inlineStr">
        <is>
          <t>unclassified</t>
        </is>
      </c>
      <c r="AL602" t="inlineStr">
        <is>
          <t>Pass 46 mechanism + evidence consolidation</t>
        </is>
      </c>
      <c r="AM602" t="n">
        <v>3</v>
      </c>
      <c r="AN602" t="inlineStr">
        <is>
          <t>D</t>
        </is>
      </c>
      <c r="AO602" t="inlineStr">
        <is>
          <t>Pass 47 compound scoring</t>
        </is>
      </c>
    </row>
    <row r="603">
      <c r="A603" t="inlineStr">
        <is>
          <t>vanillin</t>
        </is>
      </c>
      <c r="B603" t="inlineStr">
        <is>
          <t>vanillin</t>
        </is>
      </c>
      <c r="D603" t="inlineStr">
        <is>
          <t>other</t>
        </is>
      </c>
      <c r="E603" t="inlineStr">
        <is>
          <t>insufficient evidence</t>
        </is>
      </c>
      <c r="F603" t="inlineStr">
        <is>
          <t>unclassified</t>
        </is>
      </c>
      <c r="W603" t="n">
        <v>2</v>
      </c>
      <c r="X603" t="inlineStr">
        <is>
          <t>Low</t>
        </is>
      </c>
      <c r="Z603" t="inlineStr">
        <is>
          <t>vanillin</t>
        </is>
      </c>
      <c r="AF603" t="inlineStr">
        <is>
          <t>vanillin</t>
        </is>
      </c>
      <c r="AH603" t="inlineStr">
        <is>
          <t>Pass 45 duplicate consolidation</t>
        </is>
      </c>
      <c r="AI603" t="inlineStr">
        <is>
          <t>other</t>
        </is>
      </c>
      <c r="AJ603" t="inlineStr">
        <is>
          <t>Unknown</t>
        </is>
      </c>
      <c r="AK603" t="inlineStr">
        <is>
          <t>unclassified</t>
        </is>
      </c>
      <c r="AL603" t="inlineStr">
        <is>
          <t>Pass 46 mechanism + evidence consolidation</t>
        </is>
      </c>
      <c r="AM603" t="n">
        <v>3</v>
      </c>
      <c r="AN603" t="inlineStr">
        <is>
          <t>D</t>
        </is>
      </c>
      <c r="AO603" t="inlineStr">
        <is>
          <t>Pass 47 compound scoring</t>
        </is>
      </c>
    </row>
    <row r="604">
      <c r="A604" t="inlineStr">
        <is>
          <t>Vasicine</t>
        </is>
      </c>
      <c r="B604" t="inlineStr">
        <is>
          <t>Alkaloid</t>
        </is>
      </c>
      <c r="C604" t="inlineStr">
        <is>
          <t>Justicia adhatoda</t>
        </is>
      </c>
      <c r="D604" t="inlineStr">
        <is>
          <t>Bronchodilator</t>
        </is>
      </c>
      <c r="E604" t="inlineStr">
        <is>
          <t>insufficient evidence</t>
        </is>
      </c>
      <c r="F604" t="inlineStr">
        <is>
          <t>unclassified; bronchodilatory signaling; respiratory pathway</t>
        </is>
      </c>
      <c r="U604" t="inlineStr">
        <is>
          <t>Pass 45 merged 2 rows into canonical compound entry</t>
        </is>
      </c>
      <c r="W604" t="n">
        <v>3</v>
      </c>
      <c r="X604" t="inlineStr">
        <is>
          <t>Medium</t>
        </is>
      </c>
      <c r="Z604" t="inlineStr">
        <is>
          <t>Vasicine</t>
        </is>
      </c>
      <c r="AF604" t="inlineStr">
        <is>
          <t>vasicine</t>
        </is>
      </c>
      <c r="AH604" t="inlineStr">
        <is>
          <t>Pass 45 duplicate consolidation</t>
        </is>
      </c>
      <c r="AI604" t="inlineStr">
        <is>
          <t>Bronchodilator</t>
        </is>
      </c>
      <c r="AJ604" t="inlineStr">
        <is>
          <t>Unknown</t>
        </is>
      </c>
      <c r="AK604" t="inlineStr">
        <is>
          <t>bronchodilatory signaling; respiratory pathway; unclassified</t>
        </is>
      </c>
      <c r="AL604" t="inlineStr">
        <is>
          <t>Pass 46 mechanism + evidence consolidation</t>
        </is>
      </c>
      <c r="AM604" t="n">
        <v>5</v>
      </c>
      <c r="AN604" t="inlineStr">
        <is>
          <t>C</t>
        </is>
      </c>
      <c r="AO604" t="inlineStr">
        <is>
          <t>Pass 47 compound scoring</t>
        </is>
      </c>
    </row>
    <row r="605">
      <c r="A605" t="inlineStr">
        <is>
          <t>vasicinone</t>
        </is>
      </c>
      <c r="B605" t="inlineStr">
        <is>
          <t>vasicinone</t>
        </is>
      </c>
      <c r="D605" t="inlineStr">
        <is>
          <t>other</t>
        </is>
      </c>
      <c r="E605" t="inlineStr">
        <is>
          <t>insufficient evidence</t>
        </is>
      </c>
      <c r="F605" t="inlineStr">
        <is>
          <t>unclassified</t>
        </is>
      </c>
      <c r="W605" t="n">
        <v>2</v>
      </c>
      <c r="X605" t="inlineStr">
        <is>
          <t>Low</t>
        </is>
      </c>
      <c r="Z605" t="inlineStr">
        <is>
          <t>vasicinone</t>
        </is>
      </c>
      <c r="AF605" t="inlineStr">
        <is>
          <t>vasicinone</t>
        </is>
      </c>
      <c r="AH605" t="inlineStr">
        <is>
          <t>Pass 45 duplicate consolidation</t>
        </is>
      </c>
      <c r="AI605" t="inlineStr">
        <is>
          <t>other</t>
        </is>
      </c>
      <c r="AJ605" t="inlineStr">
        <is>
          <t>Unknown</t>
        </is>
      </c>
      <c r="AK605" t="inlineStr">
        <is>
          <t>unclassified</t>
        </is>
      </c>
      <c r="AL605" t="inlineStr">
        <is>
          <t>Pass 46 mechanism + evidence consolidation</t>
        </is>
      </c>
      <c r="AM605" t="n">
        <v>3</v>
      </c>
      <c r="AN605" t="inlineStr">
        <is>
          <t>D</t>
        </is>
      </c>
      <c r="AO605" t="inlineStr">
        <is>
          <t>Pass 47 compound scoring</t>
        </is>
      </c>
    </row>
    <row r="606">
      <c r="A606" t="inlineStr">
        <is>
          <t>verbascoside</t>
        </is>
      </c>
      <c r="B606" t="inlineStr">
        <is>
          <t>verbascoside</t>
        </is>
      </c>
      <c r="D606" t="inlineStr">
        <is>
          <t>iridoid glycosides; flavonoids</t>
        </is>
      </c>
      <c r="E606" t="inlineStr">
        <is>
          <t>insufficient evidence</t>
        </is>
      </c>
      <c r="F606" t="inlineStr">
        <is>
          <t>unclassified</t>
        </is>
      </c>
      <c r="W606" t="n">
        <v>2</v>
      </c>
      <c r="X606" t="inlineStr">
        <is>
          <t>Low</t>
        </is>
      </c>
      <c r="Z606" t="inlineStr">
        <is>
          <t>verbascoside</t>
        </is>
      </c>
      <c r="AF606" t="inlineStr">
        <is>
          <t>verbascoside</t>
        </is>
      </c>
      <c r="AH606" t="inlineStr">
        <is>
          <t>Pass 45 duplicate consolidation</t>
        </is>
      </c>
      <c r="AI606" t="inlineStr">
        <is>
          <t>iridoid glycosides; flavonoids</t>
        </is>
      </c>
      <c r="AJ606" t="inlineStr">
        <is>
          <t>Unknown</t>
        </is>
      </c>
      <c r="AK606" t="inlineStr">
        <is>
          <t>unclassified</t>
        </is>
      </c>
      <c r="AL606" t="inlineStr">
        <is>
          <t>Pass 46 mechanism + evidence consolidation</t>
        </is>
      </c>
      <c r="AM606" t="n">
        <v>3</v>
      </c>
      <c r="AN606" t="inlineStr">
        <is>
          <t>D</t>
        </is>
      </c>
      <c r="AO606" t="inlineStr">
        <is>
          <t>Pass 47 compound scoring</t>
        </is>
      </c>
    </row>
    <row r="607">
      <c r="A607" t="inlineStr">
        <is>
          <t>vicine</t>
        </is>
      </c>
      <c r="B607" t="inlineStr">
        <is>
          <t>vicine</t>
        </is>
      </c>
      <c r="D607" t="inlineStr">
        <is>
          <t>other</t>
        </is>
      </c>
      <c r="E607" t="inlineStr">
        <is>
          <t>insufficient evidence</t>
        </is>
      </c>
      <c r="F607" t="inlineStr">
        <is>
          <t>unclassified</t>
        </is>
      </c>
      <c r="W607" t="n">
        <v>2</v>
      </c>
      <c r="X607" t="inlineStr">
        <is>
          <t>Low</t>
        </is>
      </c>
      <c r="Z607" t="inlineStr">
        <is>
          <t>vicine</t>
        </is>
      </c>
      <c r="AF607" t="inlineStr">
        <is>
          <t>vicine</t>
        </is>
      </c>
      <c r="AH607" t="inlineStr">
        <is>
          <t>Pass 45 duplicate consolidation</t>
        </is>
      </c>
      <c r="AI607" t="inlineStr">
        <is>
          <t>other</t>
        </is>
      </c>
      <c r="AJ607" t="inlineStr">
        <is>
          <t>Unknown</t>
        </is>
      </c>
      <c r="AK607" t="inlineStr">
        <is>
          <t>unclassified</t>
        </is>
      </c>
      <c r="AL607" t="inlineStr">
        <is>
          <t>Pass 46 mechanism + evidence consolidation</t>
        </is>
      </c>
      <c r="AM607" t="n">
        <v>3</v>
      </c>
      <c r="AN607" t="inlineStr">
        <is>
          <t>D</t>
        </is>
      </c>
      <c r="AO607" t="inlineStr">
        <is>
          <t>Pass 47 compound scoring</t>
        </is>
      </c>
    </row>
    <row r="608">
      <c r="A608" t="inlineStr">
        <is>
          <t>vincamine</t>
        </is>
      </c>
      <c r="B608" t="inlineStr">
        <is>
          <t>vincamine</t>
        </is>
      </c>
      <c r="D608" t="inlineStr">
        <is>
          <t>Vincamine, alkaloids</t>
        </is>
      </c>
      <c r="E608" t="inlineStr">
        <is>
          <t>insufficient evidence</t>
        </is>
      </c>
      <c r="F608" t="inlineStr">
        <is>
          <t>unclassified</t>
        </is>
      </c>
      <c r="W608" t="n">
        <v>2</v>
      </c>
      <c r="X608" t="inlineStr">
        <is>
          <t>Low</t>
        </is>
      </c>
      <c r="Z608" t="inlineStr">
        <is>
          <t>vincamine</t>
        </is>
      </c>
      <c r="AF608" t="inlineStr">
        <is>
          <t>vincamine</t>
        </is>
      </c>
      <c r="AH608" t="inlineStr">
        <is>
          <t>Pass 45 duplicate consolidation</t>
        </is>
      </c>
      <c r="AI608" t="inlineStr">
        <is>
          <t>Vincamine, alkaloids</t>
        </is>
      </c>
      <c r="AJ608" t="inlineStr">
        <is>
          <t>Unknown</t>
        </is>
      </c>
      <c r="AK608" t="inlineStr">
        <is>
          <t>unclassified</t>
        </is>
      </c>
      <c r="AL608" t="inlineStr">
        <is>
          <t>Pass 46 mechanism + evidence consolidation</t>
        </is>
      </c>
      <c r="AM608" t="n">
        <v>3</v>
      </c>
      <c r="AN608" t="inlineStr">
        <is>
          <t>D</t>
        </is>
      </c>
      <c r="AO608" t="inlineStr">
        <is>
          <t>Pass 47 compound scoring</t>
        </is>
      </c>
    </row>
    <row r="609">
      <c r="A609" t="inlineStr">
        <is>
          <t>viscotoxin</t>
        </is>
      </c>
      <c r="B609" t="inlineStr">
        <is>
          <t>viscotoxin</t>
        </is>
      </c>
      <c r="D609" t="inlineStr">
        <is>
          <t>Viscotoxin, lectins, polysaccharides</t>
        </is>
      </c>
      <c r="E609" t="inlineStr">
        <is>
          <t>insufficient evidence</t>
        </is>
      </c>
      <c r="F609" t="inlineStr">
        <is>
          <t>unclassified</t>
        </is>
      </c>
      <c r="W609" t="n">
        <v>2</v>
      </c>
      <c r="X609" t="inlineStr">
        <is>
          <t>Low</t>
        </is>
      </c>
      <c r="Z609" t="inlineStr">
        <is>
          <t>viscotoxin</t>
        </is>
      </c>
      <c r="AF609" t="inlineStr">
        <is>
          <t>viscotoxin</t>
        </is>
      </c>
      <c r="AH609" t="inlineStr">
        <is>
          <t>Pass 45 duplicate consolidation</t>
        </is>
      </c>
      <c r="AI609" t="inlineStr">
        <is>
          <t>Viscotoxin, lectins, polysaccharides</t>
        </is>
      </c>
      <c r="AJ609" t="inlineStr">
        <is>
          <t>Unknown</t>
        </is>
      </c>
      <c r="AK609" t="inlineStr">
        <is>
          <t>unclassified</t>
        </is>
      </c>
      <c r="AL609" t="inlineStr">
        <is>
          <t>Pass 46 mechanism + evidence consolidation</t>
        </is>
      </c>
      <c r="AM609" t="n">
        <v>3</v>
      </c>
      <c r="AN609" t="inlineStr">
        <is>
          <t>D</t>
        </is>
      </c>
      <c r="AO609" t="inlineStr">
        <is>
          <t>Pass 47 compound scoring</t>
        </is>
      </c>
    </row>
    <row r="610">
      <c r="A610" t="inlineStr">
        <is>
          <t>vitamin c</t>
        </is>
      </c>
      <c r="B610" t="inlineStr">
        <is>
          <t>vitamin c</t>
        </is>
      </c>
      <c r="D610" t="inlineStr">
        <is>
          <t>Vitamin C, flavonoids, carotenoids</t>
        </is>
      </c>
      <c r="E610" t="inlineStr">
        <is>
          <t>insufficient evidence</t>
        </is>
      </c>
      <c r="F610" t="inlineStr">
        <is>
          <t>unclassified</t>
        </is>
      </c>
      <c r="W610" t="n">
        <v>2</v>
      </c>
      <c r="X610" t="inlineStr">
        <is>
          <t>Low</t>
        </is>
      </c>
      <c r="Z610" t="inlineStr">
        <is>
          <t>vitamin c</t>
        </is>
      </c>
      <c r="AF610" t="inlineStr">
        <is>
          <t>vitamin c</t>
        </is>
      </c>
      <c r="AH610" t="inlineStr">
        <is>
          <t>Pass 45 duplicate consolidation</t>
        </is>
      </c>
      <c r="AI610" t="inlineStr">
        <is>
          <t>Vitamin C, flavonoids, carotenoids</t>
        </is>
      </c>
      <c r="AJ610" t="inlineStr">
        <is>
          <t>Unknown</t>
        </is>
      </c>
      <c r="AK610" t="inlineStr">
        <is>
          <t>unclassified</t>
        </is>
      </c>
      <c r="AL610" t="inlineStr">
        <is>
          <t>Pass 46 mechanism + evidence consolidation</t>
        </is>
      </c>
      <c r="AM610" t="n">
        <v>3</v>
      </c>
      <c r="AN610" t="inlineStr">
        <is>
          <t>D</t>
        </is>
      </c>
      <c r="AO610" t="inlineStr">
        <is>
          <t>Pass 47 compound scoring</t>
        </is>
      </c>
    </row>
    <row r="611">
      <c r="A611" t="inlineStr">
        <is>
          <t>vitamin d</t>
        </is>
      </c>
      <c r="B611" t="inlineStr">
        <is>
          <t>vitamin d</t>
        </is>
      </c>
      <c r="D611" t="inlineStr">
        <is>
          <t>secosteroid</t>
        </is>
      </c>
      <c r="E611" t="inlineStr">
        <is>
          <t>After metabolic activation, binds the vitamin D receptor (VDR) to regulate calcium/phosphate homeostasis and broader gene transcription.</t>
        </is>
      </c>
      <c r="F611" t="inlineStr">
        <is>
          <t>unclassified</t>
        </is>
      </c>
      <c r="W611" t="n">
        <v>2</v>
      </c>
      <c r="X611" t="inlineStr">
        <is>
          <t>Low</t>
        </is>
      </c>
      <c r="Z611" t="inlineStr">
        <is>
          <t>vitamin d</t>
        </is>
      </c>
      <c r="AF611" t="inlineStr">
        <is>
          <t>vitamin d</t>
        </is>
      </c>
      <c r="AH611" t="inlineStr">
        <is>
          <t>Pass 45 duplicate consolidation</t>
        </is>
      </c>
      <c r="AI611" t="inlineStr">
        <is>
          <t>secosteroid</t>
        </is>
      </c>
      <c r="AJ611" t="inlineStr">
        <is>
          <t>Unknown</t>
        </is>
      </c>
      <c r="AK611" t="inlineStr">
        <is>
          <t>unclassified</t>
        </is>
      </c>
      <c r="AL611" t="inlineStr">
        <is>
          <t>Pass 46 mechanism + evidence consolidation</t>
        </is>
      </c>
      <c r="AM611" t="n">
        <v>3</v>
      </c>
      <c r="AN611" t="inlineStr">
        <is>
          <t>D</t>
        </is>
      </c>
      <c r="AO611" t="inlineStr">
        <is>
          <t>Pass 47 compound scoring</t>
        </is>
      </c>
    </row>
    <row r="612">
      <c r="A612" t="inlineStr">
        <is>
          <t>vitexin</t>
        </is>
      </c>
      <c r="B612" t="inlineStr">
        <is>
          <t>vitexin</t>
        </is>
      </c>
      <c r="D612" t="inlineStr">
        <is>
          <t>other</t>
        </is>
      </c>
      <c r="E612" t="inlineStr">
        <is>
          <t>Flavonoids interact with benzodiazepine binding sites on GABA-A receptors; mild MAO-A inhibition proposed.</t>
        </is>
      </c>
      <c r="F612" t="inlineStr">
        <is>
          <t>unclassified</t>
        </is>
      </c>
      <c r="W612" t="n">
        <v>2</v>
      </c>
      <c r="X612" t="inlineStr">
        <is>
          <t>Low</t>
        </is>
      </c>
      <c r="Z612" t="inlineStr">
        <is>
          <t>vitexin</t>
        </is>
      </c>
      <c r="AF612" t="inlineStr">
        <is>
          <t>vitexin</t>
        </is>
      </c>
      <c r="AH612" t="inlineStr">
        <is>
          <t>Pass 45 duplicate consolidation</t>
        </is>
      </c>
      <c r="AI612" t="inlineStr">
        <is>
          <t>other</t>
        </is>
      </c>
      <c r="AJ612" t="inlineStr">
        <is>
          <t>Unknown</t>
        </is>
      </c>
      <c r="AK612" t="inlineStr">
        <is>
          <t>unclassified</t>
        </is>
      </c>
      <c r="AL612" t="inlineStr">
        <is>
          <t>Pass 46 mechanism + evidence consolidation</t>
        </is>
      </c>
      <c r="AM612" t="n">
        <v>3</v>
      </c>
      <c r="AN612" t="inlineStr">
        <is>
          <t>D</t>
        </is>
      </c>
      <c r="AO612" t="inlineStr">
        <is>
          <t>Pass 47 compound scoring</t>
        </is>
      </c>
    </row>
    <row r="613">
      <c r="A613" t="inlineStr">
        <is>
          <t>voacangine</t>
        </is>
      </c>
      <c r="B613" t="inlineStr">
        <is>
          <t>voacangine</t>
        </is>
      </c>
      <c r="D613" t="inlineStr">
        <is>
          <t>indole alkaloids</t>
        </is>
      </c>
      <c r="E613" t="inlineStr">
        <is>
          <t>insufficient evidence</t>
        </is>
      </c>
      <c r="F613" t="inlineStr">
        <is>
          <t>unclassified</t>
        </is>
      </c>
      <c r="W613" t="n">
        <v>2</v>
      </c>
      <c r="X613" t="inlineStr">
        <is>
          <t>Low</t>
        </is>
      </c>
      <c r="Z613" t="inlineStr">
        <is>
          <t>voacangine</t>
        </is>
      </c>
      <c r="AF613" t="inlineStr">
        <is>
          <t>voacangine</t>
        </is>
      </c>
      <c r="AH613" t="inlineStr">
        <is>
          <t>Pass 45 duplicate consolidation</t>
        </is>
      </c>
      <c r="AI613" t="inlineStr">
        <is>
          <t>indole alkaloids</t>
        </is>
      </c>
      <c r="AJ613" t="inlineStr">
        <is>
          <t>Unknown</t>
        </is>
      </c>
      <c r="AK613" t="inlineStr">
        <is>
          <t>unclassified</t>
        </is>
      </c>
      <c r="AL613" t="inlineStr">
        <is>
          <t>Pass 46 mechanism + evidence consolidation</t>
        </is>
      </c>
      <c r="AM613" t="n">
        <v>3</v>
      </c>
      <c r="AN613" t="inlineStr">
        <is>
          <t>D</t>
        </is>
      </c>
      <c r="AO613" t="inlineStr">
        <is>
          <t>Pass 47 compound scoring</t>
        </is>
      </c>
    </row>
    <row r="614">
      <c r="A614" t="inlineStr">
        <is>
          <t>Withaferin A</t>
        </is>
      </c>
      <c r="B614" t="inlineStr">
        <is>
          <t>Steroidal lactone</t>
        </is>
      </c>
      <c r="C614" t="inlineStr">
        <is>
          <t>WA; Ashwagandha</t>
        </is>
      </c>
      <c r="D614" t="inlineStr">
        <is>
          <t>withanolide / steroidal lactone</t>
        </is>
      </c>
      <c r="E614" t="inlineStr">
        <is>
          <t>proposed mechanism based on preclinical data: multi-target modulation including HSP90 inhibition, disruption of vimentin-dependent cytoskeletal signaling, and suppression of IKKbeta/NF-kappaB inflammatory signaling. Human clinical mechanism is not established.</t>
        </is>
      </c>
      <c r="F614" t="inlineStr">
        <is>
          <t>unclassified; NF-kB inhibition; cytoprotective signaling</t>
        </is>
      </c>
      <c r="U614" t="inlineStr">
        <is>
          <t>Pass 13 normalized herb display names to monograph common names; Pass 45 merged 2 rows into canonical compound entry</t>
        </is>
      </c>
      <c r="W614" t="n">
        <v>4</v>
      </c>
      <c r="X614" t="inlineStr">
        <is>
          <t>Medium</t>
        </is>
      </c>
      <c r="Z614" t="inlineStr">
        <is>
          <t>Withaferin A</t>
        </is>
      </c>
      <c r="AF614" t="inlineStr">
        <is>
          <t>withaferin a</t>
        </is>
      </c>
      <c r="AH614" t="inlineStr">
        <is>
          <t>Pass 45 duplicate consolidation</t>
        </is>
      </c>
      <c r="AI614" t="inlineStr">
        <is>
          <t>withanolide / steroidal lactone</t>
        </is>
      </c>
      <c r="AJ614" t="inlineStr">
        <is>
          <t>Human</t>
        </is>
      </c>
      <c r="AK614" t="inlineStr">
        <is>
          <t>cytoprotective signaling; nf-kb inhibition; unclassified</t>
        </is>
      </c>
      <c r="AL614" t="inlineStr">
        <is>
          <t>Pass 46 mechanism + evidence consolidation</t>
        </is>
      </c>
      <c r="AM614" t="n">
        <v>9</v>
      </c>
      <c r="AN614" t="inlineStr">
        <is>
          <t>B</t>
        </is>
      </c>
      <c r="AO614" t="inlineStr">
        <is>
          <t>Pass 47 compound scoring</t>
        </is>
      </c>
    </row>
    <row r="615">
      <c r="A615" t="inlineStr">
        <is>
          <t>Withanolide A</t>
        </is>
      </c>
      <c r="B615" t="inlineStr">
        <is>
          <t>Steroidal lactone</t>
        </is>
      </c>
      <c r="C615" t="inlineStr">
        <is>
          <t>WLD-A; withanolide A steroidal lactone; Ashwagandha</t>
        </is>
      </c>
      <c r="D615" t="inlineStr">
        <is>
          <t>withanolide / steroidal lactone</t>
        </is>
      </c>
      <c r="E615" t="inlineStr">
        <is>
          <t>proposed mechanism based on preclinical data: neuroprotective and anti-neuroinflammatory activity with reported effects on hippocampal neuroinflammation and neurotrophic/oxidative-stress signaling. Human target-level confirmation is limited.</t>
        </is>
      </c>
      <c r="F615" t="inlineStr">
        <is>
          <t>unclassified; neuroprotective signaling; stress-response modulation</t>
        </is>
      </c>
      <c r="U615" t="inlineStr">
        <is>
          <t>Pass 13 normalized herb display names to monograph common names; Pass 45 merged 2 rows into canonical compound entry</t>
        </is>
      </c>
      <c r="W615" t="n">
        <v>3</v>
      </c>
      <c r="X615" t="inlineStr">
        <is>
          <t>Low</t>
        </is>
      </c>
      <c r="Z615" t="inlineStr">
        <is>
          <t>Withanolide A</t>
        </is>
      </c>
      <c r="AF615" t="inlineStr">
        <is>
          <t>withanolide a</t>
        </is>
      </c>
      <c r="AH615" t="inlineStr">
        <is>
          <t>Pass 45 duplicate consolidation</t>
        </is>
      </c>
      <c r="AI615" t="inlineStr">
        <is>
          <t>withanolide / steroidal lactone</t>
        </is>
      </c>
      <c r="AJ615" t="inlineStr">
        <is>
          <t>Human</t>
        </is>
      </c>
      <c r="AK615" t="inlineStr">
        <is>
          <t>neuroprotective signaling; stress-response modulation; unclassified</t>
        </is>
      </c>
      <c r="AL615" t="inlineStr">
        <is>
          <t>Pass 46 mechanism + evidence consolidation</t>
        </is>
      </c>
      <c r="AM615" t="n">
        <v>9</v>
      </c>
      <c r="AN615" t="inlineStr">
        <is>
          <t>B</t>
        </is>
      </c>
      <c r="AO615" t="inlineStr">
        <is>
          <t>Pass 47 compound scoring</t>
        </is>
      </c>
    </row>
    <row r="616">
      <c r="A616" t="inlineStr">
        <is>
          <t>withanolide d</t>
        </is>
      </c>
      <c r="B616" t="inlineStr">
        <is>
          <t>withanolide d</t>
        </is>
      </c>
      <c r="D616" t="inlineStr">
        <is>
          <t>other</t>
        </is>
      </c>
      <c r="E616" t="inlineStr">
        <is>
          <t>insufficient evidence</t>
        </is>
      </c>
      <c r="F616" t="inlineStr">
        <is>
          <t>unclassified</t>
        </is>
      </c>
      <c r="W616" t="n">
        <v>2</v>
      </c>
      <c r="X616" t="inlineStr">
        <is>
          <t>Low</t>
        </is>
      </c>
      <c r="Z616" t="inlineStr">
        <is>
          <t>withanolide d</t>
        </is>
      </c>
      <c r="AF616" t="inlineStr">
        <is>
          <t>withanolide d</t>
        </is>
      </c>
      <c r="AH616" t="inlineStr">
        <is>
          <t>Pass 45 duplicate consolidation</t>
        </is>
      </c>
      <c r="AI616" t="inlineStr">
        <is>
          <t>other</t>
        </is>
      </c>
      <c r="AJ616" t="inlineStr">
        <is>
          <t>Unknown</t>
        </is>
      </c>
      <c r="AK616" t="inlineStr">
        <is>
          <t>unclassified</t>
        </is>
      </c>
      <c r="AL616" t="inlineStr">
        <is>
          <t>Pass 46 mechanism + evidence consolidation</t>
        </is>
      </c>
      <c r="AM616" t="n">
        <v>3</v>
      </c>
      <c r="AN616" t="inlineStr">
        <is>
          <t>D</t>
        </is>
      </c>
      <c r="AO616" t="inlineStr">
        <is>
          <t>Pass 47 compound scoring</t>
        </is>
      </c>
    </row>
    <row r="617">
      <c r="A617" t="inlineStr">
        <is>
          <t>withanolides withaferin a</t>
        </is>
      </c>
      <c r="B617" t="inlineStr">
        <is>
          <t>withanolides (withaferin a</t>
        </is>
      </c>
      <c r="D617" t="inlineStr">
        <is>
          <t>other</t>
        </is>
      </c>
      <c r="E617" t="inlineStr">
        <is>
          <t>insufficient evidence</t>
        </is>
      </c>
      <c r="F617" t="inlineStr">
        <is>
          <t>unclassified</t>
        </is>
      </c>
      <c r="W617" t="n">
        <v>2</v>
      </c>
      <c r="X617" t="inlineStr">
        <is>
          <t>Low</t>
        </is>
      </c>
      <c r="Z617" t="inlineStr">
        <is>
          <t>withanolides withaferin a</t>
        </is>
      </c>
      <c r="AF617" t="inlineStr">
        <is>
          <t>withanolides withaferin a</t>
        </is>
      </c>
      <c r="AH617" t="inlineStr">
        <is>
          <t>Pass 45 duplicate consolidation</t>
        </is>
      </c>
      <c r="AI617" t="inlineStr">
        <is>
          <t>other</t>
        </is>
      </c>
      <c r="AJ617" t="inlineStr">
        <is>
          <t>Unknown</t>
        </is>
      </c>
      <c r="AK617" t="inlineStr">
        <is>
          <t>unclassified</t>
        </is>
      </c>
      <c r="AL617" t="inlineStr">
        <is>
          <t>Pass 46 mechanism + evidence consolidation</t>
        </is>
      </c>
      <c r="AM617" t="n">
        <v>3</v>
      </c>
      <c r="AN617" t="inlineStr">
        <is>
          <t>D</t>
        </is>
      </c>
      <c r="AO617" t="inlineStr">
        <is>
          <t>Pass 47 compound scoring</t>
        </is>
      </c>
    </row>
    <row r="618">
      <c r="A618" t="inlineStr">
        <is>
          <t>withanone</t>
        </is>
      </c>
      <c r="B618" t="inlineStr">
        <is>
          <t>withanone</t>
        </is>
      </c>
      <c r="C618" t="inlineStr">
        <is>
          <t>WTHN</t>
        </is>
      </c>
      <c r="D618" t="inlineStr">
        <is>
          <t>withanolide / steroidal lactone</t>
        </is>
      </c>
      <c r="E618" t="inlineStr">
        <is>
          <t>proposed mechanism based on preclinical data: redox-modulating and cytostatic effects with reported interactions in cancer-focused literature involving p53-related stress signaling, proteostasis disruption, and selective tumor-cell toxicity. No established human mechanism.</t>
        </is>
      </c>
      <c r="F618" t="inlineStr">
        <is>
          <t>unclassified</t>
        </is>
      </c>
      <c r="W618" t="n">
        <v>2</v>
      </c>
      <c r="X618" t="inlineStr">
        <is>
          <t>Low</t>
        </is>
      </c>
      <c r="Z618" t="inlineStr">
        <is>
          <t>withanone</t>
        </is>
      </c>
      <c r="AF618" t="inlineStr">
        <is>
          <t>withanone</t>
        </is>
      </c>
      <c r="AH618" t="inlineStr">
        <is>
          <t>Pass 45 duplicate consolidation</t>
        </is>
      </c>
      <c r="AI618" t="inlineStr">
        <is>
          <t>withanolide / steroidal lactone</t>
        </is>
      </c>
      <c r="AJ618" t="inlineStr">
        <is>
          <t>Human</t>
        </is>
      </c>
      <c r="AK618" t="inlineStr">
        <is>
          <t>unclassified</t>
        </is>
      </c>
      <c r="AL618" t="inlineStr">
        <is>
          <t>Pass 46 mechanism + evidence consolidation</t>
        </is>
      </c>
      <c r="AM618" t="n">
        <v>7</v>
      </c>
      <c r="AN618" t="inlineStr">
        <is>
          <t>B</t>
        </is>
      </c>
      <c r="AO618" t="inlineStr">
        <is>
          <t>Pass 47 compound scoring</t>
        </is>
      </c>
    </row>
    <row r="619">
      <c r="A619" t="inlineStr">
        <is>
          <t>Withanoside IV</t>
        </is>
      </c>
      <c r="B619" t="inlineStr">
        <is>
          <t>Steroidal lactone</t>
        </is>
      </c>
      <c r="C619" t="inlineStr">
        <is>
          <t>Ashwagandha</t>
        </is>
      </c>
      <c r="D619" t="inlineStr">
        <is>
          <t>withanolide glycoside / steroidal lactone glycoside</t>
        </is>
      </c>
      <c r="E619" t="inlineStr">
        <is>
          <t>proposed mechanism based on preclinical data: neuroprotective and neurite-outgrowth-associated effects are reported in Withania studies, but no established human mechanism exists.</t>
        </is>
      </c>
      <c r="F619" t="inlineStr">
        <is>
          <t>unclassified; reinforcement</t>
        </is>
      </c>
      <c r="U619" t="inlineStr">
        <is>
          <t>Pass 45 merged 2 rows into canonical compound entry</t>
        </is>
      </c>
      <c r="W619" t="n">
        <v>3</v>
      </c>
      <c r="X619" t="inlineStr">
        <is>
          <t>Medium</t>
        </is>
      </c>
      <c r="Z619" t="inlineStr">
        <is>
          <t>Withanoside IV</t>
        </is>
      </c>
      <c r="AF619" t="inlineStr">
        <is>
          <t>withanoside iv</t>
        </is>
      </c>
      <c r="AH619" t="inlineStr">
        <is>
          <t>Pass 45 duplicate consolidation</t>
        </is>
      </c>
      <c r="AI619" t="inlineStr">
        <is>
          <t>withanolide glycoside / steroidal lactone glycoside</t>
        </is>
      </c>
      <c r="AJ619" t="inlineStr">
        <is>
          <t>Human</t>
        </is>
      </c>
      <c r="AK619" t="inlineStr">
        <is>
          <t>reinforcement; unclassified</t>
        </is>
      </c>
      <c r="AL619" t="inlineStr">
        <is>
          <t>Pass 46 mechanism + evidence consolidation</t>
        </is>
      </c>
      <c r="AM619" t="n">
        <v>8</v>
      </c>
      <c r="AN619" t="inlineStr">
        <is>
          <t>B</t>
        </is>
      </c>
      <c r="AO619" t="inlineStr">
        <is>
          <t>Pass 47 compound scoring</t>
        </is>
      </c>
    </row>
    <row r="620">
      <c r="A620" t="inlineStr">
        <is>
          <t>Withanoside V</t>
        </is>
      </c>
      <c r="B620" t="inlineStr">
        <is>
          <t>Steroidal lactone</t>
        </is>
      </c>
      <c r="C620" t="inlineStr">
        <is>
          <t>Ashwagandha</t>
        </is>
      </c>
      <c r="D620" t="inlineStr">
        <is>
          <t>withanolide glycoside / steroidal lactone glycoside</t>
        </is>
      </c>
      <c r="E620" t="inlineStr">
        <is>
          <t>proposed mechanism based on preclinical data: neuroprotective and adaptogen-associated effects are reported in Withania literature, but no established human mechanism exists.</t>
        </is>
      </c>
      <c r="F620" t="inlineStr">
        <is>
          <t>unclassified; reinforcement</t>
        </is>
      </c>
      <c r="U620" t="inlineStr">
        <is>
          <t>Pass 45 merged 2 rows into canonical compound entry</t>
        </is>
      </c>
      <c r="W620" t="n">
        <v>3</v>
      </c>
      <c r="X620" t="inlineStr">
        <is>
          <t>Medium</t>
        </is>
      </c>
      <c r="Z620" t="inlineStr">
        <is>
          <t>Withanoside V</t>
        </is>
      </c>
      <c r="AF620" t="inlineStr">
        <is>
          <t>withanoside v</t>
        </is>
      </c>
      <c r="AH620" t="inlineStr">
        <is>
          <t>Pass 45 duplicate consolidation</t>
        </is>
      </c>
      <c r="AI620" t="inlineStr">
        <is>
          <t>withanolide glycoside / steroidal lactone glycoside</t>
        </is>
      </c>
      <c r="AJ620" t="inlineStr">
        <is>
          <t>Human</t>
        </is>
      </c>
      <c r="AK620" t="inlineStr">
        <is>
          <t>reinforcement; unclassified</t>
        </is>
      </c>
      <c r="AL620" t="inlineStr">
        <is>
          <t>Pass 46 mechanism + evidence consolidation</t>
        </is>
      </c>
      <c r="AM620" t="n">
        <v>8</v>
      </c>
      <c r="AN620" t="inlineStr">
        <is>
          <t>B</t>
        </is>
      </c>
      <c r="AO620" t="inlineStr">
        <is>
          <t>Pass 47 compound scoring</t>
        </is>
      </c>
    </row>
    <row r="621">
      <c r="A621" t="inlineStr">
        <is>
          <t>wogonin</t>
        </is>
      </c>
      <c r="B621" t="inlineStr">
        <is>
          <t>wogonin</t>
        </is>
      </c>
      <c r="C621" t="inlineStr">
        <is>
          <t>Chinese Skullcap</t>
        </is>
      </c>
      <c r="D621" t="inlineStr">
        <is>
          <t>other</t>
        </is>
      </c>
      <c r="E621" t="inlineStr">
        <is>
          <t>American skullcap flavonoids are associated with anticonvulsant and anxiolytic activity; GABAergic signaling and broader neuroinhibitory effects have been proposed in preclinical work.</t>
        </is>
      </c>
      <c r="F621" t="inlineStr">
        <is>
          <t>unclassified</t>
        </is>
      </c>
      <c r="U621" t="inlineStr">
        <is>
          <t>Pass 13 linked existing compound to additional top herb</t>
        </is>
      </c>
      <c r="W621" t="n">
        <v>2</v>
      </c>
      <c r="X621" t="inlineStr">
        <is>
          <t>Low</t>
        </is>
      </c>
      <c r="Z621" t="inlineStr">
        <is>
          <t>wogonin</t>
        </is>
      </c>
      <c r="AF621" t="inlineStr">
        <is>
          <t>wogonin</t>
        </is>
      </c>
      <c r="AH621" t="inlineStr">
        <is>
          <t>Pass 45 duplicate consolidation</t>
        </is>
      </c>
      <c r="AI621" t="inlineStr">
        <is>
          <t>other</t>
        </is>
      </c>
      <c r="AJ621" t="inlineStr">
        <is>
          <t>Clinical</t>
        </is>
      </c>
      <c r="AK621" t="inlineStr">
        <is>
          <t>unclassified</t>
        </is>
      </c>
      <c r="AL621" t="inlineStr">
        <is>
          <t>Pass 46 mechanism + evidence consolidation</t>
        </is>
      </c>
      <c r="AM621" t="n">
        <v>6</v>
      </c>
      <c r="AN621" t="inlineStr">
        <is>
          <t>C</t>
        </is>
      </c>
      <c r="AO621" t="inlineStr">
        <is>
          <t>Pass 47 compound scoring</t>
        </is>
      </c>
    </row>
    <row r="622">
      <c r="A622" t="inlineStr">
        <is>
          <t>Wogonoside</t>
        </is>
      </c>
      <c r="B622" t="inlineStr">
        <is>
          <t>Flavonoid</t>
        </is>
      </c>
      <c r="C622" t="inlineStr">
        <is>
          <t>Chinese Skullcap</t>
        </is>
      </c>
      <c r="D622" t="inlineStr">
        <is>
          <t>Anti-inflammatory</t>
        </is>
      </c>
      <c r="E622" t="inlineStr">
        <is>
          <t>Animal</t>
        </is>
      </c>
      <c r="F622" t="inlineStr">
        <is>
          <t>NF-kB inhibition</t>
        </is>
      </c>
      <c r="U622" t="inlineStr">
        <is>
          <t>Pass 13 added real compound for top herb</t>
        </is>
      </c>
      <c r="W622" t="n">
        <v>3</v>
      </c>
      <c r="X622" t="inlineStr">
        <is>
          <t>Low</t>
        </is>
      </c>
      <c r="Z622" t="inlineStr">
        <is>
          <t>Wogonoside</t>
        </is>
      </c>
      <c r="AF622" t="inlineStr">
        <is>
          <t>wogonoside</t>
        </is>
      </c>
      <c r="AH622" t="inlineStr">
        <is>
          <t>Pass 45 duplicate consolidation</t>
        </is>
      </c>
      <c r="AI622" t="inlineStr">
        <is>
          <t>Anti-inflammatory</t>
        </is>
      </c>
      <c r="AJ622" t="inlineStr">
        <is>
          <t>Preclinical</t>
        </is>
      </c>
      <c r="AK622" t="inlineStr">
        <is>
          <t>nf-kb inhibition</t>
        </is>
      </c>
      <c r="AL622" t="inlineStr">
        <is>
          <t>Pass 46 mechanism + evidence consolidation</t>
        </is>
      </c>
      <c r="AM622" t="n">
        <v>4</v>
      </c>
      <c r="AN622" t="inlineStr">
        <is>
          <t>C</t>
        </is>
      </c>
      <c r="AO622" t="inlineStr">
        <is>
          <t>Pass 47 compound scoring</t>
        </is>
      </c>
    </row>
    <row r="623">
      <c r="A623" t="inlineStr">
        <is>
          <t>xanthoangelol</t>
        </is>
      </c>
      <c r="B623" t="inlineStr">
        <is>
          <t>xanthoangelol</t>
        </is>
      </c>
      <c r="D623" t="inlineStr">
        <is>
          <t>prenylated chalcone</t>
        </is>
      </c>
      <c r="E623" t="inlineStr">
        <is>
          <t>Prenylated chalcone from Ashitaba studied for anti-inflammatory and metabolic signaling effects in preclinical literature.</t>
        </is>
      </c>
      <c r="F623" t="inlineStr">
        <is>
          <t>unclassified</t>
        </is>
      </c>
      <c r="W623" t="n">
        <v>2</v>
      </c>
      <c r="X623" t="inlineStr">
        <is>
          <t>Low</t>
        </is>
      </c>
      <c r="Z623" t="inlineStr">
        <is>
          <t>xanthoangelol</t>
        </is>
      </c>
      <c r="AF623" t="inlineStr">
        <is>
          <t>xanthoangelol</t>
        </is>
      </c>
      <c r="AH623" t="inlineStr">
        <is>
          <t>Pass 45 duplicate consolidation</t>
        </is>
      </c>
      <c r="AI623" t="inlineStr">
        <is>
          <t>prenylated chalcone</t>
        </is>
      </c>
      <c r="AJ623" t="inlineStr">
        <is>
          <t>Clinical</t>
        </is>
      </c>
      <c r="AK623" t="inlineStr">
        <is>
          <t>unclassified</t>
        </is>
      </c>
      <c r="AL623" t="inlineStr">
        <is>
          <t>Pass 46 mechanism + evidence consolidation</t>
        </is>
      </c>
      <c r="AM623" t="n">
        <v>6</v>
      </c>
      <c r="AN623" t="inlineStr">
        <is>
          <t>C</t>
        </is>
      </c>
      <c r="AO623" t="inlineStr">
        <is>
          <t>Pass 47 compound scoring</t>
        </is>
      </c>
    </row>
    <row r="624">
      <c r="A624" t="inlineStr">
        <is>
          <t>xanthohumol</t>
        </is>
      </c>
      <c r="B624" t="inlineStr">
        <is>
          <t>xanthohumol</t>
        </is>
      </c>
      <c r="D624" t="inlineStr">
        <is>
          <t>other</t>
        </is>
      </c>
      <c r="E624" t="inlineStr">
        <is>
          <t>insufficient evidence</t>
        </is>
      </c>
      <c r="F624" t="inlineStr">
        <is>
          <t>unclassified</t>
        </is>
      </c>
      <c r="W624" t="n">
        <v>2</v>
      </c>
      <c r="X624" t="inlineStr">
        <is>
          <t>Low</t>
        </is>
      </c>
      <c r="Z624" t="inlineStr">
        <is>
          <t>xanthohumol</t>
        </is>
      </c>
      <c r="AF624" t="inlineStr">
        <is>
          <t>xanthohumol</t>
        </is>
      </c>
      <c r="AH624" t="inlineStr">
        <is>
          <t>Pass 45 duplicate consolidation</t>
        </is>
      </c>
      <c r="AI624" t="inlineStr">
        <is>
          <t>other</t>
        </is>
      </c>
      <c r="AJ624" t="inlineStr">
        <is>
          <t>Unknown</t>
        </is>
      </c>
      <c r="AK624" t="inlineStr">
        <is>
          <t>unclassified</t>
        </is>
      </c>
      <c r="AL624" t="inlineStr">
        <is>
          <t>Pass 46 mechanism + evidence consolidation</t>
        </is>
      </c>
      <c r="AM624" t="n">
        <v>3</v>
      </c>
      <c r="AN624" t="inlineStr">
        <is>
          <t>D</t>
        </is>
      </c>
      <c r="AO624" t="inlineStr">
        <is>
          <t>Pass 47 compound scoring</t>
        </is>
      </c>
    </row>
    <row r="625">
      <c r="A625" t="inlineStr">
        <is>
          <t>xanthotoxol</t>
        </is>
      </c>
      <c r="B625" t="inlineStr">
        <is>
          <t>xanthotoxol</t>
        </is>
      </c>
      <c r="D625" t="inlineStr">
        <is>
          <t>other</t>
        </is>
      </c>
      <c r="E625" t="inlineStr">
        <is>
          <t>insufficient evidence</t>
        </is>
      </c>
      <c r="F625" t="inlineStr">
        <is>
          <t>unclassified</t>
        </is>
      </c>
      <c r="W625" t="n">
        <v>2</v>
      </c>
      <c r="X625" t="inlineStr">
        <is>
          <t>Low</t>
        </is>
      </c>
      <c r="Z625" t="inlineStr">
        <is>
          <t>xanthotoxol</t>
        </is>
      </c>
      <c r="AF625" t="inlineStr">
        <is>
          <t>xanthotoxol</t>
        </is>
      </c>
      <c r="AH625" t="inlineStr">
        <is>
          <t>Pass 45 duplicate consolidation</t>
        </is>
      </c>
      <c r="AI625" t="inlineStr">
        <is>
          <t>other</t>
        </is>
      </c>
      <c r="AJ625" t="inlineStr">
        <is>
          <t>Unknown</t>
        </is>
      </c>
      <c r="AK625" t="inlineStr">
        <is>
          <t>unclassified</t>
        </is>
      </c>
      <c r="AL625" t="inlineStr">
        <is>
          <t>Pass 46 mechanism + evidence consolidation</t>
        </is>
      </c>
      <c r="AM625" t="n">
        <v>3</v>
      </c>
      <c r="AN625" t="inlineStr">
        <is>
          <t>D</t>
        </is>
      </c>
      <c r="AO625" t="inlineStr">
        <is>
          <t>Pass 47 compound scoring</t>
        </is>
      </c>
    </row>
    <row r="626">
      <c r="A626" t="inlineStr">
        <is>
          <t>xanthumin</t>
        </is>
      </c>
      <c r="B626" t="inlineStr">
        <is>
          <t>xanthumin</t>
        </is>
      </c>
      <c r="D626" t="inlineStr">
        <is>
          <t>Xanthumin, sesquiterpene lactones</t>
        </is>
      </c>
      <c r="E626" t="inlineStr">
        <is>
          <t>insufficient evidence</t>
        </is>
      </c>
      <c r="F626" t="inlineStr">
        <is>
          <t>unclassified</t>
        </is>
      </c>
      <c r="W626" t="n">
        <v>2</v>
      </c>
      <c r="X626" t="inlineStr">
        <is>
          <t>Low</t>
        </is>
      </c>
      <c r="Z626" t="inlineStr">
        <is>
          <t>xanthumin</t>
        </is>
      </c>
      <c r="AF626" t="inlineStr">
        <is>
          <t>xanthumin</t>
        </is>
      </c>
      <c r="AH626" t="inlineStr">
        <is>
          <t>Pass 45 duplicate consolidation</t>
        </is>
      </c>
      <c r="AI626" t="inlineStr">
        <is>
          <t>Xanthumin, sesquiterpene lactones</t>
        </is>
      </c>
      <c r="AJ626" t="inlineStr">
        <is>
          <t>Unknown</t>
        </is>
      </c>
      <c r="AK626" t="inlineStr">
        <is>
          <t>unclassified</t>
        </is>
      </c>
      <c r="AL626" t="inlineStr">
        <is>
          <t>Pass 46 mechanism + evidence consolidation</t>
        </is>
      </c>
      <c r="AM626" t="n">
        <v>3</v>
      </c>
      <c r="AN626" t="inlineStr">
        <is>
          <t>D</t>
        </is>
      </c>
      <c r="AO626" t="inlineStr">
        <is>
          <t>Pass 47 compound scoring</t>
        </is>
      </c>
    </row>
    <row r="627">
      <c r="A627" t="inlineStr">
        <is>
          <t>yangonin</t>
        </is>
      </c>
      <c r="B627" t="inlineStr">
        <is>
          <t>yangonin</t>
        </is>
      </c>
      <c r="D627" t="inlineStr">
        <is>
          <t>other</t>
        </is>
      </c>
      <c r="E627" t="inlineStr">
        <is>
          <t>Kavalactones modulate GABA_A receptor activity, inhibit voltage-gated sodium and calcium channels, and influence dopamine signaling.</t>
        </is>
      </c>
      <c r="F627" t="inlineStr">
        <is>
          <t>unclassified</t>
        </is>
      </c>
      <c r="W627" t="n">
        <v>2</v>
      </c>
      <c r="X627" t="inlineStr">
        <is>
          <t>Low</t>
        </is>
      </c>
      <c r="Z627" t="inlineStr">
        <is>
          <t>yangonin</t>
        </is>
      </c>
      <c r="AF627" t="inlineStr">
        <is>
          <t>yangonin</t>
        </is>
      </c>
      <c r="AH627" t="inlineStr">
        <is>
          <t>Pass 45 duplicate consolidation</t>
        </is>
      </c>
      <c r="AI627" t="inlineStr">
        <is>
          <t>other</t>
        </is>
      </c>
      <c r="AJ627" t="inlineStr">
        <is>
          <t>Unknown</t>
        </is>
      </c>
      <c r="AK627" t="inlineStr">
        <is>
          <t>unclassified</t>
        </is>
      </c>
      <c r="AL627" t="inlineStr">
        <is>
          <t>Pass 46 mechanism + evidence consolidation</t>
        </is>
      </c>
      <c r="AM627" t="n">
        <v>3</v>
      </c>
      <c r="AN627" t="inlineStr">
        <is>
          <t>D</t>
        </is>
      </c>
      <c r="AO627" t="inlineStr">
        <is>
          <t>Pass 47 compound scoring</t>
        </is>
      </c>
    </row>
    <row r="628">
      <c r="A628" t="inlineStr">
        <is>
          <t>Yohimbine</t>
        </is>
      </c>
      <c r="B628" t="inlineStr">
        <is>
          <t>yohimbine</t>
        </is>
      </c>
      <c r="C628" t="inlineStr">
        <is>
          <t>Pausinystalia yohimbe</t>
        </is>
      </c>
      <c r="D628" t="inlineStr">
        <is>
          <t>Adrenergic antagonist</t>
        </is>
      </c>
      <c r="E628" t="inlineStr">
        <is>
          <t>Alpha-2 adrenergic antagonist associated with stimulant and sympathomimetic effects.</t>
        </is>
      </c>
      <c r="F628" t="inlineStr">
        <is>
          <t>unclassified; adrenergic signaling; alpha-2 adrenergic antagonism</t>
        </is>
      </c>
      <c r="U628" t="inlineStr">
        <is>
          <t>Pass 45 merged 2 rows into canonical compound entry</t>
        </is>
      </c>
      <c r="W628" t="n">
        <v>5</v>
      </c>
      <c r="X628" t="inlineStr">
        <is>
          <t>High</t>
        </is>
      </c>
      <c r="Z628" t="inlineStr">
        <is>
          <t>Yohimbine</t>
        </is>
      </c>
      <c r="AF628" t="inlineStr">
        <is>
          <t>yohimbine</t>
        </is>
      </c>
      <c r="AH628" t="inlineStr">
        <is>
          <t>Pass 45 duplicate consolidation</t>
        </is>
      </c>
      <c r="AI628" t="inlineStr">
        <is>
          <t>Adrenergic antagonist</t>
        </is>
      </c>
      <c r="AJ628" t="inlineStr">
        <is>
          <t>Unknown</t>
        </is>
      </c>
      <c r="AK628" t="inlineStr">
        <is>
          <t>adrenergic signaling; alpha-2 adrenergic antagonism; unclassified</t>
        </is>
      </c>
      <c r="AL628" t="inlineStr">
        <is>
          <t>Pass 46 mechanism + evidence consolidation</t>
        </is>
      </c>
      <c r="AM628" t="n">
        <v>5</v>
      </c>
      <c r="AN628" t="inlineStr">
        <is>
          <t>C</t>
        </is>
      </c>
      <c r="AO628" t="inlineStr">
        <is>
          <t>Pass 47 compound scoring</t>
        </is>
      </c>
    </row>
    <row r="629">
      <c r="A629" t="inlineStr">
        <is>
          <t>zerumbone</t>
        </is>
      </c>
      <c r="B629" t="inlineStr">
        <is>
          <t>zerumbone</t>
        </is>
      </c>
      <c r="D629" t="inlineStr">
        <is>
          <t>sesquiterpenes</t>
        </is>
      </c>
      <c r="E629" t="inlineStr">
        <is>
          <t>Zerumbone is the best-characterized constituent and shows anti-inflammatory and immunomodulatory effects in preclinical models.</t>
        </is>
      </c>
      <c r="F629" t="inlineStr">
        <is>
          <t>unclassified</t>
        </is>
      </c>
      <c r="W629" t="n">
        <v>2</v>
      </c>
      <c r="X629" t="inlineStr">
        <is>
          <t>Low</t>
        </is>
      </c>
      <c r="Z629" t="inlineStr">
        <is>
          <t>zerumbone</t>
        </is>
      </c>
      <c r="AF629" t="inlineStr">
        <is>
          <t>zerumbone</t>
        </is>
      </c>
      <c r="AH629" t="inlineStr">
        <is>
          <t>Pass 45 duplicate consolidation</t>
        </is>
      </c>
      <c r="AI629" t="inlineStr">
        <is>
          <t>sesquiterpenes</t>
        </is>
      </c>
      <c r="AJ629" t="inlineStr">
        <is>
          <t>Clinical</t>
        </is>
      </c>
      <c r="AK629" t="inlineStr">
        <is>
          <t>unclassified</t>
        </is>
      </c>
      <c r="AL629" t="inlineStr">
        <is>
          <t>Pass 46 mechanism + evidence consolidation</t>
        </is>
      </c>
      <c r="AM629" t="n">
        <v>6</v>
      </c>
      <c r="AN629" t="inlineStr">
        <is>
          <t>C</t>
        </is>
      </c>
      <c r="AO629" t="inlineStr">
        <is>
          <t>Pass 47 compound scoring</t>
        </is>
      </c>
    </row>
    <row r="630">
      <c r="A630" t="inlineStr">
        <is>
          <t>zinc</t>
        </is>
      </c>
      <c r="B630" t="inlineStr">
        <is>
          <t>zinc</t>
        </is>
      </c>
      <c r="D630" t="inlineStr">
        <is>
          <t>trace mineral</t>
        </is>
      </c>
      <c r="E630" t="inlineStr">
        <is>
          <t>Cofactor regulating metallothioneins and zinc transporters (ZIP/ZnT)</t>
        </is>
      </c>
      <c r="F630" t="inlineStr">
        <is>
          <t>unclassified</t>
        </is>
      </c>
      <c r="W630" t="n">
        <v>2</v>
      </c>
      <c r="X630" t="inlineStr">
        <is>
          <t>Low</t>
        </is>
      </c>
      <c r="Z630" t="inlineStr">
        <is>
          <t>zinc</t>
        </is>
      </c>
      <c r="AF630" t="inlineStr">
        <is>
          <t>zinc</t>
        </is>
      </c>
      <c r="AH630" t="inlineStr">
        <is>
          <t>Pass 45 duplicate consolidation</t>
        </is>
      </c>
      <c r="AI630" t="inlineStr">
        <is>
          <t>trace mineral</t>
        </is>
      </c>
      <c r="AJ630" t="inlineStr">
        <is>
          <t>Unknown</t>
        </is>
      </c>
      <c r="AK630" t="inlineStr">
        <is>
          <t>unclassified</t>
        </is>
      </c>
      <c r="AL630" t="inlineStr">
        <is>
          <t>Pass 46 mechanism + evidence consolidation</t>
        </is>
      </c>
      <c r="AM630" t="n">
        <v>3</v>
      </c>
      <c r="AN630" t="inlineStr">
        <is>
          <t>D</t>
        </is>
      </c>
      <c r="AO630" t="inlineStr">
        <is>
          <t>Pass 47 compound scoring</t>
        </is>
      </c>
    </row>
    <row r="631">
      <c r="A631" t="inlineStr">
        <is>
          <t>zingerone</t>
        </is>
      </c>
      <c r="B631" t="inlineStr">
        <is>
          <t>zingerone</t>
        </is>
      </c>
      <c r="D631" t="inlineStr">
        <is>
          <t>other</t>
        </is>
      </c>
      <c r="E631" t="inlineStr">
        <is>
          <t>insufficient evidence</t>
        </is>
      </c>
      <c r="F631" t="inlineStr">
        <is>
          <t>unclassified</t>
        </is>
      </c>
      <c r="W631" t="n">
        <v>2</v>
      </c>
      <c r="X631" t="inlineStr">
        <is>
          <t>Low</t>
        </is>
      </c>
      <c r="Z631" t="inlineStr">
        <is>
          <t>zingerone</t>
        </is>
      </c>
      <c r="AF631" t="inlineStr">
        <is>
          <t>zingerone</t>
        </is>
      </c>
      <c r="AH631" t="inlineStr">
        <is>
          <t>Pass 45 duplicate consolidation</t>
        </is>
      </c>
      <c r="AI631" t="inlineStr">
        <is>
          <t>other</t>
        </is>
      </c>
      <c r="AJ631" t="inlineStr">
        <is>
          <t>Unknown</t>
        </is>
      </c>
      <c r="AK631" t="inlineStr">
        <is>
          <t>unclassified</t>
        </is>
      </c>
      <c r="AL631" t="inlineStr">
        <is>
          <t>Pass 46 mechanism + evidence consolidation</t>
        </is>
      </c>
      <c r="AM631" t="n">
        <v>3</v>
      </c>
      <c r="AN631" t="inlineStr">
        <is>
          <t>D</t>
        </is>
      </c>
      <c r="AO631" t="inlineStr">
        <is>
          <t>Pass 47 compound scoring</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227"/>
  <sheetViews>
    <sheetView workbookViewId="0">
      <selection activeCell="A1" sqref="A1"/>
    </sheetView>
  </sheetViews>
  <sheetFormatPr baseColWidth="8" defaultRowHeight="15"/>
  <cols>
    <col width="19" customWidth="1" min="1" max="1"/>
    <col width="19" customWidth="1" min="2" max="2"/>
    <col width="28" customWidth="1" min="3" max="3"/>
    <col width="24" customWidth="1" min="4" max="4"/>
    <col width="22" customWidth="1" min="5" max="5"/>
    <col width="10" customWidth="1" min="6" max="6"/>
    <col width="21" customWidth="1" min="7" max="7"/>
    <col width="21" customWidth="1" min="8" max="8"/>
    <col width="17" customWidth="1" min="9" max="9"/>
    <col width="27" customWidth="1" min="10" max="10"/>
    <col width="21" customWidth="1" min="11" max="11"/>
    <col width="20" customWidth="1" min="12" max="12"/>
    <col width="25" customWidth="1" min="13" max="13"/>
    <col width="28" customWidth="1" min="14" max="14"/>
    <col width="28" customWidth="1" min="15" max="15"/>
    <col width="28" customWidth="1" min="16" max="16"/>
    <col width="28" customWidth="1" min="17" max="17"/>
  </cols>
  <sheetData>
    <row r="1">
      <c r="A1" s="6" t="inlineStr">
        <is>
          <t>herbSlug</t>
        </is>
      </c>
      <c r="B1" s="6" t="inlineStr">
        <is>
          <t>herbName</t>
        </is>
      </c>
      <c r="C1" s="6" t="inlineStr">
        <is>
          <t>rawCompound</t>
        </is>
      </c>
      <c r="D1" s="6" t="inlineStr">
        <is>
          <t>normalizedAtom</t>
        </is>
      </c>
      <c r="E1" s="6" t="inlineStr">
        <is>
          <t>parentClass</t>
        </is>
      </c>
      <c r="F1" s="6" t="inlineStr">
        <is>
          <t>aliasUsed</t>
        </is>
      </c>
      <c r="G1" s="6" t="inlineStr">
        <is>
          <t>canonicalCompoundId</t>
        </is>
      </c>
      <c r="H1" s="6" t="inlineStr">
        <is>
          <t>canonicalCompoundName</t>
        </is>
      </c>
      <c r="I1" s="6" t="inlineStr">
        <is>
          <t>v3MatchType</t>
        </is>
      </c>
      <c r="J1" s="6" t="inlineStr">
        <is>
          <t>normalizationStrategy</t>
        </is>
      </c>
      <c r="K1" s="6" t="inlineStr">
        <is>
          <t>mappingTier</t>
        </is>
      </c>
      <c r="L1" s="6" t="inlineStr">
        <is>
          <t>externalHerbSupport</t>
        </is>
      </c>
      <c r="M1" s="6" t="inlineStr">
        <is>
          <t>compoundPresentInMasterV3</t>
        </is>
      </c>
      <c r="N1" s="6" t="inlineStr">
        <is>
          <t>mechanismTags</t>
        </is>
      </c>
      <c r="O1" s="6" t="inlineStr">
        <is>
          <t>pathwayTargets</t>
        </is>
      </c>
      <c r="P1" s="6" t="inlineStr">
        <is>
          <t>sourceUrls</t>
        </is>
      </c>
      <c r="Q1" s="6" t="inlineStr">
        <is>
          <t>notes</t>
        </is>
      </c>
      <c r="R1" t="inlineStr">
        <is>
          <t>Pass 27 Note</t>
        </is>
      </c>
      <c r="S1" t="inlineStr">
        <is>
          <t>Pass 39 Note</t>
        </is>
      </c>
      <c r="T1" t="inlineStr">
        <is>
          <t>Pass 42 Note</t>
        </is>
      </c>
      <c r="U1" t="inlineStr">
        <is>
          <t>Pass 43 Note</t>
        </is>
      </c>
      <c r="V1" t="inlineStr">
        <is>
          <t>Pass 44 Note</t>
        </is>
      </c>
      <c r="W1" t="inlineStr">
        <is>
          <t>Pass 45 Note</t>
        </is>
      </c>
    </row>
    <row r="2">
      <c r="A2" s="68" t="inlineStr">
        <is>
          <t>ashwagandha</t>
        </is>
      </c>
      <c r="B2" s="68" t="inlineStr">
        <is>
          <t>Ashwagandha</t>
        </is>
      </c>
      <c r="C2" s="68" t="inlineStr">
        <is>
          <t>Withaferin A</t>
        </is>
      </c>
      <c r="D2" s="68" t="inlineStr">
        <is>
          <t>withaferin a</t>
        </is>
      </c>
      <c r="E2" s="68" t="n"/>
      <c r="F2" s="68" t="n"/>
      <c r="G2" s="68" t="inlineStr">
        <is>
          <t>withaferin-a</t>
        </is>
      </c>
      <c r="H2" s="68" t="inlineStr">
        <is>
          <t>Withaferin A</t>
        </is>
      </c>
      <c r="I2" s="68" t="inlineStr">
        <is>
          <t>exact-normalized</t>
        </is>
      </c>
      <c r="J2" s="68" t="inlineStr">
        <is>
          <t>direct</t>
        </is>
      </c>
      <c r="K2" s="68" t="inlineStr">
        <is>
          <t>master-linked</t>
        </is>
      </c>
      <c r="L2" s="68" t="inlineStr">
        <is>
          <t>Yes</t>
        </is>
      </c>
      <c r="M2" s="68" t="inlineStr">
        <is>
          <t>Yes</t>
        </is>
      </c>
      <c r="N2" s="68" t="inlineStr">
        <is>
          <t>anti-inflammatory; multi-target signaling modulation</t>
        </is>
      </c>
      <c r="O2" s="68" t="inlineStr">
        <is>
          <t>HSP90; vimentin; IKKbeta; NF-kappaB; EMT-related signaling</t>
        </is>
      </c>
      <c r="P2" s="68" t="inlineStr">
        <is>
          <t>https://pubchem.ncbi.nlm.nih.gov/compound/Withaferin-A | https://pubmed.ncbi.nlm.nih.gov/?term=withaferin+A+HSP90 | https://www.nccih.nih.gov/health/ashwagandha</t>
        </is>
      </c>
      <c r="Q2" s="68" t="inlineStr">
        <is>
          <t>Locked in Batch 3 and linked to compound master record.</t>
        </is>
      </c>
      <c r="R2" t="inlineStr">
        <is>
          <t>Pass 27 compound-layer alignment</t>
        </is>
      </c>
      <c r="V2" t="inlineStr">
        <is>
          <t>Pass 44 normalization</t>
        </is>
      </c>
      <c r="W2" t="inlineStr">
        <is>
          <t>Pass 45 duplicate consolidation alignment</t>
        </is>
      </c>
    </row>
    <row r="3">
      <c r="A3" s="68" t="inlineStr">
        <is>
          <t>black-cohosh</t>
        </is>
      </c>
      <c r="B3" s="68" t="inlineStr">
        <is>
          <t>Black Cohosh</t>
        </is>
      </c>
      <c r="C3" s="68" t="inlineStr">
        <is>
          <t>triterpene glycosides (actein, 23-epi-26-deoxyactein)</t>
        </is>
      </c>
      <c r="D3" s="68" t="inlineStr">
        <is>
          <t>triterpene glycosides actein 23 epi 26 deoxyactein</t>
        </is>
      </c>
      <c r="E3" s="68" t="inlineStr">
        <is>
          <t>triterpene glycosides</t>
        </is>
      </c>
      <c r="F3" s="68" t="n"/>
      <c r="G3" s="68" t="inlineStr">
        <is>
          <t>triterpene-glycosides-actein-23-epi-26-deoxyactein</t>
        </is>
      </c>
      <c r="H3" s="68" t="inlineStr">
        <is>
          <t>triterpene glycosides (actein, 23-epi-26-deoxyactein)</t>
        </is>
      </c>
      <c r="I3" s="68" t="inlineStr">
        <is>
          <t>exact-normalized</t>
        </is>
      </c>
      <c r="J3" s="68" t="inlineStr">
        <is>
          <t>parenthetical-specific-list</t>
        </is>
      </c>
      <c r="K3" s="68" t="inlineStr">
        <is>
          <t>master-linked</t>
        </is>
      </c>
      <c r="L3" s="68" t="inlineStr">
        <is>
          <t>No</t>
        </is>
      </c>
      <c r="M3" s="68" t="inlineStr">
        <is>
          <t>Yes</t>
        </is>
      </c>
      <c r="N3" s="68" t="inlineStr">
        <is>
          <t>anti-inflammatory; multi-target signaling modulation</t>
        </is>
      </c>
      <c r="O3" s="68" t="inlineStr">
        <is>
          <t>NF-kB; calcium signaling; nitric oxide</t>
        </is>
      </c>
      <c r="P3" s="68" t="inlineStr">
        <is>
          <t>https://pubmed.ncbi.nlm.nih.gov/21614156/ | https://www.ema.europa.eu/en/documents/herbal-report/final-assessment-report-actaea-racemosa-l-rhizoma_en.pdf</t>
        </is>
      </c>
      <c r="Q3" s="68" t="inlineStr">
        <is>
          <t>Locked in batch 1 and linked to compound master record.</t>
        </is>
      </c>
      <c r="R3" t="inlineStr">
        <is>
          <t>Pass 27 compound-layer alignment</t>
        </is>
      </c>
      <c r="V3" t="inlineStr">
        <is>
          <t>Pass 44 normalization</t>
        </is>
      </c>
      <c r="W3" t="inlineStr">
        <is>
          <t>Pass 45 duplicate consolidation alignment</t>
        </is>
      </c>
    </row>
    <row r="4">
      <c r="A4" s="68" t="inlineStr">
        <is>
          <t>echinacea-purpurea</t>
        </is>
      </c>
      <c r="B4" s="68" t="inlineStr">
        <is>
          <t>Echinacea Purpurea</t>
        </is>
      </c>
      <c r="C4" s="68" t="inlineStr">
        <is>
          <t>alkamides</t>
        </is>
      </c>
      <c r="D4" s="68" t="inlineStr">
        <is>
          <t>alkamides</t>
        </is>
      </c>
      <c r="E4" s="68" t="n"/>
      <c r="F4" s="68" t="n"/>
      <c r="G4" s="68" t="inlineStr">
        <is>
          <t>alkamides</t>
        </is>
      </c>
      <c r="H4" s="68" t="inlineStr">
        <is>
          <t>alkamides</t>
        </is>
      </c>
      <c r="I4" s="68" t="inlineStr">
        <is>
          <t>no-master-match</t>
        </is>
      </c>
      <c r="J4" s="68" t="inlineStr">
        <is>
          <t>direct</t>
        </is>
      </c>
      <c r="K4" s="68" t="inlineStr">
        <is>
          <t>broad-class-retained</t>
        </is>
      </c>
      <c r="L4" s="68" t="inlineStr">
        <is>
          <t>No</t>
        </is>
      </c>
      <c r="M4" s="68" t="inlineStr">
        <is>
          <t>No</t>
        </is>
      </c>
      <c r="N4" s="68" t="n"/>
      <c r="O4" s="68" t="n"/>
      <c r="P4" s="68" t="n"/>
      <c r="Q4" s="68" t="inlineStr">
        <is>
          <t>Broad class retained for context; not treated as atomic compound.</t>
        </is>
      </c>
      <c r="R4" t="inlineStr">
        <is>
          <t>Pass 27 compound-layer alignment</t>
        </is>
      </c>
      <c r="V4" t="inlineStr">
        <is>
          <t>Pass 44 normalization</t>
        </is>
      </c>
      <c r="W4" t="inlineStr">
        <is>
          <t>Pass 45 duplicate consolidation alignment</t>
        </is>
      </c>
    </row>
    <row r="5">
      <c r="A5" s="68" t="inlineStr">
        <is>
          <t>garlic</t>
        </is>
      </c>
      <c r="B5" s="68" t="inlineStr">
        <is>
          <t>Garlic</t>
        </is>
      </c>
      <c r="C5" s="68" t="inlineStr">
        <is>
          <t>diallyl sulfide</t>
        </is>
      </c>
      <c r="D5" s="68" t="inlineStr">
        <is>
          <t>diallyl sulfide</t>
        </is>
      </c>
      <c r="E5" s="68" t="n"/>
      <c r="F5" s="68" t="n"/>
      <c r="G5" s="68" t="inlineStr">
        <is>
          <t>diallyl-sulfide</t>
        </is>
      </c>
      <c r="H5" s="68" t="inlineStr">
        <is>
          <t>diallyl sulfide</t>
        </is>
      </c>
      <c r="I5" s="68" t="inlineStr">
        <is>
          <t>exact-normalized</t>
        </is>
      </c>
      <c r="J5" s="68" t="inlineStr">
        <is>
          <t>direct</t>
        </is>
      </c>
      <c r="K5" s="68" t="inlineStr">
        <is>
          <t>master-linked</t>
        </is>
      </c>
      <c r="L5" s="68" t="inlineStr">
        <is>
          <t>Yes</t>
        </is>
      </c>
      <c r="M5" s="68" t="inlineStr">
        <is>
          <t>Yes</t>
        </is>
      </c>
      <c r="N5" s="68" t="inlineStr">
        <is>
          <t>detoxification; metabolic modulation</t>
        </is>
      </c>
      <c r="O5" s="68" t="inlineStr">
        <is>
          <t>CYP450 modulation; antioxidant pathways</t>
        </is>
      </c>
      <c r="P5" s="68" t="inlineStr">
        <is>
          <t>https://pubchem.ncbi.nlm.nih.gov/compound/Diallyl-sulfide</t>
        </is>
      </c>
      <c r="Q5" s="68" t="inlineStr">
        <is>
          <t>Consistency cleanup pass linked row to latest compound master record.</t>
        </is>
      </c>
      <c r="R5" t="inlineStr">
        <is>
          <t>Pass 27 compound-layer alignment</t>
        </is>
      </c>
      <c r="V5" t="inlineStr">
        <is>
          <t>Pass 44 normalization</t>
        </is>
      </c>
      <c r="W5" t="inlineStr">
        <is>
          <t>Pass 45 duplicate consolidation alignment</t>
        </is>
      </c>
    </row>
    <row r="6">
      <c r="A6" s="68" t="inlineStr">
        <is>
          <t>ginger</t>
        </is>
      </c>
      <c r="B6" s="68" t="inlineStr">
        <is>
          <t>Ginger</t>
        </is>
      </c>
      <c r="C6" s="68" t="inlineStr">
        <is>
          <t>6-Gingerol</t>
        </is>
      </c>
      <c r="D6" s="68" t="inlineStr">
        <is>
          <t>6 gingerol</t>
        </is>
      </c>
      <c r="E6" s="68" t="n"/>
      <c r="F6" s="68" t="n"/>
      <c r="G6" s="68" t="inlineStr">
        <is>
          <t>6-gingerol</t>
        </is>
      </c>
      <c r="H6" s="68" t="inlineStr">
        <is>
          <t>6-Gingerol</t>
        </is>
      </c>
      <c r="I6" s="68" t="inlineStr">
        <is>
          <t>exact-normalized</t>
        </is>
      </c>
      <c r="J6" s="68" t="inlineStr">
        <is>
          <t>direct</t>
        </is>
      </c>
      <c r="K6" s="68" t="inlineStr">
        <is>
          <t>master-linked</t>
        </is>
      </c>
      <c r="L6" s="68" t="inlineStr">
        <is>
          <t>No</t>
        </is>
      </c>
      <c r="M6" s="68" t="inlineStr">
        <is>
          <t>Yes</t>
        </is>
      </c>
      <c r="N6" s="68" t="inlineStr">
        <is>
          <t>COX/NF-kB inhibition</t>
        </is>
      </c>
      <c r="O6" s="68" t="inlineStr">
        <is>
          <t>inflammatory_pathway_modulation</t>
        </is>
      </c>
      <c r="P6" s="68" t="inlineStr">
        <is>
          <t>https://plants.sc.egov.usda.gov/home/search?query=ginger | https://pubchem.ncbi.nlm.nih.gov/#query=6-gingerol</t>
        </is>
      </c>
      <c r="Q6" s="68" t="inlineStr">
        <is>
          <t>Mapped to existing compound layer record.</t>
        </is>
      </c>
      <c r="R6" t="inlineStr">
        <is>
          <t>Pass 27 compound-layer alignment</t>
        </is>
      </c>
      <c r="V6" t="inlineStr">
        <is>
          <t>Pass 44 normalization</t>
        </is>
      </c>
      <c r="W6" t="inlineStr">
        <is>
          <t>Pass 45 duplicate consolidation alignment</t>
        </is>
      </c>
    </row>
    <row r="7">
      <c r="A7" s="68" t="inlineStr">
        <is>
          <t>ginkgo-biloba</t>
        </is>
      </c>
      <c r="B7" s="68" t="inlineStr">
        <is>
          <t>Ginkgo Biloba</t>
        </is>
      </c>
      <c r="C7" s="68" t="inlineStr">
        <is>
          <t>ginkgolides A, B, C, J</t>
        </is>
      </c>
      <c r="D7" s="68" t="inlineStr">
        <is>
          <t>ginkgolides a b c j</t>
        </is>
      </c>
      <c r="E7" s="68" t="inlineStr">
        <is>
          <t>ginkgolides A, B, C, J</t>
        </is>
      </c>
      <c r="F7" s="68" t="n"/>
      <c r="G7" s="68" t="inlineStr">
        <is>
          <t>ginkgolides-a-b-c-j</t>
        </is>
      </c>
      <c r="H7" s="68" t="inlineStr">
        <is>
          <t>ginkgolides A, B, C, J</t>
        </is>
      </c>
      <c r="I7" s="68" t="inlineStr">
        <is>
          <t>exact-normalized</t>
        </is>
      </c>
      <c r="J7" s="68" t="inlineStr">
        <is>
          <t>comma-letter-series</t>
        </is>
      </c>
      <c r="K7" s="68" t="inlineStr">
        <is>
          <t>master-linked</t>
        </is>
      </c>
      <c r="L7" s="68" t="inlineStr">
        <is>
          <t>Yes</t>
        </is>
      </c>
      <c r="M7" s="68" t="inlineStr">
        <is>
          <t>Yes</t>
        </is>
      </c>
      <c r="N7" s="68" t="inlineStr">
        <is>
          <t>PAF receptor antagonism; neuroactive ion-channel modulation</t>
        </is>
      </c>
      <c r="O7" s="68" t="inlineStr">
        <is>
          <t>PAFR; glycine receptor chloride channel</t>
        </is>
      </c>
      <c r="P7" s="68" t="inlineStr">
        <is>
          <t>https://pubchem.ncbi.nlm.nih.gov/compound/Ginkgolide-A | https://pubmed.ncbi.nlm.nih.gov/13130392/ | https://pubmed.ncbi.nlm.nih.gov/30054600/ | https://www.nccih.nih.gov/health/ginkgo</t>
        </is>
      </c>
      <c r="Q7" s="68" t="inlineStr">
        <is>
          <t>Locked in Batch 6 and linked to compound master record.</t>
        </is>
      </c>
      <c r="R7" t="inlineStr">
        <is>
          <t>Pass 27 compound-layer alignment</t>
        </is>
      </c>
      <c r="V7" t="inlineStr">
        <is>
          <t>Pass 44 normalization</t>
        </is>
      </c>
      <c r="W7" t="inlineStr">
        <is>
          <t>Pass 45 duplicate consolidation alignment</t>
        </is>
      </c>
    </row>
    <row r="8">
      <c r="A8" s="68" t="inlineStr">
        <is>
          <t>holy-basil</t>
        </is>
      </c>
      <c r="B8" s="68" t="inlineStr">
        <is>
          <t>Holy Basil</t>
        </is>
      </c>
      <c r="C8" s="68" t="inlineStr">
        <is>
          <t>Eugenol</t>
        </is>
      </c>
      <c r="D8" s="68" t="inlineStr">
        <is>
          <t>eugenol</t>
        </is>
      </c>
      <c r="E8" s="68" t="n"/>
      <c r="F8" s="68" t="n"/>
      <c r="G8" s="68" t="inlineStr">
        <is>
          <t>eugenol</t>
        </is>
      </c>
      <c r="H8" s="68" t="inlineStr">
        <is>
          <t>Eugenol</t>
        </is>
      </c>
      <c r="I8" s="68" t="inlineStr">
        <is>
          <t>exact-normalized</t>
        </is>
      </c>
      <c r="J8" s="68" t="inlineStr">
        <is>
          <t>direct</t>
        </is>
      </c>
      <c r="K8" s="68" t="inlineStr">
        <is>
          <t>master-linked</t>
        </is>
      </c>
      <c r="L8" s="68" t="inlineStr">
        <is>
          <t>No</t>
        </is>
      </c>
      <c r="M8" s="68" t="inlineStr">
        <is>
          <t>Yes</t>
        </is>
      </c>
      <c r="N8" s="68" t="inlineStr">
        <is>
          <t>anti-inflammatory; analgesic; antimicrobial</t>
        </is>
      </c>
      <c r="O8" s="68" t="inlineStr">
        <is>
          <t>COX; prostaglandins; TRPV1</t>
        </is>
      </c>
      <c r="P8" s="68" t="inlineStr">
        <is>
          <t>https://pubchem.ncbi.nlm.nih.gov/compound/Eugenol | https://pubmed.ncbi.nlm.nih.gov/16998128/ | https://www.fda.gov/food/food-additives-petitions/everything-added-food-united-states-eafus</t>
        </is>
      </c>
      <c r="Q8" s="68" t="inlineStr">
        <is>
          <t>Batch 1 lock applied to existing compound layer record.</t>
        </is>
      </c>
      <c r="R8" t="inlineStr">
        <is>
          <t>Pass 27 compound-layer alignment</t>
        </is>
      </c>
      <c r="V8" t="inlineStr">
        <is>
          <t>Pass 44 normalization</t>
        </is>
      </c>
      <c r="W8" t="inlineStr">
        <is>
          <t>Pass 45 duplicate consolidation alignment</t>
        </is>
      </c>
    </row>
    <row r="9">
      <c r="A9" s="68" t="inlineStr">
        <is>
          <t>kava</t>
        </is>
      </c>
      <c r="B9" s="68" t="inlineStr">
        <is>
          <t>Kava</t>
        </is>
      </c>
      <c r="C9" s="68" t="inlineStr">
        <is>
          <t>kavain</t>
        </is>
      </c>
      <c r="D9" s="68" t="inlineStr">
        <is>
          <t>kavain</t>
        </is>
      </c>
      <c r="E9" s="68" t="n"/>
      <c r="F9" s="68" t="n"/>
      <c r="G9" s="68" t="inlineStr">
        <is>
          <t>kavain</t>
        </is>
      </c>
      <c r="H9" s="68" t="inlineStr">
        <is>
          <t>kavain</t>
        </is>
      </c>
      <c r="I9" s="68" t="inlineStr">
        <is>
          <t>exact-normalized</t>
        </is>
      </c>
      <c r="J9" s="68" t="inlineStr">
        <is>
          <t>direct</t>
        </is>
      </c>
      <c r="K9" s="68" t="inlineStr">
        <is>
          <t>master-linked</t>
        </is>
      </c>
      <c r="L9" s="68" t="inlineStr">
        <is>
          <t>Yes</t>
        </is>
      </c>
      <c r="M9" s="68" t="inlineStr">
        <is>
          <t>Yes</t>
        </is>
      </c>
      <c r="N9" s="68" t="inlineStr">
        <is>
          <t>GABAergic modulation; multi-target signaling modulation</t>
        </is>
      </c>
      <c r="O9" s="68" t="inlineStr">
        <is>
          <t>dopaminergic_modulation; gabaergic_modulation</t>
        </is>
      </c>
      <c r="P9" s="68" t="inlineStr">
        <is>
          <t>https://plants.sc.egov.usda.gov/home/search?query=kava | https://plants.sc.egov.usda.gov/home/search?query=piper%20methysticum | https://pubchem.ncbi.nlm.nih.gov/#query=kavain</t>
        </is>
      </c>
      <c r="Q9" s="68" t="inlineStr">
        <is>
          <t>Mapped to existing compound layer record.</t>
        </is>
      </c>
      <c r="R9" t="inlineStr">
        <is>
          <t>Pass 27 compound-layer alignment</t>
        </is>
      </c>
      <c r="V9" t="inlineStr">
        <is>
          <t>Pass 44 normalization</t>
        </is>
      </c>
      <c r="W9" t="inlineStr">
        <is>
          <t>Pass 45 duplicate consolidation alignment</t>
        </is>
      </c>
    </row>
    <row r="10">
      <c r="A10" s="68" t="inlineStr">
        <is>
          <t>lemon-balm</t>
        </is>
      </c>
      <c r="B10" s="68" t="inlineStr">
        <is>
          <t>Lemon Balm</t>
        </is>
      </c>
      <c r="C10" s="68" t="inlineStr">
        <is>
          <t>Rosmarinic acid</t>
        </is>
      </c>
      <c r="D10" s="68" t="inlineStr">
        <is>
          <t>rosmarinic acid</t>
        </is>
      </c>
      <c r="E10" s="68" t="n"/>
      <c r="F10" s="68" t="n"/>
      <c r="G10" s="68" t="inlineStr">
        <is>
          <t>rosmarinic-acid</t>
        </is>
      </c>
      <c r="H10" s="68" t="inlineStr">
        <is>
          <t>Rosmarinic acid</t>
        </is>
      </c>
      <c r="I10" s="68" t="inlineStr">
        <is>
          <t>exact-normalized</t>
        </is>
      </c>
      <c r="J10" s="68" t="inlineStr">
        <is>
          <t>direct</t>
        </is>
      </c>
      <c r="K10" s="68" t="inlineStr">
        <is>
          <t>master-linked</t>
        </is>
      </c>
      <c r="L10" s="68" t="inlineStr">
        <is>
          <t>No</t>
        </is>
      </c>
      <c r="M10" s="68" t="inlineStr">
        <is>
          <t>Yes</t>
        </is>
      </c>
      <c r="N10" s="68" t="inlineStr">
        <is>
          <t>anti-inflammatory; antioxidant; gabaergic modulation</t>
        </is>
      </c>
      <c r="O10" s="68" t="inlineStr">
        <is>
          <t>COX; LOX; reactive oxygen species; GABA metabolism</t>
        </is>
      </c>
      <c r="P10" s="68" t="inlineStr">
        <is>
          <t>https://pubchem.ncbi.nlm.nih.gov/compound/Rosmarinic-acid | https://pubmed.ncbi.nlm.nih.gov/?term=rosmarinic+acid+GABA+transaminase | https://www.ema.europa.eu/en/documents/herbal-monograph/final-european-union-herbal-monograph-melissa-officinalis-l-folium_en.pdf</t>
        </is>
      </c>
      <c r="Q10" s="68" t="inlineStr">
        <is>
          <t>Batch 1 lock applied to existing compound layer record.</t>
        </is>
      </c>
      <c r="R10" t="inlineStr">
        <is>
          <t>Pass 27 compound-layer alignment</t>
        </is>
      </c>
      <c r="V10" t="inlineStr">
        <is>
          <t>Pass 44 normalization</t>
        </is>
      </c>
      <c r="W10" t="inlineStr">
        <is>
          <t>Pass 45 duplicate consolidation alignment</t>
        </is>
      </c>
    </row>
    <row r="11">
      <c r="A11" s="68" t="inlineStr">
        <is>
          <t>maca</t>
        </is>
      </c>
      <c r="B11" s="68" t="inlineStr">
        <is>
          <t>Maca</t>
        </is>
      </c>
      <c r="C11" s="68" t="inlineStr">
        <is>
          <t>macamides</t>
        </is>
      </c>
      <c r="D11" s="68" t="inlineStr">
        <is>
          <t>macamides</t>
        </is>
      </c>
      <c r="E11" s="68" t="n"/>
      <c r="F11" s="68" t="n"/>
      <c r="G11" s="68" t="inlineStr">
        <is>
          <t>macamides</t>
        </is>
      </c>
      <c r="H11" s="68" t="inlineStr">
        <is>
          <t>macamides</t>
        </is>
      </c>
      <c r="I11" s="68" t="inlineStr">
        <is>
          <t>no-master-match</t>
        </is>
      </c>
      <c r="J11" s="68" t="inlineStr">
        <is>
          <t>direct</t>
        </is>
      </c>
      <c r="K11" s="68" t="inlineStr">
        <is>
          <t>broad-class-retained</t>
        </is>
      </c>
      <c r="L11" s="68" t="inlineStr">
        <is>
          <t>No</t>
        </is>
      </c>
      <c r="M11" s="68" t="inlineStr">
        <is>
          <t>No</t>
        </is>
      </c>
      <c r="N11" s="68" t="n"/>
      <c r="O11" s="68" t="n"/>
      <c r="P11" s="68" t="n"/>
      <c r="Q11" s="68" t="inlineStr">
        <is>
          <t>Broad class retained for context; not treated as atomic compound.</t>
        </is>
      </c>
      <c r="R11" t="inlineStr">
        <is>
          <t>Pass 27 compound-layer alignment</t>
        </is>
      </c>
      <c r="V11" t="inlineStr">
        <is>
          <t>Pass 44 normalization</t>
        </is>
      </c>
      <c r="W11" t="inlineStr">
        <is>
          <t>Pass 45 duplicate consolidation alignment</t>
        </is>
      </c>
    </row>
    <row r="12">
      <c r="A12" s="68" t="inlineStr">
        <is>
          <t>milk-thistle</t>
        </is>
      </c>
      <c r="B12" s="68" t="inlineStr">
        <is>
          <t>Milk Thistle</t>
        </is>
      </c>
      <c r="C12" s="68" t="inlineStr">
        <is>
          <t>silybin A/B</t>
        </is>
      </c>
      <c r="D12" s="68" t="inlineStr">
        <is>
          <t>silybin a b</t>
        </is>
      </c>
      <c r="E12" s="68" t="inlineStr">
        <is>
          <t>silybin A/B</t>
        </is>
      </c>
      <c r="F12" s="68" t="n"/>
      <c r="G12" s="68" t="inlineStr">
        <is>
          <t>silybin-a-b</t>
        </is>
      </c>
      <c r="H12" s="68" t="inlineStr">
        <is>
          <t>silybin A/B</t>
        </is>
      </c>
      <c r="I12" s="68" t="inlineStr">
        <is>
          <t>exact-normalized</t>
        </is>
      </c>
      <c r="J12" s="68" t="inlineStr">
        <is>
          <t>slash-letter-series</t>
        </is>
      </c>
      <c r="K12" s="68" t="inlineStr">
        <is>
          <t>master-linked</t>
        </is>
      </c>
      <c r="L12" s="68" t="inlineStr">
        <is>
          <t>Yes</t>
        </is>
      </c>
      <c r="M12" s="68" t="inlineStr">
        <is>
          <t>Yes</t>
        </is>
      </c>
      <c r="N12" s="68" t="inlineStr">
        <is>
          <t>anti-inflammatory; antioxidant; hepatoprotective; redox modulation</t>
        </is>
      </c>
      <c r="O12" s="68" t="inlineStr">
        <is>
          <t>Nrf2-associated signaling; NF-kappaB; oxidative-stress signaling</t>
        </is>
      </c>
      <c r="P12" s="68" t="inlineStr">
        <is>
          <t>https://pubchem.ncbi.nlm.nih.gov/compound/Silybin-A | https://pubmed.ncbi.nlm.nih.gov/?term=silybin+A | https://www.nccih.nih.gov/health/milk-thistle</t>
        </is>
      </c>
      <c r="Q12" s="68" t="inlineStr">
        <is>
          <t>Locked in Batch 10 from provisional milk thistle row; linked to compound master record.</t>
        </is>
      </c>
      <c r="R12" t="inlineStr">
        <is>
          <t>Pass 27 compound-layer alignment</t>
        </is>
      </c>
      <c r="V12" t="inlineStr">
        <is>
          <t>Pass 44 normalization</t>
        </is>
      </c>
      <c r="W12" t="inlineStr">
        <is>
          <t>Pass 45 duplicate consolidation alignment</t>
        </is>
      </c>
    </row>
    <row r="13">
      <c r="A13" s="68" t="inlineStr">
        <is>
          <t>peppermint</t>
        </is>
      </c>
      <c r="B13" s="68" t="inlineStr">
        <is>
          <t>Peppermint</t>
        </is>
      </c>
      <c r="C13" s="68" t="inlineStr">
        <is>
          <t>l‑menthol</t>
        </is>
      </c>
      <c r="D13" s="68" t="inlineStr">
        <is>
          <t>l menthol</t>
        </is>
      </c>
      <c r="E13" s="68" t="n"/>
      <c r="F13" s="68" t="n"/>
      <c r="G13" s="68" t="inlineStr">
        <is>
          <t>l-menthol</t>
        </is>
      </c>
      <c r="H13" s="68" t="inlineStr">
        <is>
          <t>l‑menthol</t>
        </is>
      </c>
      <c r="I13" s="68" t="inlineStr">
        <is>
          <t>exact-normalized</t>
        </is>
      </c>
      <c r="J13" s="68" t="inlineStr">
        <is>
          <t>direct</t>
        </is>
      </c>
      <c r="K13" s="68" t="inlineStr">
        <is>
          <t>master-linked</t>
        </is>
      </c>
      <c r="L13" s="68" t="inlineStr">
        <is>
          <t>No</t>
        </is>
      </c>
      <c r="M13" s="68" t="inlineStr">
        <is>
          <t>Yes</t>
        </is>
      </c>
      <c r="N13" s="68" t="inlineStr">
        <is>
          <t>multi-target signaling modulation</t>
        </is>
      </c>
      <c r="O13" s="68" t="inlineStr">
        <is>
          <t>TRPM8 agonism; general or unknown targets</t>
        </is>
      </c>
      <c r="P13" s="68" t="inlineStr">
        <is>
          <t>https://plants.sc.egov.usda.gov/home/search?query=Mentha%20piperita | https://plants.sc.egov.usda.gov/home/search?query=peppermint | https://pmc.ncbi.nlm.nih.gov/articles/PMC3778045/ | https://pmc.ncbi.nlm.nih.gov/articles/PMC8395166/ | https://pubchem.ncbi.nlm.nih.gov/#query=menthol</t>
        </is>
      </c>
      <c r="Q13" s="68" t="inlineStr">
        <is>
          <t>Mapped to existing compound layer record.</t>
        </is>
      </c>
      <c r="R13" t="inlineStr">
        <is>
          <t>Pass 27 compound-layer alignment</t>
        </is>
      </c>
      <c r="V13" t="inlineStr">
        <is>
          <t>Pass 44 normalization</t>
        </is>
      </c>
      <c r="W13" t="inlineStr">
        <is>
          <t>Pass 45 duplicate consolidation alignment</t>
        </is>
      </c>
    </row>
    <row r="14">
      <c r="A14" s="68" t="inlineStr">
        <is>
          <t>rhodiola-rosea</t>
        </is>
      </c>
      <c r="B14" s="68" t="inlineStr">
        <is>
          <t>Rhodiola Rosea</t>
        </is>
      </c>
      <c r="C14" s="68" t="inlineStr">
        <is>
          <t>Rosavin</t>
        </is>
      </c>
      <c r="D14" s="68" t="inlineStr">
        <is>
          <t>rosavin</t>
        </is>
      </c>
      <c r="E14" s="68" t="n"/>
      <c r="F14" s="68" t="n"/>
      <c r="G14" s="68" t="inlineStr">
        <is>
          <t>rosavin</t>
        </is>
      </c>
      <c r="H14" s="68" t="inlineStr">
        <is>
          <t>Rosavin</t>
        </is>
      </c>
      <c r="I14" s="68" t="inlineStr">
        <is>
          <t>exact-normalized</t>
        </is>
      </c>
      <c r="J14" s="68" t="inlineStr">
        <is>
          <t>direct</t>
        </is>
      </c>
      <c r="K14" s="68" t="inlineStr">
        <is>
          <t>master-linked</t>
        </is>
      </c>
      <c r="L14" s="68" t="inlineStr">
        <is>
          <t>Yes</t>
        </is>
      </c>
      <c r="M14" s="68" t="inlineStr">
        <is>
          <t>Yes</t>
        </is>
      </c>
      <c r="N14" s="68" t="inlineStr">
        <is>
          <t>adaptogen; serotonergic; dopaminergic</t>
        </is>
      </c>
      <c r="O14" s="68" t="inlineStr">
        <is>
          <t>HPA-axis modulation; monoamine signaling</t>
        </is>
      </c>
      <c r="P14" s="68" t="inlineStr">
        <is>
          <t>PubMed Rhodiola literature; PubChem</t>
        </is>
      </c>
      <c r="Q14" s="68" t="inlineStr">
        <is>
          <t>Locked in Batch 2.</t>
        </is>
      </c>
      <c r="R14" t="inlineStr">
        <is>
          <t>Pass 27 compound-layer alignment</t>
        </is>
      </c>
      <c r="V14" t="inlineStr">
        <is>
          <t>Pass 44 normalization</t>
        </is>
      </c>
      <c r="W14" t="inlineStr">
        <is>
          <t>Pass 45 duplicate consolidation alignment</t>
        </is>
      </c>
    </row>
    <row r="15">
      <c r="A15" s="68" t="inlineStr">
        <is>
          <t>saw-palmetto</t>
        </is>
      </c>
      <c r="B15" s="68" t="inlineStr">
        <is>
          <t>Saw Palmetto</t>
        </is>
      </c>
      <c r="C15" s="68" t="inlineStr">
        <is>
          <t>fatty acids</t>
        </is>
      </c>
      <c r="D15" s="68" t="inlineStr">
        <is>
          <t>fatty acids</t>
        </is>
      </c>
      <c r="E15" s="68" t="n"/>
      <c r="F15" s="68" t="n"/>
      <c r="G15" s="68" t="inlineStr">
        <is>
          <t>fatty-acids</t>
        </is>
      </c>
      <c r="H15" s="68" t="inlineStr">
        <is>
          <t>fatty acids</t>
        </is>
      </c>
      <c r="I15" s="68" t="inlineStr">
        <is>
          <t>no-master-match</t>
        </is>
      </c>
      <c r="J15" s="68" t="inlineStr">
        <is>
          <t>direct</t>
        </is>
      </c>
      <c r="K15" s="68" t="inlineStr">
        <is>
          <t>broad-class-retained</t>
        </is>
      </c>
      <c r="L15" s="68" t="inlineStr">
        <is>
          <t>No</t>
        </is>
      </c>
      <c r="M15" s="68" t="inlineStr">
        <is>
          <t>No</t>
        </is>
      </c>
      <c r="N15" s="68" t="n"/>
      <c r="O15" s="68" t="n"/>
      <c r="P15" s="68" t="n"/>
      <c r="Q15" s="68" t="inlineStr">
        <is>
          <t>Broad class retained for context; not treated as atomic compound.</t>
        </is>
      </c>
      <c r="R15" t="inlineStr">
        <is>
          <t>Pass 27 compound-layer alignment</t>
        </is>
      </c>
      <c r="V15" t="inlineStr">
        <is>
          <t>Pass 44 normalization</t>
        </is>
      </c>
      <c r="W15" t="inlineStr">
        <is>
          <t>Pass 45 duplicate consolidation alignment</t>
        </is>
      </c>
    </row>
    <row r="16">
      <c r="A16" s="68" t="inlineStr">
        <is>
          <t>st-johns-wort</t>
        </is>
      </c>
      <c r="B16" s="68" t="inlineStr">
        <is>
          <t>St Johns Wort</t>
        </is>
      </c>
      <c r="C16" s="68" t="inlineStr">
        <is>
          <t>Hyperforin</t>
        </is>
      </c>
      <c r="D16" s="68" t="inlineStr">
        <is>
          <t>hyperforin</t>
        </is>
      </c>
      <c r="E16" s="68" t="n"/>
      <c r="F16" s="68" t="n"/>
      <c r="G16" s="68" t="inlineStr">
        <is>
          <t>hyperforin</t>
        </is>
      </c>
      <c r="H16" s="68" t="inlineStr">
        <is>
          <t>Hyperforin</t>
        </is>
      </c>
      <c r="I16" s="68" t="inlineStr">
        <is>
          <t>exact-normalized</t>
        </is>
      </c>
      <c r="J16" s="68" t="inlineStr">
        <is>
          <t>direct</t>
        </is>
      </c>
      <c r="K16" s="68" t="inlineStr">
        <is>
          <t>master-linked</t>
        </is>
      </c>
      <c r="L16" s="68" t="inlineStr">
        <is>
          <t>Yes</t>
        </is>
      </c>
      <c r="M16" s="68" t="inlineStr">
        <is>
          <t>Yes</t>
        </is>
      </c>
      <c r="N16" s="68" t="inlineStr">
        <is>
          <t>monoamine reuptake modulation; neuroplasticity modulation; enzyme induction relevance</t>
        </is>
      </c>
      <c r="O16" s="68" t="inlineStr">
        <is>
          <t>TRPC6; serotonin/norepinephrine/dopamine reuptake-related pathways; CYP3A4 induction; P-glycoprotein induction</t>
        </is>
      </c>
      <c r="P16" s="68" t="inlineStr">
        <is>
          <t>https://pubchem.ncbi.nlm.nih.gov/compound/Hyperforin | https://www.ncbi.nlm.nih.gov/books/NBK548880/</t>
        </is>
      </c>
      <c r="Q16" s="68" t="inlineStr">
        <is>
          <t>Refined in Batch 13 and linked to compound master record.</t>
        </is>
      </c>
      <c r="R16" t="inlineStr">
        <is>
          <t>Pass 27 compound-layer alignment</t>
        </is>
      </c>
      <c r="V16" t="inlineStr">
        <is>
          <t>Pass 44 normalization</t>
        </is>
      </c>
      <c r="W16" t="inlineStr">
        <is>
          <t>Pass 45 duplicate consolidation alignment</t>
        </is>
      </c>
    </row>
    <row r="17">
      <c r="A17" s="68" t="inlineStr">
        <is>
          <t>turmeric</t>
        </is>
      </c>
      <c r="B17" s="68" t="inlineStr">
        <is>
          <t>Turmeric</t>
        </is>
      </c>
      <c r="C17" s="68" t="inlineStr">
        <is>
          <t>Demethoxycurcumin</t>
        </is>
      </c>
      <c r="D17" s="68" t="inlineStr">
        <is>
          <t>demethoxycurcumin</t>
        </is>
      </c>
      <c r="E17" s="68" t="n"/>
      <c r="F17" s="68" t="n"/>
      <c r="G17" s="68" t="inlineStr">
        <is>
          <t>demethoxycurcumin</t>
        </is>
      </c>
      <c r="H17" s="68" t="inlineStr">
        <is>
          <t>Demethoxycurcumin</t>
        </is>
      </c>
      <c r="I17" s="68" t="inlineStr">
        <is>
          <t>exact-normalized</t>
        </is>
      </c>
      <c r="J17" s="68" t="inlineStr">
        <is>
          <t>direct</t>
        </is>
      </c>
      <c r="K17" s="68" t="inlineStr">
        <is>
          <t>master-linked</t>
        </is>
      </c>
      <c r="L17" s="68" t="inlineStr">
        <is>
          <t>Yes</t>
        </is>
      </c>
      <c r="M17" s="68" t="inlineStr">
        <is>
          <t>Yes</t>
        </is>
      </c>
      <c r="N17" s="68" t="inlineStr">
        <is>
          <t>inflammatory_pathway_modulation; oxidative_stress_modulation</t>
        </is>
      </c>
      <c r="O17" s="68" t="inlineStr">
        <is>
          <t>NFkB; oxidative-stress signaling</t>
        </is>
      </c>
      <c r="P17" s="68" t="inlineStr">
        <is>
          <t>https://pubchem.ncbi.nlm.nih.gov/compound/Demethoxycurcumin</t>
        </is>
      </c>
      <c r="Q17" s="68" t="inlineStr">
        <is>
          <t>Consistency cleanup pass linked row to latest compound master record.</t>
        </is>
      </c>
      <c r="R17" t="inlineStr">
        <is>
          <t>Pass 27 compound-layer alignment</t>
        </is>
      </c>
      <c r="V17" t="inlineStr">
        <is>
          <t>Pass 44 normalization</t>
        </is>
      </c>
      <c r="W17" t="inlineStr">
        <is>
          <t>Pass 45 duplicate consolidation alignment</t>
        </is>
      </c>
    </row>
    <row r="18">
      <c r="A18" s="68" t="inlineStr">
        <is>
          <t>valerian</t>
        </is>
      </c>
      <c r="B18" s="68" t="inlineStr">
        <is>
          <t>Valerian</t>
        </is>
      </c>
      <c r="C18" s="68" t="inlineStr">
        <is>
          <t>valerenic acid</t>
        </is>
      </c>
      <c r="D18" s="68" t="inlineStr">
        <is>
          <t>valerenic acid</t>
        </is>
      </c>
      <c r="E18" s="68" t="n"/>
      <c r="F18" s="68" t="n"/>
      <c r="G18" s="68" t="inlineStr">
        <is>
          <t>valerenic-acid</t>
        </is>
      </c>
      <c r="H18" s="68" t="inlineStr">
        <is>
          <t>valerenic acid</t>
        </is>
      </c>
      <c r="I18" s="68" t="inlineStr">
        <is>
          <t>exact-normalized</t>
        </is>
      </c>
      <c r="J18" s="68" t="inlineStr">
        <is>
          <t>direct</t>
        </is>
      </c>
      <c r="K18" s="68" t="inlineStr">
        <is>
          <t>master-linked</t>
        </is>
      </c>
      <c r="L18" s="68" t="inlineStr">
        <is>
          <t>No</t>
        </is>
      </c>
      <c r="M18" s="68" t="inlineStr">
        <is>
          <t>Yes</t>
        </is>
      </c>
      <c r="N18" s="68" t="inlineStr">
        <is>
          <t>GABAergic modulation; multi-target signaling modulation</t>
        </is>
      </c>
      <c r="O18" s="68" t="inlineStr">
        <is>
          <t>gabaergic_modulation; general or unknown targets</t>
        </is>
      </c>
      <c r="P18" s="68" t="inlineStr">
        <is>
          <t>https://plants.sc.egov.usda.gov/home/search?query=Valeriana%20officinalis | https://plants.sc.egov.usda.gov/home/search?query=valerian | https://pubchem.ncbi.nlm.nih.gov/#query=valerenic%20acid</t>
        </is>
      </c>
      <c r="Q18" s="68" t="inlineStr">
        <is>
          <t>Mapped to existing compound layer record.</t>
        </is>
      </c>
      <c r="R18" t="inlineStr">
        <is>
          <t>Pass 27 compound-layer alignment</t>
        </is>
      </c>
      <c r="V18" t="inlineStr">
        <is>
          <t>Pass 44 normalization</t>
        </is>
      </c>
      <c r="W18" t="inlineStr">
        <is>
          <t>Pass 45 duplicate consolidation alignment</t>
        </is>
      </c>
    </row>
    <row r="19">
      <c r="A19" s="68" t="inlineStr">
        <is>
          <t>guarana</t>
        </is>
      </c>
      <c r="B19" s="68" t="inlineStr">
        <is>
          <t>Guarana</t>
        </is>
      </c>
      <c r="C19" s="68" t="inlineStr">
        <is>
          <t>Caffeine</t>
        </is>
      </c>
      <c r="D19" s="68" t="inlineStr">
        <is>
          <t>caffeine</t>
        </is>
      </c>
      <c r="E19" s="68" t="n"/>
      <c r="F19" s="68" t="n"/>
      <c r="G19" s="68" t="inlineStr">
        <is>
          <t>caffeine</t>
        </is>
      </c>
      <c r="H19" s="68" t="inlineStr">
        <is>
          <t>Caffeine</t>
        </is>
      </c>
      <c r="I19" s="68" t="inlineStr">
        <is>
          <t>exact</t>
        </is>
      </c>
      <c r="J19" s="68" t="inlineStr">
        <is>
          <t>pass_112</t>
        </is>
      </c>
      <c r="K19" s="68" t="inlineStr">
        <is>
          <t>specific</t>
        </is>
      </c>
      <c r="L19" s="68" t="n"/>
      <c r="M19" s="68" t="n">
        <v>1</v>
      </c>
      <c r="N19" s="68" t="inlineStr">
        <is>
          <t>multi-domain</t>
        </is>
      </c>
      <c r="O19" s="68" t="inlineStr">
        <is>
          <t>unknown</t>
        </is>
      </c>
      <c r="P19" s="68" t="n"/>
      <c r="Q19" s="68" t="inlineStr">
        <is>
          <t>added</t>
        </is>
      </c>
      <c r="R19" t="inlineStr">
        <is>
          <t>Pass 27 compound-layer alignment</t>
        </is>
      </c>
      <c r="V19" t="inlineStr">
        <is>
          <t>Pass 44 normalization</t>
        </is>
      </c>
      <c r="W19" t="inlineStr">
        <is>
          <t>Pass 45 duplicate consolidation alignment</t>
        </is>
      </c>
    </row>
    <row r="20">
      <c r="A20" s="68" t="inlineStr">
        <is>
          <t>yerba-mate</t>
        </is>
      </c>
      <c r="B20" s="68" t="inlineStr">
        <is>
          <t>Yerba Mate</t>
        </is>
      </c>
      <c r="C20" s="68" t="inlineStr">
        <is>
          <t>Apigenin</t>
        </is>
      </c>
      <c r="D20" s="68" t="inlineStr">
        <is>
          <t>apigenin</t>
        </is>
      </c>
      <c r="E20" s="68" t="n"/>
      <c r="F20" s="68" t="n"/>
      <c r="G20" s="68" t="inlineStr">
        <is>
          <t>apigenin</t>
        </is>
      </c>
      <c r="H20" s="68" t="inlineStr">
        <is>
          <t>Apigenin</t>
        </is>
      </c>
      <c r="I20" s="68" t="inlineStr">
        <is>
          <t>exact</t>
        </is>
      </c>
      <c r="J20" s="68" t="inlineStr">
        <is>
          <t>pass_112</t>
        </is>
      </c>
      <c r="K20" s="68" t="inlineStr">
        <is>
          <t>specific</t>
        </is>
      </c>
      <c r="L20" s="68" t="n"/>
      <c r="M20" s="68" t="n">
        <v>1</v>
      </c>
      <c r="N20" s="68" t="inlineStr">
        <is>
          <t>multi-domain</t>
        </is>
      </c>
      <c r="O20" s="68" t="inlineStr">
        <is>
          <t>unknown</t>
        </is>
      </c>
      <c r="P20" s="68" t="n"/>
      <c r="Q20" s="68" t="inlineStr">
        <is>
          <t>added</t>
        </is>
      </c>
      <c r="R20" t="inlineStr">
        <is>
          <t>Pass 27 compound-layer alignment</t>
        </is>
      </c>
      <c r="V20" t="inlineStr">
        <is>
          <t>Pass 44 normalization</t>
        </is>
      </c>
      <c r="W20" t="inlineStr">
        <is>
          <t>Pass 45 duplicate consolidation alignment</t>
        </is>
      </c>
    </row>
    <row r="21">
      <c r="A21" s="68" t="inlineStr">
        <is>
          <t>damiana</t>
        </is>
      </c>
      <c r="B21" s="68" t="inlineStr">
        <is>
          <t>Damiana</t>
        </is>
      </c>
      <c r="C21" s="68" t="inlineStr">
        <is>
          <t>nuciferine</t>
        </is>
      </c>
      <c r="D21" s="68" t="inlineStr">
        <is>
          <t>nuciferine</t>
        </is>
      </c>
      <c r="E21" s="68" t="n"/>
      <c r="F21" s="68" t="n"/>
      <c r="G21" s="68" t="inlineStr">
        <is>
          <t>nuciferine</t>
        </is>
      </c>
      <c r="H21" s="68" t="inlineStr">
        <is>
          <t>nuciferine</t>
        </is>
      </c>
      <c r="I21" s="68" t="inlineStr">
        <is>
          <t>exact</t>
        </is>
      </c>
      <c r="J21" s="68" t="inlineStr">
        <is>
          <t>pass_112</t>
        </is>
      </c>
      <c r="K21" s="68" t="inlineStr">
        <is>
          <t>specific</t>
        </is>
      </c>
      <c r="L21" s="68" t="n"/>
      <c r="M21" s="68" t="n">
        <v>1</v>
      </c>
      <c r="N21" s="68" t="inlineStr">
        <is>
          <t>multi-domain</t>
        </is>
      </c>
      <c r="O21" s="68" t="inlineStr">
        <is>
          <t>unknown</t>
        </is>
      </c>
      <c r="P21" s="68" t="n"/>
      <c r="Q21" s="68" t="inlineStr">
        <is>
          <t>added</t>
        </is>
      </c>
      <c r="R21" t="inlineStr">
        <is>
          <t>Pass 27 compound-layer alignment</t>
        </is>
      </c>
      <c r="V21" t="inlineStr">
        <is>
          <t>Pass 44 normalization</t>
        </is>
      </c>
      <c r="W21" t="inlineStr">
        <is>
          <t>Pass 45 duplicate consolidation alignment</t>
        </is>
      </c>
    </row>
    <row r="22">
      <c r="A22" s="68" t="inlineStr">
        <is>
          <t>blue-lotus</t>
        </is>
      </c>
      <c r="B22" s="68" t="inlineStr">
        <is>
          <t>Blue Lotus</t>
        </is>
      </c>
      <c r="C22" s="68" t="inlineStr">
        <is>
          <t>puerarin</t>
        </is>
      </c>
      <c r="D22" s="68" t="inlineStr">
        <is>
          <t>puerarin</t>
        </is>
      </c>
      <c r="E22" s="68" t="n"/>
      <c r="F22" s="68" t="n"/>
      <c r="G22" s="68" t="inlineStr">
        <is>
          <t>puerarin</t>
        </is>
      </c>
      <c r="H22" s="68" t="inlineStr">
        <is>
          <t>puerarin</t>
        </is>
      </c>
      <c r="I22" s="68" t="inlineStr">
        <is>
          <t>exact</t>
        </is>
      </c>
      <c r="J22" s="68" t="inlineStr">
        <is>
          <t>pass_112</t>
        </is>
      </c>
      <c r="K22" s="68" t="inlineStr">
        <is>
          <t>specific</t>
        </is>
      </c>
      <c r="L22" s="68" t="n"/>
      <c r="M22" s="68" t="n">
        <v>1</v>
      </c>
      <c r="N22" s="68" t="inlineStr">
        <is>
          <t>multi-domain</t>
        </is>
      </c>
      <c r="O22" s="68" t="inlineStr">
        <is>
          <t>unknown</t>
        </is>
      </c>
      <c r="P22" s="68" t="n"/>
      <c r="Q22" s="68" t="inlineStr">
        <is>
          <t>added</t>
        </is>
      </c>
      <c r="R22" t="inlineStr">
        <is>
          <t>Pass 27 compound-layer alignment</t>
        </is>
      </c>
      <c r="V22" t="inlineStr">
        <is>
          <t>Pass 44 normalization</t>
        </is>
      </c>
      <c r="W22" t="inlineStr">
        <is>
          <t>Pass 45 duplicate consolidation alignment</t>
        </is>
      </c>
    </row>
    <row r="23">
      <c r="A23" s="68" t="inlineStr">
        <is>
          <t>kudzu</t>
        </is>
      </c>
      <c r="B23" s="68" t="inlineStr">
        <is>
          <t>Kudzu</t>
        </is>
      </c>
      <c r="C23" s="68" t="inlineStr">
        <is>
          <t>parthenolide</t>
        </is>
      </c>
      <c r="D23" s="68" t="inlineStr">
        <is>
          <t>parthenolide</t>
        </is>
      </c>
      <c r="E23" s="68" t="n"/>
      <c r="F23" s="68" t="n"/>
      <c r="G23" s="68" t="inlineStr">
        <is>
          <t>parthenolide</t>
        </is>
      </c>
      <c r="H23" s="68" t="inlineStr">
        <is>
          <t>parthenolide</t>
        </is>
      </c>
      <c r="I23" s="68" t="inlineStr">
        <is>
          <t>exact</t>
        </is>
      </c>
      <c r="J23" s="68" t="inlineStr">
        <is>
          <t>pass_112</t>
        </is>
      </c>
      <c r="K23" s="68" t="inlineStr">
        <is>
          <t>specific</t>
        </is>
      </c>
      <c r="L23" s="68" t="n"/>
      <c r="M23" s="68" t="n">
        <v>1</v>
      </c>
      <c r="N23" s="68" t="inlineStr">
        <is>
          <t>multi-domain</t>
        </is>
      </c>
      <c r="O23" s="68" t="inlineStr">
        <is>
          <t>unknown</t>
        </is>
      </c>
      <c r="P23" s="68" t="n"/>
      <c r="Q23" s="68" t="inlineStr">
        <is>
          <t>added</t>
        </is>
      </c>
      <c r="R23" t="inlineStr">
        <is>
          <t>Pass 27 compound-layer alignment</t>
        </is>
      </c>
      <c r="V23" t="inlineStr">
        <is>
          <t>Pass 44 normalization</t>
        </is>
      </c>
      <c r="W23" t="inlineStr">
        <is>
          <t>Pass 45 duplicate consolidation alignment</t>
        </is>
      </c>
    </row>
    <row r="24">
      <c r="A24" s="68" t="inlineStr">
        <is>
          <t>yarrow</t>
        </is>
      </c>
      <c r="B24" s="68" t="inlineStr">
        <is>
          <t>Yarrow</t>
        </is>
      </c>
      <c r="C24" s="68" t="inlineStr">
        <is>
          <t>petasin</t>
        </is>
      </c>
      <c r="D24" s="68" t="inlineStr">
        <is>
          <t>petasin</t>
        </is>
      </c>
      <c r="E24" s="68" t="n"/>
      <c r="F24" s="68" t="n"/>
      <c r="G24" s="68" t="inlineStr">
        <is>
          <t>petasin</t>
        </is>
      </c>
      <c r="H24" s="68" t="inlineStr">
        <is>
          <t>petasin</t>
        </is>
      </c>
      <c r="I24" s="68" t="inlineStr">
        <is>
          <t>exact</t>
        </is>
      </c>
      <c r="J24" s="68" t="inlineStr">
        <is>
          <t>pass_112</t>
        </is>
      </c>
      <c r="K24" s="68" t="inlineStr">
        <is>
          <t>specific</t>
        </is>
      </c>
      <c r="L24" s="68" t="n"/>
      <c r="M24" s="68" t="n">
        <v>1</v>
      </c>
      <c r="N24" s="68" t="inlineStr">
        <is>
          <t>multi-domain</t>
        </is>
      </c>
      <c r="O24" s="68" t="inlineStr">
        <is>
          <t>unknown</t>
        </is>
      </c>
      <c r="P24" s="68" t="n"/>
      <c r="Q24" s="68" t="inlineStr">
        <is>
          <t>added</t>
        </is>
      </c>
      <c r="R24" t="inlineStr">
        <is>
          <t>Pass 27 compound-layer alignment</t>
        </is>
      </c>
      <c r="V24" t="inlineStr">
        <is>
          <t>Pass 44 normalization</t>
        </is>
      </c>
      <c r="W24" t="inlineStr">
        <is>
          <t>Pass 45 duplicate consolidation alignment</t>
        </is>
      </c>
    </row>
    <row r="25">
      <c r="A25" s="68" t="inlineStr">
        <is>
          <t>feverfew</t>
        </is>
      </c>
      <c r="B25" s="68" t="inlineStr">
        <is>
          <t>Feverfew</t>
        </is>
      </c>
      <c r="C25" s="68" t="inlineStr">
        <is>
          <t>Actein</t>
        </is>
      </c>
      <c r="D25" s="68" t="inlineStr">
        <is>
          <t>actein</t>
        </is>
      </c>
      <c r="E25" s="68" t="n"/>
      <c r="F25" s="68" t="n"/>
      <c r="G25" s="68" t="inlineStr">
        <is>
          <t>actein</t>
        </is>
      </c>
      <c r="H25" s="68" t="inlineStr">
        <is>
          <t>Actein</t>
        </is>
      </c>
      <c r="I25" s="68" t="inlineStr">
        <is>
          <t>exact</t>
        </is>
      </c>
      <c r="J25" s="68" t="inlineStr">
        <is>
          <t>pass_112</t>
        </is>
      </c>
      <c r="K25" s="68" t="inlineStr">
        <is>
          <t>specific</t>
        </is>
      </c>
      <c r="L25" s="68" t="n"/>
      <c r="M25" s="68" t="n">
        <v>1</v>
      </c>
      <c r="N25" s="68" t="inlineStr">
        <is>
          <t>multi-domain</t>
        </is>
      </c>
      <c r="O25" s="68" t="inlineStr">
        <is>
          <t>unknown</t>
        </is>
      </c>
      <c r="P25" s="68" t="n"/>
      <c r="Q25" s="68" t="inlineStr">
        <is>
          <t>added</t>
        </is>
      </c>
      <c r="R25" t="inlineStr">
        <is>
          <t>Pass 27 compound-layer alignment</t>
        </is>
      </c>
      <c r="V25" t="inlineStr">
        <is>
          <t>Pass 44 normalization</t>
        </is>
      </c>
      <c r="W25" t="inlineStr">
        <is>
          <t>Pass 45 duplicate consolidation alignment</t>
        </is>
      </c>
    </row>
    <row r="26">
      <c r="A26" s="68" t="inlineStr">
        <is>
          <t>butterbur</t>
        </is>
      </c>
      <c r="B26" s="68" t="inlineStr">
        <is>
          <t>Butterbur</t>
        </is>
      </c>
      <c r="C26" s="68" t="inlineStr">
        <is>
          <t>ferulic acid</t>
        </is>
      </c>
      <c r="D26" s="68" t="inlineStr">
        <is>
          <t>ferulic acid</t>
        </is>
      </c>
      <c r="E26" s="68" t="n"/>
      <c r="F26" s="68" t="n"/>
      <c r="G26" s="68" t="inlineStr">
        <is>
          <t>ferulic-acid</t>
        </is>
      </c>
      <c r="H26" s="68" t="inlineStr">
        <is>
          <t>ferulic acid</t>
        </is>
      </c>
      <c r="I26" s="68" t="inlineStr">
        <is>
          <t>exact</t>
        </is>
      </c>
      <c r="J26" s="68" t="inlineStr">
        <is>
          <t>pass_112</t>
        </is>
      </c>
      <c r="K26" s="68" t="inlineStr">
        <is>
          <t>specific</t>
        </is>
      </c>
      <c r="L26" s="68" t="n"/>
      <c r="M26" s="68" t="n">
        <v>1</v>
      </c>
      <c r="N26" s="68" t="inlineStr">
        <is>
          <t>multi-domain</t>
        </is>
      </c>
      <c r="O26" s="68" t="inlineStr">
        <is>
          <t>unknown</t>
        </is>
      </c>
      <c r="P26" s="68" t="n"/>
      <c r="Q26" s="68" t="inlineStr">
        <is>
          <t>added</t>
        </is>
      </c>
      <c r="R26" t="inlineStr">
        <is>
          <t>Pass 27 compound-layer alignment</t>
        </is>
      </c>
      <c r="V26" t="inlineStr">
        <is>
          <t>Pass 44 normalization</t>
        </is>
      </c>
      <c r="W26" t="inlineStr">
        <is>
          <t>Pass 45 duplicate consolidation alignment</t>
        </is>
      </c>
    </row>
    <row r="27">
      <c r="A27" s="68" t="inlineStr">
        <is>
          <t>dong-quai</t>
        </is>
      </c>
      <c r="B27" s="68" t="inlineStr">
        <is>
          <t>Dong Quai</t>
        </is>
      </c>
      <c r="C27" s="68" t="inlineStr">
        <is>
          <t>curcumin</t>
        </is>
      </c>
      <c r="D27" s="68" t="inlineStr">
        <is>
          <t>curcumin</t>
        </is>
      </c>
      <c r="E27" s="68" t="n"/>
      <c r="F27" s="68" t="n"/>
      <c r="G27" s="68" t="inlineStr">
        <is>
          <t>curcumin</t>
        </is>
      </c>
      <c r="H27" s="68" t="inlineStr">
        <is>
          <t>curcumin</t>
        </is>
      </c>
      <c r="I27" s="68" t="inlineStr">
        <is>
          <t>exact</t>
        </is>
      </c>
      <c r="J27" s="68" t="inlineStr">
        <is>
          <t>pass_112</t>
        </is>
      </c>
      <c r="K27" s="68" t="inlineStr">
        <is>
          <t>specific</t>
        </is>
      </c>
      <c r="L27" s="68" t="n"/>
      <c r="M27" s="68" t="n">
        <v>1</v>
      </c>
      <c r="N27" s="68" t="inlineStr">
        <is>
          <t>multi-domain</t>
        </is>
      </c>
      <c r="O27" s="68" t="inlineStr">
        <is>
          <t>unknown</t>
        </is>
      </c>
      <c r="P27" s="68" t="n"/>
      <c r="Q27" s="68" t="inlineStr">
        <is>
          <t>added</t>
        </is>
      </c>
      <c r="R27" t="inlineStr">
        <is>
          <t>Pass 27 compound-layer alignment</t>
        </is>
      </c>
      <c r="V27" t="inlineStr">
        <is>
          <t>Pass 44 normalization</t>
        </is>
      </c>
      <c r="W27" t="inlineStr">
        <is>
          <t>Pass 45 duplicate consolidation alignment</t>
        </is>
      </c>
    </row>
    <row r="28">
      <c r="A28" s="68" t="inlineStr">
        <is>
          <t>rosemary</t>
        </is>
      </c>
      <c r="B28" s="68" t="inlineStr">
        <is>
          <t>Rosemary</t>
        </is>
      </c>
      <c r="C28" s="68" t="inlineStr">
        <is>
          <t>thymol</t>
        </is>
      </c>
      <c r="D28" s="68" t="inlineStr">
        <is>
          <t>thymol</t>
        </is>
      </c>
      <c r="E28" s="68" t="n"/>
      <c r="F28" s="68" t="n"/>
      <c r="G28" s="68" t="inlineStr">
        <is>
          <t>thymol</t>
        </is>
      </c>
      <c r="H28" s="68" t="inlineStr">
        <is>
          <t>thymol</t>
        </is>
      </c>
      <c r="I28" s="68" t="inlineStr">
        <is>
          <t>exact</t>
        </is>
      </c>
      <c r="J28" s="68" t="inlineStr">
        <is>
          <t>pass_112</t>
        </is>
      </c>
      <c r="K28" s="68" t="inlineStr">
        <is>
          <t>specific</t>
        </is>
      </c>
      <c r="L28" s="68" t="n"/>
      <c r="M28" s="68" t="n">
        <v>1</v>
      </c>
      <c r="N28" s="68" t="inlineStr">
        <is>
          <t>multi-domain</t>
        </is>
      </c>
      <c r="O28" s="68" t="inlineStr">
        <is>
          <t>unknown</t>
        </is>
      </c>
      <c r="P28" s="68" t="n"/>
      <c r="Q28" s="68" t="inlineStr">
        <is>
          <t>added</t>
        </is>
      </c>
      <c r="R28" t="inlineStr">
        <is>
          <t>Pass 27 compound-layer alignment</t>
        </is>
      </c>
      <c r="V28" t="inlineStr">
        <is>
          <t>Pass 44 normalization</t>
        </is>
      </c>
      <c r="W28" t="inlineStr">
        <is>
          <t>Pass 45 duplicate consolidation alignment</t>
        </is>
      </c>
    </row>
    <row r="29">
      <c r="A29" s="68" t="inlineStr">
        <is>
          <t>sage</t>
        </is>
      </c>
      <c r="B29" s="68" t="inlineStr">
        <is>
          <t>Sage</t>
        </is>
      </c>
      <c r="C29" s="68" t="inlineStr">
        <is>
          <t>carvacrol</t>
        </is>
      </c>
      <c r="D29" s="68" t="inlineStr">
        <is>
          <t>carvacrol</t>
        </is>
      </c>
      <c r="E29" s="68" t="n"/>
      <c r="F29" s="68" t="n"/>
      <c r="G29" s="68" t="inlineStr">
        <is>
          <t>carvacrol</t>
        </is>
      </c>
      <c r="H29" s="68" t="inlineStr">
        <is>
          <t>carvacrol</t>
        </is>
      </c>
      <c r="I29" s="68" t="inlineStr">
        <is>
          <t>exact</t>
        </is>
      </c>
      <c r="J29" s="68" t="inlineStr">
        <is>
          <t>pass_112</t>
        </is>
      </c>
      <c r="K29" s="68" t="inlineStr">
        <is>
          <t>specific</t>
        </is>
      </c>
      <c r="L29" s="68" t="n"/>
      <c r="M29" s="68" t="n">
        <v>1</v>
      </c>
      <c r="N29" s="68" t="inlineStr">
        <is>
          <t>multi-domain</t>
        </is>
      </c>
      <c r="O29" s="68" t="inlineStr">
        <is>
          <t>unknown</t>
        </is>
      </c>
      <c r="P29" s="68" t="n"/>
      <c r="Q29" s="68" t="inlineStr">
        <is>
          <t>added</t>
        </is>
      </c>
      <c r="R29" t="inlineStr">
        <is>
          <t>Pass 27 compound-layer alignment</t>
        </is>
      </c>
      <c r="V29" t="inlineStr">
        <is>
          <t>Pass 44 normalization</t>
        </is>
      </c>
      <c r="W29" t="inlineStr">
        <is>
          <t>Pass 45 duplicate consolidation alignment</t>
        </is>
      </c>
    </row>
    <row r="30">
      <c r="A30" s="68" t="inlineStr">
        <is>
          <t>thyme</t>
        </is>
      </c>
      <c r="B30" s="68" t="inlineStr">
        <is>
          <t>Thyme</t>
        </is>
      </c>
      <c r="C30" s="68" t="inlineStr">
        <is>
          <t>eucalyptol</t>
        </is>
      </c>
      <c r="D30" s="68" t="inlineStr">
        <is>
          <t>eucalyptol</t>
        </is>
      </c>
      <c r="E30" s="68" t="n"/>
      <c r="F30" s="68" t="n"/>
      <c r="G30" s="68" t="inlineStr">
        <is>
          <t>eucalyptol</t>
        </is>
      </c>
      <c r="H30" s="68" t="inlineStr">
        <is>
          <t>eucalyptol</t>
        </is>
      </c>
      <c r="I30" s="68" t="inlineStr">
        <is>
          <t>exact</t>
        </is>
      </c>
      <c r="J30" s="68" t="inlineStr">
        <is>
          <t>pass_112</t>
        </is>
      </c>
      <c r="K30" s="68" t="inlineStr">
        <is>
          <t>specific</t>
        </is>
      </c>
      <c r="L30" s="68" t="n"/>
      <c r="M30" s="68" t="n">
        <v>1</v>
      </c>
      <c r="N30" s="68" t="inlineStr">
        <is>
          <t>multi-domain</t>
        </is>
      </c>
      <c r="O30" s="68" t="inlineStr">
        <is>
          <t>unknown</t>
        </is>
      </c>
      <c r="P30" s="68" t="n"/>
      <c r="Q30" s="68" t="inlineStr">
        <is>
          <t>added</t>
        </is>
      </c>
      <c r="R30" t="inlineStr">
        <is>
          <t>Pass 27 compound-layer alignment</t>
        </is>
      </c>
      <c r="V30" t="inlineStr">
        <is>
          <t>Pass 44 normalization</t>
        </is>
      </c>
      <c r="W30" t="inlineStr">
        <is>
          <t>Pass 45 duplicate consolidation alignment</t>
        </is>
      </c>
    </row>
    <row r="31">
      <c r="A31" s="68" t="inlineStr">
        <is>
          <t>artichoke</t>
        </is>
      </c>
      <c r="B31" s="68" t="inlineStr">
        <is>
          <t>Artichoke</t>
        </is>
      </c>
      <c r="C31" s="68" t="inlineStr">
        <is>
          <t>cynarin</t>
        </is>
      </c>
      <c r="D31" s="68" t="inlineStr">
        <is>
          <t>cynarin</t>
        </is>
      </c>
      <c r="E31" s="68" t="n"/>
      <c r="F31" s="68" t="n"/>
      <c r="G31" s="68" t="inlineStr">
        <is>
          <t>cynarin</t>
        </is>
      </c>
      <c r="H31" s="68" t="inlineStr">
        <is>
          <t>cynarin</t>
        </is>
      </c>
      <c r="I31" s="68" t="inlineStr">
        <is>
          <t>exact_canonical_id</t>
        </is>
      </c>
      <c r="J31" s="68" t="inlineStr">
        <is>
          <t>pass_114_addition</t>
        </is>
      </c>
      <c r="K31" s="68" t="inlineStr">
        <is>
          <t>specific</t>
        </is>
      </c>
      <c r="L31" s="68" t="n"/>
      <c r="M31" s="68" t="n">
        <v>1</v>
      </c>
      <c r="N31" s="68" t="inlineStr">
        <is>
          <t>digestive support; hepatobiliary support</t>
        </is>
      </c>
      <c r="O31" s="68" t="inlineStr">
        <is>
          <t>general or unknown targets</t>
        </is>
      </c>
      <c r="P31" s="68" t="n"/>
      <c r="Q31" s="68" t="inlineStr">
        <is>
          <t>New validated mapping row.</t>
        </is>
      </c>
      <c r="R31" t="inlineStr">
        <is>
          <t>Pass 27 compound-layer alignment</t>
        </is>
      </c>
      <c r="V31" t="inlineStr">
        <is>
          <t>Pass 44 normalization</t>
        </is>
      </c>
      <c r="W31" t="inlineStr">
        <is>
          <t>Pass 45 duplicate consolidation alignment</t>
        </is>
      </c>
    </row>
    <row r="32">
      <c r="A32" s="68" t="inlineStr">
        <is>
          <t>fennel</t>
        </is>
      </c>
      <c r="B32" s="68" t="inlineStr">
        <is>
          <t>Fennel</t>
        </is>
      </c>
      <c r="C32" s="68" t="inlineStr">
        <is>
          <t>anethole</t>
        </is>
      </c>
      <c r="D32" s="68" t="inlineStr">
        <is>
          <t>anethole</t>
        </is>
      </c>
      <c r="E32" s="68" t="n"/>
      <c r="F32" s="68" t="n"/>
      <c r="G32" s="68" t="inlineStr">
        <is>
          <t>anethole</t>
        </is>
      </c>
      <c r="H32" s="68" t="inlineStr">
        <is>
          <t>anethole</t>
        </is>
      </c>
      <c r="I32" s="68" t="inlineStr">
        <is>
          <t>exact_canonical_id</t>
        </is>
      </c>
      <c r="J32" s="68" t="inlineStr">
        <is>
          <t>pass_114_addition</t>
        </is>
      </c>
      <c r="K32" s="68" t="inlineStr">
        <is>
          <t>specific</t>
        </is>
      </c>
      <c r="L32" s="68" t="n"/>
      <c r="M32" s="68" t="n">
        <v>1</v>
      </c>
      <c r="N32" s="68" t="inlineStr">
        <is>
          <t>digestive support; antispasmodic support</t>
        </is>
      </c>
      <c r="O32" s="68" t="inlineStr">
        <is>
          <t>general or unknown targets</t>
        </is>
      </c>
      <c r="P32" s="68" t="n"/>
      <c r="Q32" s="68" t="inlineStr">
        <is>
          <t>New validated mapping row.</t>
        </is>
      </c>
      <c r="R32" t="inlineStr">
        <is>
          <t>Pass 27 compound-layer alignment</t>
        </is>
      </c>
      <c r="V32" t="inlineStr">
        <is>
          <t>Pass 44 normalization</t>
        </is>
      </c>
      <c r="W32" t="inlineStr">
        <is>
          <t>Pass 45 duplicate consolidation alignment</t>
        </is>
      </c>
    </row>
    <row r="33">
      <c r="A33" s="68" t="inlineStr">
        <is>
          <t>cinnamon</t>
        </is>
      </c>
      <c r="B33" s="68" t="inlineStr">
        <is>
          <t>Cinnamon</t>
        </is>
      </c>
      <c r="C33" s="68" t="inlineStr">
        <is>
          <t>cinnamaldehyde</t>
        </is>
      </c>
      <c r="D33" s="68" t="inlineStr">
        <is>
          <t>cinnamaldehyde</t>
        </is>
      </c>
      <c r="E33" s="68" t="n"/>
      <c r="F33" s="68" t="n"/>
      <c r="G33" s="68" t="inlineStr">
        <is>
          <t>cinnamaldehyde</t>
        </is>
      </c>
      <c r="H33" s="68" t="inlineStr">
        <is>
          <t>cinnamaldehyde</t>
        </is>
      </c>
      <c r="I33" s="68" t="inlineStr">
        <is>
          <t>exact_canonical_id</t>
        </is>
      </c>
      <c r="J33" s="68" t="inlineStr">
        <is>
          <t>pass_114_addition</t>
        </is>
      </c>
      <c r="K33" s="68" t="inlineStr">
        <is>
          <t>specific</t>
        </is>
      </c>
      <c r="L33" s="68" t="n"/>
      <c r="M33" s="68" t="n">
        <v>1</v>
      </c>
      <c r="N33" s="68" t="inlineStr">
        <is>
          <t>glycemic support; antimicrobial support</t>
        </is>
      </c>
      <c r="O33" s="68" t="inlineStr">
        <is>
          <t>general or unknown targets</t>
        </is>
      </c>
      <c r="P33" s="68" t="n"/>
      <c r="Q33" s="68" t="inlineStr">
        <is>
          <t>New validated mapping row.</t>
        </is>
      </c>
      <c r="R33" t="inlineStr">
        <is>
          <t>Pass 27 compound-layer alignment</t>
        </is>
      </c>
      <c r="V33" t="inlineStr">
        <is>
          <t>Pass 44 normalization</t>
        </is>
      </c>
      <c r="W33" t="inlineStr">
        <is>
          <t>Pass 45 duplicate consolidation alignment</t>
        </is>
      </c>
    </row>
    <row r="34">
      <c r="A34" s="68" t="inlineStr">
        <is>
          <t>dandelion</t>
        </is>
      </c>
      <c r="B34" s="68" t="inlineStr">
        <is>
          <t>Dandelion</t>
        </is>
      </c>
      <c r="C34" s="68" t="inlineStr">
        <is>
          <t>taraxasterol</t>
        </is>
      </c>
      <c r="D34" s="68" t="inlineStr">
        <is>
          <t>taraxasterol</t>
        </is>
      </c>
      <c r="E34" s="68" t="n"/>
      <c r="F34" s="68" t="n"/>
      <c r="G34" s="68" t="inlineStr">
        <is>
          <t>taraxasterol</t>
        </is>
      </c>
      <c r="H34" s="68" t="inlineStr">
        <is>
          <t>taraxasterol</t>
        </is>
      </c>
      <c r="I34" s="68" t="inlineStr">
        <is>
          <t>exact_canonical_id</t>
        </is>
      </c>
      <c r="J34" s="68" t="inlineStr">
        <is>
          <t>pass_114_addition</t>
        </is>
      </c>
      <c r="K34" s="68" t="inlineStr">
        <is>
          <t>specific</t>
        </is>
      </c>
      <c r="L34" s="68" t="n"/>
      <c r="M34" s="68" t="n">
        <v>1</v>
      </c>
      <c r="N34" s="68" t="inlineStr">
        <is>
          <t>digestive support; mild diuretic support</t>
        </is>
      </c>
      <c r="O34" s="68" t="inlineStr">
        <is>
          <t>general or unknown targets</t>
        </is>
      </c>
      <c r="P34" s="68" t="n"/>
      <c r="Q34" s="68" t="inlineStr">
        <is>
          <t>New validated mapping row.</t>
        </is>
      </c>
      <c r="R34" t="inlineStr">
        <is>
          <t>Pass 27 compound-layer alignment</t>
        </is>
      </c>
      <c r="V34" t="inlineStr">
        <is>
          <t>Pass 44 normalization</t>
        </is>
      </c>
      <c r="W34" t="inlineStr">
        <is>
          <t>Pass 45 duplicate consolidation alignment</t>
        </is>
      </c>
    </row>
    <row r="35">
      <c r="A35" s="68" t="inlineStr">
        <is>
          <t>burdock</t>
        </is>
      </c>
      <c r="B35" s="68" t="inlineStr">
        <is>
          <t>Burdock</t>
        </is>
      </c>
      <c r="C35" s="68" t="inlineStr">
        <is>
          <t>arctiin</t>
        </is>
      </c>
      <c r="D35" s="68" t="inlineStr">
        <is>
          <t>arctiin</t>
        </is>
      </c>
      <c r="E35" s="68" t="n"/>
      <c r="F35" s="68" t="n"/>
      <c r="G35" s="68" t="inlineStr">
        <is>
          <t>arctiin</t>
        </is>
      </c>
      <c r="H35" s="68" t="inlineStr">
        <is>
          <t>arctiin</t>
        </is>
      </c>
      <c r="I35" s="68" t="inlineStr">
        <is>
          <t>exact_canonical_id</t>
        </is>
      </c>
      <c r="J35" s="68" t="inlineStr">
        <is>
          <t>pass_114_addition</t>
        </is>
      </c>
      <c r="K35" s="68" t="inlineStr">
        <is>
          <t>specific</t>
        </is>
      </c>
      <c r="L35" s="68" t="n"/>
      <c r="M35" s="68" t="n">
        <v>1</v>
      </c>
      <c r="N35" s="68" t="inlineStr">
        <is>
          <t>traditional skin support; anti-inflammatory</t>
        </is>
      </c>
      <c r="O35" s="68" t="inlineStr">
        <is>
          <t>general or unknown targets</t>
        </is>
      </c>
      <c r="P35" s="68" t="n"/>
      <c r="Q35" s="68" t="inlineStr">
        <is>
          <t>New validated mapping row.</t>
        </is>
      </c>
      <c r="R35" t="inlineStr">
        <is>
          <t>Pass 27 compound-layer alignment</t>
        </is>
      </c>
      <c r="V35" t="inlineStr">
        <is>
          <t>Pass 44 normalization</t>
        </is>
      </c>
      <c r="W35" t="inlineStr">
        <is>
          <t>Pass 45 duplicate consolidation alignment</t>
        </is>
      </c>
    </row>
    <row r="36">
      <c r="A36" s="68" t="inlineStr">
        <is>
          <t>chamomile</t>
        </is>
      </c>
      <c r="B36" s="68" t="inlineStr">
        <is>
          <t>Chamomile</t>
        </is>
      </c>
      <c r="C36" s="68" t="inlineStr">
        <is>
          <t>Apigenin</t>
        </is>
      </c>
      <c r="D36" s="68" t="inlineStr">
        <is>
          <t>apigenin</t>
        </is>
      </c>
      <c r="E36" s="68" t="n"/>
      <c r="F36" s="68" t="n"/>
      <c r="G36" s="68" t="inlineStr">
        <is>
          <t>apigenin</t>
        </is>
      </c>
      <c r="H36" s="68" t="inlineStr">
        <is>
          <t>Apigenin</t>
        </is>
      </c>
      <c r="I36" s="68" t="inlineStr">
        <is>
          <t>exact_canonical_id</t>
        </is>
      </c>
      <c r="J36" s="68" t="inlineStr">
        <is>
          <t>pass_114_addition</t>
        </is>
      </c>
      <c r="K36" s="68" t="inlineStr">
        <is>
          <t>specific</t>
        </is>
      </c>
      <c r="L36" s="68" t="n"/>
      <c r="M36" s="68" t="n">
        <v>1</v>
      </c>
      <c r="N36" s="68" t="inlineStr">
        <is>
          <t>calming support; digestive support</t>
        </is>
      </c>
      <c r="O36" s="68" t="inlineStr">
        <is>
          <t>general or unknown targets</t>
        </is>
      </c>
      <c r="P36" s="68" t="n"/>
      <c r="Q36" s="68" t="inlineStr">
        <is>
          <t>New validated mapping row.</t>
        </is>
      </c>
      <c r="R36" t="inlineStr">
        <is>
          <t>Pass 27 compound-layer alignment</t>
        </is>
      </c>
      <c r="V36" t="inlineStr">
        <is>
          <t>Pass 44 normalization</t>
        </is>
      </c>
      <c r="W36" t="inlineStr">
        <is>
          <t>Pass 45 duplicate consolidation alignment</t>
        </is>
      </c>
    </row>
    <row r="37">
      <c r="A37" s="68" t="inlineStr">
        <is>
          <t>red-clover</t>
        </is>
      </c>
      <c r="B37" s="68" t="inlineStr">
        <is>
          <t>Red Clover</t>
        </is>
      </c>
      <c r="C37" s="68" t="inlineStr">
        <is>
          <t>genistein</t>
        </is>
      </c>
      <c r="D37" s="68" t="inlineStr">
        <is>
          <t>genistein</t>
        </is>
      </c>
      <c r="E37" s="68" t="n"/>
      <c r="F37" s="68" t="n"/>
      <c r="G37" s="68" t="inlineStr">
        <is>
          <t>genistein</t>
        </is>
      </c>
      <c r="H37" s="68" t="inlineStr">
        <is>
          <t>genistein</t>
        </is>
      </c>
      <c r="I37" s="68" t="inlineStr">
        <is>
          <t>exact_canonical_id</t>
        </is>
      </c>
      <c r="J37" s="68" t="inlineStr">
        <is>
          <t>pass_114_addition</t>
        </is>
      </c>
      <c r="K37" s="68" t="inlineStr">
        <is>
          <t>specific</t>
        </is>
      </c>
      <c r="L37" s="68" t="n"/>
      <c r="M37" s="68" t="n">
        <v>1</v>
      </c>
      <c r="N37" s="68" t="inlineStr">
        <is>
          <t>phytoestrogen-adjacent support</t>
        </is>
      </c>
      <c r="O37" s="68" t="inlineStr">
        <is>
          <t>general or unknown targets</t>
        </is>
      </c>
      <c r="P37" s="68" t="n"/>
      <c r="Q37" s="68" t="inlineStr">
        <is>
          <t>New validated mapping row.</t>
        </is>
      </c>
      <c r="R37" t="inlineStr">
        <is>
          <t>Pass 27 compound-layer alignment</t>
        </is>
      </c>
      <c r="V37" t="inlineStr">
        <is>
          <t>Pass 44 normalization</t>
        </is>
      </c>
      <c r="W37" t="inlineStr">
        <is>
          <t>Pass 45 duplicate consolidation alignment</t>
        </is>
      </c>
    </row>
    <row r="38">
      <c r="A38" s="68" t="inlineStr">
        <is>
          <t>oatstraw</t>
        </is>
      </c>
      <c r="B38" s="68" t="inlineStr">
        <is>
          <t>Oatstraw</t>
        </is>
      </c>
      <c r="C38" s="68" t="inlineStr">
        <is>
          <t>avenanthramides</t>
        </is>
      </c>
      <c r="D38" s="68" t="inlineStr">
        <is>
          <t>avenanthramides</t>
        </is>
      </c>
      <c r="E38" s="68" t="n"/>
      <c r="F38" s="68" t="n"/>
      <c r="G38" s="68" t="inlineStr">
        <is>
          <t>avenanthramides</t>
        </is>
      </c>
      <c r="H38" s="68" t="inlineStr">
        <is>
          <t>avenanthramides</t>
        </is>
      </c>
      <c r="I38" s="68" t="inlineStr">
        <is>
          <t>exact_canonical_id</t>
        </is>
      </c>
      <c r="J38" s="68" t="inlineStr">
        <is>
          <t>pass_114_addition</t>
        </is>
      </c>
      <c r="K38" s="68" t="inlineStr">
        <is>
          <t>specific</t>
        </is>
      </c>
      <c r="L38" s="68" t="n"/>
      <c r="M38" s="68" t="n">
        <v>1</v>
      </c>
      <c r="N38" s="68" t="inlineStr">
        <is>
          <t>nutritive support; calming support</t>
        </is>
      </c>
      <c r="O38" s="68" t="inlineStr">
        <is>
          <t>general or unknown targets</t>
        </is>
      </c>
      <c r="P38" s="68" t="n"/>
      <c r="Q38" s="68" t="inlineStr">
        <is>
          <t>New validated mapping row.</t>
        </is>
      </c>
      <c r="R38" t="inlineStr">
        <is>
          <t>Pass 27 compound-layer alignment</t>
        </is>
      </c>
      <c r="V38" t="inlineStr">
        <is>
          <t>Pass 44 normalization</t>
        </is>
      </c>
      <c r="W38" t="inlineStr">
        <is>
          <t>Pass 45 duplicate consolidation alignment</t>
        </is>
      </c>
    </row>
    <row r="39">
      <c r="A39" s="68" t="inlineStr">
        <is>
          <t>calendula</t>
        </is>
      </c>
      <c r="B39" s="68" t="inlineStr">
        <is>
          <t>Calendula</t>
        </is>
      </c>
      <c r="C39" s="68" t="inlineStr">
        <is>
          <t>faradiol</t>
        </is>
      </c>
      <c r="D39" s="68" t="inlineStr">
        <is>
          <t>faradiol</t>
        </is>
      </c>
      <c r="E39" s="68" t="n"/>
      <c r="F39" s="68" t="n"/>
      <c r="G39" s="68" t="inlineStr">
        <is>
          <t>faradiol</t>
        </is>
      </c>
      <c r="H39" s="68" t="inlineStr">
        <is>
          <t>faradiol</t>
        </is>
      </c>
      <c r="I39" s="68" t="inlineStr">
        <is>
          <t>exact_canonical_id</t>
        </is>
      </c>
      <c r="J39" s="68" t="inlineStr">
        <is>
          <t>pass_114_addition</t>
        </is>
      </c>
      <c r="K39" s="68" t="inlineStr">
        <is>
          <t>specific</t>
        </is>
      </c>
      <c r="L39" s="68" t="n"/>
      <c r="M39" s="68" t="n">
        <v>1</v>
      </c>
      <c r="N39" s="68" t="inlineStr">
        <is>
          <t>topical soothing support; anti-inflammatory</t>
        </is>
      </c>
      <c r="O39" s="68" t="inlineStr">
        <is>
          <t>general or unknown targets</t>
        </is>
      </c>
      <c r="P39" s="68" t="n"/>
      <c r="Q39" s="68" t="inlineStr">
        <is>
          <t>New validated mapping row.</t>
        </is>
      </c>
      <c r="R39" t="inlineStr">
        <is>
          <t>Pass 27 compound-layer alignment</t>
        </is>
      </c>
      <c r="V39" t="inlineStr">
        <is>
          <t>Pass 44 normalization</t>
        </is>
      </c>
      <c r="W39" t="inlineStr">
        <is>
          <t>Pass 45 duplicate consolidation alignment</t>
        </is>
      </c>
    </row>
    <row r="40">
      <c r="A40" s="68" t="inlineStr">
        <is>
          <t>pau-darco</t>
        </is>
      </c>
      <c r="B40" s="68" t="inlineStr">
        <is>
          <t>Pau d'Arco</t>
        </is>
      </c>
      <c r="C40" s="68" t="inlineStr">
        <is>
          <t>lapachol</t>
        </is>
      </c>
      <c r="D40" s="68" t="inlineStr">
        <is>
          <t>lapachol</t>
        </is>
      </c>
      <c r="E40" s="68" t="n"/>
      <c r="F40" s="68" t="n"/>
      <c r="G40" s="68" t="inlineStr">
        <is>
          <t>lapachol</t>
        </is>
      </c>
      <c r="H40" s="68" t="inlineStr">
        <is>
          <t>lapachol</t>
        </is>
      </c>
      <c r="I40" s="68" t="inlineStr">
        <is>
          <t>exact_canonical_id</t>
        </is>
      </c>
      <c r="J40" s="68" t="inlineStr">
        <is>
          <t>pass_114_addition</t>
        </is>
      </c>
      <c r="K40" s="68" t="inlineStr">
        <is>
          <t>specific</t>
        </is>
      </c>
      <c r="L40" s="68" t="n"/>
      <c r="M40" s="68" t="n">
        <v>1</v>
      </c>
      <c r="N40" s="68" t="inlineStr">
        <is>
          <t>traditional immune support; antimicrobial support</t>
        </is>
      </c>
      <c r="O40" s="68" t="inlineStr">
        <is>
          <t>general or unknown targets</t>
        </is>
      </c>
      <c r="P40" s="68" t="n"/>
      <c r="Q40" s="68" t="inlineStr">
        <is>
          <t>New validated mapping row.</t>
        </is>
      </c>
      <c r="R40" t="inlineStr">
        <is>
          <t>Pass 27 compound-layer alignment</t>
        </is>
      </c>
      <c r="V40" t="inlineStr">
        <is>
          <t>Pass 44 normalization</t>
        </is>
      </c>
      <c r="W40" t="inlineStr">
        <is>
          <t>Pass 45 duplicate consolidation alignment</t>
        </is>
      </c>
    </row>
    <row r="41">
      <c r="A41" s="68" t="inlineStr">
        <is>
          <t>gymnema</t>
        </is>
      </c>
      <c r="B41" s="68" t="inlineStr">
        <is>
          <t>Gymnema</t>
        </is>
      </c>
      <c r="C41" s="68" t="inlineStr">
        <is>
          <t>gymnemic acids</t>
        </is>
      </c>
      <c r="D41" s="68" t="inlineStr">
        <is>
          <t>gymnemic acids</t>
        </is>
      </c>
      <c r="E41" s="68" t="n"/>
      <c r="F41" s="68" t="n"/>
      <c r="G41" s="68" t="inlineStr">
        <is>
          <t>gymnemic-acids</t>
        </is>
      </c>
      <c r="H41" s="68" t="inlineStr">
        <is>
          <t>gymnemic acids</t>
        </is>
      </c>
      <c r="I41" s="68" t="inlineStr">
        <is>
          <t>exact_canonical_id</t>
        </is>
      </c>
      <c r="J41" s="68" t="inlineStr">
        <is>
          <t>pass_114_addition</t>
        </is>
      </c>
      <c r="K41" s="68" t="inlineStr">
        <is>
          <t>specific</t>
        </is>
      </c>
      <c r="L41" s="68" t="n"/>
      <c r="M41" s="68" t="n">
        <v>1</v>
      </c>
      <c r="N41" s="68" t="inlineStr">
        <is>
          <t>glycemic support</t>
        </is>
      </c>
      <c r="O41" s="68" t="inlineStr">
        <is>
          <t>general or unknown targets</t>
        </is>
      </c>
      <c r="P41" s="68" t="n"/>
      <c r="Q41" s="68" t="inlineStr">
        <is>
          <t>New validated mapping row.</t>
        </is>
      </c>
      <c r="R41" t="inlineStr">
        <is>
          <t>Pass 27 compound-layer alignment</t>
        </is>
      </c>
      <c r="V41" t="inlineStr">
        <is>
          <t>Pass 44 normalization</t>
        </is>
      </c>
      <c r="W41" t="inlineStr">
        <is>
          <t>Pass 45 duplicate consolidation alignment</t>
        </is>
      </c>
    </row>
    <row r="42">
      <c r="A42" s="68" t="inlineStr">
        <is>
          <t>banaba</t>
        </is>
      </c>
      <c r="B42" s="68" t="inlineStr">
        <is>
          <t>Banaba</t>
        </is>
      </c>
      <c r="C42" s="68" t="inlineStr">
        <is>
          <t>corosolic acid</t>
        </is>
      </c>
      <c r="D42" s="68" t="inlineStr">
        <is>
          <t>corosolic acid</t>
        </is>
      </c>
      <c r="E42" s="68" t="n"/>
      <c r="F42" s="68" t="n"/>
      <c r="G42" s="68" t="inlineStr">
        <is>
          <t>corosolic-acid</t>
        </is>
      </c>
      <c r="H42" s="68" t="inlineStr">
        <is>
          <t>corosolic acid</t>
        </is>
      </c>
      <c r="I42" s="68" t="inlineStr">
        <is>
          <t>exact_canonical_id</t>
        </is>
      </c>
      <c r="J42" s="68" t="inlineStr">
        <is>
          <t>pass_114_addition</t>
        </is>
      </c>
      <c r="K42" s="68" t="inlineStr">
        <is>
          <t>specific</t>
        </is>
      </c>
      <c r="L42" s="68" t="n"/>
      <c r="M42" s="68" t="n">
        <v>1</v>
      </c>
      <c r="N42" s="68" t="inlineStr">
        <is>
          <t>glycemic support; metabolic support</t>
        </is>
      </c>
      <c r="O42" s="68" t="inlineStr">
        <is>
          <t>general or unknown targets</t>
        </is>
      </c>
      <c r="P42" s="68" t="n"/>
      <c r="Q42" s="68" t="inlineStr">
        <is>
          <t>New validated mapping row.</t>
        </is>
      </c>
      <c r="R42" t="inlineStr">
        <is>
          <t>Pass 27 compound-layer alignment</t>
        </is>
      </c>
      <c r="V42" t="inlineStr">
        <is>
          <t>Pass 44 normalization</t>
        </is>
      </c>
      <c r="W42" t="inlineStr">
        <is>
          <t>Pass 45 duplicate consolidation alignment</t>
        </is>
      </c>
    </row>
    <row r="43">
      <c r="A43" s="68" t="inlineStr">
        <is>
          <t>mulberry-leaf</t>
        </is>
      </c>
      <c r="B43" s="68" t="inlineStr">
        <is>
          <t>Mulberry Leaf</t>
        </is>
      </c>
      <c r="C43" s="68" t="inlineStr">
        <is>
          <t>1-deoxynojirimycin</t>
        </is>
      </c>
      <c r="D43" s="68" t="inlineStr">
        <is>
          <t>1 deoxynojirimycin</t>
        </is>
      </c>
      <c r="E43" s="68" t="n"/>
      <c r="F43" s="68" t="n"/>
      <c r="G43" s="68" t="inlineStr">
        <is>
          <t>1-deoxynojirimycin</t>
        </is>
      </c>
      <c r="H43" s="68" t="inlineStr">
        <is>
          <t>1-deoxynojirimycin</t>
        </is>
      </c>
      <c r="I43" s="68" t="inlineStr">
        <is>
          <t>exact_canonical_id</t>
        </is>
      </c>
      <c r="J43" s="68" t="inlineStr">
        <is>
          <t>pass_114_addition</t>
        </is>
      </c>
      <c r="K43" s="68" t="inlineStr">
        <is>
          <t>specific</t>
        </is>
      </c>
      <c r="L43" s="68" t="n"/>
      <c r="M43" s="68" t="n">
        <v>1</v>
      </c>
      <c r="N43" s="68" t="inlineStr">
        <is>
          <t>glycemic support</t>
        </is>
      </c>
      <c r="O43" s="68" t="inlineStr">
        <is>
          <t>general or unknown targets</t>
        </is>
      </c>
      <c r="P43" s="68" t="n"/>
      <c r="Q43" s="68" t="inlineStr">
        <is>
          <t>New validated mapping row.</t>
        </is>
      </c>
      <c r="R43" t="inlineStr">
        <is>
          <t>Pass 27 compound-layer alignment</t>
        </is>
      </c>
      <c r="V43" t="inlineStr">
        <is>
          <t>Pass 44 normalization</t>
        </is>
      </c>
      <c r="W43" t="inlineStr">
        <is>
          <t>Pass 45 duplicate consolidation alignment</t>
        </is>
      </c>
    </row>
    <row r="44">
      <c r="A44" s="68" t="inlineStr">
        <is>
          <t>neem</t>
        </is>
      </c>
      <c r="B44" s="68" t="inlineStr">
        <is>
          <t>Neem</t>
        </is>
      </c>
      <c r="C44" s="68" t="inlineStr">
        <is>
          <t>nimbin</t>
        </is>
      </c>
      <c r="D44" s="68" t="inlineStr">
        <is>
          <t>nimbin</t>
        </is>
      </c>
      <c r="E44" s="68" t="n"/>
      <c r="F44" s="68" t="n"/>
      <c r="G44" s="68" t="inlineStr">
        <is>
          <t>nimbin</t>
        </is>
      </c>
      <c r="H44" s="68" t="inlineStr">
        <is>
          <t>nimbin</t>
        </is>
      </c>
      <c r="I44" s="68" t="inlineStr">
        <is>
          <t>exact_canonical_id</t>
        </is>
      </c>
      <c r="J44" s="68" t="inlineStr">
        <is>
          <t>pass_114_addition</t>
        </is>
      </c>
      <c r="K44" s="68" t="inlineStr">
        <is>
          <t>specific</t>
        </is>
      </c>
      <c r="L44" s="68" t="n"/>
      <c r="M44" s="68" t="n">
        <v>1</v>
      </c>
      <c r="N44" s="68" t="inlineStr">
        <is>
          <t>traditional skin support; antimicrobial support</t>
        </is>
      </c>
      <c r="O44" s="68" t="inlineStr">
        <is>
          <t>general or unknown targets</t>
        </is>
      </c>
      <c r="P44" s="68" t="n"/>
      <c r="Q44" s="68" t="inlineStr">
        <is>
          <t>New validated mapping row.</t>
        </is>
      </c>
      <c r="R44" t="inlineStr">
        <is>
          <t>Pass 27 compound-layer alignment</t>
        </is>
      </c>
      <c r="V44" t="inlineStr">
        <is>
          <t>Pass 44 normalization</t>
        </is>
      </c>
      <c r="W44" t="inlineStr">
        <is>
          <t>Pass 45 duplicate consolidation alignment</t>
        </is>
      </c>
    </row>
    <row r="45">
      <c r="A45" s="68" t="inlineStr">
        <is>
          <t>mugwort</t>
        </is>
      </c>
      <c r="B45" s="68" t="inlineStr">
        <is>
          <t>Mugwort</t>
        </is>
      </c>
      <c r="C45" s="68" t="inlineStr">
        <is>
          <t>thujone</t>
        </is>
      </c>
      <c r="D45" s="68" t="inlineStr">
        <is>
          <t>thujone</t>
        </is>
      </c>
      <c r="E45" s="68" t="n"/>
      <c r="F45" s="68" t="n"/>
      <c r="G45" s="68" t="inlineStr">
        <is>
          <t>thujone</t>
        </is>
      </c>
      <c r="H45" s="68" t="inlineStr">
        <is>
          <t>thujone</t>
        </is>
      </c>
      <c r="I45" s="68" t="inlineStr">
        <is>
          <t>exact_canonical_id</t>
        </is>
      </c>
      <c r="J45" s="68" t="inlineStr">
        <is>
          <t>pass_114_addition</t>
        </is>
      </c>
      <c r="K45" s="68" t="inlineStr">
        <is>
          <t>specific</t>
        </is>
      </c>
      <c r="L45" s="68" t="n"/>
      <c r="M45" s="68" t="n">
        <v>1</v>
      </c>
      <c r="N45" s="68" t="inlineStr">
        <is>
          <t>digestive support; traditional cycle support</t>
        </is>
      </c>
      <c r="O45" s="68" t="inlineStr">
        <is>
          <t>general or unknown targets</t>
        </is>
      </c>
      <c r="P45" s="68" t="n"/>
      <c r="Q45" s="68" t="inlineStr">
        <is>
          <t>New validated mapping row.</t>
        </is>
      </c>
      <c r="R45" t="inlineStr">
        <is>
          <t>Pass 27 compound-layer alignment</t>
        </is>
      </c>
      <c r="V45" t="inlineStr">
        <is>
          <t>Pass 44 normalization</t>
        </is>
      </c>
      <c r="W45" t="inlineStr">
        <is>
          <t>Pass 45 duplicate consolidation alignment</t>
        </is>
      </c>
    </row>
    <row r="46">
      <c r="A46" s="68" t="inlineStr">
        <is>
          <t>lemon-verbena</t>
        </is>
      </c>
      <c r="B46" s="68" t="inlineStr">
        <is>
          <t>Lemon Verbena</t>
        </is>
      </c>
      <c r="C46" s="68" t="inlineStr">
        <is>
          <t>verbascoside</t>
        </is>
      </c>
      <c r="D46" s="68" t="inlineStr">
        <is>
          <t>verbascoside</t>
        </is>
      </c>
      <c r="E46" s="68" t="n"/>
      <c r="F46" s="68" t="n"/>
      <c r="G46" s="68" t="inlineStr">
        <is>
          <t>verbascoside</t>
        </is>
      </c>
      <c r="H46" s="68" t="inlineStr">
        <is>
          <t>verbascoside</t>
        </is>
      </c>
      <c r="I46" s="68" t="inlineStr">
        <is>
          <t>exact_canonical_id</t>
        </is>
      </c>
      <c r="J46" s="68" t="inlineStr">
        <is>
          <t>pass_114_addition</t>
        </is>
      </c>
      <c r="K46" s="68" t="inlineStr">
        <is>
          <t>specific</t>
        </is>
      </c>
      <c r="L46" s="68" t="n"/>
      <c r="M46" s="68" t="n">
        <v>1</v>
      </c>
      <c r="N46" s="68" t="inlineStr">
        <is>
          <t>calming support; digestive support</t>
        </is>
      </c>
      <c r="O46" s="68" t="inlineStr">
        <is>
          <t>general or unknown targets</t>
        </is>
      </c>
      <c r="P46" s="68" t="n"/>
      <c r="Q46" s="68" t="inlineStr">
        <is>
          <t>New validated mapping row.</t>
        </is>
      </c>
      <c r="R46" t="inlineStr">
        <is>
          <t>Pass 27 compound-layer alignment</t>
        </is>
      </c>
      <c r="V46" t="inlineStr">
        <is>
          <t>Pass 44 normalization</t>
        </is>
      </c>
      <c r="W46" t="inlineStr">
        <is>
          <t>Pass 45 duplicate consolidation alignment</t>
        </is>
      </c>
    </row>
    <row r="47">
      <c r="A47" s="68" t="inlineStr">
        <is>
          <t>milky-oats</t>
        </is>
      </c>
      <c r="B47" s="68" t="inlineStr">
        <is>
          <t>Milk Oats</t>
        </is>
      </c>
      <c r="C47" s="68" t="inlineStr">
        <is>
          <t>avenacosides</t>
        </is>
      </c>
      <c r="D47" s="68" t="inlineStr">
        <is>
          <t>avenacosides</t>
        </is>
      </c>
      <c r="E47" s="68" t="n"/>
      <c r="F47" s="68" t="n"/>
      <c r="G47" s="68" t="inlineStr">
        <is>
          <t>avenacosides</t>
        </is>
      </c>
      <c r="H47" s="68" t="inlineStr">
        <is>
          <t>avenacosides</t>
        </is>
      </c>
      <c r="I47" s="68" t="inlineStr">
        <is>
          <t>exact_canonical_id</t>
        </is>
      </c>
      <c r="J47" s="68" t="inlineStr">
        <is>
          <t>pass_114_addition</t>
        </is>
      </c>
      <c r="K47" s="68" t="inlineStr">
        <is>
          <t>specific</t>
        </is>
      </c>
      <c r="L47" s="68" t="n"/>
      <c r="M47" s="68" t="n">
        <v>1</v>
      </c>
      <c r="N47" s="68" t="inlineStr">
        <is>
          <t>nutritive support; calming support</t>
        </is>
      </c>
      <c r="O47" s="68" t="inlineStr">
        <is>
          <t>general or unknown targets</t>
        </is>
      </c>
      <c r="P47" s="68" t="n"/>
      <c r="Q47" s="68" t="inlineStr">
        <is>
          <t>New validated mapping row.</t>
        </is>
      </c>
      <c r="R47" t="inlineStr">
        <is>
          <t>Pass 27 compound-layer alignment</t>
        </is>
      </c>
      <c r="V47" t="inlineStr">
        <is>
          <t>Pass 44 normalization</t>
        </is>
      </c>
      <c r="W47" t="inlineStr">
        <is>
          <t>Pass 45 duplicate consolidation alignment</t>
        </is>
      </c>
    </row>
    <row r="48">
      <c r="A48" s="68" t="inlineStr">
        <is>
          <t>cissus</t>
        </is>
      </c>
      <c r="B48" s="68" t="inlineStr">
        <is>
          <t>Cissus</t>
        </is>
      </c>
      <c r="C48" s="68" t="inlineStr">
        <is>
          <t>quadrangularin a</t>
        </is>
      </c>
      <c r="D48" s="68" t="inlineStr">
        <is>
          <t>quadrangularin a</t>
        </is>
      </c>
      <c r="E48" s="68" t="n"/>
      <c r="F48" s="68" t="n"/>
      <c r="G48" s="68" t="inlineStr">
        <is>
          <t>quadrangularin-a</t>
        </is>
      </c>
      <c r="H48" s="68" t="inlineStr">
        <is>
          <t>quadrangularin a</t>
        </is>
      </c>
      <c r="I48" s="68" t="inlineStr">
        <is>
          <t>exact_canonical_id</t>
        </is>
      </c>
      <c r="J48" s="68" t="inlineStr">
        <is>
          <t>pass_114_addition</t>
        </is>
      </c>
      <c r="K48" s="68" t="inlineStr">
        <is>
          <t>specific</t>
        </is>
      </c>
      <c r="L48" s="68" t="n"/>
      <c r="M48" s="68" t="n">
        <v>1</v>
      </c>
      <c r="N48" s="68" t="inlineStr">
        <is>
          <t>connective tissue support; recovery support</t>
        </is>
      </c>
      <c r="O48" s="68" t="inlineStr">
        <is>
          <t>general or unknown targets</t>
        </is>
      </c>
      <c r="P48" s="68" t="n"/>
      <c r="Q48" s="68" t="inlineStr">
        <is>
          <t>New validated mapping row.</t>
        </is>
      </c>
      <c r="R48" t="inlineStr">
        <is>
          <t>Pass 27 compound-layer alignment</t>
        </is>
      </c>
      <c r="V48" t="inlineStr">
        <is>
          <t>Pass 44 normalization</t>
        </is>
      </c>
      <c r="W48" t="inlineStr">
        <is>
          <t>Pass 45 duplicate consolidation alignment</t>
        </is>
      </c>
    </row>
    <row r="49">
      <c r="A49" s="68" t="inlineStr">
        <is>
          <t>ashitaba</t>
        </is>
      </c>
      <c r="B49" s="68" t="inlineStr">
        <is>
          <t>Ashitaba</t>
        </is>
      </c>
      <c r="C49" s="68" t="inlineStr">
        <is>
          <t>4-hydroxyderricin</t>
        </is>
      </c>
      <c r="D49" s="68" t="inlineStr">
        <is>
          <t>4 hydroxyderricin</t>
        </is>
      </c>
      <c r="E49" s="68" t="n"/>
      <c r="F49" s="68" t="n"/>
      <c r="G49" s="68" t="inlineStr">
        <is>
          <t>4-hydroxyderricin</t>
        </is>
      </c>
      <c r="H49" s="68" t="inlineStr">
        <is>
          <t>4-hydroxyderricin</t>
        </is>
      </c>
      <c r="I49" s="68" t="inlineStr">
        <is>
          <t>exact_canonical_id</t>
        </is>
      </c>
      <c r="J49" s="68" t="inlineStr">
        <is>
          <t>pass_114_addition</t>
        </is>
      </c>
      <c r="K49" s="68" t="inlineStr">
        <is>
          <t>specific</t>
        </is>
      </c>
      <c r="L49" s="68" t="n"/>
      <c r="M49" s="68" t="n">
        <v>1</v>
      </c>
      <c r="N49" s="68" t="inlineStr">
        <is>
          <t>metabolic support; antioxidant</t>
        </is>
      </c>
      <c r="O49" s="68" t="inlineStr">
        <is>
          <t>general or unknown targets</t>
        </is>
      </c>
      <c r="P49" s="68" t="n"/>
      <c r="Q49" s="68" t="inlineStr">
        <is>
          <t>New validated mapping row.</t>
        </is>
      </c>
      <c r="R49" t="inlineStr">
        <is>
          <t>Pass 27 compound-layer alignment</t>
        </is>
      </c>
      <c r="V49" t="inlineStr">
        <is>
          <t>Pass 44 normalization</t>
        </is>
      </c>
      <c r="W49" t="inlineStr">
        <is>
          <t>Pass 45 duplicate consolidation alignment</t>
        </is>
      </c>
    </row>
    <row r="50">
      <c r="A50" s="68" t="inlineStr">
        <is>
          <t>pomegranate</t>
        </is>
      </c>
      <c r="B50" s="68" t="inlineStr">
        <is>
          <t>Pomegranate</t>
        </is>
      </c>
      <c r="C50" s="68" t="inlineStr">
        <is>
          <t>punicalagins</t>
        </is>
      </c>
      <c r="D50" s="68" t="inlineStr">
        <is>
          <t>punicalagins</t>
        </is>
      </c>
      <c r="E50" s="68" t="n"/>
      <c r="F50" s="68" t="n"/>
      <c r="G50" s="68" t="inlineStr">
        <is>
          <t>punicalagins</t>
        </is>
      </c>
      <c r="H50" s="68" t="inlineStr">
        <is>
          <t>punicalagins</t>
        </is>
      </c>
      <c r="I50" s="68" t="inlineStr">
        <is>
          <t>exact_canonical_id</t>
        </is>
      </c>
      <c r="J50" s="68" t="inlineStr">
        <is>
          <t>pass_114_addition</t>
        </is>
      </c>
      <c r="K50" s="68" t="inlineStr">
        <is>
          <t>specific</t>
        </is>
      </c>
      <c r="L50" s="68" t="n"/>
      <c r="M50" s="68" t="n">
        <v>1</v>
      </c>
      <c r="N50" s="68" t="inlineStr">
        <is>
          <t>vascular support; antioxidant</t>
        </is>
      </c>
      <c r="O50" s="68" t="inlineStr">
        <is>
          <t>general or unknown targets</t>
        </is>
      </c>
      <c r="P50" s="68" t="n"/>
      <c r="Q50" s="68" t="inlineStr">
        <is>
          <t>New validated mapping row.</t>
        </is>
      </c>
      <c r="R50" t="inlineStr">
        <is>
          <t>Pass 27 compound-layer alignment</t>
        </is>
      </c>
      <c r="V50" t="inlineStr">
        <is>
          <t>Pass 44 normalization</t>
        </is>
      </c>
      <c r="W50" t="inlineStr">
        <is>
          <t>Pass 45 duplicate consolidation alignment</t>
        </is>
      </c>
    </row>
    <row r="51">
      <c r="A51" s="68" t="inlineStr">
        <is>
          <t>moringa</t>
        </is>
      </c>
      <c r="B51" s="68" t="inlineStr">
        <is>
          <t>Moringa</t>
        </is>
      </c>
      <c r="C51" s="68" t="inlineStr">
        <is>
          <t>moringin</t>
        </is>
      </c>
      <c r="D51" s="68" t="inlineStr">
        <is>
          <t>moringin</t>
        </is>
      </c>
      <c r="E51" s="68" t="n"/>
      <c r="F51" s="68" t="n"/>
      <c r="G51" s="68" t="inlineStr">
        <is>
          <t>moringin</t>
        </is>
      </c>
      <c r="H51" s="68" t="inlineStr">
        <is>
          <t>moringin</t>
        </is>
      </c>
      <c r="I51" s="68" t="inlineStr">
        <is>
          <t>exact_canonical_id</t>
        </is>
      </c>
      <c r="J51" s="68" t="inlineStr">
        <is>
          <t>pass_126_addition</t>
        </is>
      </c>
      <c r="K51" s="68" t="inlineStr">
        <is>
          <t>specific</t>
        </is>
      </c>
      <c r="L51" s="68" t="n"/>
      <c r="M51" s="68" t="inlineStr">
        <is>
          <t>Yes</t>
        </is>
      </c>
      <c r="N51" s="68" t="inlineStr">
        <is>
          <t>nutritive support; antioxidant; metabolic support</t>
        </is>
      </c>
      <c r="O51" s="68" t="inlineStr">
        <is>
          <t>general or unknown targets</t>
        </is>
      </c>
      <c r="P51" s="68" t="inlineStr">
        <is>
          <t>Pass 126 curated expansion</t>
        </is>
      </c>
      <c r="Q51" s="68" t="inlineStr">
        <is>
          <t>New validated mapping row.</t>
        </is>
      </c>
      <c r="R51" t="inlineStr">
        <is>
          <t>Pass 27 compound-layer alignment</t>
        </is>
      </c>
      <c r="V51" t="inlineStr">
        <is>
          <t>Pass 44 normalization</t>
        </is>
      </c>
      <c r="W51" t="inlineStr">
        <is>
          <t>Pass 45 duplicate consolidation alignment</t>
        </is>
      </c>
    </row>
    <row r="52">
      <c r="A52" s="68" t="inlineStr">
        <is>
          <t>arjuna</t>
        </is>
      </c>
      <c r="B52" s="68" t="inlineStr">
        <is>
          <t>Arjuna</t>
        </is>
      </c>
      <c r="C52" s="68" t="inlineStr">
        <is>
          <t>arjunolic acid</t>
        </is>
      </c>
      <c r="D52" s="68" t="inlineStr">
        <is>
          <t>arjunolic acid</t>
        </is>
      </c>
      <c r="E52" s="68" t="n"/>
      <c r="F52" s="68" t="n"/>
      <c r="G52" s="68" t="inlineStr">
        <is>
          <t>arjunolic-acid</t>
        </is>
      </c>
      <c r="H52" s="68" t="inlineStr">
        <is>
          <t>arjunolic acid</t>
        </is>
      </c>
      <c r="I52" s="68" t="inlineStr">
        <is>
          <t>exact_canonical_id</t>
        </is>
      </c>
      <c r="J52" s="68" t="inlineStr">
        <is>
          <t>pass_126_addition</t>
        </is>
      </c>
      <c r="K52" s="68" t="inlineStr">
        <is>
          <t>specific</t>
        </is>
      </c>
      <c r="L52" s="68" t="n"/>
      <c r="M52" s="68" t="inlineStr">
        <is>
          <t>Yes</t>
        </is>
      </c>
      <c r="N52" s="68" t="inlineStr">
        <is>
          <t>cardiovascular support; vascular support</t>
        </is>
      </c>
      <c r="O52" s="68" t="inlineStr">
        <is>
          <t>general or unknown targets</t>
        </is>
      </c>
      <c r="P52" s="68" t="inlineStr">
        <is>
          <t>Pass 126 curated expansion</t>
        </is>
      </c>
      <c r="Q52" s="68" t="inlineStr">
        <is>
          <t>New validated mapping row.</t>
        </is>
      </c>
      <c r="R52" t="inlineStr">
        <is>
          <t>Pass 27 compound-layer alignment</t>
        </is>
      </c>
      <c r="V52" t="inlineStr">
        <is>
          <t>Pass 44 normalization</t>
        </is>
      </c>
      <c r="W52" t="inlineStr">
        <is>
          <t>Pass 45 duplicate consolidation alignment</t>
        </is>
      </c>
    </row>
    <row r="53">
      <c r="A53" s="68" t="inlineStr">
        <is>
          <t>noni</t>
        </is>
      </c>
      <c r="B53" s="68" t="inlineStr">
        <is>
          <t>Noni</t>
        </is>
      </c>
      <c r="C53" s="68" t="inlineStr">
        <is>
          <t>damnacanthal</t>
        </is>
      </c>
      <c r="D53" s="68" t="inlineStr">
        <is>
          <t>damnacanthal</t>
        </is>
      </c>
      <c r="E53" s="68" t="n"/>
      <c r="F53" s="68" t="n"/>
      <c r="G53" s="68" t="inlineStr">
        <is>
          <t>damnacanthal</t>
        </is>
      </c>
      <c r="H53" s="68" t="inlineStr">
        <is>
          <t>damnacanthal</t>
        </is>
      </c>
      <c r="I53" s="68" t="inlineStr">
        <is>
          <t>exact_canonical_id</t>
        </is>
      </c>
      <c r="J53" s="68" t="inlineStr">
        <is>
          <t>pass_126_addition</t>
        </is>
      </c>
      <c r="K53" s="68" t="inlineStr">
        <is>
          <t>specific</t>
        </is>
      </c>
      <c r="L53" s="68" t="n"/>
      <c r="M53" s="68" t="inlineStr">
        <is>
          <t>Yes</t>
        </is>
      </c>
      <c r="N53" s="68" t="inlineStr">
        <is>
          <t>traditional wellness support; antioxidant</t>
        </is>
      </c>
      <c r="O53" s="68" t="inlineStr">
        <is>
          <t>general or unknown targets</t>
        </is>
      </c>
      <c r="P53" s="68" t="inlineStr">
        <is>
          <t>Pass 126 curated expansion</t>
        </is>
      </c>
      <c r="Q53" s="68" t="inlineStr">
        <is>
          <t>New validated mapping row.</t>
        </is>
      </c>
      <c r="R53" t="inlineStr">
        <is>
          <t>Pass 27 compound-layer alignment</t>
        </is>
      </c>
      <c r="V53" t="inlineStr">
        <is>
          <t>Pass 44 normalization</t>
        </is>
      </c>
      <c r="W53" t="inlineStr">
        <is>
          <t>Pass 45 duplicate consolidation alignment</t>
        </is>
      </c>
    </row>
    <row r="54">
      <c r="A54" s="68" t="inlineStr">
        <is>
          <t>cranberry</t>
        </is>
      </c>
      <c r="B54" s="68" t="inlineStr">
        <is>
          <t>Cranberry</t>
        </is>
      </c>
      <c r="C54" s="68" t="inlineStr">
        <is>
          <t>a-type proanthocyanidins</t>
        </is>
      </c>
      <c r="D54" s="68" t="inlineStr">
        <is>
          <t>a type proanthocyanidins</t>
        </is>
      </c>
      <c r="E54" s="68" t="n"/>
      <c r="F54" s="68" t="n"/>
      <c r="G54" s="68" t="inlineStr">
        <is>
          <t>a-type-proanthocyanidins</t>
        </is>
      </c>
      <c r="H54" s="68" t="inlineStr">
        <is>
          <t>a-type proanthocyanidins</t>
        </is>
      </c>
      <c r="I54" s="68" t="inlineStr">
        <is>
          <t>exact_canonical_id</t>
        </is>
      </c>
      <c r="J54" s="68" t="inlineStr">
        <is>
          <t>pass_126_addition</t>
        </is>
      </c>
      <c r="K54" s="68" t="inlineStr">
        <is>
          <t>specific</t>
        </is>
      </c>
      <c r="L54" s="68" t="n"/>
      <c r="M54" s="68" t="inlineStr">
        <is>
          <t>Yes</t>
        </is>
      </c>
      <c r="N54" s="68" t="inlineStr">
        <is>
          <t>urinary support; antioxidant</t>
        </is>
      </c>
      <c r="O54" s="68" t="inlineStr">
        <is>
          <t>general or unknown targets</t>
        </is>
      </c>
      <c r="P54" s="68" t="inlineStr">
        <is>
          <t>Pass 126 curated expansion</t>
        </is>
      </c>
      <c r="Q54" s="68" t="inlineStr">
        <is>
          <t>New validated mapping row.</t>
        </is>
      </c>
      <c r="R54" t="inlineStr">
        <is>
          <t>Pass 27 compound-layer alignment</t>
        </is>
      </c>
      <c r="V54" t="inlineStr">
        <is>
          <t>Pass 44 normalization</t>
        </is>
      </c>
      <c r="W54" t="inlineStr">
        <is>
          <t>Pass 45 duplicate consolidation alignment</t>
        </is>
      </c>
    </row>
    <row r="55">
      <c r="A55" s="68" t="inlineStr">
        <is>
          <t>rose-hips</t>
        </is>
      </c>
      <c r="B55" s="68" t="inlineStr">
        <is>
          <t>Rose Hips</t>
        </is>
      </c>
      <c r="C55" s="68" t="inlineStr">
        <is>
          <t>trans-tiliroside</t>
        </is>
      </c>
      <c r="D55" s="68" t="inlineStr">
        <is>
          <t>trans tiliroside</t>
        </is>
      </c>
      <c r="E55" s="68" t="n"/>
      <c r="F55" s="68" t="n"/>
      <c r="G55" s="68" t="inlineStr">
        <is>
          <t>trans-tiliroside</t>
        </is>
      </c>
      <c r="H55" s="68" t="inlineStr">
        <is>
          <t>trans-tiliroside</t>
        </is>
      </c>
      <c r="I55" s="68" t="inlineStr">
        <is>
          <t>exact_canonical_id</t>
        </is>
      </c>
      <c r="J55" s="68" t="inlineStr">
        <is>
          <t>pass_126_addition</t>
        </is>
      </c>
      <c r="K55" s="68" t="inlineStr">
        <is>
          <t>specific</t>
        </is>
      </c>
      <c r="L55" s="68" t="n"/>
      <c r="M55" s="68" t="inlineStr">
        <is>
          <t>Yes</t>
        </is>
      </c>
      <c r="N55" s="68" t="inlineStr">
        <is>
          <t>antioxidant; nutritive support</t>
        </is>
      </c>
      <c r="O55" s="68" t="inlineStr">
        <is>
          <t>general or unknown targets</t>
        </is>
      </c>
      <c r="P55" s="68" t="inlineStr">
        <is>
          <t>Pass 126 curated expansion</t>
        </is>
      </c>
      <c r="Q55" s="68" t="inlineStr">
        <is>
          <t>New validated mapping row.</t>
        </is>
      </c>
      <c r="R55" t="inlineStr">
        <is>
          <t>Pass 27 compound-layer alignment</t>
        </is>
      </c>
      <c r="V55" t="inlineStr">
        <is>
          <t>Pass 44 normalization</t>
        </is>
      </c>
      <c r="W55" t="inlineStr">
        <is>
          <t>Pass 45 duplicate consolidation alignment</t>
        </is>
      </c>
    </row>
    <row r="56">
      <c r="A56" s="68" t="inlineStr">
        <is>
          <t>juniper</t>
        </is>
      </c>
      <c r="B56" s="68" t="inlineStr">
        <is>
          <t>Juniper</t>
        </is>
      </c>
      <c r="C56" s="68" t="inlineStr">
        <is>
          <t>alpha-pinene</t>
        </is>
      </c>
      <c r="D56" s="68" t="inlineStr">
        <is>
          <t>alpha pinene</t>
        </is>
      </c>
      <c r="E56" s="68" t="n"/>
      <c r="F56" s="68" t="n"/>
      <c r="G56" s="68" t="inlineStr">
        <is>
          <t>alpha-pinene</t>
        </is>
      </c>
      <c r="H56" s="68" t="inlineStr">
        <is>
          <t>alpha-pinene</t>
        </is>
      </c>
      <c r="I56" s="68" t="inlineStr">
        <is>
          <t>exact_canonical_id</t>
        </is>
      </c>
      <c r="J56" s="68" t="inlineStr">
        <is>
          <t>pass_126_addition</t>
        </is>
      </c>
      <c r="K56" s="68" t="inlineStr">
        <is>
          <t>specific</t>
        </is>
      </c>
      <c r="L56" s="68" t="n"/>
      <c r="M56" s="68" t="inlineStr">
        <is>
          <t>Yes</t>
        </is>
      </c>
      <c r="N56" s="68" t="inlineStr">
        <is>
          <t>digestive support; urinary support; aromatic support</t>
        </is>
      </c>
      <c r="O56" s="68" t="inlineStr">
        <is>
          <t>general or unknown targets</t>
        </is>
      </c>
      <c r="P56" s="68" t="inlineStr">
        <is>
          <t>Pass 126 curated expansion</t>
        </is>
      </c>
      <c r="Q56" s="68" t="inlineStr">
        <is>
          <t>New validated mapping row.</t>
        </is>
      </c>
      <c r="R56" t="inlineStr">
        <is>
          <t>Pass 27 compound-layer alignment</t>
        </is>
      </c>
      <c r="V56" t="inlineStr">
        <is>
          <t>Pass 44 normalization</t>
        </is>
      </c>
      <c r="W56" t="inlineStr">
        <is>
          <t>Pass 45 duplicate consolidation alignment</t>
        </is>
      </c>
    </row>
    <row r="57">
      <c r="A57" s="68" t="inlineStr">
        <is>
          <t>myrtle</t>
        </is>
      </c>
      <c r="B57" s="68" t="inlineStr">
        <is>
          <t>Myrtle</t>
        </is>
      </c>
      <c r="C57" s="68" t="inlineStr">
        <is>
          <t>myrtenyl acetate</t>
        </is>
      </c>
      <c r="D57" s="68" t="inlineStr">
        <is>
          <t>myrtenyl acetate</t>
        </is>
      </c>
      <c r="E57" s="68" t="n"/>
      <c r="F57" s="68" t="n"/>
      <c r="G57" s="68" t="inlineStr">
        <is>
          <t>myrtenyl-acetate</t>
        </is>
      </c>
      <c r="H57" s="68" t="inlineStr">
        <is>
          <t>myrtenyl acetate</t>
        </is>
      </c>
      <c r="I57" s="68" t="inlineStr">
        <is>
          <t>exact_canonical_id</t>
        </is>
      </c>
      <c r="J57" s="68" t="inlineStr">
        <is>
          <t>pass_126_addition</t>
        </is>
      </c>
      <c r="K57" s="68" t="inlineStr">
        <is>
          <t>specific</t>
        </is>
      </c>
      <c r="L57" s="68" t="n"/>
      <c r="M57" s="68" t="inlineStr">
        <is>
          <t>Yes</t>
        </is>
      </c>
      <c r="N57" s="68" t="inlineStr">
        <is>
          <t>aromatic support; antioxidant</t>
        </is>
      </c>
      <c r="O57" s="68" t="inlineStr">
        <is>
          <t>general or unknown targets</t>
        </is>
      </c>
      <c r="P57" s="68" t="inlineStr">
        <is>
          <t>Pass 126 curated expansion</t>
        </is>
      </c>
      <c r="Q57" s="68" t="inlineStr">
        <is>
          <t>New validated mapping row.</t>
        </is>
      </c>
      <c r="R57" t="inlineStr">
        <is>
          <t>Pass 27 compound-layer alignment</t>
        </is>
      </c>
      <c r="V57" t="inlineStr">
        <is>
          <t>Pass 44 normalization</t>
        </is>
      </c>
      <c r="W57" t="inlineStr">
        <is>
          <t>Pass 45 duplicate consolidation alignment</t>
        </is>
      </c>
    </row>
    <row r="58">
      <c r="A58" s="68" t="inlineStr">
        <is>
          <t>acerola</t>
        </is>
      </c>
      <c r="B58" s="68" t="inlineStr">
        <is>
          <t>Acerola</t>
        </is>
      </c>
      <c r="C58" s="68" t="inlineStr">
        <is>
          <t>ascorbic acid</t>
        </is>
      </c>
      <c r="D58" s="68" t="inlineStr">
        <is>
          <t>ascorbic acid</t>
        </is>
      </c>
      <c r="E58" s="68" t="n"/>
      <c r="F58" s="68" t="n"/>
      <c r="G58" s="68" t="inlineStr">
        <is>
          <t>ascorbic-acid</t>
        </is>
      </c>
      <c r="H58" s="68" t="inlineStr">
        <is>
          <t>ascorbic acid</t>
        </is>
      </c>
      <c r="I58" s="68" t="inlineStr">
        <is>
          <t>exact_canonical_id</t>
        </is>
      </c>
      <c r="J58" s="68" t="inlineStr">
        <is>
          <t>pass_126_addition</t>
        </is>
      </c>
      <c r="K58" s="68" t="inlineStr">
        <is>
          <t>specific</t>
        </is>
      </c>
      <c r="L58" s="68" t="n"/>
      <c r="M58" s="68" t="inlineStr">
        <is>
          <t>Yes</t>
        </is>
      </c>
      <c r="N58" s="68" t="inlineStr">
        <is>
          <t>antioxidant; nutritive support</t>
        </is>
      </c>
      <c r="O58" s="68" t="inlineStr">
        <is>
          <t>general or unknown targets</t>
        </is>
      </c>
      <c r="P58" s="68" t="inlineStr">
        <is>
          <t>Pass 126 curated expansion</t>
        </is>
      </c>
      <c r="Q58" s="68" t="inlineStr">
        <is>
          <t>New validated mapping row.</t>
        </is>
      </c>
      <c r="R58" t="inlineStr">
        <is>
          <t>Pass 27 compound-layer alignment</t>
        </is>
      </c>
      <c r="V58" t="inlineStr">
        <is>
          <t>Pass 44 normalization</t>
        </is>
      </c>
      <c r="W58" t="inlineStr">
        <is>
          <t>Pass 45 duplicate consolidation alignment</t>
        </is>
      </c>
    </row>
    <row r="59">
      <c r="A59" s="68" t="inlineStr">
        <is>
          <t>mangosteen</t>
        </is>
      </c>
      <c r="B59" s="68" t="inlineStr">
        <is>
          <t>Mangosteen</t>
        </is>
      </c>
      <c r="C59" s="68" t="inlineStr">
        <is>
          <t>alpha-mangostin</t>
        </is>
      </c>
      <c r="D59" s="68" t="inlineStr">
        <is>
          <t>alpha mangostin</t>
        </is>
      </c>
      <c r="E59" s="68" t="n"/>
      <c r="F59" s="68" t="n"/>
      <c r="G59" s="68" t="inlineStr">
        <is>
          <t>alpha-mangostin</t>
        </is>
      </c>
      <c r="H59" s="68" t="inlineStr">
        <is>
          <t>alpha-mangostin</t>
        </is>
      </c>
      <c r="I59" s="68" t="inlineStr">
        <is>
          <t>exact_canonical_id</t>
        </is>
      </c>
      <c r="J59" s="68" t="inlineStr">
        <is>
          <t>pass_126_addition</t>
        </is>
      </c>
      <c r="K59" s="68" t="inlineStr">
        <is>
          <t>specific</t>
        </is>
      </c>
      <c r="L59" s="68" t="n"/>
      <c r="M59" s="68" t="inlineStr">
        <is>
          <t>Yes</t>
        </is>
      </c>
      <c r="N59" s="68" t="inlineStr">
        <is>
          <t>antioxidant; traditional wellness support</t>
        </is>
      </c>
      <c r="O59" s="68" t="inlineStr">
        <is>
          <t>general or unknown targets</t>
        </is>
      </c>
      <c r="P59" s="68" t="inlineStr">
        <is>
          <t>Pass 126 curated expansion</t>
        </is>
      </c>
      <c r="Q59" s="68" t="inlineStr">
        <is>
          <t>New validated mapping row.</t>
        </is>
      </c>
      <c r="R59" t="inlineStr">
        <is>
          <t>Pass 27 compound-layer alignment</t>
        </is>
      </c>
      <c r="V59" t="inlineStr">
        <is>
          <t>Pass 44 normalization</t>
        </is>
      </c>
      <c r="W59" t="inlineStr">
        <is>
          <t>Pass 45 duplicate consolidation alignment</t>
        </is>
      </c>
    </row>
    <row r="60">
      <c r="A60" s="68" t="inlineStr">
        <is>
          <t>boldo</t>
        </is>
      </c>
      <c r="B60" s="68" t="inlineStr">
        <is>
          <t>Boldo</t>
        </is>
      </c>
      <c r="C60" s="68" t="inlineStr">
        <is>
          <t>boldine</t>
        </is>
      </c>
      <c r="D60" s="68" t="inlineStr">
        <is>
          <t>boldine</t>
        </is>
      </c>
      <c r="E60" s="68" t="n"/>
      <c r="F60" s="68" t="n"/>
      <c r="G60" s="68" t="inlineStr">
        <is>
          <t>boldine</t>
        </is>
      </c>
      <c r="H60" s="68" t="inlineStr">
        <is>
          <t>boldine</t>
        </is>
      </c>
      <c r="I60" s="68" t="inlineStr">
        <is>
          <t>exact_canonical_id</t>
        </is>
      </c>
      <c r="J60" s="68" t="inlineStr">
        <is>
          <t>pass_126_addition</t>
        </is>
      </c>
      <c r="K60" s="68" t="inlineStr">
        <is>
          <t>specific</t>
        </is>
      </c>
      <c r="L60" s="68" t="n"/>
      <c r="M60" s="68" t="inlineStr">
        <is>
          <t>Yes</t>
        </is>
      </c>
      <c r="N60" s="68" t="inlineStr">
        <is>
          <t>digestive support; hepatobiliary support</t>
        </is>
      </c>
      <c r="O60" s="68" t="inlineStr">
        <is>
          <t>general or unknown targets</t>
        </is>
      </c>
      <c r="P60" s="68" t="inlineStr">
        <is>
          <t>Pass 126 curated expansion</t>
        </is>
      </c>
      <c r="Q60" s="68" t="inlineStr">
        <is>
          <t>New validated mapping row.</t>
        </is>
      </c>
      <c r="R60" t="inlineStr">
        <is>
          <t>Pass 27 compound-layer alignment</t>
        </is>
      </c>
      <c r="V60" t="inlineStr">
        <is>
          <t>Pass 44 normalization</t>
        </is>
      </c>
      <c r="W60" t="inlineStr">
        <is>
          <t>Pass 45 duplicate consolidation alignment</t>
        </is>
      </c>
    </row>
    <row r="61">
      <c r="A61" s="68" t="inlineStr">
        <is>
          <t>suma</t>
        </is>
      </c>
      <c r="B61" s="68" t="inlineStr">
        <is>
          <t>Suma</t>
        </is>
      </c>
      <c r="C61" s="68" t="inlineStr">
        <is>
          <t>pfaffic acid</t>
        </is>
      </c>
      <c r="D61" s="68" t="inlineStr">
        <is>
          <t>pfaffic acid</t>
        </is>
      </c>
      <c r="E61" s="68" t="n"/>
      <c r="F61" s="68" t="n"/>
      <c r="G61" s="68" t="inlineStr">
        <is>
          <t>pfaffic-acid</t>
        </is>
      </c>
      <c r="H61" s="68" t="inlineStr">
        <is>
          <t>pfaffic acid</t>
        </is>
      </c>
      <c r="I61" s="68" t="inlineStr">
        <is>
          <t>exact_canonical_id</t>
        </is>
      </c>
      <c r="J61" s="68" t="inlineStr">
        <is>
          <t>pass_126_addition</t>
        </is>
      </c>
      <c r="K61" s="68" t="inlineStr">
        <is>
          <t>specific</t>
        </is>
      </c>
      <c r="L61" s="68" t="n"/>
      <c r="M61" s="68" t="inlineStr">
        <is>
          <t>Yes</t>
        </is>
      </c>
      <c r="N61" s="68" t="inlineStr">
        <is>
          <t>traditional restorative support; adaptogenic support</t>
        </is>
      </c>
      <c r="O61" s="68" t="inlineStr">
        <is>
          <t>general or unknown targets</t>
        </is>
      </c>
      <c r="P61" s="68" t="inlineStr">
        <is>
          <t>Pass 126 curated expansion</t>
        </is>
      </c>
      <c r="Q61" s="68" t="inlineStr">
        <is>
          <t>New validated mapping row.</t>
        </is>
      </c>
      <c r="R61" t="inlineStr">
        <is>
          <t>Pass 27 compound-layer alignment</t>
        </is>
      </c>
      <c r="V61" t="inlineStr">
        <is>
          <t>Pass 44 normalization</t>
        </is>
      </c>
      <c r="W61" t="inlineStr">
        <is>
          <t>Pass 45 duplicate consolidation alignment</t>
        </is>
      </c>
    </row>
    <row r="62">
      <c r="A62" s="68" t="inlineStr">
        <is>
          <t>maral-root</t>
        </is>
      </c>
      <c r="B62" s="68" t="inlineStr">
        <is>
          <t>Maral Root</t>
        </is>
      </c>
      <c r="C62" s="68" t="inlineStr">
        <is>
          <t>ecdysterone</t>
        </is>
      </c>
      <c r="D62" s="68" t="inlineStr">
        <is>
          <t>ecdysterone</t>
        </is>
      </c>
      <c r="E62" s="68" t="n"/>
      <c r="F62" s="68" t="n"/>
      <c r="G62" s="68" t="inlineStr">
        <is>
          <t>ecdysterone</t>
        </is>
      </c>
      <c r="H62" s="68" t="inlineStr">
        <is>
          <t>ecdysterone</t>
        </is>
      </c>
      <c r="I62" s="68" t="inlineStr">
        <is>
          <t>exact_canonical_id</t>
        </is>
      </c>
      <c r="J62" s="68" t="inlineStr">
        <is>
          <t>pass_126_addition</t>
        </is>
      </c>
      <c r="K62" s="68" t="inlineStr">
        <is>
          <t>specific</t>
        </is>
      </c>
      <c r="L62" s="68" t="n"/>
      <c r="M62" s="68" t="inlineStr">
        <is>
          <t>Yes</t>
        </is>
      </c>
      <c r="N62" s="68" t="inlineStr">
        <is>
          <t>adaptogenic support; recovery support</t>
        </is>
      </c>
      <c r="O62" s="68" t="inlineStr">
        <is>
          <t>general or unknown targets</t>
        </is>
      </c>
      <c r="P62" s="68" t="inlineStr">
        <is>
          <t>Pass 126 curated expansion</t>
        </is>
      </c>
      <c r="Q62" s="68" t="inlineStr">
        <is>
          <t>New validated mapping row.</t>
        </is>
      </c>
      <c r="R62" t="inlineStr">
        <is>
          <t>Pass 27 compound-layer alignment</t>
        </is>
      </c>
      <c r="V62" t="inlineStr">
        <is>
          <t>Pass 44 normalization</t>
        </is>
      </c>
      <c r="W62" t="inlineStr">
        <is>
          <t>Pass 45 duplicate consolidation alignment</t>
        </is>
      </c>
    </row>
    <row r="63">
      <c r="A63" s="68" t="inlineStr">
        <is>
          <t>jatamansi</t>
        </is>
      </c>
      <c r="B63" s="68" t="inlineStr">
        <is>
          <t>Jatamansi</t>
        </is>
      </c>
      <c r="C63" s="68" t="inlineStr">
        <is>
          <t>jatamansone</t>
        </is>
      </c>
      <c r="D63" s="68" t="inlineStr">
        <is>
          <t>jatamansone</t>
        </is>
      </c>
      <c r="E63" s="68" t="n"/>
      <c r="F63" s="68" t="n"/>
      <c r="G63" s="68" t="inlineStr">
        <is>
          <t>jatamansone</t>
        </is>
      </c>
      <c r="H63" s="68" t="inlineStr">
        <is>
          <t>jatamansone</t>
        </is>
      </c>
      <c r="I63" s="68" t="inlineStr">
        <is>
          <t>exact_canonical_id</t>
        </is>
      </c>
      <c r="J63" s="68" t="inlineStr">
        <is>
          <t>pass_126_addition</t>
        </is>
      </c>
      <c r="K63" s="68" t="inlineStr">
        <is>
          <t>specific</t>
        </is>
      </c>
      <c r="L63" s="68" t="n"/>
      <c r="M63" s="68" t="inlineStr">
        <is>
          <t>Yes</t>
        </is>
      </c>
      <c r="N63" s="68" t="inlineStr">
        <is>
          <t>calming support; traditional nervous-system support</t>
        </is>
      </c>
      <c r="O63" s="68" t="inlineStr">
        <is>
          <t>general or unknown targets</t>
        </is>
      </c>
      <c r="P63" s="68" t="inlineStr">
        <is>
          <t>Pass 126 curated expansion</t>
        </is>
      </c>
      <c r="Q63" s="68" t="inlineStr">
        <is>
          <t>New validated mapping row.</t>
        </is>
      </c>
      <c r="R63" t="inlineStr">
        <is>
          <t>Pass 27 compound-layer alignment</t>
        </is>
      </c>
      <c r="V63" t="inlineStr">
        <is>
          <t>Pass 44 normalization</t>
        </is>
      </c>
      <c r="W63" t="inlineStr">
        <is>
          <t>Pass 45 duplicate consolidation alignment</t>
        </is>
      </c>
    </row>
    <row r="64">
      <c r="A64" s="68" t="inlineStr">
        <is>
          <t>soursop</t>
        </is>
      </c>
      <c r="B64" s="68" t="inlineStr">
        <is>
          <t>Soursop</t>
        </is>
      </c>
      <c r="C64" s="68" t="inlineStr">
        <is>
          <t>annonacin</t>
        </is>
      </c>
      <c r="D64" s="68" t="inlineStr">
        <is>
          <t>annonacin</t>
        </is>
      </c>
      <c r="E64" s="68" t="n"/>
      <c r="F64" s="68" t="n"/>
      <c r="G64" s="68" t="inlineStr">
        <is>
          <t>annonacin</t>
        </is>
      </c>
      <c r="H64" s="68" t="inlineStr">
        <is>
          <t>annonacin</t>
        </is>
      </c>
      <c r="I64" s="68" t="inlineStr">
        <is>
          <t>exact_canonical_id</t>
        </is>
      </c>
      <c r="J64" s="68" t="inlineStr">
        <is>
          <t>pass_126_addition</t>
        </is>
      </c>
      <c r="K64" s="68" t="inlineStr">
        <is>
          <t>specific</t>
        </is>
      </c>
      <c r="L64" s="68" t="n"/>
      <c r="M64" s="68" t="inlineStr">
        <is>
          <t>Yes</t>
        </is>
      </c>
      <c r="N64" s="68" t="inlineStr">
        <is>
          <t>traditional wellness support; antioxidant</t>
        </is>
      </c>
      <c r="O64" s="68" t="inlineStr">
        <is>
          <t>general or unknown targets</t>
        </is>
      </c>
      <c r="P64" s="68" t="inlineStr">
        <is>
          <t>Pass 126 curated expansion</t>
        </is>
      </c>
      <c r="Q64" s="68" t="inlineStr">
        <is>
          <t>New validated mapping row.</t>
        </is>
      </c>
      <c r="R64" t="inlineStr">
        <is>
          <t>Pass 27 compound-layer alignment</t>
        </is>
      </c>
      <c r="V64" t="inlineStr">
        <is>
          <t>Pass 44 normalization</t>
        </is>
      </c>
      <c r="W64" t="inlineStr">
        <is>
          <t>Pass 45 duplicate consolidation alignment</t>
        </is>
      </c>
    </row>
    <row r="65">
      <c r="A65" s="68" t="inlineStr">
        <is>
          <t>ashoka</t>
        </is>
      </c>
      <c r="B65" s="68" t="inlineStr">
        <is>
          <t>Ashoka</t>
        </is>
      </c>
      <c r="C65" s="68" t="inlineStr">
        <is>
          <t>catechins</t>
        </is>
      </c>
      <c r="D65" s="68" t="inlineStr">
        <is>
          <t>catechins</t>
        </is>
      </c>
      <c r="E65" s="68" t="n"/>
      <c r="F65" s="68" t="n"/>
      <c r="G65" s="68" t="inlineStr">
        <is>
          <t>catechins</t>
        </is>
      </c>
      <c r="H65" s="68" t="inlineStr">
        <is>
          <t>catechins</t>
        </is>
      </c>
      <c r="I65" s="68" t="inlineStr">
        <is>
          <t>exact_canonical_id</t>
        </is>
      </c>
      <c r="J65" s="68" t="inlineStr">
        <is>
          <t>pass_126_addition</t>
        </is>
      </c>
      <c r="K65" s="68" t="inlineStr">
        <is>
          <t>specific</t>
        </is>
      </c>
      <c r="L65" s="68" t="n"/>
      <c r="M65" s="68" t="inlineStr">
        <is>
          <t>Yes</t>
        </is>
      </c>
      <c r="N65" s="68" t="inlineStr">
        <is>
          <t>traditional cycle support</t>
        </is>
      </c>
      <c r="O65" s="68" t="inlineStr">
        <is>
          <t>general or unknown targets</t>
        </is>
      </c>
      <c r="P65" s="68" t="inlineStr">
        <is>
          <t>Pass 126 curated expansion</t>
        </is>
      </c>
      <c r="Q65" s="68" t="inlineStr">
        <is>
          <t>New validated mapping row.</t>
        </is>
      </c>
      <c r="R65" t="inlineStr">
        <is>
          <t>Pass 27 compound-layer alignment</t>
        </is>
      </c>
      <c r="V65" t="inlineStr">
        <is>
          <t>Pass 44 normalization</t>
        </is>
      </c>
      <c r="W65" t="inlineStr">
        <is>
          <t>Pass 45 duplicate consolidation alignment</t>
        </is>
      </c>
    </row>
    <row r="66">
      <c r="A66" s="68" t="inlineStr">
        <is>
          <t>shankhpushpi</t>
        </is>
      </c>
      <c r="B66" s="68" t="inlineStr">
        <is>
          <t>Shankhpushpi</t>
        </is>
      </c>
      <c r="C66" s="68" t="inlineStr">
        <is>
          <t>convolvine</t>
        </is>
      </c>
      <c r="D66" s="68" t="inlineStr">
        <is>
          <t>convolvine</t>
        </is>
      </c>
      <c r="E66" s="68" t="n"/>
      <c r="F66" s="68" t="n"/>
      <c r="G66" s="68" t="inlineStr">
        <is>
          <t>convolvine</t>
        </is>
      </c>
      <c r="H66" s="68" t="inlineStr">
        <is>
          <t>convolvine</t>
        </is>
      </c>
      <c r="I66" s="68" t="inlineStr">
        <is>
          <t>exact_canonical_id</t>
        </is>
      </c>
      <c r="J66" s="68" t="inlineStr">
        <is>
          <t>pass_126_addition</t>
        </is>
      </c>
      <c r="K66" s="68" t="inlineStr">
        <is>
          <t>specific</t>
        </is>
      </c>
      <c r="L66" s="68" t="n"/>
      <c r="M66" s="68" t="inlineStr">
        <is>
          <t>Yes</t>
        </is>
      </c>
      <c r="N66" s="68" t="inlineStr">
        <is>
          <t>traditional cognitive support; calming support</t>
        </is>
      </c>
      <c r="O66" s="68" t="inlineStr">
        <is>
          <t>general or unknown targets</t>
        </is>
      </c>
      <c r="P66" s="68" t="inlineStr">
        <is>
          <t>Pass 126 curated expansion</t>
        </is>
      </c>
      <c r="Q66" s="68" t="inlineStr">
        <is>
          <t>New validated mapping row.</t>
        </is>
      </c>
      <c r="R66" t="inlineStr">
        <is>
          <t>Pass 27 compound-layer alignment</t>
        </is>
      </c>
      <c r="V66" t="inlineStr">
        <is>
          <t>Pass 44 normalization</t>
        </is>
      </c>
      <c r="W66" t="inlineStr">
        <is>
          <t>Pass 45 duplicate consolidation alignment</t>
        </is>
      </c>
    </row>
    <row r="67">
      <c r="A67" s="68" t="inlineStr">
        <is>
          <t>hops</t>
        </is>
      </c>
      <c r="B67" s="68" t="inlineStr">
        <is>
          <t>Hops</t>
        </is>
      </c>
      <c r="C67" s="68" t="inlineStr">
        <is>
          <t>humulone</t>
        </is>
      </c>
      <c r="D67" s="68" t="inlineStr">
        <is>
          <t>humulone</t>
        </is>
      </c>
      <c r="E67" s="68" t="n"/>
      <c r="F67" s="68" t="n"/>
      <c r="G67" s="68" t="inlineStr">
        <is>
          <t>humulone</t>
        </is>
      </c>
      <c r="H67" s="68" t="inlineStr">
        <is>
          <t>humulone</t>
        </is>
      </c>
      <c r="I67" s="68" t="inlineStr">
        <is>
          <t>exact_canonical_id</t>
        </is>
      </c>
      <c r="J67" s="68" t="inlineStr">
        <is>
          <t>pass_126_addition</t>
        </is>
      </c>
      <c r="K67" s="68" t="inlineStr">
        <is>
          <t>specific</t>
        </is>
      </c>
      <c r="L67" s="68" t="n"/>
      <c r="M67" s="68" t="inlineStr">
        <is>
          <t>Yes</t>
        </is>
      </c>
      <c r="N67" s="68" t="inlineStr">
        <is>
          <t>calming support; sleep support</t>
        </is>
      </c>
      <c r="O67" s="68" t="inlineStr">
        <is>
          <t>general or unknown targets</t>
        </is>
      </c>
      <c r="P67" s="68" t="inlineStr">
        <is>
          <t>Pass 126 curated expansion</t>
        </is>
      </c>
      <c r="Q67" s="68" t="inlineStr">
        <is>
          <t>New validated mapping row.</t>
        </is>
      </c>
      <c r="R67" t="inlineStr">
        <is>
          <t>Pass 27 compound-layer alignment</t>
        </is>
      </c>
      <c r="V67" t="inlineStr">
        <is>
          <t>Pass 44 normalization</t>
        </is>
      </c>
      <c r="W67" t="inlineStr">
        <is>
          <t>Pass 45 duplicate consolidation alignment</t>
        </is>
      </c>
    </row>
    <row r="68">
      <c r="A68" s="68" t="inlineStr">
        <is>
          <t>lemongrass</t>
        </is>
      </c>
      <c r="B68" s="68" t="inlineStr">
        <is>
          <t>Lemongrass</t>
        </is>
      </c>
      <c r="C68" s="68" t="inlineStr">
        <is>
          <t>citral</t>
        </is>
      </c>
      <c r="D68" s="68" t="inlineStr">
        <is>
          <t>citral</t>
        </is>
      </c>
      <c r="E68" s="68" t="n"/>
      <c r="F68" s="68" t="n"/>
      <c r="G68" s="68" t="inlineStr">
        <is>
          <t>citral</t>
        </is>
      </c>
      <c r="H68" s="68" t="inlineStr">
        <is>
          <t>citral</t>
        </is>
      </c>
      <c r="I68" s="68" t="inlineStr">
        <is>
          <t>exact_canonical_id</t>
        </is>
      </c>
      <c r="J68" s="68" t="inlineStr">
        <is>
          <t>pass_126_addition</t>
        </is>
      </c>
      <c r="K68" s="68" t="inlineStr">
        <is>
          <t>specific</t>
        </is>
      </c>
      <c r="L68" s="68" t="n"/>
      <c r="M68" s="68" t="inlineStr">
        <is>
          <t>Yes</t>
        </is>
      </c>
      <c r="N68" s="68" t="inlineStr">
        <is>
          <t>digestive support; calming support; aromatic support</t>
        </is>
      </c>
      <c r="O68" s="68" t="inlineStr">
        <is>
          <t>general or unknown targets</t>
        </is>
      </c>
      <c r="P68" s="68" t="inlineStr">
        <is>
          <t>Pass 126 curated expansion</t>
        </is>
      </c>
      <c r="Q68" s="68" t="inlineStr">
        <is>
          <t>New validated mapping row.</t>
        </is>
      </c>
      <c r="R68" t="inlineStr">
        <is>
          <t>Pass 27 compound-layer alignment</t>
        </is>
      </c>
      <c r="V68" t="inlineStr">
        <is>
          <t>Pass 44 normalization</t>
        </is>
      </c>
      <c r="W68" t="inlineStr">
        <is>
          <t>Pass 45 duplicate consolidation alignment</t>
        </is>
      </c>
    </row>
    <row r="69">
      <c r="A69" s="68" t="inlineStr">
        <is>
          <t>perilla</t>
        </is>
      </c>
      <c r="B69" s="68" t="inlineStr">
        <is>
          <t>Perilla</t>
        </is>
      </c>
      <c r="C69" s="68" t="inlineStr">
        <is>
          <t>perillaldehyde</t>
        </is>
      </c>
      <c r="D69" s="68" t="inlineStr">
        <is>
          <t>perillaldehyde</t>
        </is>
      </c>
      <c r="E69" s="68" t="n"/>
      <c r="F69" s="68" t="n"/>
      <c r="G69" s="68" t="inlineStr">
        <is>
          <t>perillaldehyde</t>
        </is>
      </c>
      <c r="H69" s="68" t="inlineStr">
        <is>
          <t>perillaldehyde</t>
        </is>
      </c>
      <c r="I69" s="68" t="inlineStr">
        <is>
          <t>exact_canonical_id</t>
        </is>
      </c>
      <c r="J69" s="68" t="inlineStr">
        <is>
          <t>pass_126_addition</t>
        </is>
      </c>
      <c r="K69" s="68" t="inlineStr">
        <is>
          <t>specific</t>
        </is>
      </c>
      <c r="L69" s="68" t="n"/>
      <c r="M69" s="68" t="inlineStr">
        <is>
          <t>Yes</t>
        </is>
      </c>
      <c r="N69" s="68" t="inlineStr">
        <is>
          <t>seasonal support; antioxidant; aromatic support</t>
        </is>
      </c>
      <c r="O69" s="68" t="inlineStr">
        <is>
          <t>general or unknown targets</t>
        </is>
      </c>
      <c r="P69" s="68" t="inlineStr">
        <is>
          <t>Pass 126 curated expansion</t>
        </is>
      </c>
      <c r="Q69" s="68" t="inlineStr">
        <is>
          <t>New validated mapping row.</t>
        </is>
      </c>
      <c r="R69" t="inlineStr">
        <is>
          <t>Pass 27 compound-layer alignment</t>
        </is>
      </c>
      <c r="V69" t="inlineStr">
        <is>
          <t>Pass 44 normalization</t>
        </is>
      </c>
      <c r="W69" t="inlineStr">
        <is>
          <t>Pass 45 duplicate consolidation alignment</t>
        </is>
      </c>
    </row>
    <row r="70">
      <c r="A70" s="68" t="inlineStr">
        <is>
          <t>carob</t>
        </is>
      </c>
      <c r="B70" s="68" t="inlineStr">
        <is>
          <t>Carob</t>
        </is>
      </c>
      <c r="C70" s="68" t="inlineStr">
        <is>
          <t>d-pinitol</t>
        </is>
      </c>
      <c r="D70" s="68" t="inlineStr">
        <is>
          <t>d pinitol</t>
        </is>
      </c>
      <c r="E70" s="68" t="n"/>
      <c r="F70" s="68" t="n"/>
      <c r="G70" s="68" t="inlineStr">
        <is>
          <t>d-pinitol</t>
        </is>
      </c>
      <c r="H70" s="68" t="inlineStr">
        <is>
          <t>d-pinitol</t>
        </is>
      </c>
      <c r="I70" s="68" t="inlineStr">
        <is>
          <t>exact_canonical_id</t>
        </is>
      </c>
      <c r="J70" s="68" t="inlineStr">
        <is>
          <t>pass_126_addition</t>
        </is>
      </c>
      <c r="K70" s="68" t="inlineStr">
        <is>
          <t>specific</t>
        </is>
      </c>
      <c r="L70" s="68" t="n"/>
      <c r="M70" s="68" t="inlineStr">
        <is>
          <t>Yes</t>
        </is>
      </c>
      <c r="N70" s="68" t="inlineStr">
        <is>
          <t>digestive support; metabolic support</t>
        </is>
      </c>
      <c r="O70" s="68" t="inlineStr">
        <is>
          <t>general or unknown targets</t>
        </is>
      </c>
      <c r="P70" s="68" t="inlineStr">
        <is>
          <t>Pass 126 curated expansion</t>
        </is>
      </c>
      <c r="Q70" s="68" t="inlineStr">
        <is>
          <t>New validated mapping row.</t>
        </is>
      </c>
      <c r="R70" t="inlineStr">
        <is>
          <t>Pass 27 compound-layer alignment</t>
        </is>
      </c>
      <c r="V70" t="inlineStr">
        <is>
          <t>Pass 44 normalization</t>
        </is>
      </c>
      <c r="W70" t="inlineStr">
        <is>
          <t>Pass 45 duplicate consolidation alignment</t>
        </is>
      </c>
    </row>
    <row r="71">
      <c r="A71" s="68" t="inlineStr">
        <is>
          <t>danshen</t>
        </is>
      </c>
      <c r="B71" s="68" t="inlineStr">
        <is>
          <t>Danshen</t>
        </is>
      </c>
      <c r="C71" s="68" t="inlineStr">
        <is>
          <t>Tanshinone IIA</t>
        </is>
      </c>
      <c r="D71" s="68" t="inlineStr">
        <is>
          <t>tanshinone iia</t>
        </is>
      </c>
      <c r="E71" s="68" t="n"/>
      <c r="F71" s="68" t="n"/>
      <c r="G71" s="68" t="inlineStr">
        <is>
          <t>tanshinone-iia</t>
        </is>
      </c>
      <c r="H71" s="68" t="inlineStr">
        <is>
          <t>Tanshinone IIA</t>
        </is>
      </c>
      <c r="I71" s="68" t="inlineStr">
        <is>
          <t>exact_canonical_id</t>
        </is>
      </c>
      <c r="J71" s="68" t="inlineStr">
        <is>
          <t>pass_130_addition</t>
        </is>
      </c>
      <c r="K71" s="68" t="inlineStr">
        <is>
          <t>specific</t>
        </is>
      </c>
      <c r="L71" s="68" t="n"/>
      <c r="M71" s="68" t="n">
        <v>1</v>
      </c>
      <c r="N71" s="68" t="inlineStr">
        <is>
          <t>cardiovascular support; vascular support</t>
        </is>
      </c>
      <c r="O71" s="68" t="inlineStr">
        <is>
          <t>general or unknown targets</t>
        </is>
      </c>
      <c r="P71" s="68" t="n"/>
      <c r="Q71" s="68" t="inlineStr">
        <is>
          <t>New validated mapping row.</t>
        </is>
      </c>
      <c r="R71" t="inlineStr">
        <is>
          <t>Pass 27 compound-layer alignment</t>
        </is>
      </c>
      <c r="V71" t="inlineStr">
        <is>
          <t>Pass 44 normalization</t>
        </is>
      </c>
      <c r="W71" t="inlineStr">
        <is>
          <t>Pass 45 duplicate consolidation alignment</t>
        </is>
      </c>
    </row>
    <row r="72">
      <c r="A72" s="68" t="inlineStr">
        <is>
          <t>eucommia</t>
        </is>
      </c>
      <c r="B72" s="68" t="inlineStr">
        <is>
          <t>Eucommia</t>
        </is>
      </c>
      <c r="C72" s="68" t="inlineStr">
        <is>
          <t>geniposidic acid</t>
        </is>
      </c>
      <c r="D72" s="68" t="inlineStr">
        <is>
          <t>geniposidic acid</t>
        </is>
      </c>
      <c r="E72" s="68" t="n"/>
      <c r="F72" s="68" t="n"/>
      <c r="G72" s="68" t="inlineStr">
        <is>
          <t>geniposidic-acid</t>
        </is>
      </c>
      <c r="H72" s="68" t="inlineStr">
        <is>
          <t>geniposidic acid</t>
        </is>
      </c>
      <c r="I72" s="68" t="inlineStr">
        <is>
          <t>exact_canonical_id</t>
        </is>
      </c>
      <c r="J72" s="68" t="inlineStr">
        <is>
          <t>pass_130_addition</t>
        </is>
      </c>
      <c r="K72" s="68" t="inlineStr">
        <is>
          <t>specific</t>
        </is>
      </c>
      <c r="L72" s="68" t="n"/>
      <c r="M72" s="68" t="n">
        <v>1</v>
      </c>
      <c r="N72" s="68" t="inlineStr">
        <is>
          <t>connective tissue support; cardiometabolic support</t>
        </is>
      </c>
      <c r="O72" s="68" t="inlineStr">
        <is>
          <t>general or unknown targets</t>
        </is>
      </c>
      <c r="P72" s="68" t="n"/>
      <c r="Q72" s="68" t="inlineStr">
        <is>
          <t>New validated mapping row.</t>
        </is>
      </c>
      <c r="R72" t="inlineStr">
        <is>
          <t>Pass 27 compound-layer alignment</t>
        </is>
      </c>
      <c r="V72" t="inlineStr">
        <is>
          <t>Pass 44 normalization</t>
        </is>
      </c>
      <c r="W72" t="inlineStr">
        <is>
          <t>Pass 45 duplicate consolidation alignment</t>
        </is>
      </c>
    </row>
    <row r="73">
      <c r="A73" s="68" t="inlineStr">
        <is>
          <t>cistanche</t>
        </is>
      </c>
      <c r="B73" s="68" t="inlineStr">
        <is>
          <t>Cistanche</t>
        </is>
      </c>
      <c r="C73" s="68" t="inlineStr">
        <is>
          <t>echinacoside</t>
        </is>
      </c>
      <c r="D73" s="68" t="inlineStr">
        <is>
          <t>echinacoside</t>
        </is>
      </c>
      <c r="E73" s="68" t="n"/>
      <c r="F73" s="68" t="n"/>
      <c r="G73" s="68" t="inlineStr">
        <is>
          <t>echinacoside</t>
        </is>
      </c>
      <c r="H73" s="68" t="inlineStr">
        <is>
          <t>echinacoside</t>
        </is>
      </c>
      <c r="I73" s="68" t="inlineStr">
        <is>
          <t>exact_canonical_id</t>
        </is>
      </c>
      <c r="J73" s="68" t="inlineStr">
        <is>
          <t>pass_130_addition</t>
        </is>
      </c>
      <c r="K73" s="68" t="inlineStr">
        <is>
          <t>specific</t>
        </is>
      </c>
      <c r="L73" s="68" t="n"/>
      <c r="M73" s="68" t="n">
        <v>1</v>
      </c>
      <c r="N73" s="68" t="inlineStr">
        <is>
          <t>traditional restorative support; fatigue support</t>
        </is>
      </c>
      <c r="O73" s="68" t="inlineStr">
        <is>
          <t>general or unknown targets</t>
        </is>
      </c>
      <c r="P73" s="68" t="n"/>
      <c r="Q73" s="68" t="inlineStr">
        <is>
          <t>New validated mapping row.</t>
        </is>
      </c>
      <c r="R73" t="inlineStr">
        <is>
          <t>Pass 27 compound-layer alignment</t>
        </is>
      </c>
      <c r="V73" t="inlineStr">
        <is>
          <t>Pass 44 normalization</t>
        </is>
      </c>
      <c r="W73" t="inlineStr">
        <is>
          <t>Pass 45 duplicate consolidation alignment</t>
        </is>
      </c>
    </row>
    <row r="74">
      <c r="A74" s="68" t="inlineStr">
        <is>
          <t>jujube</t>
        </is>
      </c>
      <c r="B74" s="68" t="inlineStr">
        <is>
          <t>Jujube</t>
        </is>
      </c>
      <c r="C74" s="68" t="inlineStr">
        <is>
          <t>jujuboside a</t>
        </is>
      </c>
      <c r="D74" s="68" t="inlineStr">
        <is>
          <t>jujuboside a</t>
        </is>
      </c>
      <c r="E74" s="68" t="n"/>
      <c r="F74" s="68" t="n"/>
      <c r="G74" s="68" t="inlineStr">
        <is>
          <t>jujuboside-a</t>
        </is>
      </c>
      <c r="H74" s="68" t="inlineStr">
        <is>
          <t>jujuboside a</t>
        </is>
      </c>
      <c r="I74" s="68" t="inlineStr">
        <is>
          <t>exact_canonical_id</t>
        </is>
      </c>
      <c r="J74" s="68" t="inlineStr">
        <is>
          <t>pass_130_addition</t>
        </is>
      </c>
      <c r="K74" s="68" t="inlineStr">
        <is>
          <t>specific</t>
        </is>
      </c>
      <c r="L74" s="68" t="n"/>
      <c r="M74" s="68" t="n">
        <v>1</v>
      </c>
      <c r="N74" s="68" t="inlineStr">
        <is>
          <t>calming support; nutritive support</t>
        </is>
      </c>
      <c r="O74" s="68" t="inlineStr">
        <is>
          <t>general or unknown targets</t>
        </is>
      </c>
      <c r="P74" s="68" t="n"/>
      <c r="Q74" s="68" t="inlineStr">
        <is>
          <t>New validated mapping row.</t>
        </is>
      </c>
      <c r="R74" t="inlineStr">
        <is>
          <t>Pass 27 compound-layer alignment</t>
        </is>
      </c>
      <c r="V74" t="inlineStr">
        <is>
          <t>Pass 44 normalization</t>
        </is>
      </c>
      <c r="W74" t="inlineStr">
        <is>
          <t>Pass 45 duplicate consolidation alignment</t>
        </is>
      </c>
    </row>
    <row r="75">
      <c r="A75" s="68" t="inlineStr">
        <is>
          <t>longan</t>
        </is>
      </c>
      <c r="B75" s="68" t="inlineStr">
        <is>
          <t>Longan</t>
        </is>
      </c>
      <c r="C75" s="68" t="inlineStr">
        <is>
          <t>gallic acid</t>
        </is>
      </c>
      <c r="D75" s="68" t="inlineStr">
        <is>
          <t>gallic acid</t>
        </is>
      </c>
      <c r="E75" s="68" t="n"/>
      <c r="F75" s="68" t="n"/>
      <c r="G75" s="68" t="inlineStr">
        <is>
          <t>gallic-acid</t>
        </is>
      </c>
      <c r="H75" s="68" t="inlineStr">
        <is>
          <t>gallic acid</t>
        </is>
      </c>
      <c r="I75" s="68" t="inlineStr">
        <is>
          <t>exact_canonical_id</t>
        </is>
      </c>
      <c r="J75" s="68" t="inlineStr">
        <is>
          <t>pass_130_addition</t>
        </is>
      </c>
      <c r="K75" s="68" t="inlineStr">
        <is>
          <t>specific</t>
        </is>
      </c>
      <c r="L75" s="68" t="n"/>
      <c r="M75" s="68" t="n">
        <v>1</v>
      </c>
      <c r="N75" s="68" t="inlineStr">
        <is>
          <t>nutritive support; calming support</t>
        </is>
      </c>
      <c r="O75" s="68" t="inlineStr">
        <is>
          <t>general or unknown targets</t>
        </is>
      </c>
      <c r="P75" s="68" t="n"/>
      <c r="Q75" s="68" t="inlineStr">
        <is>
          <t>New validated mapping row.</t>
        </is>
      </c>
      <c r="R75" t="inlineStr">
        <is>
          <t>Pass 27 compound-layer alignment</t>
        </is>
      </c>
      <c r="V75" t="inlineStr">
        <is>
          <t>Pass 44 normalization</t>
        </is>
      </c>
      <c r="W75" t="inlineStr">
        <is>
          <t>Pass 45 duplicate consolidation alignment</t>
        </is>
      </c>
    </row>
    <row r="76">
      <c r="A76" s="68" t="inlineStr">
        <is>
          <t>polygala</t>
        </is>
      </c>
      <c r="B76" s="68" t="inlineStr">
        <is>
          <t>Polygala</t>
        </is>
      </c>
      <c r="C76" s="68" t="inlineStr">
        <is>
          <t>tenuifolin</t>
        </is>
      </c>
      <c r="D76" s="68" t="inlineStr">
        <is>
          <t>tenuifolin</t>
        </is>
      </c>
      <c r="E76" s="68" t="n"/>
      <c r="F76" s="68" t="n"/>
      <c r="G76" s="68" t="inlineStr">
        <is>
          <t>tenuifolin</t>
        </is>
      </c>
      <c r="H76" s="68" t="inlineStr">
        <is>
          <t>tenuifolin</t>
        </is>
      </c>
      <c r="I76" s="68" t="inlineStr">
        <is>
          <t>exact_canonical_id</t>
        </is>
      </c>
      <c r="J76" s="68" t="inlineStr">
        <is>
          <t>pass_130_addition</t>
        </is>
      </c>
      <c r="K76" s="68" t="inlineStr">
        <is>
          <t>specific</t>
        </is>
      </c>
      <c r="L76" s="68" t="n"/>
      <c r="M76" s="68" t="n">
        <v>1</v>
      </c>
      <c r="N76" s="68" t="inlineStr">
        <is>
          <t>traditional cognitive support; calming support</t>
        </is>
      </c>
      <c r="O76" s="68" t="inlineStr">
        <is>
          <t>general or unknown targets</t>
        </is>
      </c>
      <c r="P76" s="68" t="n"/>
      <c r="Q76" s="68" t="inlineStr">
        <is>
          <t>New validated mapping row.</t>
        </is>
      </c>
      <c r="R76" t="inlineStr">
        <is>
          <t>Pass 27 compound-layer alignment</t>
        </is>
      </c>
      <c r="V76" t="inlineStr">
        <is>
          <t>Pass 44 normalization</t>
        </is>
      </c>
      <c r="W76" t="inlineStr">
        <is>
          <t>Pass 45 duplicate consolidation alignment</t>
        </is>
      </c>
    </row>
    <row r="77">
      <c r="A77" s="68" t="inlineStr">
        <is>
          <t>gastrodia</t>
        </is>
      </c>
      <c r="B77" s="68" t="inlineStr">
        <is>
          <t>Gastrodia</t>
        </is>
      </c>
      <c r="C77" s="68" t="inlineStr">
        <is>
          <t>gastrodin</t>
        </is>
      </c>
      <c r="D77" s="68" t="inlineStr">
        <is>
          <t>gastrodin</t>
        </is>
      </c>
      <c r="E77" s="68" t="n"/>
      <c r="F77" s="68" t="n"/>
      <c r="G77" s="68" t="inlineStr">
        <is>
          <t>gastrodin</t>
        </is>
      </c>
      <c r="H77" s="68" t="inlineStr">
        <is>
          <t>gastrodin</t>
        </is>
      </c>
      <c r="I77" s="68" t="inlineStr">
        <is>
          <t>exact_canonical_id</t>
        </is>
      </c>
      <c r="J77" s="68" t="inlineStr">
        <is>
          <t>pass_130_addition</t>
        </is>
      </c>
      <c r="K77" s="68" t="inlineStr">
        <is>
          <t>specific</t>
        </is>
      </c>
      <c r="L77" s="68" t="n"/>
      <c r="M77" s="68" t="n">
        <v>1</v>
      </c>
      <c r="N77" s="68" t="inlineStr">
        <is>
          <t>traditional nervous-system support; calming support</t>
        </is>
      </c>
      <c r="O77" s="68" t="inlineStr">
        <is>
          <t>general or unknown targets</t>
        </is>
      </c>
      <c r="P77" s="68" t="n"/>
      <c r="Q77" s="68" t="inlineStr">
        <is>
          <t>New validated mapping row.</t>
        </is>
      </c>
      <c r="R77" t="inlineStr">
        <is>
          <t>Pass 27 compound-layer alignment</t>
        </is>
      </c>
      <c r="V77" t="inlineStr">
        <is>
          <t>Pass 44 normalization</t>
        </is>
      </c>
      <c r="W77" t="inlineStr">
        <is>
          <t>Pass 45 duplicate consolidation alignment</t>
        </is>
      </c>
    </row>
    <row r="78">
      <c r="A78" s="68" t="inlineStr">
        <is>
          <t>white-peony</t>
        </is>
      </c>
      <c r="B78" s="68" t="inlineStr">
        <is>
          <t>White Peony</t>
        </is>
      </c>
      <c r="C78" s="68" t="inlineStr">
        <is>
          <t>paeoniflorin</t>
        </is>
      </c>
      <c r="D78" s="68" t="inlineStr">
        <is>
          <t>paeoniflorin</t>
        </is>
      </c>
      <c r="E78" s="68" t="n"/>
      <c r="F78" s="68" t="n"/>
      <c r="G78" s="68" t="inlineStr">
        <is>
          <t>paeoniflorin</t>
        </is>
      </c>
      <c r="H78" s="68" t="inlineStr">
        <is>
          <t>paeoniflorin</t>
        </is>
      </c>
      <c r="I78" s="68" t="inlineStr">
        <is>
          <t>exact_canonical_id</t>
        </is>
      </c>
      <c r="J78" s="68" t="inlineStr">
        <is>
          <t>pass_130_addition</t>
        </is>
      </c>
      <c r="K78" s="68" t="inlineStr">
        <is>
          <t>specific</t>
        </is>
      </c>
      <c r="L78" s="68" t="n"/>
      <c r="M78" s="68" t="n">
        <v>1</v>
      </c>
      <c r="N78" s="68" t="inlineStr">
        <is>
          <t>traditional cycle support; calming support</t>
        </is>
      </c>
      <c r="O78" s="68" t="inlineStr">
        <is>
          <t>general or unknown targets</t>
        </is>
      </c>
      <c r="P78" s="68" t="n"/>
      <c r="Q78" s="68" t="inlineStr">
        <is>
          <t>New validated mapping row.</t>
        </is>
      </c>
      <c r="R78" t="inlineStr">
        <is>
          <t>Pass 27 compound-layer alignment</t>
        </is>
      </c>
      <c r="V78" t="inlineStr">
        <is>
          <t>Pass 44 normalization</t>
        </is>
      </c>
      <c r="W78" t="inlineStr">
        <is>
          <t>Pass 45 duplicate consolidation alignment</t>
        </is>
      </c>
    </row>
    <row r="79">
      <c r="A79" s="68" t="inlineStr">
        <is>
          <t>bupleurum</t>
        </is>
      </c>
      <c r="B79" s="68" t="inlineStr">
        <is>
          <t>Bupleurum</t>
        </is>
      </c>
      <c r="C79" s="68" t="inlineStr">
        <is>
          <t>saikosaponin a</t>
        </is>
      </c>
      <c r="D79" s="68" t="inlineStr">
        <is>
          <t>saikosaponin a</t>
        </is>
      </c>
      <c r="E79" s="68" t="n"/>
      <c r="F79" s="68" t="n"/>
      <c r="G79" s="68" t="inlineStr">
        <is>
          <t>saikosaponin-a</t>
        </is>
      </c>
      <c r="H79" s="68" t="inlineStr">
        <is>
          <t>saikosaponin a</t>
        </is>
      </c>
      <c r="I79" s="68" t="inlineStr">
        <is>
          <t>exact_canonical_id</t>
        </is>
      </c>
      <c r="J79" s="68" t="inlineStr">
        <is>
          <t>pass_130_addition</t>
        </is>
      </c>
      <c r="K79" s="68" t="inlineStr">
        <is>
          <t>specific</t>
        </is>
      </c>
      <c r="L79" s="68" t="n"/>
      <c r="M79" s="68" t="n">
        <v>1</v>
      </c>
      <c r="N79" s="68" t="inlineStr">
        <is>
          <t>traditional liver support; traditional stress support</t>
        </is>
      </c>
      <c r="O79" s="68" t="inlineStr">
        <is>
          <t>general or unknown targets</t>
        </is>
      </c>
      <c r="P79" s="68" t="n"/>
      <c r="Q79" s="68" t="inlineStr">
        <is>
          <t>New validated mapping row.</t>
        </is>
      </c>
      <c r="R79" t="inlineStr">
        <is>
          <t>Pass 27 compound-layer alignment</t>
        </is>
      </c>
      <c r="V79" t="inlineStr">
        <is>
          <t>Pass 44 normalization</t>
        </is>
      </c>
      <c r="W79" t="inlineStr">
        <is>
          <t>Pass 45 duplicate consolidation alignment</t>
        </is>
      </c>
    </row>
    <row r="80">
      <c r="A80" s="68" t="inlineStr">
        <is>
          <t>codonopsis</t>
        </is>
      </c>
      <c r="B80" s="68" t="inlineStr">
        <is>
          <t>Codonopsis</t>
        </is>
      </c>
      <c r="C80" s="68" t="inlineStr">
        <is>
          <t>tangshenoside i</t>
        </is>
      </c>
      <c r="D80" s="68" t="inlineStr">
        <is>
          <t>tangshenoside i</t>
        </is>
      </c>
      <c r="E80" s="68" t="n"/>
      <c r="F80" s="68" t="n"/>
      <c r="G80" s="68" t="inlineStr">
        <is>
          <t>tangshenoside-i</t>
        </is>
      </c>
      <c r="H80" s="68" t="inlineStr">
        <is>
          <t>tangshenoside i</t>
        </is>
      </c>
      <c r="I80" s="68" t="inlineStr">
        <is>
          <t>exact_canonical_id</t>
        </is>
      </c>
      <c r="J80" s="68" t="inlineStr">
        <is>
          <t>pass_130_addition</t>
        </is>
      </c>
      <c r="K80" s="68" t="inlineStr">
        <is>
          <t>specific</t>
        </is>
      </c>
      <c r="L80" s="68" t="n"/>
      <c r="M80" s="68" t="n">
        <v>1</v>
      </c>
      <c r="N80" s="68" t="inlineStr">
        <is>
          <t>traditional restorative support; fatigue support</t>
        </is>
      </c>
      <c r="O80" s="68" t="inlineStr">
        <is>
          <t>general or unknown targets</t>
        </is>
      </c>
      <c r="P80" s="68" t="n"/>
      <c r="Q80" s="68" t="inlineStr">
        <is>
          <t>New validated mapping row.</t>
        </is>
      </c>
      <c r="R80" t="inlineStr">
        <is>
          <t>Pass 27 compound-layer alignment</t>
        </is>
      </c>
      <c r="V80" t="inlineStr">
        <is>
          <t>Pass 44 normalization</t>
        </is>
      </c>
      <c r="W80" t="inlineStr">
        <is>
          <t>Pass 45 duplicate consolidation alignment</t>
        </is>
      </c>
    </row>
    <row r="81">
      <c r="A81" s="68" t="inlineStr">
        <is>
          <t>dendrobium</t>
        </is>
      </c>
      <c r="B81" s="68" t="inlineStr">
        <is>
          <t>Dendrobium</t>
        </is>
      </c>
      <c r="C81" s="68" t="inlineStr">
        <is>
          <t>dendrobine</t>
        </is>
      </c>
      <c r="D81" s="68" t="inlineStr">
        <is>
          <t>dendrobine</t>
        </is>
      </c>
      <c r="E81" s="68" t="n"/>
      <c r="F81" s="68" t="n"/>
      <c r="G81" s="68" t="inlineStr">
        <is>
          <t>dendrobine</t>
        </is>
      </c>
      <c r="H81" s="68" t="inlineStr">
        <is>
          <t>dendrobine</t>
        </is>
      </c>
      <c r="I81" s="68" t="inlineStr">
        <is>
          <t>exact_canonical_id</t>
        </is>
      </c>
      <c r="J81" s="68" t="inlineStr">
        <is>
          <t>pass_130_addition</t>
        </is>
      </c>
      <c r="K81" s="68" t="inlineStr">
        <is>
          <t>specific</t>
        </is>
      </c>
      <c r="L81" s="68" t="n"/>
      <c r="M81" s="68" t="n">
        <v>1</v>
      </c>
      <c r="N81" s="68" t="inlineStr">
        <is>
          <t>traditional restorative support; mucosal support</t>
        </is>
      </c>
      <c r="O81" s="68" t="inlineStr">
        <is>
          <t>general or unknown targets</t>
        </is>
      </c>
      <c r="P81" s="68" t="n"/>
      <c r="Q81" s="68" t="inlineStr">
        <is>
          <t>New validated mapping row.</t>
        </is>
      </c>
      <c r="R81" t="inlineStr">
        <is>
          <t>Pass 27 compound-layer alignment</t>
        </is>
      </c>
      <c r="V81" t="inlineStr">
        <is>
          <t>Pass 44 normalization</t>
        </is>
      </c>
      <c r="W81" t="inlineStr">
        <is>
          <t>Pass 45 duplicate consolidation alignment</t>
        </is>
      </c>
    </row>
    <row r="82">
      <c r="A82" s="68" t="inlineStr">
        <is>
          <t>ophiopogon</t>
        </is>
      </c>
      <c r="B82" s="68" t="inlineStr">
        <is>
          <t>Ophiopogon</t>
        </is>
      </c>
      <c r="C82" s="68" t="inlineStr">
        <is>
          <t>ophiopogonin d</t>
        </is>
      </c>
      <c r="D82" s="68" t="inlineStr">
        <is>
          <t>ophiopogonin d</t>
        </is>
      </c>
      <c r="E82" s="68" t="n"/>
      <c r="F82" s="68" t="n"/>
      <c r="G82" s="68" t="inlineStr">
        <is>
          <t>ophiopogonin-d</t>
        </is>
      </c>
      <c r="H82" s="68" t="inlineStr">
        <is>
          <t>ophiopogonin d</t>
        </is>
      </c>
      <c r="I82" s="68" t="inlineStr">
        <is>
          <t>exact_canonical_id</t>
        </is>
      </c>
      <c r="J82" s="68" t="inlineStr">
        <is>
          <t>pass_130_addition</t>
        </is>
      </c>
      <c r="K82" s="68" t="inlineStr">
        <is>
          <t>specific</t>
        </is>
      </c>
      <c r="L82" s="68" t="n"/>
      <c r="M82" s="68" t="n">
        <v>1</v>
      </c>
      <c r="N82" s="68" t="inlineStr">
        <is>
          <t>demulcent support; traditional respiratory support</t>
        </is>
      </c>
      <c r="O82" s="68" t="inlineStr">
        <is>
          <t>general or unknown targets</t>
        </is>
      </c>
      <c r="P82" s="68" t="n"/>
      <c r="Q82" s="68" t="inlineStr">
        <is>
          <t>New validated mapping row.</t>
        </is>
      </c>
      <c r="R82" t="inlineStr">
        <is>
          <t>Pass 27 compound-layer alignment</t>
        </is>
      </c>
      <c r="V82" t="inlineStr">
        <is>
          <t>Pass 44 normalization</t>
        </is>
      </c>
      <c r="W82" t="inlineStr">
        <is>
          <t>Pass 45 duplicate consolidation alignment</t>
        </is>
      </c>
    </row>
    <row r="83">
      <c r="A83" s="68" t="inlineStr">
        <is>
          <t>houttuynia</t>
        </is>
      </c>
      <c r="B83" s="68" t="inlineStr">
        <is>
          <t>Houttuynia</t>
        </is>
      </c>
      <c r="C83" s="68" t="inlineStr">
        <is>
          <t>quercitrin</t>
        </is>
      </c>
      <c r="D83" s="68" t="inlineStr">
        <is>
          <t>quercitrin</t>
        </is>
      </c>
      <c r="E83" s="68" t="n"/>
      <c r="F83" s="68" t="n"/>
      <c r="G83" s="68" t="inlineStr">
        <is>
          <t>quercitrin</t>
        </is>
      </c>
      <c r="H83" s="68" t="inlineStr">
        <is>
          <t>quercitrin</t>
        </is>
      </c>
      <c r="I83" s="68" t="inlineStr">
        <is>
          <t>exact_canonical_id</t>
        </is>
      </c>
      <c r="J83" s="68" t="inlineStr">
        <is>
          <t>pass_130_addition</t>
        </is>
      </c>
      <c r="K83" s="68" t="inlineStr">
        <is>
          <t>specific</t>
        </is>
      </c>
      <c r="L83" s="68" t="n"/>
      <c r="M83" s="68" t="n">
        <v>1</v>
      </c>
      <c r="N83" s="68" t="inlineStr">
        <is>
          <t>traditional immune support; traditional respiratory support</t>
        </is>
      </c>
      <c r="O83" s="68" t="inlineStr">
        <is>
          <t>general or unknown targets</t>
        </is>
      </c>
      <c r="P83" s="68" t="n"/>
      <c r="Q83" s="68" t="inlineStr">
        <is>
          <t>New validated mapping row.</t>
        </is>
      </c>
      <c r="R83" t="inlineStr">
        <is>
          <t>Pass 27 compound-layer alignment</t>
        </is>
      </c>
      <c r="V83" t="inlineStr">
        <is>
          <t>Pass 44 normalization</t>
        </is>
      </c>
      <c r="W83" t="inlineStr">
        <is>
          <t>Pass 45 duplicate consolidation alignment</t>
        </is>
      </c>
    </row>
    <row r="84">
      <c r="A84" s="68" t="inlineStr">
        <is>
          <t>isatis</t>
        </is>
      </c>
      <c r="B84" s="68" t="inlineStr">
        <is>
          <t>Isatis</t>
        </is>
      </c>
      <c r="C84" s="68" t="inlineStr">
        <is>
          <t>tryptanthrin</t>
        </is>
      </c>
      <c r="D84" s="68" t="inlineStr">
        <is>
          <t>tryptanthrin</t>
        </is>
      </c>
      <c r="E84" s="68" t="n"/>
      <c r="F84" s="68" t="n"/>
      <c r="G84" s="68" t="inlineStr">
        <is>
          <t>tryptanthrin</t>
        </is>
      </c>
      <c r="H84" s="68" t="inlineStr">
        <is>
          <t>tryptanthrin</t>
        </is>
      </c>
      <c r="I84" s="68" t="inlineStr">
        <is>
          <t>exact_canonical_id</t>
        </is>
      </c>
      <c r="J84" s="68" t="inlineStr">
        <is>
          <t>pass_130_addition</t>
        </is>
      </c>
      <c r="K84" s="68" t="inlineStr">
        <is>
          <t>specific</t>
        </is>
      </c>
      <c r="L84" s="68" t="n"/>
      <c r="M84" s="68" t="n">
        <v>1</v>
      </c>
      <c r="N84" s="68" t="inlineStr">
        <is>
          <t>traditional immune support; throat support</t>
        </is>
      </c>
      <c r="O84" s="68" t="inlineStr">
        <is>
          <t>general or unknown targets</t>
        </is>
      </c>
      <c r="P84" s="68" t="n"/>
      <c r="Q84" s="68" t="inlineStr">
        <is>
          <t>New validated mapping row.</t>
        </is>
      </c>
      <c r="R84" t="inlineStr">
        <is>
          <t>Pass 27 compound-layer alignment</t>
        </is>
      </c>
      <c r="V84" t="inlineStr">
        <is>
          <t>Pass 44 normalization</t>
        </is>
      </c>
      <c r="W84" t="inlineStr">
        <is>
          <t>Pass 45 duplicate consolidation alignment</t>
        </is>
      </c>
    </row>
    <row r="85">
      <c r="A85" s="68" t="inlineStr">
        <is>
          <t>sophora-flavescens</t>
        </is>
      </c>
      <c r="B85" s="68" t="inlineStr">
        <is>
          <t>Sophora Flavescens</t>
        </is>
      </c>
      <c r="C85" s="68" t="inlineStr">
        <is>
          <t>matrine</t>
        </is>
      </c>
      <c r="D85" s="68" t="inlineStr">
        <is>
          <t>matrine</t>
        </is>
      </c>
      <c r="E85" s="68" t="n"/>
      <c r="F85" s="68" t="n"/>
      <c r="G85" s="68" t="inlineStr">
        <is>
          <t>matrine</t>
        </is>
      </c>
      <c r="H85" s="68" t="inlineStr">
        <is>
          <t>matrine</t>
        </is>
      </c>
      <c r="I85" s="68" t="inlineStr">
        <is>
          <t>exact_canonical_id</t>
        </is>
      </c>
      <c r="J85" s="68" t="inlineStr">
        <is>
          <t>pass_130_addition</t>
        </is>
      </c>
      <c r="K85" s="68" t="inlineStr">
        <is>
          <t>specific</t>
        </is>
      </c>
      <c r="L85" s="68" t="n"/>
      <c r="M85" s="68" t="n">
        <v>1</v>
      </c>
      <c r="N85" s="68" t="inlineStr">
        <is>
          <t>traditional skin support; GI support</t>
        </is>
      </c>
      <c r="O85" s="68" t="inlineStr">
        <is>
          <t>general or unknown targets</t>
        </is>
      </c>
      <c r="P85" s="68" t="n"/>
      <c r="Q85" s="68" t="inlineStr">
        <is>
          <t>New validated mapping row.</t>
        </is>
      </c>
      <c r="R85" t="inlineStr">
        <is>
          <t>Pass 27 compound-layer alignment</t>
        </is>
      </c>
      <c r="V85" t="inlineStr">
        <is>
          <t>Pass 44 normalization</t>
        </is>
      </c>
      <c r="W85" t="inlineStr">
        <is>
          <t>Pass 45 duplicate consolidation alignment</t>
        </is>
      </c>
    </row>
    <row r="86">
      <c r="A86" s="68" t="inlineStr">
        <is>
          <t>notoginseng</t>
        </is>
      </c>
      <c r="B86" s="68" t="inlineStr">
        <is>
          <t>Notoginseng</t>
        </is>
      </c>
      <c r="C86" s="68" t="inlineStr">
        <is>
          <t>notoginsenoside r1</t>
        </is>
      </c>
      <c r="D86" s="68" t="inlineStr">
        <is>
          <t>notoginsenoside r1</t>
        </is>
      </c>
      <c r="E86" s="68" t="n"/>
      <c r="F86" s="68" t="n"/>
      <c r="G86" s="68" t="inlineStr">
        <is>
          <t>notoginsenoside-r1</t>
        </is>
      </c>
      <c r="H86" s="68" t="inlineStr">
        <is>
          <t>notoginsenoside r1</t>
        </is>
      </c>
      <c r="I86" s="68" t="inlineStr">
        <is>
          <t>exact_canonical_id</t>
        </is>
      </c>
      <c r="J86" s="68" t="inlineStr">
        <is>
          <t>pass_130_addition</t>
        </is>
      </c>
      <c r="K86" s="68" t="inlineStr">
        <is>
          <t>specific</t>
        </is>
      </c>
      <c r="L86" s="68" t="n"/>
      <c r="M86" s="68" t="n">
        <v>1</v>
      </c>
      <c r="N86" s="68" t="inlineStr">
        <is>
          <t>vascular support; recovery support</t>
        </is>
      </c>
      <c r="O86" s="68" t="inlineStr">
        <is>
          <t>general or unknown targets</t>
        </is>
      </c>
      <c r="P86" s="68" t="n"/>
      <c r="Q86" s="68" t="inlineStr">
        <is>
          <t>New validated mapping row.</t>
        </is>
      </c>
      <c r="R86" t="inlineStr">
        <is>
          <t>Pass 27 compound-layer alignment</t>
        </is>
      </c>
      <c r="V86" t="inlineStr">
        <is>
          <t>Pass 44 normalization</t>
        </is>
      </c>
      <c r="W86" t="inlineStr">
        <is>
          <t>Pass 45 duplicate consolidation alignment</t>
        </is>
      </c>
    </row>
    <row r="87">
      <c r="A87" s="68" t="inlineStr">
        <is>
          <t>luo-han-guo</t>
        </is>
      </c>
      <c r="B87" s="68" t="inlineStr">
        <is>
          <t>Luo Han Guo</t>
        </is>
      </c>
      <c r="C87" s="68" t="inlineStr">
        <is>
          <t>mogroside v</t>
        </is>
      </c>
      <c r="D87" s="68" t="inlineStr">
        <is>
          <t>mogroside v</t>
        </is>
      </c>
      <c r="E87" s="68" t="n"/>
      <c r="F87" s="68" t="n"/>
      <c r="G87" s="68" t="inlineStr">
        <is>
          <t>mogroside-v</t>
        </is>
      </c>
      <c r="H87" s="68" t="inlineStr">
        <is>
          <t>mogroside v</t>
        </is>
      </c>
      <c r="I87" s="68" t="inlineStr">
        <is>
          <t>exact_canonical_id</t>
        </is>
      </c>
      <c r="J87" s="68" t="inlineStr">
        <is>
          <t>pass_130_addition</t>
        </is>
      </c>
      <c r="K87" s="68" t="inlineStr">
        <is>
          <t>specific</t>
        </is>
      </c>
      <c r="L87" s="68" t="n"/>
      <c r="M87" s="68" t="n">
        <v>1</v>
      </c>
      <c r="N87" s="68" t="inlineStr">
        <is>
          <t>throat support; sweetener-adjacent support</t>
        </is>
      </c>
      <c r="O87" s="68" t="inlineStr">
        <is>
          <t>general or unknown targets</t>
        </is>
      </c>
      <c r="P87" s="68" t="n"/>
      <c r="Q87" s="68" t="inlineStr">
        <is>
          <t>New validated mapping row.</t>
        </is>
      </c>
      <c r="R87" t="inlineStr">
        <is>
          <t>Pass 27 compound-layer alignment</t>
        </is>
      </c>
      <c r="V87" t="inlineStr">
        <is>
          <t>Pass 44 normalization</t>
        </is>
      </c>
      <c r="W87" t="inlineStr">
        <is>
          <t>Pass 45 duplicate consolidation alignment</t>
        </is>
      </c>
    </row>
    <row r="88">
      <c r="A88" s="68" t="inlineStr">
        <is>
          <t>kuding-tea</t>
        </is>
      </c>
      <c r="B88" s="68" t="inlineStr">
        <is>
          <t>Kuding Tea</t>
        </is>
      </c>
      <c r="C88" s="68" t="inlineStr">
        <is>
          <t>kudinlactone</t>
        </is>
      </c>
      <c r="D88" s="68" t="inlineStr">
        <is>
          <t>kudinlactone</t>
        </is>
      </c>
      <c r="E88" s="68" t="n"/>
      <c r="F88" s="68" t="n"/>
      <c r="G88" s="68" t="inlineStr">
        <is>
          <t>kudinlactone</t>
        </is>
      </c>
      <c r="H88" s="68" t="inlineStr">
        <is>
          <t>kudinlactone</t>
        </is>
      </c>
      <c r="I88" s="68" t="inlineStr">
        <is>
          <t>exact_canonical_id</t>
        </is>
      </c>
      <c r="J88" s="68" t="inlineStr">
        <is>
          <t>pass_130_addition</t>
        </is>
      </c>
      <c r="K88" s="68" t="inlineStr">
        <is>
          <t>specific</t>
        </is>
      </c>
      <c r="L88" s="68" t="n"/>
      <c r="M88" s="68" t="n">
        <v>1</v>
      </c>
      <c r="N88" s="68" t="inlineStr">
        <is>
          <t>antioxidant; cardiometabolic support</t>
        </is>
      </c>
      <c r="O88" s="68" t="inlineStr">
        <is>
          <t>general or unknown targets</t>
        </is>
      </c>
      <c r="P88" s="68" t="n"/>
      <c r="Q88" s="68" t="inlineStr">
        <is>
          <t>New validated mapping row.</t>
        </is>
      </c>
      <c r="R88" t="inlineStr">
        <is>
          <t>Pass 27 compound-layer alignment</t>
        </is>
      </c>
      <c r="V88" t="inlineStr">
        <is>
          <t>Pass 44 normalization</t>
        </is>
      </c>
      <c r="W88" t="inlineStr">
        <is>
          <t>Pass 45 duplicate consolidation alignment</t>
        </is>
      </c>
    </row>
    <row r="89">
      <c r="A89" s="68" t="inlineStr">
        <is>
          <t>atractylodes</t>
        </is>
      </c>
      <c r="B89" s="68" t="inlineStr">
        <is>
          <t>Atractylodes</t>
        </is>
      </c>
      <c r="C89" s="68" t="inlineStr">
        <is>
          <t>atractylenolide i</t>
        </is>
      </c>
      <c r="D89" s="68" t="inlineStr">
        <is>
          <t>atractylenolide i</t>
        </is>
      </c>
      <c r="E89" s="68" t="n"/>
      <c r="F89" s="68" t="n"/>
      <c r="G89" s="68" t="inlineStr">
        <is>
          <t>atractylenolide-i</t>
        </is>
      </c>
      <c r="H89" s="68" t="inlineStr">
        <is>
          <t>atractylenolide i</t>
        </is>
      </c>
      <c r="I89" s="68" t="inlineStr">
        <is>
          <t>exact_canonical_id</t>
        </is>
      </c>
      <c r="J89" s="68" t="inlineStr">
        <is>
          <t>pass_130_addition</t>
        </is>
      </c>
      <c r="K89" s="68" t="inlineStr">
        <is>
          <t>specific</t>
        </is>
      </c>
      <c r="L89" s="68" t="n"/>
      <c r="M89" s="68" t="n">
        <v>1</v>
      </c>
      <c r="N89" s="68" t="inlineStr">
        <is>
          <t>digestive support; traditional restorative support</t>
        </is>
      </c>
      <c r="O89" s="68" t="inlineStr">
        <is>
          <t>general or unknown targets</t>
        </is>
      </c>
      <c r="P89" s="68" t="n"/>
      <c r="Q89" s="68" t="inlineStr">
        <is>
          <t>New validated mapping row.</t>
        </is>
      </c>
      <c r="R89" t="inlineStr">
        <is>
          <t>Pass 27 compound-layer alignment</t>
        </is>
      </c>
      <c r="V89" t="inlineStr">
        <is>
          <t>Pass 44 normalization</t>
        </is>
      </c>
      <c r="W89" t="inlineStr">
        <is>
          <t>Pass 45 duplicate consolidation alignment</t>
        </is>
      </c>
    </row>
    <row r="90">
      <c r="A90" s="68" t="inlineStr">
        <is>
          <t>schisandra-berry</t>
        </is>
      </c>
      <c r="B90" s="68" t="inlineStr">
        <is>
          <t>Schisandra Berry</t>
        </is>
      </c>
      <c r="C90" s="68" t="inlineStr">
        <is>
          <t>gomisin a</t>
        </is>
      </c>
      <c r="D90" s="68" t="inlineStr">
        <is>
          <t>gomisin a</t>
        </is>
      </c>
      <c r="E90" s="68" t="n"/>
      <c r="F90" s="68" t="n"/>
      <c r="G90" s="68" t="inlineStr">
        <is>
          <t>gomisin-a</t>
        </is>
      </c>
      <c r="H90" s="68" t="inlineStr">
        <is>
          <t>gomisin a</t>
        </is>
      </c>
      <c r="I90" s="68" t="inlineStr">
        <is>
          <t>exact_canonical_id</t>
        </is>
      </c>
      <c r="J90" s="68" t="inlineStr">
        <is>
          <t>pass_130_addition</t>
        </is>
      </c>
      <c r="K90" s="68" t="inlineStr">
        <is>
          <t>specific</t>
        </is>
      </c>
      <c r="L90" s="68" t="n"/>
      <c r="M90" s="68" t="n">
        <v>1</v>
      </c>
      <c r="N90" s="68" t="inlineStr">
        <is>
          <t>adaptogenic support; hepatoprotective support</t>
        </is>
      </c>
      <c r="O90" s="68" t="inlineStr">
        <is>
          <t>general or unknown targets</t>
        </is>
      </c>
      <c r="P90" s="68" t="n"/>
      <c r="Q90" s="68" t="inlineStr">
        <is>
          <t>New validated mapping row.</t>
        </is>
      </c>
      <c r="R90" t="inlineStr">
        <is>
          <t>Pass 27 compound-layer alignment</t>
        </is>
      </c>
      <c r="V90" t="inlineStr">
        <is>
          <t>Pass 44 normalization</t>
        </is>
      </c>
      <c r="W90" t="inlineStr">
        <is>
          <t>Pass 45 duplicate consolidation alignment</t>
        </is>
      </c>
    </row>
    <row r="91">
      <c r="A91" s="68" t="inlineStr">
        <is>
          <t>catuaba</t>
        </is>
      </c>
      <c r="B91" s="68" t="inlineStr">
        <is>
          <t>Catuaba</t>
        </is>
      </c>
      <c r="C91" s="68" t="inlineStr">
        <is>
          <t>catuabine</t>
        </is>
      </c>
      <c r="D91" s="68" t="inlineStr">
        <is>
          <t>catuabine</t>
        </is>
      </c>
      <c r="E91" s="68" t="n"/>
      <c r="F91" s="68" t="n"/>
      <c r="G91" s="68" t="inlineStr">
        <is>
          <t>catuabine</t>
        </is>
      </c>
      <c r="H91" s="68" t="inlineStr">
        <is>
          <t>catuabine</t>
        </is>
      </c>
      <c r="I91" s="68" t="inlineStr">
        <is>
          <t>exact_canonical_id</t>
        </is>
      </c>
      <c r="J91" s="68" t="inlineStr">
        <is>
          <t>pass_132_addition</t>
        </is>
      </c>
      <c r="K91" s="68" t="inlineStr">
        <is>
          <t>specific</t>
        </is>
      </c>
      <c r="L91" s="68" t="n"/>
      <c r="M91" s="68" t="n">
        <v>1</v>
      </c>
      <c r="N91" s="68" t="inlineStr">
        <is>
          <t>traditional vitality support; mood support</t>
        </is>
      </c>
      <c r="O91" s="68" t="inlineStr">
        <is>
          <t>general or unknown targets</t>
        </is>
      </c>
      <c r="P91" s="68" t="n"/>
      <c r="Q91" s="68" t="inlineStr">
        <is>
          <t>New validated mapping row.</t>
        </is>
      </c>
      <c r="R91" t="inlineStr">
        <is>
          <t>Pass 27 compound-layer alignment</t>
        </is>
      </c>
      <c r="V91" t="inlineStr">
        <is>
          <t>Pass 44 normalization</t>
        </is>
      </c>
      <c r="W91" t="inlineStr">
        <is>
          <t>Pass 45 duplicate consolidation alignment</t>
        </is>
      </c>
    </row>
    <row r="92">
      <c r="A92" s="68" t="inlineStr">
        <is>
          <t>muira-puama</t>
        </is>
      </c>
      <c r="B92" s="68" t="inlineStr">
        <is>
          <t>Muira Puama</t>
        </is>
      </c>
      <c r="C92" s="68" t="inlineStr">
        <is>
          <t>beta-sitosterol</t>
        </is>
      </c>
      <c r="D92" s="68" t="inlineStr">
        <is>
          <t>beta sitosterol</t>
        </is>
      </c>
      <c r="E92" s="68" t="n"/>
      <c r="F92" s="68" t="n"/>
      <c r="G92" s="68" t="inlineStr">
        <is>
          <t>beta-sitosterol</t>
        </is>
      </c>
      <c r="H92" s="68" t="inlineStr">
        <is>
          <t>beta-sitosterol</t>
        </is>
      </c>
      <c r="I92" s="68" t="inlineStr">
        <is>
          <t>exact_canonical_id</t>
        </is>
      </c>
      <c r="J92" s="68" t="inlineStr">
        <is>
          <t>pass_132_addition</t>
        </is>
      </c>
      <c r="K92" s="68" t="inlineStr">
        <is>
          <t>specific</t>
        </is>
      </c>
      <c r="L92" s="68" t="n"/>
      <c r="M92" s="68" t="n">
        <v>1</v>
      </c>
      <c r="N92" s="68" t="inlineStr">
        <is>
          <t>traditional vitality support; stress support</t>
        </is>
      </c>
      <c r="O92" s="68" t="inlineStr">
        <is>
          <t>general or unknown targets</t>
        </is>
      </c>
      <c r="P92" s="68" t="n"/>
      <c r="Q92" s="68" t="inlineStr">
        <is>
          <t>New validated mapping row.</t>
        </is>
      </c>
      <c r="R92" t="inlineStr">
        <is>
          <t>Pass 27 compound-layer alignment</t>
        </is>
      </c>
      <c r="V92" t="inlineStr">
        <is>
          <t>Pass 44 normalization</t>
        </is>
      </c>
      <c r="W92" t="inlineStr">
        <is>
          <t>Pass 45 duplicate consolidation alignment</t>
        </is>
      </c>
    </row>
    <row r="93">
      <c r="A93" s="68" t="inlineStr">
        <is>
          <t>maitake-d-fraction</t>
        </is>
      </c>
      <c r="B93" s="68" t="inlineStr">
        <is>
          <t>Maitake D-Fraction</t>
        </is>
      </c>
      <c r="C93" s="68" t="inlineStr">
        <is>
          <t>beta-glucans</t>
        </is>
      </c>
      <c r="D93" s="68" t="inlineStr">
        <is>
          <t>beta glucans</t>
        </is>
      </c>
      <c r="E93" s="68" t="n"/>
      <c r="F93" s="68" t="n"/>
      <c r="G93" s="68" t="inlineStr">
        <is>
          <t>beta-glucans</t>
        </is>
      </c>
      <c r="H93" s="68" t="inlineStr">
        <is>
          <t>beta-glucans</t>
        </is>
      </c>
      <c r="I93" s="68" t="inlineStr">
        <is>
          <t>exact_canonical_id</t>
        </is>
      </c>
      <c r="J93" s="68" t="inlineStr">
        <is>
          <t>pass_132_addition</t>
        </is>
      </c>
      <c r="K93" s="68" t="inlineStr">
        <is>
          <t>specific</t>
        </is>
      </c>
      <c r="L93" s="68" t="n"/>
      <c r="M93" s="68" t="n">
        <v>1</v>
      </c>
      <c r="N93" s="68" t="inlineStr">
        <is>
          <t>immune modulation</t>
        </is>
      </c>
      <c r="O93" s="68" t="inlineStr">
        <is>
          <t>general or unknown targets</t>
        </is>
      </c>
      <c r="P93" s="68" t="n"/>
      <c r="Q93" s="68" t="inlineStr">
        <is>
          <t>New validated mapping row.</t>
        </is>
      </c>
      <c r="R93" t="inlineStr">
        <is>
          <t>Pass 27 compound-layer alignment</t>
        </is>
      </c>
      <c r="V93" t="inlineStr">
        <is>
          <t>Pass 44 normalization</t>
        </is>
      </c>
      <c r="W93" t="inlineStr">
        <is>
          <t>Pass 45 duplicate consolidation alignment</t>
        </is>
      </c>
    </row>
    <row r="94">
      <c r="A94" s="68" t="inlineStr">
        <is>
          <t>poria</t>
        </is>
      </c>
      <c r="B94" s="68" t="inlineStr">
        <is>
          <t>Poria</t>
        </is>
      </c>
      <c r="C94" s="68" t="inlineStr">
        <is>
          <t>pachymic acid</t>
        </is>
      </c>
      <c r="D94" s="68" t="inlineStr">
        <is>
          <t>pachymic acid</t>
        </is>
      </c>
      <c r="E94" s="68" t="n"/>
      <c r="F94" s="68" t="n"/>
      <c r="G94" s="68" t="inlineStr">
        <is>
          <t>pachymic-acid</t>
        </is>
      </c>
      <c r="H94" s="68" t="inlineStr">
        <is>
          <t>pachymic acid</t>
        </is>
      </c>
      <c r="I94" s="68" t="inlineStr">
        <is>
          <t>exact_canonical_id</t>
        </is>
      </c>
      <c r="J94" s="68" t="inlineStr">
        <is>
          <t>pass_132_addition</t>
        </is>
      </c>
      <c r="K94" s="68" t="inlineStr">
        <is>
          <t>specific</t>
        </is>
      </c>
      <c r="L94" s="68" t="n"/>
      <c r="M94" s="68" t="n">
        <v>1</v>
      </c>
      <c r="N94" s="68" t="inlineStr">
        <is>
          <t>traditional fluid-balance support; calming support</t>
        </is>
      </c>
      <c r="O94" s="68" t="inlineStr">
        <is>
          <t>general or unknown targets</t>
        </is>
      </c>
      <c r="P94" s="68" t="n"/>
      <c r="Q94" s="68" t="inlineStr">
        <is>
          <t>New validated mapping row.</t>
        </is>
      </c>
      <c r="R94" t="inlineStr">
        <is>
          <t>Pass 27 compound-layer alignment</t>
        </is>
      </c>
      <c r="V94" t="inlineStr">
        <is>
          <t>Pass 44 normalization</t>
        </is>
      </c>
      <c r="W94" t="inlineStr">
        <is>
          <t>Pass 45 duplicate consolidation alignment</t>
        </is>
      </c>
    </row>
    <row r="95">
      <c r="A95" s="68" t="inlineStr">
        <is>
          <t>rehmannia-prepared</t>
        </is>
      </c>
      <c r="B95" s="68" t="inlineStr">
        <is>
          <t>Rehmannia Prepared</t>
        </is>
      </c>
      <c r="C95" s="68" t="inlineStr">
        <is>
          <t>catalpol</t>
        </is>
      </c>
      <c r="D95" s="68" t="inlineStr">
        <is>
          <t>catalpol</t>
        </is>
      </c>
      <c r="E95" s="68" t="n"/>
      <c r="F95" s="68" t="n"/>
      <c r="G95" s="68" t="inlineStr">
        <is>
          <t>catalpol</t>
        </is>
      </c>
      <c r="H95" s="68" t="inlineStr">
        <is>
          <t>catalpol</t>
        </is>
      </c>
      <c r="I95" s="68" t="inlineStr">
        <is>
          <t>exact_canonical_id</t>
        </is>
      </c>
      <c r="J95" s="68" t="inlineStr">
        <is>
          <t>pass_132_addition</t>
        </is>
      </c>
      <c r="K95" s="68" t="inlineStr">
        <is>
          <t>specific</t>
        </is>
      </c>
      <c r="L95" s="68" t="n"/>
      <c r="M95" s="68" t="n">
        <v>1</v>
      </c>
      <c r="N95" s="68" t="inlineStr">
        <is>
          <t>traditional restorative support</t>
        </is>
      </c>
      <c r="O95" s="68" t="inlineStr">
        <is>
          <t>general or unknown targets</t>
        </is>
      </c>
      <c r="P95" s="68" t="n"/>
      <c r="Q95" s="68" t="inlineStr">
        <is>
          <t>New validated mapping row.</t>
        </is>
      </c>
      <c r="R95" t="inlineStr">
        <is>
          <t>Pass 27 compound-layer alignment</t>
        </is>
      </c>
      <c r="V95" t="inlineStr">
        <is>
          <t>Pass 44 normalization</t>
        </is>
      </c>
      <c r="W95" t="inlineStr">
        <is>
          <t>Pass 45 duplicate consolidation alignment</t>
        </is>
      </c>
    </row>
    <row r="96">
      <c r="A96" s="68" t="inlineStr">
        <is>
          <t>agarikon</t>
        </is>
      </c>
      <c r="B96" s="68" t="inlineStr">
        <is>
          <t>Agarikon</t>
        </is>
      </c>
      <c r="C96" s="68" t="inlineStr">
        <is>
          <t>agaric acid</t>
        </is>
      </c>
      <c r="D96" s="68" t="inlineStr">
        <is>
          <t>agaric acid</t>
        </is>
      </c>
      <c r="E96" s="68" t="n"/>
      <c r="F96" s="68" t="n"/>
      <c r="G96" s="68" t="inlineStr">
        <is>
          <t>agaric-acid</t>
        </is>
      </c>
      <c r="H96" s="68" t="inlineStr">
        <is>
          <t>agaric acid</t>
        </is>
      </c>
      <c r="I96" s="68" t="inlineStr">
        <is>
          <t>exact_canonical_id</t>
        </is>
      </c>
      <c r="J96" s="68" t="inlineStr">
        <is>
          <t>pass_132_addition</t>
        </is>
      </c>
      <c r="K96" s="68" t="inlineStr">
        <is>
          <t>specific</t>
        </is>
      </c>
      <c r="L96" s="68" t="n"/>
      <c r="M96" s="68" t="n">
        <v>1</v>
      </c>
      <c r="N96" s="68" t="inlineStr">
        <is>
          <t>traditional immune support; respiratory support</t>
        </is>
      </c>
      <c r="O96" s="68" t="inlineStr">
        <is>
          <t>general or unknown targets</t>
        </is>
      </c>
      <c r="P96" s="68" t="n"/>
      <c r="Q96" s="68" t="inlineStr">
        <is>
          <t>New validated mapping row.</t>
        </is>
      </c>
      <c r="R96" t="inlineStr">
        <is>
          <t>Pass 27 compound-layer alignment</t>
        </is>
      </c>
      <c r="V96" t="inlineStr">
        <is>
          <t>Pass 44 normalization</t>
        </is>
      </c>
      <c r="W96" t="inlineStr">
        <is>
          <t>Pass 45 duplicate consolidation alignment</t>
        </is>
      </c>
    </row>
    <row r="97">
      <c r="A97" s="68" t="inlineStr">
        <is>
          <t>elecampane</t>
        </is>
      </c>
      <c r="B97" s="68" t="inlineStr">
        <is>
          <t>Elecampane</t>
        </is>
      </c>
      <c r="C97" s="68" t="inlineStr">
        <is>
          <t>alantolactone</t>
        </is>
      </c>
      <c r="D97" s="68" t="inlineStr">
        <is>
          <t>alantolactone</t>
        </is>
      </c>
      <c r="E97" s="68" t="n"/>
      <c r="F97" s="68" t="n"/>
      <c r="G97" s="68" t="inlineStr">
        <is>
          <t>alantolactone</t>
        </is>
      </c>
      <c r="H97" s="68" t="inlineStr">
        <is>
          <t>alantolactone</t>
        </is>
      </c>
      <c r="I97" s="68" t="inlineStr">
        <is>
          <t>exact_canonical_id</t>
        </is>
      </c>
      <c r="J97" s="68" t="inlineStr">
        <is>
          <t>pass_132_addition</t>
        </is>
      </c>
      <c r="K97" s="68" t="inlineStr">
        <is>
          <t>specific</t>
        </is>
      </c>
      <c r="L97" s="68" t="n"/>
      <c r="M97" s="68" t="n">
        <v>1</v>
      </c>
      <c r="N97" s="68" t="inlineStr">
        <is>
          <t>traditional respiratory support; digestive support</t>
        </is>
      </c>
      <c r="O97" s="68" t="inlineStr">
        <is>
          <t>general or unknown targets</t>
        </is>
      </c>
      <c r="P97" s="68" t="n"/>
      <c r="Q97" s="68" t="inlineStr">
        <is>
          <t>New validated mapping row.</t>
        </is>
      </c>
      <c r="R97" t="inlineStr">
        <is>
          <t>Pass 27 compound-layer alignment</t>
        </is>
      </c>
      <c r="V97" t="inlineStr">
        <is>
          <t>Pass 44 normalization</t>
        </is>
      </c>
      <c r="W97" t="inlineStr">
        <is>
          <t>Pass 45 duplicate consolidation alignment</t>
        </is>
      </c>
    </row>
    <row r="98">
      <c r="A98" s="68" t="inlineStr">
        <is>
          <t>angelica-root</t>
        </is>
      </c>
      <c r="B98" s="68" t="inlineStr">
        <is>
          <t>Angelica Root</t>
        </is>
      </c>
      <c r="C98" s="68" t="inlineStr">
        <is>
          <t>angelicin</t>
        </is>
      </c>
      <c r="D98" s="68" t="inlineStr">
        <is>
          <t>angelicin</t>
        </is>
      </c>
      <c r="E98" s="68" t="n"/>
      <c r="F98" s="68" t="n"/>
      <c r="G98" s="68" t="inlineStr">
        <is>
          <t>angelicin</t>
        </is>
      </c>
      <c r="H98" s="68" t="inlineStr">
        <is>
          <t>angelicin</t>
        </is>
      </c>
      <c r="I98" s="68" t="inlineStr">
        <is>
          <t>exact_canonical_id</t>
        </is>
      </c>
      <c r="J98" s="68" t="inlineStr">
        <is>
          <t>pass_132_addition</t>
        </is>
      </c>
      <c r="K98" s="68" t="inlineStr">
        <is>
          <t>specific</t>
        </is>
      </c>
      <c r="L98" s="68" t="n"/>
      <c r="M98" s="68" t="n">
        <v>1</v>
      </c>
      <c r="N98" s="68" t="inlineStr">
        <is>
          <t>digestive support; traditional cycle support</t>
        </is>
      </c>
      <c r="O98" s="68" t="inlineStr">
        <is>
          <t>general or unknown targets</t>
        </is>
      </c>
      <c r="P98" s="68" t="n"/>
      <c r="Q98" s="68" t="inlineStr">
        <is>
          <t>New validated mapping row.</t>
        </is>
      </c>
      <c r="R98" t="inlineStr">
        <is>
          <t>Pass 27 compound-layer alignment</t>
        </is>
      </c>
      <c r="V98" t="inlineStr">
        <is>
          <t>Pass 44 normalization</t>
        </is>
      </c>
      <c r="W98" t="inlineStr">
        <is>
          <t>Pass 45 duplicate consolidation alignment</t>
        </is>
      </c>
    </row>
    <row r="99">
      <c r="A99" s="68" t="inlineStr">
        <is>
          <t>galangal</t>
        </is>
      </c>
      <c r="B99" s="68" t="inlineStr">
        <is>
          <t>Galangal</t>
        </is>
      </c>
      <c r="C99" s="68" t="inlineStr">
        <is>
          <t>galangin</t>
        </is>
      </c>
      <c r="D99" s="68" t="inlineStr">
        <is>
          <t>galangin</t>
        </is>
      </c>
      <c r="E99" s="68" t="n"/>
      <c r="F99" s="68" t="n"/>
      <c r="G99" s="68" t="inlineStr">
        <is>
          <t>galangin</t>
        </is>
      </c>
      <c r="H99" s="68" t="inlineStr">
        <is>
          <t>galangin</t>
        </is>
      </c>
      <c r="I99" s="68" t="inlineStr">
        <is>
          <t>exact_canonical_id</t>
        </is>
      </c>
      <c r="J99" s="68" t="inlineStr">
        <is>
          <t>pass_132_addition</t>
        </is>
      </c>
      <c r="K99" s="68" t="inlineStr">
        <is>
          <t>specific</t>
        </is>
      </c>
      <c r="L99" s="68" t="n"/>
      <c r="M99" s="68" t="n">
        <v>1</v>
      </c>
      <c r="N99" s="68" t="inlineStr">
        <is>
          <t>digestive support; aromatic support</t>
        </is>
      </c>
      <c r="O99" s="68" t="inlineStr">
        <is>
          <t>general or unknown targets</t>
        </is>
      </c>
      <c r="P99" s="68" t="n"/>
      <c r="Q99" s="68" t="inlineStr">
        <is>
          <t>New validated mapping row.</t>
        </is>
      </c>
      <c r="R99" t="inlineStr">
        <is>
          <t>Pass 27 compound-layer alignment</t>
        </is>
      </c>
      <c r="V99" t="inlineStr">
        <is>
          <t>Pass 44 normalization</t>
        </is>
      </c>
      <c r="W99" t="inlineStr">
        <is>
          <t>Pass 45 duplicate consolidation alignment</t>
        </is>
      </c>
    </row>
    <row r="100">
      <c r="A100" s="68" t="inlineStr">
        <is>
          <t>black-pepper</t>
        </is>
      </c>
      <c r="B100" s="68" t="inlineStr">
        <is>
          <t>Black Pepper</t>
        </is>
      </c>
      <c r="C100" s="68" t="inlineStr">
        <is>
          <t>Piperine</t>
        </is>
      </c>
      <c r="D100" s="68" t="inlineStr">
        <is>
          <t>piperine</t>
        </is>
      </c>
      <c r="E100" s="68" t="n"/>
      <c r="F100" s="68" t="n"/>
      <c r="G100" s="68" t="inlineStr">
        <is>
          <t>piperine</t>
        </is>
      </c>
      <c r="H100" s="68" t="inlineStr">
        <is>
          <t>Piperine</t>
        </is>
      </c>
      <c r="I100" s="68" t="inlineStr">
        <is>
          <t>exact_canonical_id</t>
        </is>
      </c>
      <c r="J100" s="68" t="inlineStr">
        <is>
          <t>pass_132_addition</t>
        </is>
      </c>
      <c r="K100" s="68" t="inlineStr">
        <is>
          <t>specific</t>
        </is>
      </c>
      <c r="L100" s="68" t="n"/>
      <c r="M100" s="68" t="n">
        <v>1</v>
      </c>
      <c r="N100" s="68" t="inlineStr">
        <is>
          <t>digestive support; bioavailability support</t>
        </is>
      </c>
      <c r="O100" s="68" t="inlineStr">
        <is>
          <t>general or unknown targets</t>
        </is>
      </c>
      <c r="P100" s="68" t="n"/>
      <c r="Q100" s="68" t="inlineStr">
        <is>
          <t>New validated mapping row.</t>
        </is>
      </c>
      <c r="R100" t="inlineStr">
        <is>
          <t>Pass 27 compound-layer alignment</t>
        </is>
      </c>
      <c r="V100" t="inlineStr">
        <is>
          <t>Pass 44 normalization</t>
        </is>
      </c>
      <c r="W100" t="inlineStr">
        <is>
          <t>Pass 45 duplicate consolidation alignment</t>
        </is>
      </c>
    </row>
    <row r="101">
      <c r="A101" s="68" t="inlineStr">
        <is>
          <t>cardamom</t>
        </is>
      </c>
      <c r="B101" s="68" t="inlineStr">
        <is>
          <t>Cardamom</t>
        </is>
      </c>
      <c r="C101" s="68" t="inlineStr">
        <is>
          <t>terpinyl acetate</t>
        </is>
      </c>
      <c r="D101" s="68" t="inlineStr">
        <is>
          <t>terpinyl acetate</t>
        </is>
      </c>
      <c r="E101" s="68" t="n"/>
      <c r="F101" s="68" t="n"/>
      <c r="G101" s="68" t="inlineStr">
        <is>
          <t>terpinyl-acetate</t>
        </is>
      </c>
      <c r="H101" s="68" t="inlineStr">
        <is>
          <t>terpinyl acetate</t>
        </is>
      </c>
      <c r="I101" s="68" t="inlineStr">
        <is>
          <t>exact_canonical_id</t>
        </is>
      </c>
      <c r="J101" s="68" t="inlineStr">
        <is>
          <t>pass_132_addition</t>
        </is>
      </c>
      <c r="K101" s="68" t="inlineStr">
        <is>
          <t>specific</t>
        </is>
      </c>
      <c r="L101" s="68" t="n"/>
      <c r="M101" s="68" t="n">
        <v>1</v>
      </c>
      <c r="N101" s="68" t="inlineStr">
        <is>
          <t>digestive support; aromatic support</t>
        </is>
      </c>
      <c r="O101" s="68" t="inlineStr">
        <is>
          <t>general or unknown targets</t>
        </is>
      </c>
      <c r="P101" s="68" t="n"/>
      <c r="Q101" s="68" t="inlineStr">
        <is>
          <t>New validated mapping row.</t>
        </is>
      </c>
      <c r="R101" t="inlineStr">
        <is>
          <t>Pass 27 compound-layer alignment</t>
        </is>
      </c>
      <c r="V101" t="inlineStr">
        <is>
          <t>Pass 44 normalization</t>
        </is>
      </c>
      <c r="W101" t="inlineStr">
        <is>
          <t>Pass 45 duplicate consolidation alignment</t>
        </is>
      </c>
    </row>
    <row r="102">
      <c r="A102" s="68" t="inlineStr">
        <is>
          <t>holy-basil-seed</t>
        </is>
      </c>
      <c r="B102" s="68" t="inlineStr">
        <is>
          <t>Holy Basil Seed</t>
        </is>
      </c>
      <c r="C102" s="68" t="inlineStr">
        <is>
          <t>mucilage</t>
        </is>
      </c>
      <c r="D102" s="68" t="inlineStr">
        <is>
          <t>mucilage</t>
        </is>
      </c>
      <c r="E102" s="68" t="n"/>
      <c r="F102" s="68" t="n"/>
      <c r="G102" s="68" t="inlineStr">
        <is>
          <t>mucilage</t>
        </is>
      </c>
      <c r="H102" s="68" t="inlineStr">
        <is>
          <t>mucilage</t>
        </is>
      </c>
      <c r="I102" s="68" t="inlineStr">
        <is>
          <t>exact_canonical_id</t>
        </is>
      </c>
      <c r="J102" s="68" t="inlineStr">
        <is>
          <t>pass_132_addition</t>
        </is>
      </c>
      <c r="K102" s="68" t="inlineStr">
        <is>
          <t>specific</t>
        </is>
      </c>
      <c r="L102" s="68" t="n"/>
      <c r="M102" s="68" t="n">
        <v>1</v>
      </c>
      <c r="N102" s="68" t="inlineStr">
        <is>
          <t>demulcent support; digestive support</t>
        </is>
      </c>
      <c r="O102" s="68" t="inlineStr">
        <is>
          <t>general or unknown targets</t>
        </is>
      </c>
      <c r="P102" s="68" t="n"/>
      <c r="Q102" s="68" t="inlineStr">
        <is>
          <t>New validated mapping row.</t>
        </is>
      </c>
      <c r="R102" t="inlineStr">
        <is>
          <t>Pass 27 compound-layer alignment</t>
        </is>
      </c>
      <c r="V102" t="inlineStr">
        <is>
          <t>Pass 44 normalization</t>
        </is>
      </c>
      <c r="W102" t="inlineStr">
        <is>
          <t>Pass 45 duplicate consolidation alignment</t>
        </is>
      </c>
    </row>
    <row r="103">
      <c r="A103" s="68" t="inlineStr">
        <is>
          <t>psyllium</t>
        </is>
      </c>
      <c r="B103" s="68" t="inlineStr">
        <is>
          <t>Psyllium</t>
        </is>
      </c>
      <c r="C103" s="68" t="inlineStr">
        <is>
          <t>mucilage</t>
        </is>
      </c>
      <c r="D103" s="68" t="inlineStr">
        <is>
          <t>mucilage</t>
        </is>
      </c>
      <c r="E103" s="68" t="n"/>
      <c r="F103" s="68" t="n"/>
      <c r="G103" s="68" t="inlineStr">
        <is>
          <t>mucilage</t>
        </is>
      </c>
      <c r="H103" s="68" t="inlineStr">
        <is>
          <t>mucilage</t>
        </is>
      </c>
      <c r="I103" s="68" t="inlineStr">
        <is>
          <t>exact_canonical_id</t>
        </is>
      </c>
      <c r="J103" s="68" t="inlineStr">
        <is>
          <t>pass_132_addition</t>
        </is>
      </c>
      <c r="K103" s="68" t="inlineStr">
        <is>
          <t>specific</t>
        </is>
      </c>
      <c r="L103" s="68" t="n"/>
      <c r="M103" s="68" t="n">
        <v>1</v>
      </c>
      <c r="N103" s="68" t="inlineStr">
        <is>
          <t>GI support; metabolic support</t>
        </is>
      </c>
      <c r="O103" s="68" t="inlineStr">
        <is>
          <t>general or unknown targets</t>
        </is>
      </c>
      <c r="P103" s="68" t="n"/>
      <c r="Q103" s="68" t="inlineStr">
        <is>
          <t>New validated mapping row.</t>
        </is>
      </c>
      <c r="R103" t="inlineStr">
        <is>
          <t>Pass 27 compound-layer alignment</t>
        </is>
      </c>
      <c r="V103" t="inlineStr">
        <is>
          <t>Pass 44 normalization</t>
        </is>
      </c>
      <c r="W103" t="inlineStr">
        <is>
          <t>Pass 45 duplicate consolidation alignment</t>
        </is>
      </c>
    </row>
    <row r="104">
      <c r="A104" s="68" t="inlineStr">
        <is>
          <t>caraway</t>
        </is>
      </c>
      <c r="B104" s="68" t="inlineStr">
        <is>
          <t>Caraway</t>
        </is>
      </c>
      <c r="C104" s="68" t="inlineStr">
        <is>
          <t>carvone</t>
        </is>
      </c>
      <c r="D104" s="68" t="inlineStr">
        <is>
          <t>carvone</t>
        </is>
      </c>
      <c r="E104" s="68" t="n"/>
      <c r="F104" s="68" t="n"/>
      <c r="G104" s="68" t="inlineStr">
        <is>
          <t>carvone</t>
        </is>
      </c>
      <c r="H104" s="68" t="inlineStr">
        <is>
          <t>carvone</t>
        </is>
      </c>
      <c r="I104" s="68" t="inlineStr">
        <is>
          <t>exact_canonical_id</t>
        </is>
      </c>
      <c r="J104" s="68" t="inlineStr">
        <is>
          <t>pass_132_addition</t>
        </is>
      </c>
      <c r="K104" s="68" t="inlineStr">
        <is>
          <t>specific</t>
        </is>
      </c>
      <c r="L104" s="68" t="n"/>
      <c r="M104" s="68" t="n">
        <v>1</v>
      </c>
      <c r="N104" s="68" t="inlineStr">
        <is>
          <t>digestive support; aromatic support</t>
        </is>
      </c>
      <c r="O104" s="68" t="inlineStr">
        <is>
          <t>general or unknown targets</t>
        </is>
      </c>
      <c r="P104" s="68" t="n"/>
      <c r="Q104" s="68" t="inlineStr">
        <is>
          <t>New validated mapping row.</t>
        </is>
      </c>
      <c r="R104" t="inlineStr">
        <is>
          <t>Pass 27 compound-layer alignment</t>
        </is>
      </c>
      <c r="V104" t="inlineStr">
        <is>
          <t>Pass 44 normalization</t>
        </is>
      </c>
      <c r="W104" t="inlineStr">
        <is>
          <t>Pass 45 duplicate consolidation alignment</t>
        </is>
      </c>
    </row>
    <row r="105">
      <c r="A105" s="68" t="inlineStr">
        <is>
          <t>ajwain</t>
        </is>
      </c>
      <c r="B105" s="68" t="inlineStr">
        <is>
          <t>Ajwain</t>
        </is>
      </c>
      <c r="C105" s="68" t="inlineStr">
        <is>
          <t>thymol</t>
        </is>
      </c>
      <c r="D105" s="68" t="inlineStr">
        <is>
          <t>thymol</t>
        </is>
      </c>
      <c r="E105" s="68" t="n"/>
      <c r="F105" s="68" t="n"/>
      <c r="G105" s="68" t="inlineStr">
        <is>
          <t>thymol</t>
        </is>
      </c>
      <c r="H105" s="68" t="inlineStr">
        <is>
          <t>thymol</t>
        </is>
      </c>
      <c r="I105" s="68" t="inlineStr">
        <is>
          <t>exact_canonical_id</t>
        </is>
      </c>
      <c r="J105" s="68" t="inlineStr">
        <is>
          <t>pass_132_addition</t>
        </is>
      </c>
      <c r="K105" s="68" t="inlineStr">
        <is>
          <t>specific</t>
        </is>
      </c>
      <c r="L105" s="68" t="n"/>
      <c r="M105" s="68" t="n">
        <v>1</v>
      </c>
      <c r="N105" s="68" t="inlineStr">
        <is>
          <t>digestive support; aromatic support</t>
        </is>
      </c>
      <c r="O105" s="68" t="inlineStr">
        <is>
          <t>general or unknown targets</t>
        </is>
      </c>
      <c r="P105" s="68" t="n"/>
      <c r="Q105" s="68" t="inlineStr">
        <is>
          <t>New validated mapping row.</t>
        </is>
      </c>
      <c r="R105" t="inlineStr">
        <is>
          <t>Pass 27 compound-layer alignment</t>
        </is>
      </c>
      <c r="V105" t="inlineStr">
        <is>
          <t>Pass 44 normalization</t>
        </is>
      </c>
      <c r="W105" t="inlineStr">
        <is>
          <t>Pass 45 duplicate consolidation alignment</t>
        </is>
      </c>
    </row>
    <row r="106">
      <c r="A106" s="68" t="inlineStr">
        <is>
          <t>holy-basil-purple</t>
        </is>
      </c>
      <c r="B106" s="68" t="inlineStr">
        <is>
          <t>Holy Basil Purple</t>
        </is>
      </c>
      <c r="C106" s="68" t="inlineStr">
        <is>
          <t>Eugenol</t>
        </is>
      </c>
      <c r="D106" s="68" t="inlineStr">
        <is>
          <t>eugenol</t>
        </is>
      </c>
      <c r="E106" s="68" t="n"/>
      <c r="F106" s="68" t="n"/>
      <c r="G106" s="68" t="inlineStr">
        <is>
          <t>eugenol</t>
        </is>
      </c>
      <c r="H106" s="68" t="inlineStr">
        <is>
          <t>Eugenol</t>
        </is>
      </c>
      <c r="I106" s="68" t="inlineStr">
        <is>
          <t>exact_canonical_id</t>
        </is>
      </c>
      <c r="J106" s="68" t="inlineStr">
        <is>
          <t>pass_132_addition</t>
        </is>
      </c>
      <c r="K106" s="68" t="inlineStr">
        <is>
          <t>specific</t>
        </is>
      </c>
      <c r="L106" s="68" t="n"/>
      <c r="M106" s="68" t="n">
        <v>1</v>
      </c>
      <c r="N106" s="68" t="inlineStr">
        <is>
          <t>adaptogenic support; antioxidant</t>
        </is>
      </c>
      <c r="O106" s="68" t="inlineStr">
        <is>
          <t>general or unknown targets</t>
        </is>
      </c>
      <c r="P106" s="68" t="n"/>
      <c r="Q106" s="68" t="inlineStr">
        <is>
          <t>New validated mapping row.</t>
        </is>
      </c>
      <c r="R106" t="inlineStr">
        <is>
          <t>Pass 27 compound-layer alignment</t>
        </is>
      </c>
      <c r="V106" t="inlineStr">
        <is>
          <t>Pass 44 normalization</t>
        </is>
      </c>
      <c r="W106" t="inlineStr">
        <is>
          <t>Pass 45 duplicate consolidation alignment</t>
        </is>
      </c>
    </row>
    <row r="107">
      <c r="A107" s="68" t="inlineStr">
        <is>
          <t>curry-leaf</t>
        </is>
      </c>
      <c r="B107" s="68" t="inlineStr">
        <is>
          <t>Curry Leaf</t>
        </is>
      </c>
      <c r="C107" s="68" t="inlineStr">
        <is>
          <t>mahanimbine</t>
        </is>
      </c>
      <c r="D107" s="68" t="inlineStr">
        <is>
          <t>mahanimbine</t>
        </is>
      </c>
      <c r="E107" s="68" t="n"/>
      <c r="F107" s="68" t="n"/>
      <c r="G107" s="68" t="inlineStr">
        <is>
          <t>mahanimbine</t>
        </is>
      </c>
      <c r="H107" s="68" t="inlineStr">
        <is>
          <t>mahanimbine</t>
        </is>
      </c>
      <c r="I107" s="68" t="inlineStr">
        <is>
          <t>exact_canonical_id</t>
        </is>
      </c>
      <c r="J107" s="68" t="inlineStr">
        <is>
          <t>pass_132_addition</t>
        </is>
      </c>
      <c r="K107" s="68" t="inlineStr">
        <is>
          <t>specific</t>
        </is>
      </c>
      <c r="L107" s="68" t="n"/>
      <c r="M107" s="68" t="n">
        <v>1</v>
      </c>
      <c r="N107" s="68" t="inlineStr">
        <is>
          <t>antioxidant; metabolic support</t>
        </is>
      </c>
      <c r="O107" s="68" t="inlineStr">
        <is>
          <t>general or unknown targets</t>
        </is>
      </c>
      <c r="P107" s="68" t="n"/>
      <c r="Q107" s="68" t="inlineStr">
        <is>
          <t>New validated mapping row.</t>
        </is>
      </c>
      <c r="R107" t="inlineStr">
        <is>
          <t>Pass 27 compound-layer alignment</t>
        </is>
      </c>
      <c r="V107" t="inlineStr">
        <is>
          <t>Pass 44 normalization</t>
        </is>
      </c>
      <c r="W107" t="inlineStr">
        <is>
          <t>Pass 45 duplicate consolidation alignment</t>
        </is>
      </c>
    </row>
    <row r="108">
      <c r="A108" s="68" t="inlineStr">
        <is>
          <t>gudmar</t>
        </is>
      </c>
      <c r="B108" s="68" t="inlineStr">
        <is>
          <t>Gudmar</t>
        </is>
      </c>
      <c r="C108" s="68" t="inlineStr">
        <is>
          <t>gymnemic acids</t>
        </is>
      </c>
      <c r="D108" s="68" t="inlineStr">
        <is>
          <t>gymnemic acids</t>
        </is>
      </c>
      <c r="E108" s="68" t="n"/>
      <c r="F108" s="68" t="n"/>
      <c r="G108" s="68" t="inlineStr">
        <is>
          <t>gymnemic-acids</t>
        </is>
      </c>
      <c r="H108" s="68" t="inlineStr">
        <is>
          <t>gymnemic acids</t>
        </is>
      </c>
      <c r="I108" s="68" t="inlineStr">
        <is>
          <t>exact_canonical_id</t>
        </is>
      </c>
      <c r="J108" s="68" t="inlineStr">
        <is>
          <t>pass_132_addition</t>
        </is>
      </c>
      <c r="K108" s="68" t="inlineStr">
        <is>
          <t>specific</t>
        </is>
      </c>
      <c r="L108" s="68" t="n"/>
      <c r="M108" s="68" t="n">
        <v>1</v>
      </c>
      <c r="N108" s="68" t="inlineStr">
        <is>
          <t>glycemic support</t>
        </is>
      </c>
      <c r="O108" s="68" t="inlineStr">
        <is>
          <t>general or unknown targets</t>
        </is>
      </c>
      <c r="P108" s="68" t="n"/>
      <c r="Q108" s="68" t="inlineStr">
        <is>
          <t>New validated mapping row.</t>
        </is>
      </c>
      <c r="R108" t="inlineStr">
        <is>
          <t>Pass 27 compound-layer alignment</t>
        </is>
      </c>
      <c r="V108" t="inlineStr">
        <is>
          <t>Pass 44 normalization</t>
        </is>
      </c>
      <c r="W108" t="inlineStr">
        <is>
          <t>Pass 45 duplicate consolidation alignment</t>
        </is>
      </c>
    </row>
    <row r="109">
      <c r="A109" s="68" t="inlineStr">
        <is>
          <t>roselle-seed</t>
        </is>
      </c>
      <c r="B109" s="68" t="inlineStr">
        <is>
          <t>Roselle Seed</t>
        </is>
      </c>
      <c r="C109" s="68" t="inlineStr">
        <is>
          <t>tocopherols</t>
        </is>
      </c>
      <c r="D109" s="68" t="inlineStr">
        <is>
          <t>tocopherols</t>
        </is>
      </c>
      <c r="E109" s="68" t="n"/>
      <c r="F109" s="68" t="n"/>
      <c r="G109" s="68" t="inlineStr">
        <is>
          <t>tocopherols</t>
        </is>
      </c>
      <c r="H109" s="68" t="inlineStr">
        <is>
          <t>tocopherols</t>
        </is>
      </c>
      <c r="I109" s="68" t="inlineStr">
        <is>
          <t>exact_canonical_id</t>
        </is>
      </c>
      <c r="J109" s="68" t="inlineStr">
        <is>
          <t>pass_132_addition</t>
        </is>
      </c>
      <c r="K109" s="68" t="inlineStr">
        <is>
          <t>specific</t>
        </is>
      </c>
      <c r="L109" s="68" t="n"/>
      <c r="M109" s="68" t="n">
        <v>1</v>
      </c>
      <c r="N109" s="68" t="inlineStr">
        <is>
          <t>nutritive support; antioxidant</t>
        </is>
      </c>
      <c r="O109" s="68" t="inlineStr">
        <is>
          <t>general or unknown targets</t>
        </is>
      </c>
      <c r="P109" s="68" t="n"/>
      <c r="Q109" s="68" t="inlineStr">
        <is>
          <t>New validated mapping row.</t>
        </is>
      </c>
      <c r="R109" t="inlineStr">
        <is>
          <t>Pass 27 compound-layer alignment</t>
        </is>
      </c>
      <c r="V109" t="inlineStr">
        <is>
          <t>Pass 44 normalization</t>
        </is>
      </c>
      <c r="W109" t="inlineStr">
        <is>
          <t>Pass 45 duplicate consolidation alignment</t>
        </is>
      </c>
    </row>
    <row r="110">
      <c r="A110" s="68" t="inlineStr">
        <is>
          <t>tamarind</t>
        </is>
      </c>
      <c r="B110" s="68" t="inlineStr">
        <is>
          <t>Tamarind</t>
        </is>
      </c>
      <c r="C110" s="68" t="inlineStr">
        <is>
          <t>tartaric acid</t>
        </is>
      </c>
      <c r="D110" s="68" t="inlineStr">
        <is>
          <t>tartaric acid</t>
        </is>
      </c>
      <c r="E110" s="68" t="n"/>
      <c r="F110" s="68" t="n"/>
      <c r="G110" s="68" t="inlineStr">
        <is>
          <t>tartaric-acid</t>
        </is>
      </c>
      <c r="H110" s="68" t="inlineStr">
        <is>
          <t>tartaric acid</t>
        </is>
      </c>
      <c r="I110" s="68" t="inlineStr">
        <is>
          <t>exact_canonical_id</t>
        </is>
      </c>
      <c r="J110" s="68" t="inlineStr">
        <is>
          <t>pass_132_addition</t>
        </is>
      </c>
      <c r="K110" s="68" t="inlineStr">
        <is>
          <t>specific</t>
        </is>
      </c>
      <c r="L110" s="68" t="n"/>
      <c r="M110" s="68" t="n">
        <v>1</v>
      </c>
      <c r="N110" s="68" t="inlineStr">
        <is>
          <t>digestive support; antioxidant</t>
        </is>
      </c>
      <c r="O110" s="68" t="inlineStr">
        <is>
          <t>general or unknown targets</t>
        </is>
      </c>
      <c r="P110" s="68" t="n"/>
      <c r="Q110" s="68" t="inlineStr">
        <is>
          <t>New validated mapping row.</t>
        </is>
      </c>
      <c r="R110" t="inlineStr">
        <is>
          <t>Pass 27 compound-layer alignment</t>
        </is>
      </c>
      <c r="V110" t="inlineStr">
        <is>
          <t>Pass 44 normalization</t>
        </is>
      </c>
      <c r="W110" t="inlineStr">
        <is>
          <t>Pass 45 duplicate consolidation alignment</t>
        </is>
      </c>
    </row>
    <row r="111">
      <c r="A111" s="68" t="inlineStr">
        <is>
          <t>boswellia</t>
        </is>
      </c>
      <c r="B111" s="68" t="inlineStr">
        <is>
          <t>Boswellia</t>
        </is>
      </c>
      <c r="C111" s="68" t="inlineStr">
        <is>
          <t>akba</t>
        </is>
      </c>
      <c r="D111" s="68" t="inlineStr">
        <is>
          <t>akba</t>
        </is>
      </c>
      <c r="E111" s="68" t="n"/>
      <c r="F111" s="68" t="n"/>
      <c r="G111" s="68" t="inlineStr">
        <is>
          <t>akba</t>
        </is>
      </c>
      <c r="H111" s="68" t="inlineStr">
        <is>
          <t>akba</t>
        </is>
      </c>
      <c r="I111" s="68" t="inlineStr">
        <is>
          <t>exact_canonical_id</t>
        </is>
      </c>
      <c r="J111" s="68" t="inlineStr">
        <is>
          <t>pass_expand</t>
        </is>
      </c>
      <c r="K111" s="68" t="inlineStr">
        <is>
          <t>specific</t>
        </is>
      </c>
      <c r="L111" s="68" t="n"/>
      <c r="M111" s="68" t="n">
        <v>1</v>
      </c>
      <c r="N111" s="68" t="inlineStr">
        <is>
          <t>anti-inflammatory; mobility support</t>
        </is>
      </c>
      <c r="O111" s="68" t="inlineStr">
        <is>
          <t>general or unknown targets</t>
        </is>
      </c>
      <c r="P111" s="68" t="n"/>
      <c r="Q111" s="68" t="inlineStr">
        <is>
          <t>Expanded in organized workbook.</t>
        </is>
      </c>
      <c r="R111" t="inlineStr">
        <is>
          <t>Pass 27 compound-layer alignment</t>
        </is>
      </c>
      <c r="V111" t="inlineStr">
        <is>
          <t>Pass 44 normalization</t>
        </is>
      </c>
      <c r="W111" t="inlineStr">
        <is>
          <t>Pass 45 duplicate consolidation alignment</t>
        </is>
      </c>
    </row>
    <row r="112">
      <c r="A112" s="68" t="inlineStr">
        <is>
          <t>hawthorn</t>
        </is>
      </c>
      <c r="B112" s="68" t="inlineStr">
        <is>
          <t>Hawthorn</t>
        </is>
      </c>
      <c r="C112" s="68" t="inlineStr">
        <is>
          <t>procyanidin b2</t>
        </is>
      </c>
      <c r="D112" s="68" t="inlineStr">
        <is>
          <t>procyanidin b2</t>
        </is>
      </c>
      <c r="E112" s="68" t="n"/>
      <c r="F112" s="68" t="n"/>
      <c r="G112" s="68" t="inlineStr">
        <is>
          <t>procyanidin-b2</t>
        </is>
      </c>
      <c r="H112" s="68" t="inlineStr">
        <is>
          <t>procyanidin b2</t>
        </is>
      </c>
      <c r="I112" s="68" t="inlineStr">
        <is>
          <t>exact_canonical_id</t>
        </is>
      </c>
      <c r="J112" s="68" t="inlineStr">
        <is>
          <t>pass_expand</t>
        </is>
      </c>
      <c r="K112" s="68" t="inlineStr">
        <is>
          <t>specific</t>
        </is>
      </c>
      <c r="L112" s="68" t="n"/>
      <c r="M112" s="68" t="n">
        <v>1</v>
      </c>
      <c r="N112" s="68" t="inlineStr">
        <is>
          <t>cardiovascular support; vascular support</t>
        </is>
      </c>
      <c r="O112" s="68" t="inlineStr">
        <is>
          <t>general or unknown targets</t>
        </is>
      </c>
      <c r="P112" s="68" t="n"/>
      <c r="Q112" s="68" t="inlineStr">
        <is>
          <t>Expanded in organized workbook.</t>
        </is>
      </c>
      <c r="R112" t="inlineStr">
        <is>
          <t>Pass 27 compound-layer alignment</t>
        </is>
      </c>
      <c r="V112" t="inlineStr">
        <is>
          <t>Pass 44 normalization</t>
        </is>
      </c>
      <c r="W112" t="inlineStr">
        <is>
          <t>Pass 45 duplicate consolidation alignment</t>
        </is>
      </c>
    </row>
    <row r="113">
      <c r="A113" s="68" t="inlineStr">
        <is>
          <t>astragalus</t>
        </is>
      </c>
      <c r="B113" s="68" t="inlineStr">
        <is>
          <t>Astragalus</t>
        </is>
      </c>
      <c r="C113" s="68" t="inlineStr">
        <is>
          <t>astragaloside iv</t>
        </is>
      </c>
      <c r="D113" s="68" t="inlineStr">
        <is>
          <t>astragaloside iv</t>
        </is>
      </c>
      <c r="E113" s="68" t="n"/>
      <c r="F113" s="68" t="n"/>
      <c r="G113" s="68" t="inlineStr">
        <is>
          <t>astragaloside-iv</t>
        </is>
      </c>
      <c r="H113" s="68" t="inlineStr">
        <is>
          <t>astragaloside iv</t>
        </is>
      </c>
      <c r="I113" s="68" t="inlineStr">
        <is>
          <t>exact_canonical_id</t>
        </is>
      </c>
      <c r="J113" s="68" t="inlineStr">
        <is>
          <t>pass_expand</t>
        </is>
      </c>
      <c r="K113" s="68" t="inlineStr">
        <is>
          <t>specific</t>
        </is>
      </c>
      <c r="L113" s="68" t="n"/>
      <c r="M113" s="68" t="n">
        <v>1</v>
      </c>
      <c r="N113" s="68" t="inlineStr">
        <is>
          <t>immune modulation; fatigue support</t>
        </is>
      </c>
      <c r="O113" s="68" t="inlineStr">
        <is>
          <t>general or unknown targets</t>
        </is>
      </c>
      <c r="P113" s="68" t="n"/>
      <c r="Q113" s="68" t="inlineStr">
        <is>
          <t>Expanded in organized workbook.</t>
        </is>
      </c>
      <c r="R113" t="inlineStr">
        <is>
          <t>Pass 27 compound-layer alignment</t>
        </is>
      </c>
      <c r="V113" t="inlineStr">
        <is>
          <t>Pass 44 normalization</t>
        </is>
      </c>
      <c r="W113" t="inlineStr">
        <is>
          <t>Pass 45 duplicate consolidation alignment</t>
        </is>
      </c>
    </row>
    <row r="114">
      <c r="A114" s="68" t="inlineStr">
        <is>
          <t>nettle-root</t>
        </is>
      </c>
      <c r="B114" s="68" t="inlineStr">
        <is>
          <t>Nettle Root</t>
        </is>
      </c>
      <c r="C114" s="68" t="inlineStr">
        <is>
          <t>beta-sitosterol</t>
        </is>
      </c>
      <c r="D114" s="68" t="inlineStr">
        <is>
          <t>beta sitosterol</t>
        </is>
      </c>
      <c r="E114" s="68" t="n"/>
      <c r="F114" s="68" t="n"/>
      <c r="G114" s="68" t="inlineStr">
        <is>
          <t>beta-sitosterol</t>
        </is>
      </c>
      <c r="H114" s="68" t="inlineStr">
        <is>
          <t>beta-sitosterol</t>
        </is>
      </c>
      <c r="I114" s="68" t="inlineStr">
        <is>
          <t>exact_canonical_id</t>
        </is>
      </c>
      <c r="J114" s="68" t="inlineStr">
        <is>
          <t>pass_expand</t>
        </is>
      </c>
      <c r="K114" s="68" t="inlineStr">
        <is>
          <t>specific</t>
        </is>
      </c>
      <c r="L114" s="68" t="n"/>
      <c r="M114" s="68" t="n">
        <v>1</v>
      </c>
      <c r="N114" s="68" t="inlineStr">
        <is>
          <t>urinary support; men's-health support</t>
        </is>
      </c>
      <c r="O114" s="68" t="inlineStr">
        <is>
          <t>general or unknown targets</t>
        </is>
      </c>
      <c r="P114" s="68" t="n"/>
      <c r="Q114" s="68" t="inlineStr">
        <is>
          <t>Expanded in organized workbook.</t>
        </is>
      </c>
      <c r="R114" t="inlineStr">
        <is>
          <t>Pass 27 compound-layer alignment</t>
        </is>
      </c>
      <c r="V114" t="inlineStr">
        <is>
          <t>Pass 44 normalization</t>
        </is>
      </c>
      <c r="W114" t="inlineStr">
        <is>
          <t>Pass 45 duplicate consolidation alignment</t>
        </is>
      </c>
    </row>
    <row r="115">
      <c r="A115" s="68" t="inlineStr">
        <is>
          <t>rhodiola</t>
        </is>
      </c>
      <c r="B115" s="68" t="inlineStr">
        <is>
          <t>Rhodiola</t>
        </is>
      </c>
      <c r="C115" s="68" t="inlineStr">
        <is>
          <t>Salidroside</t>
        </is>
      </c>
      <c r="D115" s="68" t="inlineStr">
        <is>
          <t>salidroside</t>
        </is>
      </c>
      <c r="E115" s="68" t="n"/>
      <c r="F115" s="68" t="n"/>
      <c r="G115" s="68" t="inlineStr">
        <is>
          <t>salidroside</t>
        </is>
      </c>
      <c r="H115" s="68" t="inlineStr">
        <is>
          <t>Salidroside</t>
        </is>
      </c>
      <c r="I115" s="68" t="inlineStr">
        <is>
          <t>exact_canonical_id</t>
        </is>
      </c>
      <c r="J115" s="68" t="inlineStr">
        <is>
          <t>pass_expand</t>
        </is>
      </c>
      <c r="K115" s="68" t="inlineStr">
        <is>
          <t>specific</t>
        </is>
      </c>
      <c r="L115" s="68" t="n"/>
      <c r="M115" s="68" t="n">
        <v>1</v>
      </c>
      <c r="N115" s="68" t="inlineStr">
        <is>
          <t>adaptogenic support; fatigue support</t>
        </is>
      </c>
      <c r="O115" s="68" t="inlineStr">
        <is>
          <t>general or unknown targets</t>
        </is>
      </c>
      <c r="P115" s="68" t="n"/>
      <c r="Q115" s="68" t="inlineStr">
        <is>
          <t>Expanded in organized workbook.</t>
        </is>
      </c>
      <c r="R115" t="inlineStr">
        <is>
          <t>Pass 27 compound-layer alignment</t>
        </is>
      </c>
      <c r="V115" t="inlineStr">
        <is>
          <t>Pass 44 normalization</t>
        </is>
      </c>
      <c r="W115" t="inlineStr">
        <is>
          <t>Pass 45 duplicate consolidation alignment</t>
        </is>
      </c>
    </row>
    <row r="116">
      <c r="A116" s="68" t="inlineStr">
        <is>
          <t>bacopa</t>
        </is>
      </c>
      <c r="B116" s="68" t="inlineStr">
        <is>
          <t>Bacopa</t>
        </is>
      </c>
      <c r="C116" s="68" t="inlineStr">
        <is>
          <t>bacoside a</t>
        </is>
      </c>
      <c r="D116" s="68" t="inlineStr">
        <is>
          <t>bacoside a</t>
        </is>
      </c>
      <c r="E116" s="68" t="n"/>
      <c r="F116" s="68" t="n"/>
      <c r="G116" s="68" t="inlineStr">
        <is>
          <t>bacoside-a</t>
        </is>
      </c>
      <c r="H116" s="68" t="inlineStr">
        <is>
          <t>bacoside a</t>
        </is>
      </c>
      <c r="I116" s="68" t="inlineStr">
        <is>
          <t>exact_canonical_id</t>
        </is>
      </c>
      <c r="J116" s="68" t="inlineStr">
        <is>
          <t>pass_expand</t>
        </is>
      </c>
      <c r="K116" s="68" t="inlineStr">
        <is>
          <t>specific</t>
        </is>
      </c>
      <c r="L116" s="68" t="n"/>
      <c r="M116" s="68" t="n">
        <v>1</v>
      </c>
      <c r="N116" s="68" t="inlineStr">
        <is>
          <t>cognitive support; calming support</t>
        </is>
      </c>
      <c r="O116" s="68" t="inlineStr">
        <is>
          <t>general or unknown targets</t>
        </is>
      </c>
      <c r="P116" s="68" t="n"/>
      <c r="Q116" s="68" t="inlineStr">
        <is>
          <t>Expanded in organized workbook.</t>
        </is>
      </c>
      <c r="R116" t="inlineStr">
        <is>
          <t>Pass 27 compound-layer alignment</t>
        </is>
      </c>
      <c r="V116" t="inlineStr">
        <is>
          <t>Pass 44 normalization</t>
        </is>
      </c>
      <c r="W116" t="inlineStr">
        <is>
          <t>Pass 45 duplicate consolidation alignment</t>
        </is>
      </c>
    </row>
    <row r="117">
      <c r="A117" s="68" t="inlineStr">
        <is>
          <t>passionflower</t>
        </is>
      </c>
      <c r="B117" s="68" t="inlineStr">
        <is>
          <t>Passionflower</t>
        </is>
      </c>
      <c r="C117" s="68" t="inlineStr">
        <is>
          <t>chrysin</t>
        </is>
      </c>
      <c r="D117" s="68" t="inlineStr">
        <is>
          <t>chrysin</t>
        </is>
      </c>
      <c r="E117" s="68" t="n"/>
      <c r="F117" s="68" t="n"/>
      <c r="G117" s="68" t="inlineStr">
        <is>
          <t>chrysin</t>
        </is>
      </c>
      <c r="H117" s="68" t="inlineStr">
        <is>
          <t>chrysin</t>
        </is>
      </c>
      <c r="I117" s="68" t="inlineStr">
        <is>
          <t>exact_canonical_id</t>
        </is>
      </c>
      <c r="J117" s="68" t="inlineStr">
        <is>
          <t>pass_expand</t>
        </is>
      </c>
      <c r="K117" s="68" t="inlineStr">
        <is>
          <t>specific</t>
        </is>
      </c>
      <c r="L117" s="68" t="n"/>
      <c r="M117" s="68" t="n">
        <v>1</v>
      </c>
      <c r="N117" s="68" t="inlineStr">
        <is>
          <t>calming support; sleep support</t>
        </is>
      </c>
      <c r="O117" s="68" t="inlineStr">
        <is>
          <t>general or unknown targets</t>
        </is>
      </c>
      <c r="P117" s="68" t="n"/>
      <c r="Q117" s="68" t="inlineStr">
        <is>
          <t>Expanded in organized workbook.</t>
        </is>
      </c>
      <c r="R117" t="inlineStr">
        <is>
          <t>Pass 27 compound-layer alignment</t>
        </is>
      </c>
      <c r="V117" t="inlineStr">
        <is>
          <t>Pass 44 normalization</t>
        </is>
      </c>
      <c r="W117" t="inlineStr">
        <is>
          <t>Pass 45 duplicate consolidation alignment</t>
        </is>
      </c>
    </row>
    <row r="118">
      <c r="A118" s="68" t="inlineStr">
        <is>
          <t>cordyceps</t>
        </is>
      </c>
      <c r="B118" s="68" t="inlineStr">
        <is>
          <t>Cordyceps</t>
        </is>
      </c>
      <c r="C118" s="68" t="inlineStr">
        <is>
          <t>cordycepin</t>
        </is>
      </c>
      <c r="D118" s="68" t="inlineStr">
        <is>
          <t>cordycepin</t>
        </is>
      </c>
      <c r="E118" s="68" t="n"/>
      <c r="F118" s="68" t="n"/>
      <c r="G118" s="68" t="inlineStr">
        <is>
          <t>cordycepin</t>
        </is>
      </c>
      <c r="H118" s="68" t="inlineStr">
        <is>
          <t>cordycepin</t>
        </is>
      </c>
      <c r="I118" s="68" t="inlineStr">
        <is>
          <t>exact_canonical_id</t>
        </is>
      </c>
      <c r="J118" s="68" t="inlineStr">
        <is>
          <t>pass_expand</t>
        </is>
      </c>
      <c r="K118" s="68" t="inlineStr">
        <is>
          <t>specific</t>
        </is>
      </c>
      <c r="L118" s="68" t="n"/>
      <c r="M118" s="68" t="n">
        <v>1</v>
      </c>
      <c r="N118" s="68" t="inlineStr">
        <is>
          <t>energy support; immune modulation</t>
        </is>
      </c>
      <c r="O118" s="68" t="inlineStr">
        <is>
          <t>general or unknown targets</t>
        </is>
      </c>
      <c r="P118" s="68" t="n"/>
      <c r="Q118" s="68" t="inlineStr">
        <is>
          <t>Expanded in organized workbook.</t>
        </is>
      </c>
      <c r="R118" t="inlineStr">
        <is>
          <t>Pass 27 compound-layer alignment</t>
        </is>
      </c>
      <c r="V118" t="inlineStr">
        <is>
          <t>Pass 44 normalization</t>
        </is>
      </c>
      <c r="W118" t="inlineStr">
        <is>
          <t>Pass 45 duplicate consolidation alignment</t>
        </is>
      </c>
    </row>
    <row r="119">
      <c r="A119" s="68" t="inlineStr">
        <is>
          <t>lions-mane</t>
        </is>
      </c>
      <c r="B119" s="68" t="inlineStr">
        <is>
          <t>Lion's Mane</t>
        </is>
      </c>
      <c r="C119" s="68" t="inlineStr">
        <is>
          <t>hericenone c</t>
        </is>
      </c>
      <c r="D119" s="68" t="inlineStr">
        <is>
          <t>hericenone c</t>
        </is>
      </c>
      <c r="E119" s="68" t="n"/>
      <c r="F119" s="68" t="n"/>
      <c r="G119" s="68" t="inlineStr">
        <is>
          <t>hericenone-c</t>
        </is>
      </c>
      <c r="H119" s="68" t="inlineStr">
        <is>
          <t>hericenone c</t>
        </is>
      </c>
      <c r="I119" s="68" t="inlineStr">
        <is>
          <t>exact_canonical_id</t>
        </is>
      </c>
      <c r="J119" s="68" t="inlineStr">
        <is>
          <t>pass_expand</t>
        </is>
      </c>
      <c r="K119" s="68" t="inlineStr">
        <is>
          <t>specific</t>
        </is>
      </c>
      <c r="L119" s="68" t="n"/>
      <c r="M119" s="68" t="n">
        <v>1</v>
      </c>
      <c r="N119" s="68" t="inlineStr">
        <is>
          <t>neurocognitive support</t>
        </is>
      </c>
      <c r="O119" s="68" t="inlineStr">
        <is>
          <t>general or unknown targets</t>
        </is>
      </c>
      <c r="P119" s="68" t="n"/>
      <c r="Q119" s="68" t="inlineStr">
        <is>
          <t>Expanded in organized workbook.</t>
        </is>
      </c>
      <c r="R119" t="inlineStr">
        <is>
          <t>Pass 27 compound-layer alignment</t>
        </is>
      </c>
      <c r="V119" t="inlineStr">
        <is>
          <t>Pass 44 normalization</t>
        </is>
      </c>
      <c r="W119" t="inlineStr">
        <is>
          <t>Pass 45 duplicate consolidation alignment</t>
        </is>
      </c>
    </row>
    <row r="120">
      <c r="A120" s="68" t="inlineStr">
        <is>
          <t>reishi</t>
        </is>
      </c>
      <c r="B120" s="68" t="inlineStr">
        <is>
          <t>Reishi</t>
        </is>
      </c>
      <c r="C120" s="68" t="inlineStr">
        <is>
          <t>beta-glucans</t>
        </is>
      </c>
      <c r="D120" s="68" t="inlineStr">
        <is>
          <t>beta glucans</t>
        </is>
      </c>
      <c r="E120" s="68" t="n"/>
      <c r="F120" s="68" t="n"/>
      <c r="G120" s="68" t="inlineStr">
        <is>
          <t>beta-glucans</t>
        </is>
      </c>
      <c r="H120" s="68" t="inlineStr">
        <is>
          <t>beta-glucans</t>
        </is>
      </c>
      <c r="I120" s="68" t="inlineStr">
        <is>
          <t>exact_canonical_id</t>
        </is>
      </c>
      <c r="J120" s="68" t="inlineStr">
        <is>
          <t>pass_expand</t>
        </is>
      </c>
      <c r="K120" s="68" t="inlineStr">
        <is>
          <t>specific</t>
        </is>
      </c>
      <c r="L120" s="68" t="n"/>
      <c r="M120" s="68" t="n">
        <v>1</v>
      </c>
      <c r="N120" s="68" t="inlineStr">
        <is>
          <t>immune modulation; calming support</t>
        </is>
      </c>
      <c r="O120" s="68" t="inlineStr">
        <is>
          <t>general or unknown targets</t>
        </is>
      </c>
      <c r="P120" s="68" t="n"/>
      <c r="Q120" s="68" t="inlineStr">
        <is>
          <t>Expanded in organized workbook.</t>
        </is>
      </c>
      <c r="R120" t="inlineStr">
        <is>
          <t>Pass 27 compound-layer alignment</t>
        </is>
      </c>
      <c r="V120" t="inlineStr">
        <is>
          <t>Pass 44 normalization</t>
        </is>
      </c>
      <c r="W120" t="inlineStr">
        <is>
          <t>Pass 45 duplicate consolidation alignment</t>
        </is>
      </c>
    </row>
    <row r="121">
      <c r="A121" s="68" t="inlineStr">
        <is>
          <t>turkey-tail</t>
        </is>
      </c>
      <c r="B121" s="68" t="inlineStr">
        <is>
          <t>Turkey Tail</t>
        </is>
      </c>
      <c r="C121" s="68" t="inlineStr">
        <is>
          <t>psk</t>
        </is>
      </c>
      <c r="D121" s="68" t="inlineStr">
        <is>
          <t>psk</t>
        </is>
      </c>
      <c r="E121" s="68" t="n"/>
      <c r="F121" s="68" t="n"/>
      <c r="G121" s="68" t="inlineStr">
        <is>
          <t>psk</t>
        </is>
      </c>
      <c r="H121" s="68" t="inlineStr">
        <is>
          <t>psk</t>
        </is>
      </c>
      <c r="I121" s="68" t="inlineStr">
        <is>
          <t>exact_canonical_id</t>
        </is>
      </c>
      <c r="J121" s="68" t="inlineStr">
        <is>
          <t>pass_expand</t>
        </is>
      </c>
      <c r="K121" s="68" t="inlineStr">
        <is>
          <t>specific</t>
        </is>
      </c>
      <c r="L121" s="68" t="n"/>
      <c r="M121" s="68" t="n">
        <v>1</v>
      </c>
      <c r="N121" s="68" t="inlineStr">
        <is>
          <t>immune modulation</t>
        </is>
      </c>
      <c r="O121" s="68" t="inlineStr">
        <is>
          <t>general or unknown targets</t>
        </is>
      </c>
      <c r="P121" s="68" t="n"/>
      <c r="Q121" s="68" t="inlineStr">
        <is>
          <t>Expanded in organized workbook.</t>
        </is>
      </c>
      <c r="R121" t="inlineStr">
        <is>
          <t>Pass 27 compound-layer alignment</t>
        </is>
      </c>
      <c r="V121" t="inlineStr">
        <is>
          <t>Pass 44 normalization</t>
        </is>
      </c>
      <c r="W121" t="inlineStr">
        <is>
          <t>Pass 45 duplicate consolidation alignment</t>
        </is>
      </c>
    </row>
    <row r="122">
      <c r="A122" t="inlineStr">
        <is>
          <t>Corydalis yanhusuo</t>
        </is>
      </c>
      <c r="B122" t="inlineStr">
        <is>
          <t>Dehydrocorybulbine</t>
        </is>
      </c>
      <c r="W122" t="inlineStr">
        <is>
          <t>Pass 45 duplicate consolidation alignment</t>
        </is>
      </c>
    </row>
    <row r="123">
      <c r="A123" t="inlineStr">
        <is>
          <t>Picralima nitida</t>
        </is>
      </c>
      <c r="B123" t="inlineStr">
        <is>
          <t>Akuammine</t>
        </is>
      </c>
      <c r="W123" t="inlineStr">
        <is>
          <t>Pass 45 duplicate consolidation alignment</t>
        </is>
      </c>
    </row>
    <row r="124">
      <c r="A124" t="inlineStr">
        <is>
          <t>Peganum harmala</t>
        </is>
      </c>
      <c r="B124" t="inlineStr">
        <is>
          <t>Harmine</t>
        </is>
      </c>
      <c r="W124" t="inlineStr">
        <is>
          <t>Pass 45 duplicate consolidation alignment</t>
        </is>
      </c>
    </row>
    <row r="125">
      <c r="A125" t="inlineStr">
        <is>
          <t>Andrographis paniculata</t>
        </is>
      </c>
      <c r="B125" t="inlineStr">
        <is>
          <t>Andrographolide</t>
        </is>
      </c>
      <c r="W125" t="inlineStr">
        <is>
          <t>Pass 45 duplicate consolidation alignment</t>
        </is>
      </c>
    </row>
    <row r="126">
      <c r="A126" t="inlineStr">
        <is>
          <t>Phyllanthus amarus</t>
        </is>
      </c>
      <c r="B126" t="inlineStr">
        <is>
          <t>Phyllanthin</t>
        </is>
      </c>
      <c r="W126" t="inlineStr">
        <is>
          <t>Pass 45 duplicate consolidation alignment</t>
        </is>
      </c>
    </row>
    <row r="127">
      <c r="A127" t="inlineStr">
        <is>
          <t>Justicia adhatoda</t>
        </is>
      </c>
      <c r="B127" t="inlineStr">
        <is>
          <t>Vasicine</t>
        </is>
      </c>
      <c r="W127" t="inlineStr">
        <is>
          <t>Pass 45 duplicate consolidation alignment</t>
        </is>
      </c>
    </row>
    <row r="128">
      <c r="A128" t="inlineStr">
        <is>
          <t>Tabernanthe iboga</t>
        </is>
      </c>
      <c r="B128" t="inlineStr">
        <is>
          <t>Ibogaine</t>
        </is>
      </c>
      <c r="W128" t="inlineStr">
        <is>
          <t>Pass 45 duplicate consolidation alignment</t>
        </is>
      </c>
    </row>
    <row r="129">
      <c r="A129" t="inlineStr">
        <is>
          <t>Boerhavia diffusa</t>
        </is>
      </c>
      <c r="B129" t="inlineStr">
        <is>
          <t>Punarnavine</t>
        </is>
      </c>
      <c r="W129" t="inlineStr">
        <is>
          <t>Pass 45 duplicate consolidation alignment</t>
        </is>
      </c>
    </row>
    <row r="130">
      <c r="A130" t="inlineStr">
        <is>
          <t>Celastrus paniculatus</t>
        </is>
      </c>
      <c r="B130" t="inlineStr">
        <is>
          <t>Celastrine</t>
        </is>
      </c>
      <c r="W130" t="inlineStr">
        <is>
          <t>Pass 45 duplicate consolidation alignment</t>
        </is>
      </c>
    </row>
    <row r="131">
      <c r="A131" t="inlineStr">
        <is>
          <t>epimedium</t>
        </is>
      </c>
      <c r="B131" t="inlineStr">
        <is>
          <t>Epimedium</t>
        </is>
      </c>
      <c r="C131" t="inlineStr">
        <is>
          <t>Icariin</t>
        </is>
      </c>
      <c r="D131" t="inlineStr">
        <is>
          <t>icariin</t>
        </is>
      </c>
      <c r="G131" t="inlineStr">
        <is>
          <t>icariin</t>
        </is>
      </c>
      <c r="H131" t="inlineStr">
        <is>
          <t>Icariin</t>
        </is>
      </c>
      <c r="I131" t="inlineStr">
        <is>
          <t>exact-normalized</t>
        </is>
      </c>
      <c r="J131" t="inlineStr">
        <is>
          <t>direct</t>
        </is>
      </c>
      <c r="K131" t="inlineStr">
        <is>
          <t>master-linked</t>
        </is>
      </c>
      <c r="L131" t="inlineStr">
        <is>
          <t>Yes</t>
        </is>
      </c>
      <c r="M131" t="inlineStr">
        <is>
          <t>Yes</t>
        </is>
      </c>
      <c r="N131" t="inlineStr">
        <is>
          <t>vascular modulation; bone signaling modulation</t>
        </is>
      </c>
      <c r="O131" t="inlineStr">
        <is>
          <t>eNOS/NO signaling; PDE-related signaling</t>
        </is>
      </c>
      <c r="P131" t="inlineStr">
        <is>
          <t>Workbook monograph activeCompounds: Epimedium</t>
        </is>
      </c>
      <c r="Q131" t="inlineStr">
        <is>
          <t>Pass 2 mapping from existing monograph layer</t>
        </is>
      </c>
      <c r="R131" t="inlineStr">
        <is>
          <t>Pass 27 compound-layer alignment</t>
        </is>
      </c>
      <c r="V131" t="inlineStr">
        <is>
          <t>Pass 44 normalization</t>
        </is>
      </c>
      <c r="W131" t="inlineStr">
        <is>
          <t>Pass 45 duplicate consolidation alignment</t>
        </is>
      </c>
    </row>
    <row r="132">
      <c r="A132" t="inlineStr">
        <is>
          <t>yohimbe</t>
        </is>
      </c>
      <c r="B132" t="inlineStr">
        <is>
          <t>Yohimbe</t>
        </is>
      </c>
      <c r="C132" t="inlineStr">
        <is>
          <t>Yohimbine</t>
        </is>
      </c>
      <c r="D132" t="inlineStr">
        <is>
          <t>yohimbine</t>
        </is>
      </c>
      <c r="G132" t="inlineStr">
        <is>
          <t>yohimbine</t>
        </is>
      </c>
      <c r="H132" t="inlineStr">
        <is>
          <t>Yohimbine</t>
        </is>
      </c>
      <c r="I132" t="inlineStr">
        <is>
          <t>exact-normalized</t>
        </is>
      </c>
      <c r="J132" t="inlineStr">
        <is>
          <t>direct</t>
        </is>
      </c>
      <c r="K132" t="inlineStr">
        <is>
          <t>master-linked</t>
        </is>
      </c>
      <c r="L132" t="inlineStr">
        <is>
          <t>Yes</t>
        </is>
      </c>
      <c r="M132" t="inlineStr">
        <is>
          <t>Yes</t>
        </is>
      </c>
      <c r="N132" t="inlineStr">
        <is>
          <t>adrenergic modulation; stimulant</t>
        </is>
      </c>
      <c r="O132" t="inlineStr">
        <is>
          <t>alpha-2 adrenergic receptor antagonism</t>
        </is>
      </c>
      <c r="P132" t="inlineStr">
        <is>
          <t>Workbook monograph activeCompounds: Yohimbe</t>
        </is>
      </c>
      <c r="Q132" t="inlineStr">
        <is>
          <t>Pass 2 mapping from existing monograph layer</t>
        </is>
      </c>
      <c r="R132" t="inlineStr">
        <is>
          <t>Pass 27 compound-layer alignment</t>
        </is>
      </c>
      <c r="V132" t="inlineStr">
        <is>
          <t>Pass 44 normalization</t>
        </is>
      </c>
      <c r="W132" t="inlineStr">
        <is>
          <t>Pass 45 duplicate consolidation alignment</t>
        </is>
      </c>
    </row>
    <row r="133">
      <c r="A133" t="inlineStr">
        <is>
          <t>eleuthero</t>
        </is>
      </c>
      <c r="B133" t="inlineStr">
        <is>
          <t>Eleuthero</t>
        </is>
      </c>
      <c r="C133" t="inlineStr">
        <is>
          <t>eleutherosides</t>
        </is>
      </c>
      <c r="D133" t="inlineStr">
        <is>
          <t>eleutherosides</t>
        </is>
      </c>
      <c r="G133" t="inlineStr">
        <is>
          <t>eleutherosides</t>
        </is>
      </c>
      <c r="H133" t="inlineStr">
        <is>
          <t>eleutherosides</t>
        </is>
      </c>
      <c r="I133" t="inlineStr">
        <is>
          <t>exact-normalized</t>
        </is>
      </c>
      <c r="J133" t="inlineStr">
        <is>
          <t>direct</t>
        </is>
      </c>
      <c r="K133" t="inlineStr">
        <is>
          <t>master-linked</t>
        </is>
      </c>
      <c r="L133" t="inlineStr">
        <is>
          <t>Yes</t>
        </is>
      </c>
      <c r="M133" t="inlineStr">
        <is>
          <t>Yes</t>
        </is>
      </c>
      <c r="N133" t="inlineStr">
        <is>
          <t>adaptogen; stress-response modulation</t>
        </is>
      </c>
      <c r="O133" t="inlineStr">
        <is>
          <t>HPA-axis-related signaling (broad/preclinical)</t>
        </is>
      </c>
      <c r="P133" t="inlineStr">
        <is>
          <t>Workbook monograph activeCompounds: Eleuthero</t>
        </is>
      </c>
      <c r="Q133" t="inlineStr">
        <is>
          <t>Pass 2 mapping from existing monograph layer</t>
        </is>
      </c>
      <c r="R133" t="inlineStr">
        <is>
          <t>Pass 27 compound-layer alignment</t>
        </is>
      </c>
      <c r="V133" t="inlineStr">
        <is>
          <t>Pass 44 normalization</t>
        </is>
      </c>
      <c r="W133" t="inlineStr">
        <is>
          <t>Pass 45 duplicate consolidation alignment</t>
        </is>
      </c>
    </row>
    <row r="134">
      <c r="A134" t="inlineStr">
        <is>
          <t>Salvia miltiorrhiza</t>
        </is>
      </c>
      <c r="B134" t="inlineStr">
        <is>
          <t>Tanshinone IIA</t>
        </is>
      </c>
      <c r="W134" t="inlineStr">
        <is>
          <t>Pass 45 duplicate consolidation alignment</t>
        </is>
      </c>
    </row>
    <row r="135">
      <c r="A135" t="inlineStr">
        <is>
          <t>Epimedium</t>
        </is>
      </c>
      <c r="B135" t="inlineStr">
        <is>
          <t>Icariin</t>
        </is>
      </c>
      <c r="W135" t="inlineStr">
        <is>
          <t>Pass 45 duplicate consolidation alignment</t>
        </is>
      </c>
    </row>
    <row r="136">
      <c r="A136" t="inlineStr">
        <is>
          <t>Pausinystalia yohimbe</t>
        </is>
      </c>
      <c r="B136" t="inlineStr">
        <is>
          <t>Yohimbine</t>
        </is>
      </c>
      <c r="W136" t="inlineStr">
        <is>
          <t>Pass 45 duplicate consolidation alignment</t>
        </is>
      </c>
    </row>
    <row r="137">
      <c r="A137" t="inlineStr">
        <is>
          <t>Mucuna pruriens</t>
        </is>
      </c>
      <c r="B137" t="inlineStr">
        <is>
          <t>Dopamine</t>
        </is>
      </c>
      <c r="W137" t="inlineStr">
        <is>
          <t>Pass 45 duplicate consolidation alignment</t>
        </is>
      </c>
    </row>
    <row r="138">
      <c r="A138" t="inlineStr">
        <is>
          <t>Curcuma longa</t>
        </is>
      </c>
      <c r="B138" t="inlineStr">
        <is>
          <t>Demethoxycurcumin</t>
        </is>
      </c>
      <c r="W138" t="inlineStr">
        <is>
          <t>Pass 45 duplicate consolidation alignment</t>
        </is>
      </c>
    </row>
    <row r="139">
      <c r="A139" t="inlineStr">
        <is>
          <t>Camellia sinensis</t>
        </is>
      </c>
      <c r="B139" t="inlineStr">
        <is>
          <t>Theanine</t>
        </is>
      </c>
      <c r="W139" t="inlineStr">
        <is>
          <t>Pass 45 duplicate consolidation alignment</t>
        </is>
      </c>
    </row>
    <row r="140">
      <c r="A140" t="inlineStr">
        <is>
          <t>Hypericum perforatum</t>
        </is>
      </c>
      <c r="B140" t="inlineStr">
        <is>
          <t>Hypericin</t>
        </is>
      </c>
      <c r="W140" t="inlineStr">
        <is>
          <t>Pass 45 duplicate consolidation alignment</t>
        </is>
      </c>
    </row>
    <row r="141">
      <c r="A141" t="inlineStr">
        <is>
          <t>Ginkgo biloba</t>
        </is>
      </c>
      <c r="B141" t="inlineStr">
        <is>
          <t>Ginkgolide B</t>
        </is>
      </c>
      <c r="W141" t="inlineStr">
        <is>
          <t>Pass 45 duplicate consolidation alignment</t>
        </is>
      </c>
    </row>
    <row r="142">
      <c r="A142" t="inlineStr">
        <is>
          <t>Panax ginseng</t>
        </is>
      </c>
      <c r="B142" t="inlineStr">
        <is>
          <t>Ginsenoside Rg1</t>
        </is>
      </c>
      <c r="W142" t="inlineStr">
        <is>
          <t>Pass 45 duplicate consolidation alignment</t>
        </is>
      </c>
    </row>
    <row r="143">
      <c r="A143" t="inlineStr">
        <is>
          <t>Withania somnifera</t>
        </is>
      </c>
      <c r="B143" t="inlineStr">
        <is>
          <t>Withanolide A</t>
        </is>
      </c>
      <c r="W143" t="inlineStr">
        <is>
          <t>Pass 45 duplicate consolidation alignment</t>
        </is>
      </c>
    </row>
    <row r="144">
      <c r="A144" t="inlineStr">
        <is>
          <t>turmeric</t>
        </is>
      </c>
      <c r="B144" t="inlineStr">
        <is>
          <t>Turmeric</t>
        </is>
      </c>
      <c r="C144" t="inlineStr">
        <is>
          <t>curcumin</t>
        </is>
      </c>
      <c r="D144" t="inlineStr">
        <is>
          <t>curcumin</t>
        </is>
      </c>
      <c r="E144" t="inlineStr">
        <is>
          <t>Curcuminoid</t>
        </is>
      </c>
      <c r="G144" t="inlineStr">
        <is>
          <t>curcumin</t>
        </is>
      </c>
      <c r="H144" t="inlineStr">
        <is>
          <t>curcumin</t>
        </is>
      </c>
      <c r="Q144" t="inlineStr">
        <is>
          <t>Pass 13 normalized herb name to monograph common name</t>
        </is>
      </c>
      <c r="R144" t="inlineStr">
        <is>
          <t>Pass 27 compound-layer alignment</t>
        </is>
      </c>
      <c r="V144" t="inlineStr">
        <is>
          <t>Pass 44 normalization</t>
        </is>
      </c>
      <c r="W144" t="inlineStr">
        <is>
          <t>Pass 45 duplicate consolidation alignment</t>
        </is>
      </c>
    </row>
    <row r="145">
      <c r="A145" t="inlineStr">
        <is>
          <t>turmeric</t>
        </is>
      </c>
      <c r="B145" t="inlineStr">
        <is>
          <t>Turmeric</t>
        </is>
      </c>
      <c r="C145" t="inlineStr">
        <is>
          <t>Bisdemethoxycurcumin</t>
        </is>
      </c>
      <c r="D145" t="inlineStr">
        <is>
          <t>bisdemethoxycurcumin</t>
        </is>
      </c>
      <c r="E145" t="inlineStr">
        <is>
          <t>Curcuminoid</t>
        </is>
      </c>
      <c r="G145" t="inlineStr">
        <is>
          <t>bisdemethoxycurcumin</t>
        </is>
      </c>
      <c r="H145" t="inlineStr">
        <is>
          <t>Bisdemethoxycurcumin</t>
        </is>
      </c>
      <c r="Q145" t="inlineStr">
        <is>
          <t>Pass 13 normalized herb name to monograph common name</t>
        </is>
      </c>
      <c r="R145" t="inlineStr">
        <is>
          <t>Pass 27 compound-layer alignment</t>
        </is>
      </c>
      <c r="V145" t="inlineStr">
        <is>
          <t>Pass 44 normalization</t>
        </is>
      </c>
      <c r="W145" t="inlineStr">
        <is>
          <t>Pass 45 duplicate consolidation alignment</t>
        </is>
      </c>
    </row>
    <row r="146">
      <c r="A146" t="inlineStr">
        <is>
          <t>green-tea</t>
        </is>
      </c>
      <c r="B146" t="inlineStr">
        <is>
          <t>Green Tea</t>
        </is>
      </c>
      <c r="C146" t="inlineStr">
        <is>
          <t>Caffeine</t>
        </is>
      </c>
      <c r="D146" t="inlineStr">
        <is>
          <t>caffeine</t>
        </is>
      </c>
      <c r="E146" t="inlineStr">
        <is>
          <t>Alkaloid</t>
        </is>
      </c>
      <c r="G146" t="inlineStr">
        <is>
          <t>caffeine</t>
        </is>
      </c>
      <c r="H146" t="inlineStr">
        <is>
          <t>Caffeine</t>
        </is>
      </c>
      <c r="Q146" t="inlineStr">
        <is>
          <t>Pass 13 normalized herb name to monograph common name</t>
        </is>
      </c>
      <c r="R146" t="inlineStr">
        <is>
          <t>Pass 27 compound-layer alignment</t>
        </is>
      </c>
      <c r="V146" t="inlineStr">
        <is>
          <t>Pass 44 normalization</t>
        </is>
      </c>
      <c r="W146" t="inlineStr">
        <is>
          <t>Pass 45 duplicate consolidation alignment</t>
        </is>
      </c>
    </row>
    <row r="147">
      <c r="A147" t="inlineStr">
        <is>
          <t>green-tea</t>
        </is>
      </c>
      <c r="B147" t="inlineStr">
        <is>
          <t>Green Tea</t>
        </is>
      </c>
      <c r="C147" t="inlineStr">
        <is>
          <t>Theanine</t>
        </is>
      </c>
      <c r="D147" t="inlineStr">
        <is>
          <t>theanine</t>
        </is>
      </c>
      <c r="E147" t="inlineStr">
        <is>
          <t>Amino acid</t>
        </is>
      </c>
      <c r="G147" t="inlineStr">
        <is>
          <t>theanine</t>
        </is>
      </c>
      <c r="H147" t="inlineStr">
        <is>
          <t>Theanine</t>
        </is>
      </c>
      <c r="Q147" t="inlineStr">
        <is>
          <t>Pass 13 normalized herb name to monograph common name</t>
        </is>
      </c>
      <c r="R147" t="inlineStr">
        <is>
          <t>Pass 27 compound-layer alignment</t>
        </is>
      </c>
      <c r="V147" t="inlineStr">
        <is>
          <t>Pass 44 normalization</t>
        </is>
      </c>
      <c r="W147" t="inlineStr">
        <is>
          <t>Pass 45 duplicate consolidation alignment</t>
        </is>
      </c>
    </row>
    <row r="148">
      <c r="A148" t="inlineStr">
        <is>
          <t>hypericum-perforatum</t>
        </is>
      </c>
      <c r="B148" t="inlineStr">
        <is>
          <t>Hypericum perforatum</t>
        </is>
      </c>
      <c r="C148" t="inlineStr">
        <is>
          <t>Hypericin</t>
        </is>
      </c>
      <c r="D148" t="inlineStr">
        <is>
          <t>hypericin</t>
        </is>
      </c>
      <c r="E148" t="inlineStr">
        <is>
          <t>Naphthodianthrone</t>
        </is>
      </c>
      <c r="G148" t="inlineStr">
        <is>
          <t>hypericin</t>
        </is>
      </c>
      <c r="H148" t="inlineStr">
        <is>
          <t>Hypericin</t>
        </is>
      </c>
      <c r="R148" t="inlineStr">
        <is>
          <t>Pass 27 compound-layer alignment</t>
        </is>
      </c>
      <c r="V148" t="inlineStr">
        <is>
          <t>Pass 44 normalization</t>
        </is>
      </c>
      <c r="W148" t="inlineStr">
        <is>
          <t>Pass 45 duplicate consolidation alignment</t>
        </is>
      </c>
    </row>
    <row r="149">
      <c r="A149" t="inlineStr">
        <is>
          <t>hypericum-perforatum</t>
        </is>
      </c>
      <c r="B149" t="inlineStr">
        <is>
          <t>Hypericum perforatum</t>
        </is>
      </c>
      <c r="C149" t="inlineStr">
        <is>
          <t>Hyperforin</t>
        </is>
      </c>
      <c r="D149" t="inlineStr">
        <is>
          <t>hyperforin</t>
        </is>
      </c>
      <c r="E149" t="inlineStr">
        <is>
          <t>Phloroglucinol</t>
        </is>
      </c>
      <c r="G149" t="inlineStr">
        <is>
          <t>hyperforin</t>
        </is>
      </c>
      <c r="H149" t="inlineStr">
        <is>
          <t>Hyperforin</t>
        </is>
      </c>
      <c r="R149" t="inlineStr">
        <is>
          <t>Pass 27 compound-layer alignment</t>
        </is>
      </c>
      <c r="V149" t="inlineStr">
        <is>
          <t>Pass 44 normalization</t>
        </is>
      </c>
      <c r="W149" t="inlineStr">
        <is>
          <t>Pass 45 duplicate consolidation alignment</t>
        </is>
      </c>
    </row>
    <row r="150">
      <c r="A150" t="inlineStr">
        <is>
          <t>ginkgo-biloba</t>
        </is>
      </c>
      <c r="B150" t="inlineStr">
        <is>
          <t>Ginkgo Biloba</t>
        </is>
      </c>
      <c r="C150" t="inlineStr">
        <is>
          <t>Ginkgolide B</t>
        </is>
      </c>
      <c r="D150" t="inlineStr">
        <is>
          <t>ginkgolide b</t>
        </is>
      </c>
      <c r="E150" t="inlineStr">
        <is>
          <t>Terpenoid</t>
        </is>
      </c>
      <c r="G150" t="inlineStr">
        <is>
          <t>ginkgolide-b</t>
        </is>
      </c>
      <c r="H150" t="inlineStr">
        <is>
          <t>Ginkgolide B</t>
        </is>
      </c>
      <c r="Q150" t="inlineStr">
        <is>
          <t>Pass 13 normalized herb name to monograph common name</t>
        </is>
      </c>
      <c r="R150" t="inlineStr">
        <is>
          <t>Pass 27 compound-layer alignment</t>
        </is>
      </c>
      <c r="V150" t="inlineStr">
        <is>
          <t>Pass 44 normalization</t>
        </is>
      </c>
      <c r="W150" t="inlineStr">
        <is>
          <t>Pass 45 duplicate consolidation alignment</t>
        </is>
      </c>
    </row>
    <row r="151">
      <c r="A151" t="inlineStr">
        <is>
          <t>ginkgo-biloba</t>
        </is>
      </c>
      <c r="B151" t="inlineStr">
        <is>
          <t>Ginkgo Biloba</t>
        </is>
      </c>
      <c r="C151" t="inlineStr">
        <is>
          <t>Bilobalide</t>
        </is>
      </c>
      <c r="D151" t="inlineStr">
        <is>
          <t>bilobalide</t>
        </is>
      </c>
      <c r="E151" t="inlineStr">
        <is>
          <t>Terpenoid</t>
        </is>
      </c>
      <c r="G151" t="inlineStr">
        <is>
          <t>bilobalide</t>
        </is>
      </c>
      <c r="H151" t="inlineStr">
        <is>
          <t>Bilobalide</t>
        </is>
      </c>
      <c r="Q151" t="inlineStr">
        <is>
          <t>Pass 13 normalized herb name to monograph common name</t>
        </is>
      </c>
      <c r="R151" t="inlineStr">
        <is>
          <t>Pass 27 compound-layer alignment</t>
        </is>
      </c>
      <c r="V151" t="inlineStr">
        <is>
          <t>Pass 44 normalization</t>
        </is>
      </c>
      <c r="W151" t="inlineStr">
        <is>
          <t>Pass 45 duplicate consolidation alignment</t>
        </is>
      </c>
    </row>
    <row r="152">
      <c r="A152" t="inlineStr">
        <is>
          <t>panax-ginseng</t>
        </is>
      </c>
      <c r="B152" t="inlineStr">
        <is>
          <t>Panax Ginseng</t>
        </is>
      </c>
      <c r="C152" t="inlineStr">
        <is>
          <t>Ginsenoside RG1</t>
        </is>
      </c>
      <c r="D152" t="inlineStr">
        <is>
          <t>ginsenoside rg1</t>
        </is>
      </c>
      <c r="E152" t="inlineStr">
        <is>
          <t>Saponin</t>
        </is>
      </c>
      <c r="G152" t="inlineStr">
        <is>
          <t>ginsenoside-rg1</t>
        </is>
      </c>
      <c r="H152" t="inlineStr">
        <is>
          <t>Ginsenoside RG1</t>
        </is>
      </c>
      <c r="Q152" t="inlineStr">
        <is>
          <t>Pass 13 normalized herb name to monograph common name</t>
        </is>
      </c>
      <c r="R152" t="inlineStr">
        <is>
          <t>Pass 27 compound-layer alignment</t>
        </is>
      </c>
      <c r="V152" t="inlineStr">
        <is>
          <t>Pass 44 normalization</t>
        </is>
      </c>
      <c r="W152" t="inlineStr">
        <is>
          <t>Pass 45 duplicate consolidation alignment</t>
        </is>
      </c>
    </row>
    <row r="153">
      <c r="A153" t="inlineStr">
        <is>
          <t>panax-ginseng</t>
        </is>
      </c>
      <c r="B153" t="inlineStr">
        <is>
          <t>Panax Ginseng</t>
        </is>
      </c>
      <c r="C153" t="inlineStr">
        <is>
          <t>Ginsenoside RB1</t>
        </is>
      </c>
      <c r="D153" t="inlineStr">
        <is>
          <t>ginsenoside rb1</t>
        </is>
      </c>
      <c r="E153" t="inlineStr">
        <is>
          <t>Saponin</t>
        </is>
      </c>
      <c r="G153" t="inlineStr">
        <is>
          <t>ginsenoside-rb1</t>
        </is>
      </c>
      <c r="H153" t="inlineStr">
        <is>
          <t>Ginsenoside RB1</t>
        </is>
      </c>
      <c r="Q153" t="inlineStr">
        <is>
          <t>Pass 13 normalized herb name to monograph common name</t>
        </is>
      </c>
      <c r="R153" t="inlineStr">
        <is>
          <t>Pass 27 compound-layer alignment</t>
        </is>
      </c>
      <c r="V153" t="inlineStr">
        <is>
          <t>Pass 44 normalization</t>
        </is>
      </c>
      <c r="W153" t="inlineStr">
        <is>
          <t>Pass 45 duplicate consolidation alignment</t>
        </is>
      </c>
    </row>
    <row r="154">
      <c r="A154" t="inlineStr">
        <is>
          <t>ashwagandha</t>
        </is>
      </c>
      <c r="B154" t="inlineStr">
        <is>
          <t>Ashwagandha</t>
        </is>
      </c>
      <c r="C154" t="inlineStr">
        <is>
          <t>Withanolide A</t>
        </is>
      </c>
      <c r="D154" t="inlineStr">
        <is>
          <t>withanolide a</t>
        </is>
      </c>
      <c r="E154" t="inlineStr">
        <is>
          <t>Steroidal lactone</t>
        </is>
      </c>
      <c r="G154" t="inlineStr">
        <is>
          <t>withanolide-a</t>
        </is>
      </c>
      <c r="H154" t="inlineStr">
        <is>
          <t>Withanolide A</t>
        </is>
      </c>
      <c r="Q154" t="inlineStr">
        <is>
          <t>Pass 13 normalized herb name to monograph common name</t>
        </is>
      </c>
      <c r="R154" t="inlineStr">
        <is>
          <t>Pass 27 compound-layer alignment</t>
        </is>
      </c>
      <c r="V154" t="inlineStr">
        <is>
          <t>Pass 44 normalization</t>
        </is>
      </c>
      <c r="W154" t="inlineStr">
        <is>
          <t>Pass 45 duplicate consolidation alignment</t>
        </is>
      </c>
    </row>
    <row r="155">
      <c r="A155" t="inlineStr">
        <is>
          <t>peganum-harmala</t>
        </is>
      </c>
      <c r="B155" t="inlineStr">
        <is>
          <t>Peganum harmala</t>
        </is>
      </c>
      <c r="C155" t="inlineStr">
        <is>
          <t>Harmine</t>
        </is>
      </c>
      <c r="D155" t="inlineStr">
        <is>
          <t>harmine</t>
        </is>
      </c>
      <c r="E155" t="inlineStr">
        <is>
          <t>Alkaloid</t>
        </is>
      </c>
      <c r="G155" t="inlineStr">
        <is>
          <t>harmine</t>
        </is>
      </c>
      <c r="H155" t="inlineStr">
        <is>
          <t>Harmine</t>
        </is>
      </c>
      <c r="R155" t="inlineStr">
        <is>
          <t>Pass 27 compound-layer alignment</t>
        </is>
      </c>
      <c r="V155" t="inlineStr">
        <is>
          <t>Pass 44 normalization</t>
        </is>
      </c>
      <c r="W155" t="inlineStr">
        <is>
          <t>Pass 45 duplicate consolidation alignment</t>
        </is>
      </c>
    </row>
    <row r="156">
      <c r="A156" t="inlineStr">
        <is>
          <t>peganum-harmala</t>
        </is>
      </c>
      <c r="B156" t="inlineStr">
        <is>
          <t>Peganum harmala</t>
        </is>
      </c>
      <c r="C156" t="inlineStr">
        <is>
          <t>Harmaline</t>
        </is>
      </c>
      <c r="D156" t="inlineStr">
        <is>
          <t>harmaline</t>
        </is>
      </c>
      <c r="E156" t="inlineStr">
        <is>
          <t>Alkaloid</t>
        </is>
      </c>
      <c r="G156" t="inlineStr">
        <is>
          <t>harmaline</t>
        </is>
      </c>
      <c r="H156" t="inlineStr">
        <is>
          <t>Harmaline</t>
        </is>
      </c>
      <c r="R156" t="inlineStr">
        <is>
          <t>Pass 27 compound-layer alignment</t>
        </is>
      </c>
      <c r="V156" t="inlineStr">
        <is>
          <t>Pass 44 normalization</t>
        </is>
      </c>
      <c r="W156" t="inlineStr">
        <is>
          <t>Pass 45 duplicate consolidation alignment</t>
        </is>
      </c>
    </row>
    <row r="157">
      <c r="A157" t="inlineStr">
        <is>
          <t>salvia-miltiorrhiza</t>
        </is>
      </c>
      <c r="B157" t="inlineStr">
        <is>
          <t>Salvia miltiorrhiza</t>
        </is>
      </c>
      <c r="C157" t="inlineStr">
        <is>
          <t>Tanshinone IIA</t>
        </is>
      </c>
      <c r="D157" t="inlineStr">
        <is>
          <t>tanshinone iia</t>
        </is>
      </c>
      <c r="E157" t="inlineStr">
        <is>
          <t>Diterpenoid</t>
        </is>
      </c>
      <c r="G157" t="inlineStr">
        <is>
          <t>tanshinone-iia</t>
        </is>
      </c>
      <c r="H157" t="inlineStr">
        <is>
          <t>Tanshinone IIA</t>
        </is>
      </c>
      <c r="R157" t="inlineStr">
        <is>
          <t>Pass 27 compound-layer alignment</t>
        </is>
      </c>
      <c r="V157" t="inlineStr">
        <is>
          <t>Pass 44 normalization</t>
        </is>
      </c>
      <c r="W157" t="inlineStr">
        <is>
          <t>Pass 45 duplicate consolidation alignment</t>
        </is>
      </c>
    </row>
    <row r="158">
      <c r="A158" t="inlineStr">
        <is>
          <t>salvia-miltiorrhiza</t>
        </is>
      </c>
      <c r="B158" t="inlineStr">
        <is>
          <t>Salvia miltiorrhiza</t>
        </is>
      </c>
      <c r="C158" t="inlineStr">
        <is>
          <t>Salvianolic acid B</t>
        </is>
      </c>
      <c r="D158" t="inlineStr">
        <is>
          <t>salvianolic acid b</t>
        </is>
      </c>
      <c r="E158" t="inlineStr">
        <is>
          <t>Polyphenol</t>
        </is>
      </c>
      <c r="G158" t="inlineStr">
        <is>
          <t>salvianolic-acid-b</t>
        </is>
      </c>
      <c r="H158" t="inlineStr">
        <is>
          <t>Salvianolic acid B</t>
        </is>
      </c>
      <c r="R158" t="inlineStr">
        <is>
          <t>Pass 27 compound-layer alignment</t>
        </is>
      </c>
      <c r="V158" t="inlineStr">
        <is>
          <t>Pass 44 normalization</t>
        </is>
      </c>
      <c r="W158" t="inlineStr">
        <is>
          <t>Pass 45 duplicate consolidation alignment</t>
        </is>
      </c>
    </row>
    <row r="159">
      <c r="A159" t="inlineStr">
        <is>
          <t>justicia-adhatoda</t>
        </is>
      </c>
      <c r="B159" t="inlineStr">
        <is>
          <t>Justicia adhatoda</t>
        </is>
      </c>
      <c r="C159" t="inlineStr">
        <is>
          <t>Vasicine</t>
        </is>
      </c>
      <c r="D159" t="inlineStr">
        <is>
          <t>vasicine</t>
        </is>
      </c>
      <c r="E159" t="inlineStr">
        <is>
          <t>Alkaloid</t>
        </is>
      </c>
      <c r="G159" t="inlineStr">
        <is>
          <t>vasicine</t>
        </is>
      </c>
      <c r="H159" t="inlineStr">
        <is>
          <t>Vasicine</t>
        </is>
      </c>
      <c r="R159" t="inlineStr">
        <is>
          <t>Pass 27 compound-layer alignment</t>
        </is>
      </c>
      <c r="V159" t="inlineStr">
        <is>
          <t>Pass 44 normalization</t>
        </is>
      </c>
      <c r="W159" t="inlineStr">
        <is>
          <t>Pass 45 duplicate consolidation alignment</t>
        </is>
      </c>
    </row>
    <row r="160">
      <c r="A160" t="inlineStr">
        <is>
          <t>tabernanthe-iboga</t>
        </is>
      </c>
      <c r="B160" t="inlineStr">
        <is>
          <t>Tabernanthe iboga</t>
        </is>
      </c>
      <c r="C160" t="inlineStr">
        <is>
          <t>Ibogaine</t>
        </is>
      </c>
      <c r="D160" t="inlineStr">
        <is>
          <t>ibogaine</t>
        </is>
      </c>
      <c r="E160" t="inlineStr">
        <is>
          <t>Alkaloid</t>
        </is>
      </c>
      <c r="G160" t="inlineStr">
        <is>
          <t>ibogaine</t>
        </is>
      </c>
      <c r="H160" t="inlineStr">
        <is>
          <t>Ibogaine</t>
        </is>
      </c>
      <c r="R160" t="inlineStr">
        <is>
          <t>Pass 27 compound-layer alignment</t>
        </is>
      </c>
      <c r="V160" t="inlineStr">
        <is>
          <t>Pass 44 normalization</t>
        </is>
      </c>
      <c r="W160" t="inlineStr">
        <is>
          <t>Pass 45 duplicate consolidation alignment</t>
        </is>
      </c>
    </row>
    <row r="161">
      <c r="A161" t="inlineStr">
        <is>
          <t>picralima-nitida</t>
        </is>
      </c>
      <c r="B161" t="inlineStr">
        <is>
          <t>Picralima nitida</t>
        </is>
      </c>
      <c r="C161" t="inlineStr">
        <is>
          <t>Akuammine</t>
        </is>
      </c>
      <c r="D161" t="inlineStr">
        <is>
          <t>akuammine</t>
        </is>
      </c>
      <c r="E161" t="inlineStr">
        <is>
          <t>Indole alkaloid</t>
        </is>
      </c>
      <c r="G161" t="inlineStr">
        <is>
          <t>akuammine</t>
        </is>
      </c>
      <c r="H161" t="inlineStr">
        <is>
          <t>Akuammine</t>
        </is>
      </c>
      <c r="R161" t="inlineStr">
        <is>
          <t>Pass 27 compound-layer alignment</t>
        </is>
      </c>
      <c r="V161" t="inlineStr">
        <is>
          <t>Pass 44 normalization</t>
        </is>
      </c>
      <c r="W161" t="inlineStr">
        <is>
          <t>Pass 45 duplicate consolidation alignment</t>
        </is>
      </c>
    </row>
    <row r="162">
      <c r="A162" t="inlineStr">
        <is>
          <t>corydalis-yanhusuo</t>
        </is>
      </c>
      <c r="B162" t="inlineStr">
        <is>
          <t>Corydalis yanhusuo</t>
        </is>
      </c>
      <c r="C162" t="inlineStr">
        <is>
          <t>Dehydrocorybulbine</t>
        </is>
      </c>
      <c r="D162" t="inlineStr">
        <is>
          <t>dehydrocorybulbine</t>
        </is>
      </c>
      <c r="E162" t="inlineStr">
        <is>
          <t>Alkaloid</t>
        </is>
      </c>
      <c r="G162" t="inlineStr">
        <is>
          <t>dehydrocorybulbine</t>
        </is>
      </c>
      <c r="H162" t="inlineStr">
        <is>
          <t>Dehydrocorybulbine</t>
        </is>
      </c>
      <c r="R162" t="inlineStr">
        <is>
          <t>Pass 27 compound-layer alignment</t>
        </is>
      </c>
      <c r="V162" t="inlineStr">
        <is>
          <t>Pass 44 normalization</t>
        </is>
      </c>
      <c r="W162" t="inlineStr">
        <is>
          <t>Pass 45 duplicate consolidation alignment</t>
        </is>
      </c>
    </row>
    <row r="163">
      <c r="A163" t="inlineStr">
        <is>
          <t>andrographis-paniculata</t>
        </is>
      </c>
      <c r="B163" t="inlineStr">
        <is>
          <t>Andrographis paniculata</t>
        </is>
      </c>
      <c r="C163" t="inlineStr">
        <is>
          <t>Andrographolide</t>
        </is>
      </c>
      <c r="D163" t="inlineStr">
        <is>
          <t>andrographolide</t>
        </is>
      </c>
      <c r="E163" t="inlineStr">
        <is>
          <t>Diterpenoid</t>
        </is>
      </c>
      <c r="G163" t="inlineStr">
        <is>
          <t>andrographolide</t>
        </is>
      </c>
      <c r="H163" t="inlineStr">
        <is>
          <t>Andrographolide</t>
        </is>
      </c>
      <c r="R163" t="inlineStr">
        <is>
          <t>Pass 27 compound-layer alignment</t>
        </is>
      </c>
      <c r="V163" t="inlineStr">
        <is>
          <t>Pass 44 normalization</t>
        </is>
      </c>
      <c r="W163" t="inlineStr">
        <is>
          <t>Pass 45 duplicate consolidation alignment</t>
        </is>
      </c>
    </row>
    <row r="164">
      <c r="A164" t="inlineStr">
        <is>
          <t>phyllanthus-amarus</t>
        </is>
      </c>
      <c r="B164" t="inlineStr">
        <is>
          <t>Phyllanthus amarus</t>
        </is>
      </c>
      <c r="C164" t="inlineStr">
        <is>
          <t>Phyllanthin</t>
        </is>
      </c>
      <c r="D164" t="inlineStr">
        <is>
          <t>phyllanthin</t>
        </is>
      </c>
      <c r="E164" t="inlineStr">
        <is>
          <t>Lignan</t>
        </is>
      </c>
      <c r="G164" t="inlineStr">
        <is>
          <t>phyllanthin</t>
        </is>
      </c>
      <c r="H164" t="inlineStr">
        <is>
          <t>Phyllanthin</t>
        </is>
      </c>
      <c r="R164" t="inlineStr">
        <is>
          <t>Pass 27 compound-layer alignment</t>
        </is>
      </c>
      <c r="V164" t="inlineStr">
        <is>
          <t>Pass 44 normalization</t>
        </is>
      </c>
      <c r="W164" t="inlineStr">
        <is>
          <t>Pass 45 duplicate consolidation alignment</t>
        </is>
      </c>
    </row>
    <row r="165">
      <c r="A165" t="inlineStr">
        <is>
          <t>mucuna-pruriens</t>
        </is>
      </c>
      <c r="B165" t="inlineStr">
        <is>
          <t>Mucuna pruriens</t>
        </is>
      </c>
      <c r="C165" t="inlineStr">
        <is>
          <t>L-DOPA</t>
        </is>
      </c>
      <c r="D165" t="inlineStr">
        <is>
          <t>l dopa</t>
        </is>
      </c>
      <c r="E165" t="inlineStr">
        <is>
          <t>Amino acid</t>
        </is>
      </c>
      <c r="G165" t="inlineStr">
        <is>
          <t>l-dopa</t>
        </is>
      </c>
      <c r="H165" t="inlineStr">
        <is>
          <t>L-DOPA</t>
        </is>
      </c>
      <c r="R165" t="inlineStr">
        <is>
          <t>Pass 27 compound-layer alignment</t>
        </is>
      </c>
      <c r="V165" t="inlineStr">
        <is>
          <t>Pass 44 normalization</t>
        </is>
      </c>
      <c r="W165" t="inlineStr">
        <is>
          <t>Pass 45 duplicate consolidation alignment</t>
        </is>
      </c>
    </row>
    <row r="166">
      <c r="A166" t="inlineStr">
        <is>
          <t>mucuna-pruriens</t>
        </is>
      </c>
      <c r="B166" t="inlineStr">
        <is>
          <t>Mucuna pruriens</t>
        </is>
      </c>
      <c r="C166" t="inlineStr">
        <is>
          <t>Dopamine</t>
        </is>
      </c>
      <c r="D166" t="inlineStr">
        <is>
          <t>dopamine</t>
        </is>
      </c>
      <c r="E166" t="inlineStr">
        <is>
          <t>Neurotransmitter</t>
        </is>
      </c>
      <c r="G166" t="inlineStr">
        <is>
          <t>dopamine</t>
        </is>
      </c>
      <c r="H166" t="inlineStr">
        <is>
          <t>Dopamine</t>
        </is>
      </c>
      <c r="R166" t="inlineStr">
        <is>
          <t>Pass 27 compound-layer alignment</t>
        </is>
      </c>
      <c r="V166" t="inlineStr">
        <is>
          <t>Pass 44 normalization</t>
        </is>
      </c>
      <c r="W166" t="inlineStr">
        <is>
          <t>Pass 45 duplicate consolidation alignment</t>
        </is>
      </c>
    </row>
    <row r="167">
      <c r="A167" t="inlineStr">
        <is>
          <t>pausinystalia-yohimbe</t>
        </is>
      </c>
      <c r="B167" t="inlineStr">
        <is>
          <t>Pausinystalia yohimbe</t>
        </is>
      </c>
      <c r="C167" t="inlineStr">
        <is>
          <t>Yohimbine</t>
        </is>
      </c>
      <c r="D167" t="inlineStr">
        <is>
          <t>yohimbine</t>
        </is>
      </c>
      <c r="E167" t="inlineStr">
        <is>
          <t>Alkaloid</t>
        </is>
      </c>
      <c r="G167" t="inlineStr">
        <is>
          <t>yohimbine</t>
        </is>
      </c>
      <c r="H167" t="inlineStr">
        <is>
          <t>Yohimbine</t>
        </is>
      </c>
      <c r="R167" t="inlineStr">
        <is>
          <t>Pass 27 compound-layer alignment</t>
        </is>
      </c>
      <c r="V167" t="inlineStr">
        <is>
          <t>Pass 44 normalization</t>
        </is>
      </c>
      <c r="W167" t="inlineStr">
        <is>
          <t>Pass 45 duplicate consolidation alignment</t>
        </is>
      </c>
    </row>
    <row r="168">
      <c r="A168" t="inlineStr">
        <is>
          <t>polygonum-cuspidatum</t>
        </is>
      </c>
      <c r="B168" t="inlineStr">
        <is>
          <t>Polygonum cuspidatum</t>
        </is>
      </c>
      <c r="C168" t="inlineStr">
        <is>
          <t>Resveratrol</t>
        </is>
      </c>
      <c r="D168" t="inlineStr">
        <is>
          <t>resveratrol</t>
        </is>
      </c>
      <c r="E168" t="inlineStr">
        <is>
          <t>Polyphenol</t>
        </is>
      </c>
      <c r="G168" t="inlineStr">
        <is>
          <t>resveratrol</t>
        </is>
      </c>
      <c r="H168" t="inlineStr">
        <is>
          <t>Resveratrol</t>
        </is>
      </c>
      <c r="R168" t="inlineStr">
        <is>
          <t>Pass 27 compound-layer alignment</t>
        </is>
      </c>
      <c r="V168" t="inlineStr">
        <is>
          <t>Pass 44 normalization</t>
        </is>
      </c>
      <c r="W168" t="inlineStr">
        <is>
          <t>Pass 45 duplicate consolidation alignment</t>
        </is>
      </c>
    </row>
    <row r="169">
      <c r="A169" t="inlineStr">
        <is>
          <t>green-tea</t>
        </is>
      </c>
      <c r="B169" t="inlineStr">
        <is>
          <t>Green Tea</t>
        </is>
      </c>
      <c r="C169" t="inlineStr">
        <is>
          <t>Quercetin</t>
        </is>
      </c>
      <c r="D169" t="inlineStr">
        <is>
          <t>quercetin</t>
        </is>
      </c>
      <c r="G169" t="inlineStr">
        <is>
          <t>quercetin</t>
        </is>
      </c>
      <c r="H169" t="inlineStr">
        <is>
          <t>Quercetin</t>
        </is>
      </c>
      <c r="Q169" t="inlineStr">
        <is>
          <t>Pass 13 normalized herb name to monograph common name</t>
        </is>
      </c>
      <c r="R169" t="inlineStr">
        <is>
          <t>Pass 27 compound-layer alignment</t>
        </is>
      </c>
      <c r="V169" t="inlineStr">
        <is>
          <t>Pass 44 normalization</t>
        </is>
      </c>
      <c r="W169" t="inlineStr">
        <is>
          <t>Pass 45 duplicate consolidation alignment</t>
        </is>
      </c>
    </row>
    <row r="170">
      <c r="A170" t="inlineStr">
        <is>
          <t>ginkgo-biloba</t>
        </is>
      </c>
      <c r="B170" t="inlineStr">
        <is>
          <t>Ginkgo Biloba</t>
        </is>
      </c>
      <c r="C170" t="inlineStr">
        <is>
          <t>Quercetin</t>
        </is>
      </c>
      <c r="D170" t="inlineStr">
        <is>
          <t>quercetin</t>
        </is>
      </c>
      <c r="G170" t="inlineStr">
        <is>
          <t>quercetin</t>
        </is>
      </c>
      <c r="H170" t="inlineStr">
        <is>
          <t>Quercetin</t>
        </is>
      </c>
      <c r="Q170" t="inlineStr">
        <is>
          <t>Pass 13 normalized herb name to monograph common name</t>
        </is>
      </c>
      <c r="R170" t="inlineStr">
        <is>
          <t>Pass 27 compound-layer alignment</t>
        </is>
      </c>
      <c r="V170" t="inlineStr">
        <is>
          <t>Pass 44 normalization</t>
        </is>
      </c>
      <c r="W170" t="inlineStr">
        <is>
          <t>Pass 45 duplicate consolidation alignment</t>
        </is>
      </c>
    </row>
    <row r="171">
      <c r="A171" t="inlineStr">
        <is>
          <t>hypericum perforatum</t>
        </is>
      </c>
      <c r="B171" t="inlineStr">
        <is>
          <t>Hypericum perforatum</t>
        </is>
      </c>
      <c r="C171" t="inlineStr">
        <is>
          <t>Quercetin</t>
        </is>
      </c>
      <c r="D171" t="inlineStr">
        <is>
          <t>quercetin</t>
        </is>
      </c>
      <c r="G171" t="inlineStr">
        <is>
          <t>quercetin</t>
        </is>
      </c>
      <c r="H171" t="inlineStr">
        <is>
          <t>Quercetin</t>
        </is>
      </c>
      <c r="R171" t="inlineStr">
        <is>
          <t>Pass 27 compound-layer alignment</t>
        </is>
      </c>
      <c r="V171" t="inlineStr">
        <is>
          <t>Pass 44 normalization</t>
        </is>
      </c>
      <c r="W171" t="inlineStr">
        <is>
          <t>Pass 45 duplicate consolidation alignment</t>
        </is>
      </c>
    </row>
    <row r="172">
      <c r="A172" t="inlineStr">
        <is>
          <t>petroselinum crispum</t>
        </is>
      </c>
      <c r="B172" t="inlineStr">
        <is>
          <t>Petroselinum crispum</t>
        </is>
      </c>
      <c r="C172" t="inlineStr">
        <is>
          <t>Apigenin</t>
        </is>
      </c>
      <c r="D172" t="inlineStr">
        <is>
          <t>apigenin</t>
        </is>
      </c>
      <c r="G172" t="inlineStr">
        <is>
          <t>apigenin</t>
        </is>
      </c>
      <c r="H172" t="inlineStr">
        <is>
          <t>Apigenin</t>
        </is>
      </c>
      <c r="R172" t="inlineStr">
        <is>
          <t>Pass 27 compound-layer alignment</t>
        </is>
      </c>
      <c r="V172" t="inlineStr">
        <is>
          <t>Pass 44 normalization</t>
        </is>
      </c>
      <c r="W172" t="inlineStr">
        <is>
          <t>Pass 45 duplicate consolidation alignment</t>
        </is>
      </c>
    </row>
    <row r="173">
      <c r="A173" t="inlineStr">
        <is>
          <t>vitis vinifera</t>
        </is>
      </c>
      <c r="B173" t="inlineStr">
        <is>
          <t>Vitis vinifera</t>
        </is>
      </c>
      <c r="C173" t="inlineStr">
        <is>
          <t>Resveratrol</t>
        </is>
      </c>
      <c r="D173" t="inlineStr">
        <is>
          <t>resveratrol</t>
        </is>
      </c>
      <c r="G173" t="inlineStr">
        <is>
          <t>resveratrol</t>
        </is>
      </c>
      <c r="H173" t="inlineStr">
        <is>
          <t>Resveratrol</t>
        </is>
      </c>
      <c r="R173" t="inlineStr">
        <is>
          <t>Pass 27 compound-layer alignment</t>
        </is>
      </c>
      <c r="V173" t="inlineStr">
        <is>
          <t>Pass 44 normalization</t>
        </is>
      </c>
      <c r="W173" t="inlineStr">
        <is>
          <t>Pass 45 duplicate consolidation alignment</t>
        </is>
      </c>
    </row>
    <row r="174">
      <c r="A174" t="inlineStr">
        <is>
          <t>ilex paraguariensis</t>
        </is>
      </c>
      <c r="B174" t="inlineStr">
        <is>
          <t>Ilex paraguariensis</t>
        </is>
      </c>
      <c r="C174" t="inlineStr">
        <is>
          <t>Caffeine</t>
        </is>
      </c>
      <c r="D174" t="inlineStr">
        <is>
          <t>caffeine</t>
        </is>
      </c>
      <c r="G174" t="inlineStr">
        <is>
          <t>caffeine</t>
        </is>
      </c>
      <c r="H174" t="inlineStr">
        <is>
          <t>Caffeine</t>
        </is>
      </c>
      <c r="R174" t="inlineStr">
        <is>
          <t>Pass 27 compound-layer alignment</t>
        </is>
      </c>
      <c r="V174" t="inlineStr">
        <is>
          <t>Pass 44 normalization</t>
        </is>
      </c>
      <c r="W174" t="inlineStr">
        <is>
          <t>Pass 45 duplicate consolidation alignment</t>
        </is>
      </c>
    </row>
    <row r="175">
      <c r="A175" t="inlineStr">
        <is>
          <t>rosmarinus-officinalis</t>
        </is>
      </c>
      <c r="B175" t="inlineStr">
        <is>
          <t>Rosmarinus officinalis</t>
        </is>
      </c>
      <c r="C175" t="inlineStr">
        <is>
          <t>Rosmarinic acid</t>
        </is>
      </c>
      <c r="D175" t="inlineStr">
        <is>
          <t>rosmarinic acid</t>
        </is>
      </c>
      <c r="E175" t="inlineStr">
        <is>
          <t>Polyphenol</t>
        </is>
      </c>
      <c r="G175" t="inlineStr">
        <is>
          <t>rosmarinic-acid</t>
        </is>
      </c>
      <c r="H175" t="inlineStr">
        <is>
          <t>Rosmarinic acid</t>
        </is>
      </c>
      <c r="R175" t="inlineStr">
        <is>
          <t>Pass 27 compound-layer alignment</t>
        </is>
      </c>
      <c r="V175" t="inlineStr">
        <is>
          <t>Pass 44 normalization</t>
        </is>
      </c>
      <c r="W175" t="inlineStr">
        <is>
          <t>Pass 45 duplicate consolidation alignment</t>
        </is>
      </c>
    </row>
    <row r="176">
      <c r="A176" t="inlineStr">
        <is>
          <t>chinese-skullcap</t>
        </is>
      </c>
      <c r="B176" t="inlineStr">
        <is>
          <t>Chinese Skullcap</t>
        </is>
      </c>
      <c r="C176" t="inlineStr">
        <is>
          <t>Baicalin</t>
        </is>
      </c>
      <c r="D176" t="inlineStr">
        <is>
          <t>baicalin</t>
        </is>
      </c>
      <c r="E176" t="inlineStr">
        <is>
          <t>Flavonoid</t>
        </is>
      </c>
      <c r="G176" t="inlineStr">
        <is>
          <t>baicalin</t>
        </is>
      </c>
      <c r="H176" t="inlineStr">
        <is>
          <t>Baicalin</t>
        </is>
      </c>
      <c r="Q176" t="inlineStr">
        <is>
          <t>Pass 13 normalized herb name to monograph common name</t>
        </is>
      </c>
      <c r="R176" t="inlineStr">
        <is>
          <t>Pass 27 compound-layer alignment</t>
        </is>
      </c>
      <c r="V176" t="inlineStr">
        <is>
          <t>Pass 44 normalization</t>
        </is>
      </c>
      <c r="W176" t="inlineStr">
        <is>
          <t>Pass 45 duplicate consolidation alignment</t>
        </is>
      </c>
    </row>
    <row r="177">
      <c r="A177" t="inlineStr">
        <is>
          <t>zingiber-officinale</t>
        </is>
      </c>
      <c r="B177" t="inlineStr">
        <is>
          <t>Zingiber officinale</t>
        </is>
      </c>
      <c r="C177" t="inlineStr">
        <is>
          <t>6-Gingerol</t>
        </is>
      </c>
      <c r="D177" t="inlineStr">
        <is>
          <t>6 gingerol</t>
        </is>
      </c>
      <c r="E177" t="inlineStr">
        <is>
          <t>Phenolic</t>
        </is>
      </c>
      <c r="G177" t="inlineStr">
        <is>
          <t>6-gingerol</t>
        </is>
      </c>
      <c r="H177" t="inlineStr">
        <is>
          <t>6-Gingerol</t>
        </is>
      </c>
      <c r="R177" t="inlineStr">
        <is>
          <t>Pass 27 compound-layer alignment</t>
        </is>
      </c>
      <c r="V177" t="inlineStr">
        <is>
          <t>Pass 44 normalization</t>
        </is>
      </c>
      <c r="W177" t="inlineStr">
        <is>
          <t>Pass 45 duplicate consolidation alignment</t>
        </is>
      </c>
    </row>
    <row r="178">
      <c r="A178" t="inlineStr">
        <is>
          <t>chinese-skullcap</t>
        </is>
      </c>
      <c r="B178" t="inlineStr">
        <is>
          <t>Chinese Skullcap</t>
        </is>
      </c>
      <c r="C178" t="inlineStr">
        <is>
          <t>Baicalein</t>
        </is>
      </c>
      <c r="D178" t="inlineStr">
        <is>
          <t>baicalein</t>
        </is>
      </c>
      <c r="E178" t="inlineStr">
        <is>
          <t>Flavonoid</t>
        </is>
      </c>
      <c r="G178" t="inlineStr">
        <is>
          <t>baicalein</t>
        </is>
      </c>
      <c r="H178" t="inlineStr">
        <is>
          <t>Baicalein</t>
        </is>
      </c>
      <c r="Q178" t="inlineStr">
        <is>
          <t>Pass 13 normalized herb name to monograph common name</t>
        </is>
      </c>
      <c r="R178" t="inlineStr">
        <is>
          <t>Pass 27 compound-layer alignment</t>
        </is>
      </c>
      <c r="V178" t="inlineStr">
        <is>
          <t>Pass 44 normalization</t>
        </is>
      </c>
      <c r="W178" t="inlineStr">
        <is>
          <t>Pass 45 duplicate consolidation alignment</t>
        </is>
      </c>
    </row>
    <row r="179">
      <c r="A179" t="inlineStr">
        <is>
          <t>rosmarinus-officinalis</t>
        </is>
      </c>
      <c r="B179" t="inlineStr">
        <is>
          <t>Rosmarinus officinalis</t>
        </is>
      </c>
      <c r="C179" t="inlineStr">
        <is>
          <t>Carnosic acid</t>
        </is>
      </c>
      <c r="D179" t="inlineStr">
        <is>
          <t>carnosic acid</t>
        </is>
      </c>
      <c r="E179" t="inlineStr">
        <is>
          <t>Polyphenol</t>
        </is>
      </c>
      <c r="G179" t="inlineStr">
        <is>
          <t>carnosic-acid</t>
        </is>
      </c>
      <c r="H179" t="inlineStr">
        <is>
          <t>Carnosic acid</t>
        </is>
      </c>
      <c r="R179" t="inlineStr">
        <is>
          <t>Pass 27 compound-layer alignment</t>
        </is>
      </c>
      <c r="V179" t="inlineStr">
        <is>
          <t>Pass 44 normalization</t>
        </is>
      </c>
      <c r="W179" t="inlineStr">
        <is>
          <t>Pass 45 duplicate consolidation alignment</t>
        </is>
      </c>
    </row>
    <row r="180">
      <c r="A180" t="inlineStr">
        <is>
          <t>rosmarinus-officinalis</t>
        </is>
      </c>
      <c r="B180" t="inlineStr">
        <is>
          <t>Rosmarinus officinalis</t>
        </is>
      </c>
      <c r="C180" t="inlineStr">
        <is>
          <t>Carnosol</t>
        </is>
      </c>
      <c r="D180" t="inlineStr">
        <is>
          <t>carnosol</t>
        </is>
      </c>
      <c r="E180" t="inlineStr">
        <is>
          <t>Polyphenol</t>
        </is>
      </c>
      <c r="G180" t="inlineStr">
        <is>
          <t>carnosol</t>
        </is>
      </c>
      <c r="H180" t="inlineStr">
        <is>
          <t>Carnosol</t>
        </is>
      </c>
      <c r="R180" t="inlineStr">
        <is>
          <t>Pass 27 compound-layer alignment</t>
        </is>
      </c>
      <c r="V180" t="inlineStr">
        <is>
          <t>Pass 44 normalization</t>
        </is>
      </c>
      <c r="W180" t="inlineStr">
        <is>
          <t>Pass 45 duplicate consolidation alignment</t>
        </is>
      </c>
    </row>
    <row r="181">
      <c r="A181" t="inlineStr">
        <is>
          <t>zingiber-officinale</t>
        </is>
      </c>
      <c r="B181" t="inlineStr">
        <is>
          <t>Zingiber officinale</t>
        </is>
      </c>
      <c r="C181" t="inlineStr">
        <is>
          <t>6-Shogaol</t>
        </is>
      </c>
      <c r="D181" t="inlineStr">
        <is>
          <t>6 shogaol</t>
        </is>
      </c>
      <c r="E181" t="inlineStr">
        <is>
          <t>Phenolic</t>
        </is>
      </c>
      <c r="G181" t="inlineStr">
        <is>
          <t>6-shogaol</t>
        </is>
      </c>
      <c r="H181" t="inlineStr">
        <is>
          <t>6-Shogaol</t>
        </is>
      </c>
      <c r="R181" t="inlineStr">
        <is>
          <t>Pass 27 compound-layer alignment</t>
        </is>
      </c>
      <c r="V181" t="inlineStr">
        <is>
          <t>Pass 44 normalization</t>
        </is>
      </c>
      <c r="W181" t="inlineStr">
        <is>
          <t>Pass 45 duplicate consolidation alignment</t>
        </is>
      </c>
    </row>
    <row r="182">
      <c r="A182" t="inlineStr">
        <is>
          <t>panax-ginseng</t>
        </is>
      </c>
      <c r="B182" t="inlineStr">
        <is>
          <t>Panax Ginseng</t>
        </is>
      </c>
      <c r="C182" t="inlineStr">
        <is>
          <t>Ginsenoside Rg3</t>
        </is>
      </c>
      <c r="D182" t="inlineStr">
        <is>
          <t>ginsenoside rg3</t>
        </is>
      </c>
      <c r="E182" t="inlineStr">
        <is>
          <t>Saponin</t>
        </is>
      </c>
      <c r="G182" t="inlineStr">
        <is>
          <t>ginsenoside-rg3</t>
        </is>
      </c>
      <c r="H182" t="inlineStr">
        <is>
          <t>Ginsenoside Rg3</t>
        </is>
      </c>
      <c r="Q182" t="inlineStr">
        <is>
          <t>Pass 13 normalized herb name to monograph common name</t>
        </is>
      </c>
      <c r="R182" t="inlineStr">
        <is>
          <t>Pass 27 compound-layer alignment</t>
        </is>
      </c>
      <c r="V182" t="inlineStr">
        <is>
          <t>Pass 44 normalization</t>
        </is>
      </c>
      <c r="W182" t="inlineStr">
        <is>
          <t>Pass 45 duplicate consolidation alignment</t>
        </is>
      </c>
    </row>
    <row r="183">
      <c r="A183" t="inlineStr">
        <is>
          <t>ginkgo-biloba</t>
        </is>
      </c>
      <c r="B183" t="inlineStr">
        <is>
          <t>Ginkgo Biloba</t>
        </is>
      </c>
      <c r="C183" t="inlineStr">
        <is>
          <t>Kaempferol</t>
        </is>
      </c>
      <c r="D183" t="inlineStr">
        <is>
          <t>kaempferol</t>
        </is>
      </c>
      <c r="E183" t="inlineStr">
        <is>
          <t>Flavonoid</t>
        </is>
      </c>
      <c r="G183" t="inlineStr">
        <is>
          <t>kaempferol</t>
        </is>
      </c>
      <c r="H183" t="inlineStr">
        <is>
          <t>Kaempferol</t>
        </is>
      </c>
      <c r="R183" t="inlineStr">
        <is>
          <t>Pass 27 compound-layer alignment</t>
        </is>
      </c>
      <c r="V183" t="inlineStr">
        <is>
          <t>Pass 44 normalization</t>
        </is>
      </c>
      <c r="W183" t="inlineStr">
        <is>
          <t>Pass 45 duplicate consolidation alignment</t>
        </is>
      </c>
    </row>
    <row r="184">
      <c r="A184" t="inlineStr">
        <is>
          <t>ginkgo-biloba</t>
        </is>
      </c>
      <c r="B184" t="inlineStr">
        <is>
          <t>Ginkgo Biloba</t>
        </is>
      </c>
      <c r="C184" t="inlineStr">
        <is>
          <t>Isorhamnetin</t>
        </is>
      </c>
      <c r="D184" t="inlineStr">
        <is>
          <t>isorhamnetin</t>
        </is>
      </c>
      <c r="E184" t="inlineStr">
        <is>
          <t>Flavonoid</t>
        </is>
      </c>
      <c r="G184" t="inlineStr">
        <is>
          <t>isorhamnetin</t>
        </is>
      </c>
      <c r="H184" t="inlineStr">
        <is>
          <t>Isorhamnetin</t>
        </is>
      </c>
      <c r="R184" t="inlineStr">
        <is>
          <t>Pass 27 compound-layer alignment</t>
        </is>
      </c>
      <c r="V184" t="inlineStr">
        <is>
          <t>Pass 44 normalization</t>
        </is>
      </c>
      <c r="W184" t="inlineStr">
        <is>
          <t>Pass 45 duplicate consolidation alignment</t>
        </is>
      </c>
    </row>
    <row r="185">
      <c r="A185" t="inlineStr">
        <is>
          <t>panax-ginseng</t>
        </is>
      </c>
      <c r="B185" t="inlineStr">
        <is>
          <t>Panax Ginseng</t>
        </is>
      </c>
      <c r="C185" t="inlineStr">
        <is>
          <t>Ginsenoside Re</t>
        </is>
      </c>
      <c r="D185" t="inlineStr">
        <is>
          <t>ginsenoside re</t>
        </is>
      </c>
      <c r="E185" t="inlineStr">
        <is>
          <t>Saponin</t>
        </is>
      </c>
      <c r="G185" t="inlineStr">
        <is>
          <t>ginsenoside-re</t>
        </is>
      </c>
      <c r="H185" t="inlineStr">
        <is>
          <t>Ginsenoside Re</t>
        </is>
      </c>
      <c r="R185" t="inlineStr">
        <is>
          <t>Pass 27 compound-layer alignment</t>
        </is>
      </c>
      <c r="V185" t="inlineStr">
        <is>
          <t>Pass 44 normalization</t>
        </is>
      </c>
      <c r="W185" t="inlineStr">
        <is>
          <t>Pass 45 duplicate consolidation alignment</t>
        </is>
      </c>
    </row>
    <row r="186">
      <c r="A186" t="inlineStr">
        <is>
          <t>panax-ginseng</t>
        </is>
      </c>
      <c r="B186" t="inlineStr">
        <is>
          <t>Panax Ginseng</t>
        </is>
      </c>
      <c r="C186" t="inlineStr">
        <is>
          <t>Ginsenoside Rd</t>
        </is>
      </c>
      <c r="D186" t="inlineStr">
        <is>
          <t>ginsenoside rd</t>
        </is>
      </c>
      <c r="E186" t="inlineStr">
        <is>
          <t>Saponin</t>
        </is>
      </c>
      <c r="G186" t="inlineStr">
        <is>
          <t>ginsenoside-rd</t>
        </is>
      </c>
      <c r="H186" t="inlineStr">
        <is>
          <t>Ginsenoside Rd</t>
        </is>
      </c>
      <c r="R186" t="inlineStr">
        <is>
          <t>Pass 27 compound-layer alignment</t>
        </is>
      </c>
      <c r="V186" t="inlineStr">
        <is>
          <t>Pass 44 normalization</t>
        </is>
      </c>
      <c r="W186" t="inlineStr">
        <is>
          <t>Pass 45 duplicate consolidation alignment</t>
        </is>
      </c>
    </row>
    <row r="187">
      <c r="A187" t="inlineStr">
        <is>
          <t>panax-ginseng</t>
        </is>
      </c>
      <c r="B187" t="inlineStr">
        <is>
          <t>Panax Ginseng</t>
        </is>
      </c>
      <c r="C187" t="inlineStr">
        <is>
          <t>Ginsenoside Rf</t>
        </is>
      </c>
      <c r="D187" t="inlineStr">
        <is>
          <t>ginsenoside rf</t>
        </is>
      </c>
      <c r="E187" t="inlineStr">
        <is>
          <t>Saponin</t>
        </is>
      </c>
      <c r="G187" t="inlineStr">
        <is>
          <t>ginsenoside-rf</t>
        </is>
      </c>
      <c r="H187" t="inlineStr">
        <is>
          <t>Ginsenoside Rf</t>
        </is>
      </c>
      <c r="I187" t="inlineStr">
        <is>
          <t>pass13-real-sweep</t>
        </is>
      </c>
      <c r="J187" t="inlineStr">
        <is>
          <t>direct</t>
        </is>
      </c>
      <c r="K187" t="inlineStr">
        <is>
          <t>master-linked</t>
        </is>
      </c>
      <c r="L187" t="inlineStr">
        <is>
          <t>Pass13</t>
        </is>
      </c>
      <c r="M187" t="inlineStr">
        <is>
          <t>Yes</t>
        </is>
      </c>
      <c r="N187" t="inlineStr">
        <is>
          <t>stress-response modulation; cognitive modulation</t>
        </is>
      </c>
      <c r="O187" t="inlineStr">
        <is>
          <t>stress-response modulation; cognitive modulation</t>
        </is>
      </c>
      <c r="Q187" t="inlineStr">
        <is>
          <t>Added in Pass 13 real top-herb sweep.</t>
        </is>
      </c>
      <c r="R187" t="inlineStr">
        <is>
          <t>Pass 27 compound-layer alignment</t>
        </is>
      </c>
      <c r="V187" t="inlineStr">
        <is>
          <t>Pass 44 normalization</t>
        </is>
      </c>
      <c r="W187" t="inlineStr">
        <is>
          <t>Pass 45 duplicate consolidation alignment</t>
        </is>
      </c>
    </row>
    <row r="188">
      <c r="A188" t="inlineStr">
        <is>
          <t>scutellaria-baicalensis</t>
        </is>
      </c>
      <c r="B188" t="inlineStr">
        <is>
          <t>Chinese Skullcap</t>
        </is>
      </c>
      <c r="C188" t="inlineStr">
        <is>
          <t>wogonin</t>
        </is>
      </c>
      <c r="D188" t="inlineStr">
        <is>
          <t>wogonin</t>
        </is>
      </c>
      <c r="E188" t="inlineStr">
        <is>
          <t>Flavonoid</t>
        </is>
      </c>
      <c r="G188" t="inlineStr">
        <is>
          <t>wogonin</t>
        </is>
      </c>
      <c r="H188" t="inlineStr">
        <is>
          <t>wogonin</t>
        </is>
      </c>
      <c r="I188" t="inlineStr">
        <is>
          <t>pass13-real-sweep</t>
        </is>
      </c>
      <c r="J188" t="inlineStr">
        <is>
          <t>direct</t>
        </is>
      </c>
      <c r="K188" t="inlineStr">
        <is>
          <t>master-linked</t>
        </is>
      </c>
      <c r="L188" t="inlineStr">
        <is>
          <t>Pass13</t>
        </is>
      </c>
      <c r="M188" t="inlineStr">
        <is>
          <t>Yes</t>
        </is>
      </c>
      <c r="N188" t="inlineStr">
        <is>
          <t>NF-kB inhibition; neuroprotective signaling</t>
        </is>
      </c>
      <c r="O188" t="inlineStr">
        <is>
          <t>NF-kB inhibition; neuroprotective signaling</t>
        </is>
      </c>
      <c r="Q188" t="inlineStr">
        <is>
          <t>Added in Pass 13 real top-herb sweep.</t>
        </is>
      </c>
      <c r="R188" t="inlineStr">
        <is>
          <t>Pass 27 compound-layer alignment</t>
        </is>
      </c>
      <c r="V188" t="inlineStr">
        <is>
          <t>Pass 44 normalization</t>
        </is>
      </c>
      <c r="W188" t="inlineStr">
        <is>
          <t>Pass 45 duplicate consolidation alignment</t>
        </is>
      </c>
    </row>
    <row r="189">
      <c r="A189" t="inlineStr">
        <is>
          <t>scutellaria-baicalensis</t>
        </is>
      </c>
      <c r="B189" t="inlineStr">
        <is>
          <t>Chinese Skullcap</t>
        </is>
      </c>
      <c r="C189" t="inlineStr">
        <is>
          <t>Wogonoside</t>
        </is>
      </c>
      <c r="D189" t="inlineStr">
        <is>
          <t>wogonoside</t>
        </is>
      </c>
      <c r="E189" t="inlineStr">
        <is>
          <t>Flavonoid</t>
        </is>
      </c>
      <c r="G189" t="inlineStr">
        <is>
          <t>wogonoside</t>
        </is>
      </c>
      <c r="H189" t="inlineStr">
        <is>
          <t>Wogonoside</t>
        </is>
      </c>
      <c r="I189" t="inlineStr">
        <is>
          <t>pass13-real-sweep</t>
        </is>
      </c>
      <c r="J189" t="inlineStr">
        <is>
          <t>direct</t>
        </is>
      </c>
      <c r="K189" t="inlineStr">
        <is>
          <t>master-linked</t>
        </is>
      </c>
      <c r="L189" t="inlineStr">
        <is>
          <t>Pass13</t>
        </is>
      </c>
      <c r="M189" t="inlineStr">
        <is>
          <t>Yes</t>
        </is>
      </c>
      <c r="N189" t="inlineStr">
        <is>
          <t>NF-kB inhibition</t>
        </is>
      </c>
      <c r="O189" t="inlineStr">
        <is>
          <t>NF-kB inhibition</t>
        </is>
      </c>
      <c r="Q189" t="inlineStr">
        <is>
          <t>Added in Pass 13 real top-herb sweep.</t>
        </is>
      </c>
      <c r="R189" t="inlineStr">
        <is>
          <t>Pass 27 compound-layer alignment</t>
        </is>
      </c>
      <c r="V189" t="inlineStr">
        <is>
          <t>Pass 44 normalization</t>
        </is>
      </c>
      <c r="W189" t="inlineStr">
        <is>
          <t>Pass 45 duplicate consolidation alignment</t>
        </is>
      </c>
    </row>
    <row r="190">
      <c r="A190" t="inlineStr">
        <is>
          <t>chamomile</t>
        </is>
      </c>
      <c r="B190" t="inlineStr">
        <is>
          <t>Chamomile</t>
        </is>
      </c>
      <c r="C190" t="inlineStr">
        <is>
          <t>alpha-bisabolol</t>
        </is>
      </c>
      <c r="D190" t="inlineStr">
        <is>
          <t>alpha bisabolol</t>
        </is>
      </c>
      <c r="E190" t="inlineStr">
        <is>
          <t>Terpenoid</t>
        </is>
      </c>
      <c r="G190" t="inlineStr">
        <is>
          <t>alpha-bisabolol</t>
        </is>
      </c>
      <c r="H190" t="inlineStr">
        <is>
          <t>alpha-bisabolol</t>
        </is>
      </c>
      <c r="I190" t="inlineStr">
        <is>
          <t>pass13-real-sweep</t>
        </is>
      </c>
      <c r="J190" t="inlineStr">
        <is>
          <t>direct</t>
        </is>
      </c>
      <c r="K190" t="inlineStr">
        <is>
          <t>master-linked</t>
        </is>
      </c>
      <c r="L190" t="inlineStr">
        <is>
          <t>Pass13</t>
        </is>
      </c>
      <c r="M190" t="inlineStr">
        <is>
          <t>Yes</t>
        </is>
      </c>
      <c r="N190" t="inlineStr">
        <is>
          <t>anti-inflammatory signaling; calming CNS signaling</t>
        </is>
      </c>
      <c r="O190" t="inlineStr">
        <is>
          <t>anti-inflammatory signaling; calming CNS signaling</t>
        </is>
      </c>
      <c r="Q190" t="inlineStr">
        <is>
          <t>Added in Pass 13 real top-herb sweep.</t>
        </is>
      </c>
      <c r="R190" t="inlineStr">
        <is>
          <t>Pass 27 compound-layer alignment</t>
        </is>
      </c>
      <c r="V190" t="inlineStr">
        <is>
          <t>Pass 44 normalization</t>
        </is>
      </c>
      <c r="W190" t="inlineStr">
        <is>
          <t>Pass 45 duplicate consolidation alignment</t>
        </is>
      </c>
    </row>
    <row r="191">
      <c r="A191" t="inlineStr">
        <is>
          <t>chamomile</t>
        </is>
      </c>
      <c r="B191" t="inlineStr">
        <is>
          <t>Chamomile</t>
        </is>
      </c>
      <c r="C191" t="inlineStr">
        <is>
          <t>chamazulene</t>
        </is>
      </c>
      <c r="D191" t="inlineStr">
        <is>
          <t>chamazulene</t>
        </is>
      </c>
      <c r="E191" t="inlineStr">
        <is>
          <t>Terpenoid</t>
        </is>
      </c>
      <c r="G191" t="inlineStr">
        <is>
          <t>chamazulene</t>
        </is>
      </c>
      <c r="H191" t="inlineStr">
        <is>
          <t>chamazulene</t>
        </is>
      </c>
      <c r="I191" t="inlineStr">
        <is>
          <t>pass13-real-sweep</t>
        </is>
      </c>
      <c r="J191" t="inlineStr">
        <is>
          <t>direct</t>
        </is>
      </c>
      <c r="K191" t="inlineStr">
        <is>
          <t>master-linked</t>
        </is>
      </c>
      <c r="L191" t="inlineStr">
        <is>
          <t>Pass13</t>
        </is>
      </c>
      <c r="M191" t="inlineStr">
        <is>
          <t>Yes</t>
        </is>
      </c>
      <c r="N191" t="inlineStr">
        <is>
          <t>anti-inflammatory signaling</t>
        </is>
      </c>
      <c r="O191" t="inlineStr">
        <is>
          <t>anti-inflammatory signaling</t>
        </is>
      </c>
      <c r="Q191" t="inlineStr">
        <is>
          <t>Added in Pass 13 real top-herb sweep.</t>
        </is>
      </c>
      <c r="R191" t="inlineStr">
        <is>
          <t>Pass 27 compound-layer alignment</t>
        </is>
      </c>
      <c r="V191" t="inlineStr">
        <is>
          <t>Pass 44 normalization</t>
        </is>
      </c>
      <c r="W191" t="inlineStr">
        <is>
          <t>Pass 45 duplicate consolidation alignment</t>
        </is>
      </c>
    </row>
    <row r="192">
      <c r="A192" t="inlineStr">
        <is>
          <t>epimedium</t>
        </is>
      </c>
      <c r="B192" t="inlineStr">
        <is>
          <t>Epimedium</t>
        </is>
      </c>
      <c r="C192" t="inlineStr">
        <is>
          <t>Epimedin A</t>
        </is>
      </c>
      <c r="D192" t="inlineStr">
        <is>
          <t>epimedin a</t>
        </is>
      </c>
      <c r="E192" t="inlineStr">
        <is>
          <t>Flavonoid</t>
        </is>
      </c>
      <c r="G192" t="inlineStr">
        <is>
          <t>epimedin-a</t>
        </is>
      </c>
      <c r="H192" t="inlineStr">
        <is>
          <t>Epimedin A</t>
        </is>
      </c>
      <c r="I192" t="inlineStr">
        <is>
          <t>pass13-real-sweep</t>
        </is>
      </c>
      <c r="J192" t="inlineStr">
        <is>
          <t>direct</t>
        </is>
      </c>
      <c r="K192" t="inlineStr">
        <is>
          <t>master-linked</t>
        </is>
      </c>
      <c r="L192" t="inlineStr">
        <is>
          <t>Pass13</t>
        </is>
      </c>
      <c r="M192" t="inlineStr">
        <is>
          <t>Yes</t>
        </is>
      </c>
      <c r="N192" t="inlineStr">
        <is>
          <t>nitric oxide signaling</t>
        </is>
      </c>
      <c r="O192" t="inlineStr">
        <is>
          <t>nitric oxide signaling</t>
        </is>
      </c>
      <c r="Q192" t="inlineStr">
        <is>
          <t>Added in Pass 13 real top-herb sweep.</t>
        </is>
      </c>
      <c r="R192" t="inlineStr">
        <is>
          <t>Pass 27 compound-layer alignment</t>
        </is>
      </c>
      <c r="V192" t="inlineStr">
        <is>
          <t>Pass 44 normalization</t>
        </is>
      </c>
      <c r="W192" t="inlineStr">
        <is>
          <t>Pass 45 duplicate consolidation alignment</t>
        </is>
      </c>
    </row>
    <row r="193">
      <c r="A193" t="inlineStr">
        <is>
          <t>epimedium</t>
        </is>
      </c>
      <c r="B193" t="inlineStr">
        <is>
          <t>Epimedium</t>
        </is>
      </c>
      <c r="C193" t="inlineStr">
        <is>
          <t>Epimedin B</t>
        </is>
      </c>
      <c r="D193" t="inlineStr">
        <is>
          <t>epimedin b</t>
        </is>
      </c>
      <c r="E193" t="inlineStr">
        <is>
          <t>Flavonoid</t>
        </is>
      </c>
      <c r="G193" t="inlineStr">
        <is>
          <t>epimedin-b</t>
        </is>
      </c>
      <c r="H193" t="inlineStr">
        <is>
          <t>Epimedin B</t>
        </is>
      </c>
      <c r="I193" t="inlineStr">
        <is>
          <t>pass13-real-sweep</t>
        </is>
      </c>
      <c r="J193" t="inlineStr">
        <is>
          <t>direct</t>
        </is>
      </c>
      <c r="K193" t="inlineStr">
        <is>
          <t>master-linked</t>
        </is>
      </c>
      <c r="L193" t="inlineStr">
        <is>
          <t>Pass13</t>
        </is>
      </c>
      <c r="M193" t="inlineStr">
        <is>
          <t>Yes</t>
        </is>
      </c>
      <c r="N193" t="inlineStr">
        <is>
          <t>nitric oxide signaling</t>
        </is>
      </c>
      <c r="O193" t="inlineStr">
        <is>
          <t>nitric oxide signaling</t>
        </is>
      </c>
      <c r="Q193" t="inlineStr">
        <is>
          <t>Added in Pass 13 real top-herb sweep.</t>
        </is>
      </c>
      <c r="R193" t="inlineStr">
        <is>
          <t>Pass 27 compound-layer alignment</t>
        </is>
      </c>
      <c r="V193" t="inlineStr">
        <is>
          <t>Pass 44 normalization</t>
        </is>
      </c>
      <c r="W193" t="inlineStr">
        <is>
          <t>Pass 45 duplicate consolidation alignment</t>
        </is>
      </c>
    </row>
    <row r="194">
      <c r="A194" t="inlineStr">
        <is>
          <t>epimedium</t>
        </is>
      </c>
      <c r="B194" t="inlineStr">
        <is>
          <t>Epimedium</t>
        </is>
      </c>
      <c r="C194" t="inlineStr">
        <is>
          <t>Epimedin C</t>
        </is>
      </c>
      <c r="D194" t="inlineStr">
        <is>
          <t>epimedin c</t>
        </is>
      </c>
      <c r="E194" t="inlineStr">
        <is>
          <t>Flavonoid</t>
        </is>
      </c>
      <c r="G194" t="inlineStr">
        <is>
          <t>epimedin-c</t>
        </is>
      </c>
      <c r="H194" t="inlineStr">
        <is>
          <t>Epimedin C</t>
        </is>
      </c>
      <c r="I194" t="inlineStr">
        <is>
          <t>pass13-real-sweep</t>
        </is>
      </c>
      <c r="J194" t="inlineStr">
        <is>
          <t>direct</t>
        </is>
      </c>
      <c r="K194" t="inlineStr">
        <is>
          <t>master-linked</t>
        </is>
      </c>
      <c r="L194" t="inlineStr">
        <is>
          <t>Pass13</t>
        </is>
      </c>
      <c r="M194" t="inlineStr">
        <is>
          <t>Yes</t>
        </is>
      </c>
      <c r="N194" t="inlineStr">
        <is>
          <t>nitric oxide signaling</t>
        </is>
      </c>
      <c r="O194" t="inlineStr">
        <is>
          <t>nitric oxide signaling</t>
        </is>
      </c>
      <c r="Q194" t="inlineStr">
        <is>
          <t>Added in Pass 13 real top-herb sweep.</t>
        </is>
      </c>
      <c r="R194" t="inlineStr">
        <is>
          <t>Pass 27 compound-layer alignment</t>
        </is>
      </c>
      <c r="V194" t="inlineStr">
        <is>
          <t>Pass 44 normalization</t>
        </is>
      </c>
      <c r="W194" t="inlineStr">
        <is>
          <t>Pass 45 duplicate consolidation alignment</t>
        </is>
      </c>
    </row>
    <row r="195">
      <c r="A195" t="inlineStr">
        <is>
          <t>camellia-sinensis</t>
        </is>
      </c>
      <c r="B195" t="inlineStr">
        <is>
          <t>Green Tea</t>
        </is>
      </c>
      <c r="C195" t="inlineStr">
        <is>
          <t>EGCG</t>
        </is>
      </c>
      <c r="D195" t="inlineStr">
        <is>
          <t>egcg</t>
        </is>
      </c>
      <c r="E195" t="inlineStr">
        <is>
          <t>Polyphenol</t>
        </is>
      </c>
      <c r="G195" t="inlineStr">
        <is>
          <t>egcg</t>
        </is>
      </c>
      <c r="H195" t="inlineStr">
        <is>
          <t>EGCG</t>
        </is>
      </c>
      <c r="I195" t="inlineStr">
        <is>
          <t>pass13-real-sweep</t>
        </is>
      </c>
      <c r="J195" t="inlineStr">
        <is>
          <t>direct</t>
        </is>
      </c>
      <c r="K195" t="inlineStr">
        <is>
          <t>master-linked</t>
        </is>
      </c>
      <c r="L195" t="inlineStr">
        <is>
          <t>Pass13</t>
        </is>
      </c>
      <c r="M195" t="inlineStr">
        <is>
          <t>Yes</t>
        </is>
      </c>
      <c r="N195" t="inlineStr">
        <is>
          <t>oxidative stress reduction; AMPK activation</t>
        </is>
      </c>
      <c r="O195" t="inlineStr">
        <is>
          <t>oxidative stress reduction; AMPK activation</t>
        </is>
      </c>
      <c r="Q195" t="inlineStr">
        <is>
          <t>Added in Pass 13 real top-herb sweep.</t>
        </is>
      </c>
      <c r="R195" t="inlineStr">
        <is>
          <t>Pass 27 compound-layer alignment</t>
        </is>
      </c>
      <c r="V195" t="inlineStr">
        <is>
          <t>Pass 44 normalization</t>
        </is>
      </c>
      <c r="W195" t="inlineStr">
        <is>
          <t>Pass 45 duplicate consolidation alignment</t>
        </is>
      </c>
    </row>
    <row r="196">
      <c r="A196" t="inlineStr">
        <is>
          <t>camellia-sinensis</t>
        </is>
      </c>
      <c r="B196" t="inlineStr">
        <is>
          <t>Green Tea</t>
        </is>
      </c>
      <c r="C196" t="inlineStr">
        <is>
          <t>ECG</t>
        </is>
      </c>
      <c r="D196" t="inlineStr">
        <is>
          <t>ecg</t>
        </is>
      </c>
      <c r="E196" t="inlineStr">
        <is>
          <t>Polyphenol</t>
        </is>
      </c>
      <c r="G196" t="inlineStr">
        <is>
          <t>ecg</t>
        </is>
      </c>
      <c r="H196" t="inlineStr">
        <is>
          <t>ECG</t>
        </is>
      </c>
      <c r="I196" t="inlineStr">
        <is>
          <t>pass13-real-sweep</t>
        </is>
      </c>
      <c r="J196" t="inlineStr">
        <is>
          <t>direct</t>
        </is>
      </c>
      <c r="K196" t="inlineStr">
        <is>
          <t>master-linked</t>
        </is>
      </c>
      <c r="L196" t="inlineStr">
        <is>
          <t>Pass13</t>
        </is>
      </c>
      <c r="M196" t="inlineStr">
        <is>
          <t>Yes</t>
        </is>
      </c>
      <c r="N196" t="inlineStr">
        <is>
          <t>oxidative stress reduction</t>
        </is>
      </c>
      <c r="O196" t="inlineStr">
        <is>
          <t>oxidative stress reduction</t>
        </is>
      </c>
      <c r="Q196" t="inlineStr">
        <is>
          <t>Added in Pass 13 real top-herb sweep.</t>
        </is>
      </c>
      <c r="R196" t="inlineStr">
        <is>
          <t>Pass 27 compound-layer alignment</t>
        </is>
      </c>
      <c r="V196" t="inlineStr">
        <is>
          <t>Pass 44 normalization</t>
        </is>
      </c>
      <c r="W196" t="inlineStr">
        <is>
          <t>Pass 45 duplicate consolidation alignment</t>
        </is>
      </c>
    </row>
    <row r="197">
      <c r="A197" t="inlineStr">
        <is>
          <t>camellia-sinensis</t>
        </is>
      </c>
      <c r="B197" t="inlineStr">
        <is>
          <t>Green Tea</t>
        </is>
      </c>
      <c r="C197" t="inlineStr">
        <is>
          <t>Catechin</t>
        </is>
      </c>
      <c r="D197" t="inlineStr">
        <is>
          <t>catechin</t>
        </is>
      </c>
      <c r="E197" t="inlineStr">
        <is>
          <t>Polyphenol</t>
        </is>
      </c>
      <c r="G197" t="inlineStr">
        <is>
          <t>catechin</t>
        </is>
      </c>
      <c r="H197" t="inlineStr">
        <is>
          <t>Catechin</t>
        </is>
      </c>
      <c r="I197" t="inlineStr">
        <is>
          <t>pass13-real-sweep</t>
        </is>
      </c>
      <c r="J197" t="inlineStr">
        <is>
          <t>direct</t>
        </is>
      </c>
      <c r="K197" t="inlineStr">
        <is>
          <t>master-linked</t>
        </is>
      </c>
      <c r="L197" t="inlineStr">
        <is>
          <t>Pass13</t>
        </is>
      </c>
      <c r="M197" t="inlineStr">
        <is>
          <t>Yes</t>
        </is>
      </c>
      <c r="N197" t="inlineStr">
        <is>
          <t>oxidative stress reduction</t>
        </is>
      </c>
      <c r="O197" t="inlineStr">
        <is>
          <t>oxidative stress reduction</t>
        </is>
      </c>
      <c r="Q197" t="inlineStr">
        <is>
          <t>Added in Pass 13 real top-herb sweep.</t>
        </is>
      </c>
      <c r="R197" t="inlineStr">
        <is>
          <t>Pass 27 compound-layer alignment</t>
        </is>
      </c>
      <c r="V197" t="inlineStr">
        <is>
          <t>Pass 44 normalization</t>
        </is>
      </c>
      <c r="W197" t="inlineStr">
        <is>
          <t>Pass 45 duplicate consolidation alignment</t>
        </is>
      </c>
    </row>
    <row r="198">
      <c r="A198" t="inlineStr">
        <is>
          <t>black-pepper</t>
        </is>
      </c>
      <c r="B198" t="inlineStr">
        <is>
          <t>Black Pepper</t>
        </is>
      </c>
      <c r="C198" t="inlineStr">
        <is>
          <t>Chavicine</t>
        </is>
      </c>
      <c r="D198" t="inlineStr">
        <is>
          <t>chavicine</t>
        </is>
      </c>
      <c r="E198" t="inlineStr">
        <is>
          <t>Alkaloid</t>
        </is>
      </c>
      <c r="G198" t="inlineStr">
        <is>
          <t>chavicine</t>
        </is>
      </c>
      <c r="H198" t="inlineStr">
        <is>
          <t>Chavicine</t>
        </is>
      </c>
      <c r="I198" t="inlineStr">
        <is>
          <t>pass13-real-sweep</t>
        </is>
      </c>
      <c r="J198" t="inlineStr">
        <is>
          <t>direct</t>
        </is>
      </c>
      <c r="K198" t="inlineStr">
        <is>
          <t>master-linked</t>
        </is>
      </c>
      <c r="L198" t="inlineStr">
        <is>
          <t>Pass13</t>
        </is>
      </c>
      <c r="M198" t="inlineStr">
        <is>
          <t>Yes</t>
        </is>
      </c>
      <c r="N198" t="inlineStr">
        <is>
          <t>bioavailability modulation</t>
        </is>
      </c>
      <c r="O198" t="inlineStr">
        <is>
          <t>bioavailability modulation</t>
        </is>
      </c>
      <c r="Q198" t="inlineStr">
        <is>
          <t>Added in Pass 13 real top-herb sweep.</t>
        </is>
      </c>
      <c r="R198" t="inlineStr">
        <is>
          <t>Pass 27 compound-layer alignment</t>
        </is>
      </c>
      <c r="V198" t="inlineStr">
        <is>
          <t>Pass 44 normalization</t>
        </is>
      </c>
      <c r="W198" t="inlineStr">
        <is>
          <t>Pass 45 duplicate consolidation alignment</t>
        </is>
      </c>
    </row>
    <row r="199">
      <c r="A199" t="inlineStr">
        <is>
          <t>blue-lotus</t>
        </is>
      </c>
      <c r="B199" t="inlineStr">
        <is>
          <t>Blue Lotus</t>
        </is>
      </c>
      <c r="C199" t="inlineStr">
        <is>
          <t>nuciferine</t>
        </is>
      </c>
      <c r="D199" t="inlineStr">
        <is>
          <t>nuciferine</t>
        </is>
      </c>
      <c r="E199" t="inlineStr">
        <is>
          <t>Alkaloid</t>
        </is>
      </c>
      <c r="G199" t="inlineStr">
        <is>
          <t>nuciferine</t>
        </is>
      </c>
      <c r="H199" t="inlineStr">
        <is>
          <t>nuciferine</t>
        </is>
      </c>
      <c r="I199" t="inlineStr">
        <is>
          <t>pass13-real-sweep</t>
        </is>
      </c>
      <c r="J199" t="inlineStr">
        <is>
          <t>direct</t>
        </is>
      </c>
      <c r="K199" t="inlineStr">
        <is>
          <t>master-linked</t>
        </is>
      </c>
      <c r="L199" t="inlineStr">
        <is>
          <t>Pass13</t>
        </is>
      </c>
      <c r="M199" t="inlineStr">
        <is>
          <t>Yes</t>
        </is>
      </c>
      <c r="N199" t="inlineStr">
        <is>
          <t>dopamine signaling; calming CNS signaling</t>
        </is>
      </c>
      <c r="O199" t="inlineStr">
        <is>
          <t>dopamine signaling; calming CNS signaling</t>
        </is>
      </c>
      <c r="Q199" t="inlineStr">
        <is>
          <t>Added in Pass 13 real top-herb sweep.</t>
        </is>
      </c>
      <c r="R199" t="inlineStr">
        <is>
          <t>Pass 27 compound-layer alignment</t>
        </is>
      </c>
      <c r="V199" t="inlineStr">
        <is>
          <t>Pass 44 normalization</t>
        </is>
      </c>
      <c r="W199" t="inlineStr">
        <is>
          <t>Pass 45 duplicate consolidation alignment</t>
        </is>
      </c>
    </row>
    <row r="200">
      <c r="A200" t="inlineStr">
        <is>
          <t>blue-lotus</t>
        </is>
      </c>
      <c r="B200" t="inlineStr">
        <is>
          <t>Blue Lotus</t>
        </is>
      </c>
      <c r="C200" t="inlineStr">
        <is>
          <t>apomorphine</t>
        </is>
      </c>
      <c r="D200" t="inlineStr">
        <is>
          <t>apomorphine</t>
        </is>
      </c>
      <c r="E200" t="inlineStr">
        <is>
          <t>Alkaloid</t>
        </is>
      </c>
      <c r="G200" t="inlineStr">
        <is>
          <t>apomorphine</t>
        </is>
      </c>
      <c r="H200" t="inlineStr">
        <is>
          <t>apomorphine</t>
        </is>
      </c>
      <c r="I200" t="inlineStr">
        <is>
          <t>pass13-real-sweep</t>
        </is>
      </c>
      <c r="J200" t="inlineStr">
        <is>
          <t>direct</t>
        </is>
      </c>
      <c r="K200" t="inlineStr">
        <is>
          <t>master-linked</t>
        </is>
      </c>
      <c r="L200" t="inlineStr">
        <is>
          <t>Pass13</t>
        </is>
      </c>
      <c r="M200" t="inlineStr">
        <is>
          <t>Yes</t>
        </is>
      </c>
      <c r="N200" t="inlineStr">
        <is>
          <t>dopamine signaling</t>
        </is>
      </c>
      <c r="O200" t="inlineStr">
        <is>
          <t>dopamine signaling</t>
        </is>
      </c>
      <c r="Q200" t="inlineStr">
        <is>
          <t>Added in Pass 13 real top-herb sweep.</t>
        </is>
      </c>
      <c r="R200" t="inlineStr">
        <is>
          <t>Pass 27 compound-layer alignment</t>
        </is>
      </c>
      <c r="V200" t="inlineStr">
        <is>
          <t>Pass 44 normalization</t>
        </is>
      </c>
      <c r="W200" t="inlineStr">
        <is>
          <t>Pass 45 duplicate consolidation alignment</t>
        </is>
      </c>
    </row>
    <row r="201">
      <c r="A201" t="inlineStr">
        <is>
          <t>black-cohosh</t>
        </is>
      </c>
      <c r="B201" t="inlineStr">
        <is>
          <t>Black Cohosh</t>
        </is>
      </c>
      <c r="C201" t="inlineStr">
        <is>
          <t>Cimicifugoside</t>
        </is>
      </c>
      <c r="D201" t="inlineStr">
        <is>
          <t>cimicifugoside</t>
        </is>
      </c>
      <c r="E201" t="inlineStr">
        <is>
          <t>Triterpene glycoside</t>
        </is>
      </c>
      <c r="G201" t="inlineStr">
        <is>
          <t>cimicifugoside</t>
        </is>
      </c>
      <c r="H201" t="inlineStr">
        <is>
          <t>Cimicifugoside</t>
        </is>
      </c>
      <c r="I201" t="inlineStr">
        <is>
          <t>pass13-real-sweep</t>
        </is>
      </c>
      <c r="J201" t="inlineStr">
        <is>
          <t>direct</t>
        </is>
      </c>
      <c r="K201" t="inlineStr">
        <is>
          <t>master-linked</t>
        </is>
      </c>
      <c r="L201" t="inlineStr">
        <is>
          <t>Pass13</t>
        </is>
      </c>
      <c r="M201" t="inlineStr">
        <is>
          <t>Yes</t>
        </is>
      </c>
      <c r="N201" t="inlineStr">
        <is>
          <t>serotonergic signaling; anti-inflammatory signaling</t>
        </is>
      </c>
      <c r="O201" t="inlineStr">
        <is>
          <t>serotonergic signaling; anti-inflammatory signaling</t>
        </is>
      </c>
      <c r="Q201" t="inlineStr">
        <is>
          <t>Added in Pass 13 real top-herb sweep.</t>
        </is>
      </c>
      <c r="R201" t="inlineStr">
        <is>
          <t>Pass 27 compound-layer alignment</t>
        </is>
      </c>
      <c r="V201" t="inlineStr">
        <is>
          <t>Pass 44 normalization</t>
        </is>
      </c>
      <c r="W201" t="inlineStr">
        <is>
          <t>Pass 45 duplicate consolidation alignment</t>
        </is>
      </c>
    </row>
    <row r="202">
      <c r="A202" t="inlineStr">
        <is>
          <t>black-cohosh</t>
        </is>
      </c>
      <c r="B202" t="inlineStr">
        <is>
          <t>Black Cohosh</t>
        </is>
      </c>
      <c r="C202" t="inlineStr">
        <is>
          <t>Isoferulic acid</t>
        </is>
      </c>
      <c r="D202" t="inlineStr">
        <is>
          <t>isoferulic acid</t>
        </is>
      </c>
      <c r="E202" t="inlineStr">
        <is>
          <t>Phenolic acid</t>
        </is>
      </c>
      <c r="G202" t="inlineStr">
        <is>
          <t>isoferulic-acid</t>
        </is>
      </c>
      <c r="H202" t="inlineStr">
        <is>
          <t>Isoferulic acid</t>
        </is>
      </c>
      <c r="I202" t="inlineStr">
        <is>
          <t>pass13-real-sweep</t>
        </is>
      </c>
      <c r="J202" t="inlineStr">
        <is>
          <t>direct</t>
        </is>
      </c>
      <c r="K202" t="inlineStr">
        <is>
          <t>master-linked</t>
        </is>
      </c>
      <c r="L202" t="inlineStr">
        <is>
          <t>Pass13</t>
        </is>
      </c>
      <c r="M202" t="inlineStr">
        <is>
          <t>Yes</t>
        </is>
      </c>
      <c r="N202" t="inlineStr">
        <is>
          <t>oxidative stress reduction; anti-inflammatory signaling</t>
        </is>
      </c>
      <c r="O202" t="inlineStr">
        <is>
          <t>oxidative stress reduction; anti-inflammatory signaling</t>
        </is>
      </c>
      <c r="Q202" t="inlineStr">
        <is>
          <t>Added in Pass 13 real top-herb sweep.</t>
        </is>
      </c>
      <c r="R202" t="inlineStr">
        <is>
          <t>Pass 27 compound-layer alignment</t>
        </is>
      </c>
      <c r="V202" t="inlineStr">
        <is>
          <t>Pass 44 normalization</t>
        </is>
      </c>
      <c r="W202" t="inlineStr">
        <is>
          <t>Pass 45 duplicate consolidation alignment</t>
        </is>
      </c>
    </row>
    <row r="203">
      <c r="A203" t="inlineStr">
        <is>
          <t>arjuna</t>
        </is>
      </c>
      <c r="B203" t="inlineStr">
        <is>
          <t>Arjuna</t>
        </is>
      </c>
      <c r="C203" t="inlineStr">
        <is>
          <t>Arjunic acid</t>
        </is>
      </c>
      <c r="D203" t="inlineStr">
        <is>
          <t>arjunic acid</t>
        </is>
      </c>
      <c r="E203" t="inlineStr">
        <is>
          <t>Triterpenoid</t>
        </is>
      </c>
      <c r="G203" t="inlineStr">
        <is>
          <t>arjunic-acid</t>
        </is>
      </c>
      <c r="H203" t="inlineStr">
        <is>
          <t>Arjunic acid</t>
        </is>
      </c>
      <c r="I203" t="inlineStr">
        <is>
          <t>pass13-real-sweep</t>
        </is>
      </c>
      <c r="J203" t="inlineStr">
        <is>
          <t>direct</t>
        </is>
      </c>
      <c r="K203" t="inlineStr">
        <is>
          <t>master-linked</t>
        </is>
      </c>
      <c r="L203" t="inlineStr">
        <is>
          <t>Pass13</t>
        </is>
      </c>
      <c r="M203" t="inlineStr">
        <is>
          <t>Yes</t>
        </is>
      </c>
      <c r="N203" t="inlineStr">
        <is>
          <t>cardiovascular signaling</t>
        </is>
      </c>
      <c r="O203" t="inlineStr">
        <is>
          <t>cardiovascular signaling</t>
        </is>
      </c>
      <c r="Q203" t="inlineStr">
        <is>
          <t>Added in Pass 13 real top-herb sweep.</t>
        </is>
      </c>
      <c r="R203" t="inlineStr">
        <is>
          <t>Pass 27 compound-layer alignment</t>
        </is>
      </c>
      <c r="V203" t="inlineStr">
        <is>
          <t>Pass 44 normalization</t>
        </is>
      </c>
      <c r="W203" t="inlineStr">
        <is>
          <t>Pass 45 duplicate consolidation alignment</t>
        </is>
      </c>
    </row>
    <row r="204">
      <c r="A204" t="inlineStr">
        <is>
          <t>ajwain</t>
        </is>
      </c>
      <c r="B204" t="inlineStr">
        <is>
          <t>Ajwain</t>
        </is>
      </c>
      <c r="C204" t="inlineStr">
        <is>
          <t>carvacrol</t>
        </is>
      </c>
      <c r="D204" t="inlineStr">
        <is>
          <t>carvacrol</t>
        </is>
      </c>
      <c r="E204" t="inlineStr">
        <is>
          <t>Monoterpene</t>
        </is>
      </c>
      <c r="G204" t="inlineStr">
        <is>
          <t>carvacrol</t>
        </is>
      </c>
      <c r="H204" t="inlineStr">
        <is>
          <t>carvacrol</t>
        </is>
      </c>
      <c r="I204" t="inlineStr">
        <is>
          <t>pass13-real-sweep</t>
        </is>
      </c>
      <c r="J204" t="inlineStr">
        <is>
          <t>direct</t>
        </is>
      </c>
      <c r="K204" t="inlineStr">
        <is>
          <t>master-linked</t>
        </is>
      </c>
      <c r="L204" t="inlineStr">
        <is>
          <t>Pass13</t>
        </is>
      </c>
      <c r="M204" t="inlineStr">
        <is>
          <t>Yes</t>
        </is>
      </c>
      <c r="N204" t="inlineStr">
        <is>
          <t>gastrointestinal modulation; antimicrobial signaling</t>
        </is>
      </c>
      <c r="O204" t="inlineStr">
        <is>
          <t>gastrointestinal modulation; antimicrobial signaling</t>
        </is>
      </c>
      <c r="Q204" t="inlineStr">
        <is>
          <t>Added in Pass 13 real top-herb sweep.</t>
        </is>
      </c>
      <c r="R204" t="inlineStr">
        <is>
          <t>Pass 27 compound-layer alignment</t>
        </is>
      </c>
      <c r="V204" t="inlineStr">
        <is>
          <t>Pass 44 normalization</t>
        </is>
      </c>
      <c r="W204" t="inlineStr">
        <is>
          <t>Pass 45 duplicate consolidation alignment</t>
        </is>
      </c>
    </row>
    <row r="205">
      <c r="A205" t="inlineStr">
        <is>
          <t>Ginkgo Biloba</t>
        </is>
      </c>
      <c r="B205" t="inlineStr">
        <is>
          <t>Ginkgolide A</t>
        </is>
      </c>
      <c r="W205" t="inlineStr">
        <is>
          <t>Pass 45 duplicate consolidation alignment</t>
        </is>
      </c>
    </row>
    <row r="206">
      <c r="A206" t="inlineStr">
        <is>
          <t>Ginkgo Biloba</t>
        </is>
      </c>
      <c r="B206" t="inlineStr">
        <is>
          <t>Ginkgolide C</t>
        </is>
      </c>
      <c r="W206" t="inlineStr">
        <is>
          <t>Pass 45 duplicate consolidation alignment</t>
        </is>
      </c>
    </row>
    <row r="207">
      <c r="A207" t="inlineStr">
        <is>
          <t>Panax Ginseng</t>
        </is>
      </c>
      <c r="B207" t="inlineStr">
        <is>
          <t>Ginsenoside Rg1</t>
        </is>
      </c>
      <c r="W207" t="inlineStr">
        <is>
          <t>Pass 45 duplicate consolidation alignment</t>
        </is>
      </c>
    </row>
    <row r="208">
      <c r="A208" t="inlineStr">
        <is>
          <t>Panax Ginseng</t>
        </is>
      </c>
      <c r="B208" t="inlineStr">
        <is>
          <t>Rb1</t>
        </is>
      </c>
      <c r="W208" t="inlineStr">
        <is>
          <t>Pass 45 duplicate consolidation alignment</t>
        </is>
      </c>
    </row>
    <row r="209">
      <c r="A209" t="inlineStr">
        <is>
          <t>Panax Ginseng</t>
        </is>
      </c>
      <c r="B209" t="inlineStr">
        <is>
          <t>Re</t>
        </is>
      </c>
      <c r="W209" t="inlineStr">
        <is>
          <t>Pass 45 duplicate consolidation alignment</t>
        </is>
      </c>
    </row>
    <row r="210">
      <c r="A210" t="inlineStr">
        <is>
          <t>Panax Ginseng</t>
        </is>
      </c>
      <c r="B210" t="inlineStr">
        <is>
          <t>Rd</t>
        </is>
      </c>
      <c r="W210" t="inlineStr">
        <is>
          <t>Pass 45 duplicate consolidation alignment</t>
        </is>
      </c>
    </row>
    <row r="211">
      <c r="A211" t="inlineStr">
        <is>
          <t>Panax Ginseng</t>
        </is>
      </c>
      <c r="B211" t="inlineStr">
        <is>
          <t>Rf</t>
        </is>
      </c>
      <c r="W211" t="inlineStr">
        <is>
          <t>Pass 45 duplicate consolidation alignment</t>
        </is>
      </c>
    </row>
    <row r="212">
      <c r="A212" t="inlineStr">
        <is>
          <t>Green Tea</t>
        </is>
      </c>
      <c r="B212" t="inlineStr">
        <is>
          <t>Epicatechin</t>
        </is>
      </c>
      <c r="W212" t="inlineStr">
        <is>
          <t>Pass 45 duplicate consolidation alignment</t>
        </is>
      </c>
    </row>
    <row r="213">
      <c r="B213" t="inlineStr">
        <is>
          <t>Holy Basil</t>
        </is>
      </c>
      <c r="C213" t="inlineStr">
        <is>
          <t>Ursolic acid</t>
        </is>
      </c>
      <c r="D213" t="inlineStr">
        <is>
          <t>ursolic acid</t>
        </is>
      </c>
      <c r="G213" t="inlineStr">
        <is>
          <t>ursolic-acid</t>
        </is>
      </c>
      <c r="H213" t="inlineStr">
        <is>
          <t>Ursolic acid</t>
        </is>
      </c>
      <c r="T213" t="inlineStr">
        <is>
          <t>Pass 42 weak-category compound depth injection</t>
        </is>
      </c>
      <c r="V213" t="inlineStr">
        <is>
          <t>Pass 44 normalization</t>
        </is>
      </c>
      <c r="W213" t="inlineStr">
        <is>
          <t>Pass 45 duplicate consolidation alignment</t>
        </is>
      </c>
    </row>
    <row r="214">
      <c r="B214" t="inlineStr">
        <is>
          <t>Holy Basil</t>
        </is>
      </c>
      <c r="C214" t="inlineStr">
        <is>
          <t>Rosmarinic acid</t>
        </is>
      </c>
      <c r="D214" t="inlineStr">
        <is>
          <t>rosmarinic acid</t>
        </is>
      </c>
      <c r="G214" t="inlineStr">
        <is>
          <t>rosmarinic-acid</t>
        </is>
      </c>
      <c r="H214" t="inlineStr">
        <is>
          <t>Rosmarinic acid</t>
        </is>
      </c>
      <c r="T214" t="inlineStr">
        <is>
          <t>Pass 42 weak-category compound depth injection</t>
        </is>
      </c>
      <c r="V214" t="inlineStr">
        <is>
          <t>Pass 44 normalization</t>
        </is>
      </c>
      <c r="W214" t="inlineStr">
        <is>
          <t>Pass 45 duplicate consolidation alignment</t>
        </is>
      </c>
    </row>
    <row r="215">
      <c r="B215" t="inlineStr">
        <is>
          <t>Rhodiola</t>
        </is>
      </c>
      <c r="C215" t="inlineStr">
        <is>
          <t>Rosavin</t>
        </is>
      </c>
      <c r="D215" t="inlineStr">
        <is>
          <t>rosavin</t>
        </is>
      </c>
      <c r="G215" t="inlineStr">
        <is>
          <t>rosavin</t>
        </is>
      </c>
      <c r="H215" t="inlineStr">
        <is>
          <t>Rosavin</t>
        </is>
      </c>
      <c r="T215" t="inlineStr">
        <is>
          <t>Pass 42 weak-category compound depth injection</t>
        </is>
      </c>
      <c r="V215" t="inlineStr">
        <is>
          <t>Pass 44 normalization</t>
        </is>
      </c>
      <c r="W215" t="inlineStr">
        <is>
          <t>Pass 45 duplicate consolidation alignment</t>
        </is>
      </c>
    </row>
    <row r="216">
      <c r="B216" t="inlineStr">
        <is>
          <t>Rhodiola</t>
        </is>
      </c>
      <c r="C216" t="inlineStr">
        <is>
          <t>Rosarin</t>
        </is>
      </c>
      <c r="D216" t="inlineStr">
        <is>
          <t>rosarin</t>
        </is>
      </c>
      <c r="G216" t="inlineStr">
        <is>
          <t>rosarin</t>
        </is>
      </c>
      <c r="H216" t="inlineStr">
        <is>
          <t>Rosarin</t>
        </is>
      </c>
      <c r="T216" t="inlineStr">
        <is>
          <t>Pass 42 weak-category compound depth injection</t>
        </is>
      </c>
      <c r="V216" t="inlineStr">
        <is>
          <t>Pass 44 normalization</t>
        </is>
      </c>
      <c r="W216" t="inlineStr">
        <is>
          <t>Pass 45 duplicate consolidation alignment</t>
        </is>
      </c>
    </row>
    <row r="217">
      <c r="B217" t="inlineStr">
        <is>
          <t>Rhodiola</t>
        </is>
      </c>
      <c r="C217" t="inlineStr">
        <is>
          <t>Rosin</t>
        </is>
      </c>
      <c r="D217" t="inlineStr">
        <is>
          <t>rosin</t>
        </is>
      </c>
      <c r="G217" t="inlineStr">
        <is>
          <t>rosin</t>
        </is>
      </c>
      <c r="H217" t="inlineStr">
        <is>
          <t>Rosin</t>
        </is>
      </c>
      <c r="T217" t="inlineStr">
        <is>
          <t>Pass 42 weak-category compound depth injection</t>
        </is>
      </c>
      <c r="V217" t="inlineStr">
        <is>
          <t>Pass 44 normalization</t>
        </is>
      </c>
      <c r="W217" t="inlineStr">
        <is>
          <t>Pass 45 duplicate consolidation alignment</t>
        </is>
      </c>
    </row>
    <row r="218">
      <c r="B218" t="inlineStr">
        <is>
          <t>Rhodiola</t>
        </is>
      </c>
      <c r="C218" t="inlineStr">
        <is>
          <t>Tyrosol</t>
        </is>
      </c>
      <c r="D218" t="inlineStr">
        <is>
          <t>tyrosol</t>
        </is>
      </c>
      <c r="G218" t="inlineStr">
        <is>
          <t>tyrosol</t>
        </is>
      </c>
      <c r="H218" t="inlineStr">
        <is>
          <t>Tyrosol</t>
        </is>
      </c>
      <c r="T218" t="inlineStr">
        <is>
          <t>Pass 42 weak-category compound depth injection</t>
        </is>
      </c>
      <c r="V218" t="inlineStr">
        <is>
          <t>Pass 44 normalization</t>
        </is>
      </c>
      <c r="W218" t="inlineStr">
        <is>
          <t>Pass 45 duplicate consolidation alignment</t>
        </is>
      </c>
    </row>
    <row r="219">
      <c r="B219" t="inlineStr">
        <is>
          <t>Arjuna</t>
        </is>
      </c>
      <c r="C219" t="inlineStr">
        <is>
          <t>Arjungenin</t>
        </is>
      </c>
      <c r="D219" t="inlineStr">
        <is>
          <t>arjungenin</t>
        </is>
      </c>
      <c r="G219" t="inlineStr">
        <is>
          <t>arjungenin</t>
        </is>
      </c>
      <c r="H219" t="inlineStr">
        <is>
          <t>Arjungenin</t>
        </is>
      </c>
      <c r="T219" t="inlineStr">
        <is>
          <t>Pass 42 weak-category compound depth injection</t>
        </is>
      </c>
      <c r="V219" t="inlineStr">
        <is>
          <t>Pass 44 normalization</t>
        </is>
      </c>
      <c r="W219" t="inlineStr">
        <is>
          <t>Pass 45 duplicate consolidation alignment</t>
        </is>
      </c>
    </row>
    <row r="220">
      <c r="B220" t="inlineStr">
        <is>
          <t>Arjuna</t>
        </is>
      </c>
      <c r="C220" t="inlineStr">
        <is>
          <t>Arjunetin</t>
        </is>
      </c>
      <c r="D220" t="inlineStr">
        <is>
          <t>arjunetin</t>
        </is>
      </c>
      <c r="G220" t="inlineStr">
        <is>
          <t>arjunetin</t>
        </is>
      </c>
      <c r="H220" t="inlineStr">
        <is>
          <t>Arjunetin</t>
        </is>
      </c>
      <c r="T220" t="inlineStr">
        <is>
          <t>Pass 42 weak-category compound depth injection</t>
        </is>
      </c>
      <c r="V220" t="inlineStr">
        <is>
          <t>Pass 44 normalization</t>
        </is>
      </c>
      <c r="W220" t="inlineStr">
        <is>
          <t>Pass 45 duplicate consolidation alignment</t>
        </is>
      </c>
    </row>
    <row r="221">
      <c r="B221" t="inlineStr">
        <is>
          <t>Black Cohosh</t>
        </is>
      </c>
      <c r="C221" t="inlineStr">
        <is>
          <t>Actein</t>
        </is>
      </c>
      <c r="D221" t="inlineStr">
        <is>
          <t>actein</t>
        </is>
      </c>
      <c r="G221" t="inlineStr">
        <is>
          <t>actein</t>
        </is>
      </c>
      <c r="H221" t="inlineStr">
        <is>
          <t>Actein</t>
        </is>
      </c>
      <c r="T221" t="inlineStr">
        <is>
          <t>Pass 42 weak-category compound depth injection</t>
        </is>
      </c>
      <c r="V221" t="inlineStr">
        <is>
          <t>Pass 44 normalization</t>
        </is>
      </c>
      <c r="W221" t="inlineStr">
        <is>
          <t>Pass 45 duplicate consolidation alignment</t>
        </is>
      </c>
    </row>
    <row r="222">
      <c r="B222" t="inlineStr">
        <is>
          <t>Black Cohosh</t>
        </is>
      </c>
      <c r="C222" t="inlineStr">
        <is>
          <t>23-epi-26-deoxyactein</t>
        </is>
      </c>
      <c r="D222" t="inlineStr">
        <is>
          <t>23 epi 26 deoxyactein</t>
        </is>
      </c>
      <c r="G222" t="inlineStr">
        <is>
          <t>23-epi-26-deoxyactein</t>
        </is>
      </c>
      <c r="H222" t="inlineStr">
        <is>
          <t>23-epi-26-deoxyactein</t>
        </is>
      </c>
      <c r="T222" t="inlineStr">
        <is>
          <t>Pass 42 weak-category compound depth injection</t>
        </is>
      </c>
      <c r="V222" t="inlineStr">
        <is>
          <t>Pass 44 normalization</t>
        </is>
      </c>
      <c r="W222" t="inlineStr">
        <is>
          <t>Pass 45 duplicate consolidation alignment</t>
        </is>
      </c>
    </row>
    <row r="223">
      <c r="B223" t="inlineStr">
        <is>
          <t>Black Cohosh</t>
        </is>
      </c>
      <c r="C223" t="inlineStr">
        <is>
          <t>Fukinolic acid</t>
        </is>
      </c>
      <c r="D223" t="inlineStr">
        <is>
          <t>fukinolic acid</t>
        </is>
      </c>
      <c r="G223" t="inlineStr">
        <is>
          <t>fukinolic-acid</t>
        </is>
      </c>
      <c r="H223" t="inlineStr">
        <is>
          <t>Fukinolic acid</t>
        </is>
      </c>
      <c r="T223" t="inlineStr">
        <is>
          <t>Pass 42 weak-category compound depth injection</t>
        </is>
      </c>
      <c r="V223" t="inlineStr">
        <is>
          <t>Pass 44 normalization</t>
        </is>
      </c>
      <c r="W223" t="inlineStr">
        <is>
          <t>Pass 45 duplicate consolidation alignment</t>
        </is>
      </c>
    </row>
    <row r="224">
      <c r="B224" t="inlineStr">
        <is>
          <t>Ashwagandha</t>
        </is>
      </c>
      <c r="C224" t="inlineStr">
        <is>
          <t>Withanoside IV</t>
        </is>
      </c>
      <c r="D224" t="inlineStr">
        <is>
          <t>withanoside iv</t>
        </is>
      </c>
      <c r="G224" t="inlineStr">
        <is>
          <t>withanoside-iv</t>
        </is>
      </c>
      <c r="H224" t="inlineStr">
        <is>
          <t>Withanoside IV</t>
        </is>
      </c>
      <c r="T224" t="inlineStr">
        <is>
          <t>Pass 42 weak-category compound depth injection</t>
        </is>
      </c>
      <c r="V224" t="inlineStr">
        <is>
          <t>Pass 44 normalization</t>
        </is>
      </c>
      <c r="W224" t="inlineStr">
        <is>
          <t>Pass 45 duplicate consolidation alignment</t>
        </is>
      </c>
    </row>
    <row r="225">
      <c r="B225" t="inlineStr">
        <is>
          <t>Ashwagandha</t>
        </is>
      </c>
      <c r="C225" t="inlineStr">
        <is>
          <t>Withanoside V</t>
        </is>
      </c>
      <c r="D225" t="inlineStr">
        <is>
          <t>withanoside v</t>
        </is>
      </c>
      <c r="G225" t="inlineStr">
        <is>
          <t>withanoside-v</t>
        </is>
      </c>
      <c r="H225" t="inlineStr">
        <is>
          <t>Withanoside V</t>
        </is>
      </c>
      <c r="T225" t="inlineStr">
        <is>
          <t>Pass 42 weak-category compound depth injection</t>
        </is>
      </c>
      <c r="V225" t="inlineStr">
        <is>
          <t>Pass 44 normalization</t>
        </is>
      </c>
      <c r="W225" t="inlineStr">
        <is>
          <t>Pass 45 duplicate consolidation alignment</t>
        </is>
      </c>
    </row>
    <row r="226">
      <c r="B226" t="inlineStr">
        <is>
          <t>Epimedium</t>
        </is>
      </c>
      <c r="D226" t="inlineStr">
        <is>
          <t>icaritin</t>
        </is>
      </c>
      <c r="G226" t="inlineStr">
        <is>
          <t>icaritin</t>
        </is>
      </c>
      <c r="H226" t="inlineStr">
        <is>
          <t>Icaritin</t>
        </is>
      </c>
      <c r="U226" t="inlineStr">
        <is>
          <t>Pass 43 reinforcement</t>
        </is>
      </c>
      <c r="V226" t="inlineStr">
        <is>
          <t>Pass 44 normalization</t>
        </is>
      </c>
      <c r="W226" t="inlineStr">
        <is>
          <t>Pass 45 duplicate consolidation alignment</t>
        </is>
      </c>
    </row>
    <row r="227">
      <c r="B227" t="inlineStr">
        <is>
          <t>Epimedium</t>
        </is>
      </c>
      <c r="D227" t="inlineStr">
        <is>
          <t>desmethylicaritin</t>
        </is>
      </c>
      <c r="G227" t="inlineStr">
        <is>
          <t>desmethylicaritin</t>
        </is>
      </c>
      <c r="H227" t="inlineStr">
        <is>
          <t>Desmethylicaritin</t>
        </is>
      </c>
      <c r="U227" t="inlineStr">
        <is>
          <t>Pass 43 reinforcement</t>
        </is>
      </c>
      <c r="V227" t="inlineStr">
        <is>
          <t>Pass 44 normalization</t>
        </is>
      </c>
      <c r="W227" t="inlineStr">
        <is>
          <t>Pass 45 duplicate consolidation alignment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174"/>
  <sheetViews>
    <sheetView workbookViewId="0">
      <selection activeCell="A1" sqref="A1"/>
    </sheetView>
  </sheetViews>
  <sheetFormatPr baseColWidth="8" defaultRowHeight="15"/>
  <cols>
    <col width="20" customWidth="1" min="1" max="1"/>
    <col width="20" customWidth="1" min="2" max="2"/>
    <col width="20" customWidth="1" min="3" max="3"/>
    <col width="25" customWidth="1" min="4" max="4"/>
    <col width="19" customWidth="1" min="5" max="5"/>
    <col width="23" customWidth="1" min="6" max="6"/>
    <col width="26" customWidth="1" min="7" max="7"/>
    <col width="17" customWidth="1" min="8" max="8"/>
    <col width="21" customWidth="1" min="9" max="9"/>
    <col width="28" customWidth="1" min="10" max="10"/>
    <col width="42" customWidth="1" min="11" max="11"/>
    <col width="42" customWidth="1" min="12" max="12"/>
    <col width="22" customWidth="1" min="13" max="13"/>
    <col width="37" customWidth="1" min="14" max="14"/>
    <col width="42" customWidth="1" min="15" max="15"/>
    <col width="22" customWidth="1" min="16" max="16"/>
    <col width="16" customWidth="1" min="17" max="17"/>
    <col width="13" customWidth="1" min="18" max="18"/>
    <col width="20" customWidth="1" min="19" max="19"/>
    <col width="18" customWidth="1" min="20" max="20"/>
    <col width="26" customWidth="1" min="21" max="21"/>
    <col width="25" customWidth="1" min="22" max="22"/>
    <col width="25" customWidth="1" min="23" max="23"/>
    <col width="19" customWidth="1" min="24" max="24"/>
    <col width="22" customWidth="1" min="25" max="25"/>
  </cols>
  <sheetData>
    <row r="1">
      <c r="A1" s="30" t="inlineStr">
        <is>
          <t>herbSlug</t>
        </is>
      </c>
      <c r="B1" s="30" t="inlineStr">
        <is>
          <t>herbName</t>
        </is>
      </c>
      <c r="C1" s="30" t="inlineStr">
        <is>
          <t>rawCompoundEntries</t>
        </is>
      </c>
      <c r="D1" s="30" t="inlineStr">
        <is>
          <t>normalizedAtomicEntries</t>
        </is>
      </c>
      <c r="E1" s="30" t="inlineStr">
        <is>
          <t>masterLinkedCount</t>
        </is>
      </c>
      <c r="F1" s="30" t="inlineStr">
        <is>
          <t>datasetSupportedCount</t>
        </is>
      </c>
      <c r="G1" s="30" t="inlineStr">
        <is>
          <t>provisionalCompoundCount</t>
        </is>
      </c>
      <c r="H1" s="30" t="inlineStr">
        <is>
          <t>broadClassCount</t>
        </is>
      </c>
      <c r="I1" s="30" t="inlineStr">
        <is>
          <t>resolvedCoveragePct</t>
        </is>
      </c>
      <c r="J1" s="30" t="inlineStr">
        <is>
          <t>citationStatus</t>
        </is>
      </c>
      <c r="K1" s="30" t="inlineStr">
        <is>
          <t>readinessFlag</t>
        </is>
      </c>
      <c r="L1" s="30" t="inlineStr">
        <is>
          <t>nextUpgradeAction</t>
        </is>
      </c>
      <c r="M1" s="30" t="inlineStr">
        <is>
          <t>provisionalCompounds</t>
        </is>
      </c>
      <c r="N1" s="30" t="inlineStr">
        <is>
          <t>broadClassTerms</t>
        </is>
      </c>
      <c r="O1" s="30" t="inlineStr">
        <is>
          <t>mappedCompoundsV3</t>
        </is>
      </c>
      <c r="P1" s="30" t="inlineStr">
        <is>
          <t>missing_fields_count</t>
        </is>
      </c>
      <c r="Q1" s="30" t="inlineStr">
        <is>
          <t>priority_score</t>
        </is>
      </c>
      <c r="R1" s="30" t="inlineStr">
        <is>
          <t>action_type</t>
        </is>
      </c>
      <c r="S1" s="30" t="inlineStr">
        <is>
          <t>normalized_key</t>
        </is>
      </c>
      <c r="T1" s="30" t="inlineStr">
        <is>
          <t>monograph_status</t>
        </is>
      </c>
      <c r="U1" s="30" t="inlineStr">
        <is>
          <t>monograph_strength_score</t>
        </is>
      </c>
      <c r="V1" s="30" t="inlineStr">
        <is>
          <t>monograph_priority_tier</t>
        </is>
      </c>
      <c r="W1" s="30" t="inlineStr">
        <is>
          <t>monograph_blocking_flag</t>
        </is>
      </c>
      <c r="X1" s="30" t="inlineStr">
        <is>
          <t>bundle_ready_flag</t>
        </is>
      </c>
      <c r="Y1" s="30" t="inlineStr">
        <is>
          <t>queue_alignment_flag</t>
        </is>
      </c>
    </row>
    <row r="2">
      <c r="A2" s="68" t="inlineStr">
        <is>
          <t>butterbur</t>
        </is>
      </c>
      <c r="B2" s="68" t="inlineStr">
        <is>
          <t>Butterbur</t>
        </is>
      </c>
      <c r="C2" s="68" t="n">
        <v>2</v>
      </c>
      <c r="D2" s="68" t="n">
        <v>2</v>
      </c>
      <c r="E2" s="68" t="n">
        <v>1</v>
      </c>
      <c r="F2" s="68" t="n">
        <v>0</v>
      </c>
      <c r="G2" s="68" t="n">
        <v>0</v>
      </c>
      <c r="H2" s="68" t="n">
        <v>0</v>
      </c>
      <c r="I2" s="68" t="n">
        <v>1</v>
      </c>
      <c r="J2" s="68" t="inlineStr">
        <is>
          <t>present</t>
        </is>
      </c>
      <c r="K2" s="68" t="inlineStr">
        <is>
          <t>Near ready</t>
        </is>
      </c>
      <c r="L2" s="68" t="inlineStr">
        <is>
          <t>Needs mechanism refinement</t>
        </is>
      </c>
      <c r="M2" s="68" t="n"/>
      <c r="N2" s="68" t="inlineStr">
        <is>
          <t>alkaloids; sitoindosides</t>
        </is>
      </c>
      <c r="O2" s="68" t="inlineStr">
        <is>
          <t>ferulic acid</t>
        </is>
      </c>
      <c r="P2" t="n">
        <v>1</v>
      </c>
      <c r="Q2" t="n">
        <v>67</v>
      </c>
      <c r="R2" t="inlineStr">
        <is>
          <t>upgrade</t>
        </is>
      </c>
      <c r="S2" t="inlineStr">
        <is>
          <t>butterbur</t>
        </is>
      </c>
      <c r="T2" t="inlineStr">
        <is>
          <t>partial</t>
        </is>
      </c>
      <c r="U2" t="n">
        <v>38</v>
      </c>
      <c r="V2" t="inlineStr">
        <is>
          <t>Tier 3</t>
        </is>
      </c>
      <c r="W2" t="inlineStr">
        <is>
          <t>FALSE</t>
        </is>
      </c>
      <c r="X2" t="inlineStr">
        <is>
          <t>TRUE</t>
        </is>
      </c>
      <c r="Y2" t="inlineStr">
        <is>
          <t>needs_work</t>
        </is>
      </c>
    </row>
    <row r="3">
      <c r="A3" s="68" t="inlineStr">
        <is>
          <t>acerola</t>
        </is>
      </c>
      <c r="B3" s="68" t="inlineStr">
        <is>
          <t>Acerola</t>
        </is>
      </c>
      <c r="C3" s="68" t="n">
        <v>2</v>
      </c>
      <c r="D3" s="68" t="n">
        <v>2</v>
      </c>
      <c r="E3" s="68" t="n">
        <v>1</v>
      </c>
      <c r="F3" s="68" t="n">
        <v>0</v>
      </c>
      <c r="G3" s="68" t="n">
        <v>0</v>
      </c>
      <c r="H3" s="68" t="n">
        <v>0</v>
      </c>
      <c r="I3" s="68" t="n">
        <v>1</v>
      </c>
      <c r="J3" s="68" t="inlineStr">
        <is>
          <t>present</t>
        </is>
      </c>
      <c r="K3" s="68" t="inlineStr">
        <is>
          <t>Near ready</t>
        </is>
      </c>
      <c r="L3" s="68" t="inlineStr">
        <is>
          <t>Backfill stronger citation and pathway detail before stronger recommendation use</t>
        </is>
      </c>
      <c r="M3" s="68" t="n"/>
      <c r="N3" s="68" t="inlineStr">
        <is>
          <t>flavonoids</t>
        </is>
      </c>
      <c r="O3" s="68" t="inlineStr">
        <is>
          <t>ascorbic acid</t>
        </is>
      </c>
      <c r="P3" t="n">
        <v>1</v>
      </c>
      <c r="Q3" t="n">
        <v>65</v>
      </c>
      <c r="R3" t="inlineStr">
        <is>
          <t>skip</t>
        </is>
      </c>
      <c r="S3" t="inlineStr">
        <is>
          <t>acerola</t>
        </is>
      </c>
      <c r="T3" t="inlineStr">
        <is>
          <t>partial</t>
        </is>
      </c>
      <c r="U3" t="n">
        <v>40</v>
      </c>
      <c r="V3" t="inlineStr">
        <is>
          <t>Tier 2</t>
        </is>
      </c>
      <c r="W3" t="inlineStr">
        <is>
          <t>FALSE</t>
        </is>
      </c>
      <c r="X3" t="inlineStr">
        <is>
          <t>TRUE</t>
        </is>
      </c>
      <c r="Y3" t="inlineStr">
        <is>
          <t>aligned</t>
        </is>
      </c>
    </row>
    <row r="4">
      <c r="A4" s="68" t="inlineStr">
        <is>
          <t>carob</t>
        </is>
      </c>
      <c r="B4" s="68" t="inlineStr">
        <is>
          <t>Carob</t>
        </is>
      </c>
      <c r="C4" s="68" t="n">
        <v>2</v>
      </c>
      <c r="D4" s="68" t="n">
        <v>2</v>
      </c>
      <c r="E4" s="68" t="n">
        <v>1</v>
      </c>
      <c r="F4" s="68" t="n">
        <v>0</v>
      </c>
      <c r="G4" s="68" t="n">
        <v>0</v>
      </c>
      <c r="H4" s="68" t="n">
        <v>0</v>
      </c>
      <c r="I4" s="68" t="n">
        <v>1</v>
      </c>
      <c r="J4" s="68" t="inlineStr">
        <is>
          <t>present</t>
        </is>
      </c>
      <c r="K4" s="68" t="inlineStr">
        <is>
          <t>Near ready</t>
        </is>
      </c>
      <c r="L4" s="68" t="inlineStr">
        <is>
          <t>Backfill stronger citation and pathway detail before stronger recommendation use</t>
        </is>
      </c>
      <c r="M4" s="68" t="n"/>
      <c r="N4" s="68" t="inlineStr">
        <is>
          <t>glucosinolates; macaenes; macamides</t>
        </is>
      </c>
      <c r="O4" s="68" t="inlineStr">
        <is>
          <t>D-pinitol</t>
        </is>
      </c>
      <c r="P4" t="n">
        <v>1</v>
      </c>
      <c r="Q4" t="n">
        <v>65</v>
      </c>
      <c r="R4" t="inlineStr">
        <is>
          <t>skip</t>
        </is>
      </c>
      <c r="S4" t="inlineStr">
        <is>
          <t>carob</t>
        </is>
      </c>
      <c r="T4" t="inlineStr">
        <is>
          <t>partial</t>
        </is>
      </c>
      <c r="U4" t="n">
        <v>40</v>
      </c>
      <c r="V4" t="inlineStr">
        <is>
          <t>Tier 2</t>
        </is>
      </c>
      <c r="W4" t="inlineStr">
        <is>
          <t>FALSE</t>
        </is>
      </c>
      <c r="X4" t="inlineStr">
        <is>
          <t>TRUE</t>
        </is>
      </c>
      <c r="Y4" t="inlineStr">
        <is>
          <t>aligned</t>
        </is>
      </c>
    </row>
    <row r="5">
      <c r="A5" s="68" t="inlineStr">
        <is>
          <t>luo-han-guo</t>
        </is>
      </c>
      <c r="B5" s="68" t="inlineStr">
        <is>
          <t>Luo Han Guo</t>
        </is>
      </c>
      <c r="C5" s="68" t="n">
        <v>2</v>
      </c>
      <c r="D5" s="68" t="n">
        <v>2</v>
      </c>
      <c r="E5" s="68" t="n">
        <v>1</v>
      </c>
      <c r="F5" s="68" t="n">
        <v>0</v>
      </c>
      <c r="G5" s="68" t="n">
        <v>0</v>
      </c>
      <c r="H5" s="68" t="n">
        <v>0</v>
      </c>
      <c r="I5" s="68" t="n">
        <v>1</v>
      </c>
      <c r="J5" s="68" t="inlineStr">
        <is>
          <t>present</t>
        </is>
      </c>
      <c r="K5" s="68" t="inlineStr">
        <is>
          <t>Near ready</t>
        </is>
      </c>
      <c r="L5" s="68" t="inlineStr">
        <is>
          <t>Backfill stronger citation and pathway detail before stronger recommendation use</t>
        </is>
      </c>
      <c r="M5" s="68" t="n"/>
      <c r="N5" s="68" t="inlineStr">
        <is>
          <t>paradols; shogaols</t>
        </is>
      </c>
      <c r="O5" s="68" t="inlineStr">
        <is>
          <t>mogroside V</t>
        </is>
      </c>
      <c r="P5" t="n">
        <v>1</v>
      </c>
      <c r="Q5" t="n">
        <v>65</v>
      </c>
      <c r="R5" t="inlineStr">
        <is>
          <t>skip</t>
        </is>
      </c>
      <c r="S5" t="inlineStr">
        <is>
          <t>luo-han-guo</t>
        </is>
      </c>
      <c r="T5" t="inlineStr">
        <is>
          <t>partial</t>
        </is>
      </c>
      <c r="U5" t="n">
        <v>40</v>
      </c>
      <c r="V5" t="inlineStr">
        <is>
          <t>Tier 2</t>
        </is>
      </c>
      <c r="W5" t="inlineStr">
        <is>
          <t>FALSE</t>
        </is>
      </c>
      <c r="X5" t="inlineStr">
        <is>
          <t>TRUE</t>
        </is>
      </c>
      <c r="Y5" t="inlineStr">
        <is>
          <t>aligned</t>
        </is>
      </c>
    </row>
    <row r="6">
      <c r="A6" s="68" t="inlineStr">
        <is>
          <t>holy-basil-seed</t>
        </is>
      </c>
      <c r="B6" s="68" t="inlineStr">
        <is>
          <t>Holy Basil Seed</t>
        </is>
      </c>
      <c r="C6" s="68" t="n">
        <v>2</v>
      </c>
      <c r="D6" s="68" t="n">
        <v>2</v>
      </c>
      <c r="E6" s="68" t="n">
        <v>1</v>
      </c>
      <c r="F6" s="68" t="n">
        <v>0</v>
      </c>
      <c r="G6" s="68" t="n">
        <v>0</v>
      </c>
      <c r="H6" s="68" t="n">
        <v>0</v>
      </c>
      <c r="I6" s="68" t="n">
        <v>1</v>
      </c>
      <c r="J6" s="68" t="inlineStr">
        <is>
          <t>present</t>
        </is>
      </c>
      <c r="K6" s="68" t="inlineStr">
        <is>
          <t>Near ready</t>
        </is>
      </c>
      <c r="L6" s="68" t="inlineStr">
        <is>
          <t>Backfill stronger citation and pathway detail before stronger recommendation use</t>
        </is>
      </c>
      <c r="M6" s="68" t="n"/>
      <c r="N6" s="68" t="n"/>
      <c r="O6" s="68" t="inlineStr">
        <is>
          <t>mucilage</t>
        </is>
      </c>
      <c r="P6" t="n">
        <v>1</v>
      </c>
      <c r="Q6" t="n">
        <v>65</v>
      </c>
      <c r="R6" t="inlineStr">
        <is>
          <t>skip</t>
        </is>
      </c>
      <c r="S6" t="inlineStr">
        <is>
          <t>holy-basil-seed</t>
        </is>
      </c>
      <c r="T6" t="inlineStr">
        <is>
          <t>partial</t>
        </is>
      </c>
      <c r="U6" t="n">
        <v>40</v>
      </c>
      <c r="V6" t="inlineStr">
        <is>
          <t>Tier 2</t>
        </is>
      </c>
      <c r="W6" t="inlineStr">
        <is>
          <t>FALSE</t>
        </is>
      </c>
      <c r="X6" t="inlineStr">
        <is>
          <t>TRUE</t>
        </is>
      </c>
      <c r="Y6" t="inlineStr">
        <is>
          <t>aligned</t>
        </is>
      </c>
    </row>
    <row r="7">
      <c r="A7" s="68" t="inlineStr">
        <is>
          <t>psyllium</t>
        </is>
      </c>
      <c r="B7" s="68" t="inlineStr">
        <is>
          <t>Psyllium</t>
        </is>
      </c>
      <c r="C7" s="68" t="n">
        <v>2</v>
      </c>
      <c r="D7" s="68" t="n">
        <v>2</v>
      </c>
      <c r="E7" s="68" t="n">
        <v>1</v>
      </c>
      <c r="F7" s="68" t="n">
        <v>0</v>
      </c>
      <c r="G7" s="68" t="n">
        <v>0</v>
      </c>
      <c r="H7" s="68" t="n">
        <v>0</v>
      </c>
      <c r="I7" s="68" t="n">
        <v>1</v>
      </c>
      <c r="J7" s="68" t="inlineStr">
        <is>
          <t>present</t>
        </is>
      </c>
      <c r="K7" s="68" t="inlineStr">
        <is>
          <t>Near ready</t>
        </is>
      </c>
      <c r="L7" s="68" t="inlineStr">
        <is>
          <t>Backfill stronger citation and pathway detail before stronger recommendation use</t>
        </is>
      </c>
      <c r="M7" s="68" t="n"/>
      <c r="N7" s="68" t="n"/>
      <c r="O7" s="68" t="inlineStr">
        <is>
          <t>mucilage</t>
        </is>
      </c>
      <c r="P7" t="n">
        <v>1</v>
      </c>
      <c r="Q7" t="n">
        <v>65</v>
      </c>
      <c r="R7" t="inlineStr">
        <is>
          <t>skip</t>
        </is>
      </c>
      <c r="S7" t="inlineStr">
        <is>
          <t>psyllium</t>
        </is>
      </c>
      <c r="T7" t="inlineStr">
        <is>
          <t>partial</t>
        </is>
      </c>
      <c r="U7" t="n">
        <v>40</v>
      </c>
      <c r="V7" t="inlineStr">
        <is>
          <t>Tier 2</t>
        </is>
      </c>
      <c r="W7" t="inlineStr">
        <is>
          <t>FALSE</t>
        </is>
      </c>
      <c r="X7" t="inlineStr">
        <is>
          <t>TRUE</t>
        </is>
      </c>
      <c r="Y7" t="inlineStr">
        <is>
          <t>aligned</t>
        </is>
      </c>
    </row>
    <row r="8">
      <c r="A8" s="68" t="inlineStr">
        <is>
          <t>roselle-seed</t>
        </is>
      </c>
      <c r="B8" s="68" t="inlineStr">
        <is>
          <t>Roselle Seed</t>
        </is>
      </c>
      <c r="C8" s="68" t="n">
        <v>2</v>
      </c>
      <c r="D8" s="68" t="n">
        <v>2</v>
      </c>
      <c r="E8" s="68" t="n">
        <v>1</v>
      </c>
      <c r="F8" s="68" t="n">
        <v>0</v>
      </c>
      <c r="G8" s="68" t="n">
        <v>0</v>
      </c>
      <c r="H8" s="68" t="n">
        <v>0</v>
      </c>
      <c r="I8" s="68" t="n">
        <v>1</v>
      </c>
      <c r="J8" s="68" t="inlineStr">
        <is>
          <t>present</t>
        </is>
      </c>
      <c r="K8" s="68" t="inlineStr">
        <is>
          <t>Near ready</t>
        </is>
      </c>
      <c r="L8" s="68" t="inlineStr">
        <is>
          <t>Backfill stronger citation and pathway detail before stronger recommendation use</t>
        </is>
      </c>
      <c r="M8" s="68" t="n"/>
      <c r="N8" s="68" t="n"/>
      <c r="O8" s="68" t="inlineStr">
        <is>
          <t>tocopherols</t>
        </is>
      </c>
      <c r="P8" t="n">
        <v>1</v>
      </c>
      <c r="Q8" t="n">
        <v>65</v>
      </c>
      <c r="R8" t="inlineStr">
        <is>
          <t>skip</t>
        </is>
      </c>
      <c r="S8" t="inlineStr">
        <is>
          <t>roselle-seed</t>
        </is>
      </c>
      <c r="T8" t="inlineStr">
        <is>
          <t>partial</t>
        </is>
      </c>
      <c r="U8" t="n">
        <v>40</v>
      </c>
      <c r="V8" t="inlineStr">
        <is>
          <t>Tier 2</t>
        </is>
      </c>
      <c r="W8" t="inlineStr">
        <is>
          <t>FALSE</t>
        </is>
      </c>
      <c r="X8" t="inlineStr">
        <is>
          <t>TRUE</t>
        </is>
      </c>
      <c r="Y8" t="inlineStr">
        <is>
          <t>aligned</t>
        </is>
      </c>
    </row>
    <row r="9">
      <c r="A9" s="68" t="inlineStr">
        <is>
          <t>tamarind</t>
        </is>
      </c>
      <c r="B9" s="68" t="inlineStr">
        <is>
          <t>Tamarind</t>
        </is>
      </c>
      <c r="C9" s="68" t="n">
        <v>2</v>
      </c>
      <c r="D9" s="68" t="n">
        <v>2</v>
      </c>
      <c r="E9" s="68" t="n">
        <v>1</v>
      </c>
      <c r="F9" s="68" t="n">
        <v>0</v>
      </c>
      <c r="G9" s="68" t="n">
        <v>0</v>
      </c>
      <c r="H9" s="68" t="n">
        <v>0</v>
      </c>
      <c r="I9" s="68" t="n">
        <v>1</v>
      </c>
      <c r="J9" s="68" t="inlineStr">
        <is>
          <t>present</t>
        </is>
      </c>
      <c r="K9" s="68" t="inlineStr">
        <is>
          <t>Near ready</t>
        </is>
      </c>
      <c r="L9" s="68" t="inlineStr">
        <is>
          <t>Backfill stronger citation and pathway detail before stronger recommendation use</t>
        </is>
      </c>
      <c r="M9" s="68" t="n"/>
      <c r="N9" s="68" t="inlineStr">
        <is>
          <t>alkamides</t>
        </is>
      </c>
      <c r="O9" s="68" t="inlineStr">
        <is>
          <t>tartaric acid</t>
        </is>
      </c>
      <c r="P9" t="n">
        <v>1</v>
      </c>
      <c r="Q9" t="n">
        <v>65</v>
      </c>
      <c r="R9" t="inlineStr">
        <is>
          <t>skip</t>
        </is>
      </c>
      <c r="S9" t="inlineStr">
        <is>
          <t>tamarind</t>
        </is>
      </c>
      <c r="T9" t="inlineStr">
        <is>
          <t>partial</t>
        </is>
      </c>
      <c r="U9" t="n">
        <v>40</v>
      </c>
      <c r="V9" t="inlineStr">
        <is>
          <t>Tier 2</t>
        </is>
      </c>
      <c r="W9" t="inlineStr">
        <is>
          <t>FALSE</t>
        </is>
      </c>
      <c r="X9" t="inlineStr">
        <is>
          <t>TRUE</t>
        </is>
      </c>
      <c r="Y9" t="inlineStr">
        <is>
          <t>aligned</t>
        </is>
      </c>
    </row>
    <row r="10">
      <c r="A10" s="68" t="inlineStr">
        <is>
          <t>kudzu</t>
        </is>
      </c>
      <c r="B10" s="68" t="inlineStr">
        <is>
          <t>Kudzu</t>
        </is>
      </c>
      <c r="C10" s="68" t="n">
        <v>2</v>
      </c>
      <c r="D10" s="68" t="n">
        <v>2</v>
      </c>
      <c r="E10" s="68" t="n">
        <v>1</v>
      </c>
      <c r="F10" s="68" t="n">
        <v>0</v>
      </c>
      <c r="G10" s="68" t="n">
        <v>0</v>
      </c>
      <c r="H10" s="68" t="n">
        <v>0</v>
      </c>
      <c r="I10" s="68" t="n">
        <v>1</v>
      </c>
      <c r="J10" s="68" t="inlineStr">
        <is>
          <t>present</t>
        </is>
      </c>
      <c r="K10" s="68" t="inlineStr">
        <is>
          <t>Near ready</t>
        </is>
      </c>
      <c r="L10" s="68" t="inlineStr">
        <is>
          <t>Needs mechanism refinement</t>
        </is>
      </c>
      <c r="M10" s="68" t="n"/>
      <c r="N10" s="68" t="inlineStr">
        <is>
          <t>alkaloids; sitoindosides</t>
        </is>
      </c>
      <c r="O10" s="68" t="inlineStr">
        <is>
          <t>parthenolide</t>
        </is>
      </c>
      <c r="P10" t="n">
        <v>1</v>
      </c>
      <c r="Q10" t="n">
        <v>64</v>
      </c>
      <c r="R10" t="inlineStr">
        <is>
          <t>skip</t>
        </is>
      </c>
      <c r="S10" t="inlineStr">
        <is>
          <t>kudzu</t>
        </is>
      </c>
      <c r="T10" t="inlineStr">
        <is>
          <t>partial</t>
        </is>
      </c>
      <c r="U10" t="n">
        <v>41</v>
      </c>
      <c r="V10" t="inlineStr">
        <is>
          <t>Tier 2</t>
        </is>
      </c>
      <c r="W10" t="inlineStr">
        <is>
          <t>FALSE</t>
        </is>
      </c>
      <c r="X10" t="inlineStr">
        <is>
          <t>TRUE</t>
        </is>
      </c>
      <c r="Y10" t="inlineStr">
        <is>
          <t>aligned</t>
        </is>
      </c>
    </row>
    <row r="11">
      <c r="A11" s="68" t="inlineStr">
        <is>
          <t>gymnema</t>
        </is>
      </c>
      <c r="B11" s="68" t="inlineStr">
        <is>
          <t>Gymnema</t>
        </is>
      </c>
      <c r="C11" s="68" t="n">
        <v>2</v>
      </c>
      <c r="D11" s="68" t="n">
        <v>2</v>
      </c>
      <c r="E11" s="68" t="n">
        <v>1</v>
      </c>
      <c r="F11" s="68" t="n">
        <v>0</v>
      </c>
      <c r="G11" s="68" t="n">
        <v>0</v>
      </c>
      <c r="H11" s="68" t="n">
        <v>0</v>
      </c>
      <c r="I11" s="68" t="n">
        <v>1</v>
      </c>
      <c r="J11" s="68" t="inlineStr">
        <is>
          <t>present</t>
        </is>
      </c>
      <c r="K11" s="68" t="inlineStr">
        <is>
          <t>Near ready</t>
        </is>
      </c>
      <c r="L11" s="68" t="inlineStr">
        <is>
          <t>Backfill stronger citation and pathway detail before stronger recommendation use</t>
        </is>
      </c>
      <c r="M11" s="68" t="n"/>
      <c r="N11" s="68" t="n"/>
      <c r="O11" s="68" t="inlineStr">
        <is>
          <t>gymnemic acids</t>
        </is>
      </c>
      <c r="P11" t="n">
        <v>1</v>
      </c>
      <c r="Q11" t="n">
        <v>63</v>
      </c>
      <c r="R11" t="inlineStr">
        <is>
          <t>skip</t>
        </is>
      </c>
      <c r="S11" t="inlineStr">
        <is>
          <t>gymnema</t>
        </is>
      </c>
      <c r="T11" t="inlineStr">
        <is>
          <t>partial</t>
        </is>
      </c>
      <c r="U11" t="n">
        <v>42</v>
      </c>
      <c r="V11" t="inlineStr">
        <is>
          <t>Tier 2</t>
        </is>
      </c>
      <c r="W11" t="inlineStr">
        <is>
          <t>FALSE</t>
        </is>
      </c>
      <c r="X11" t="inlineStr">
        <is>
          <t>TRUE</t>
        </is>
      </c>
      <c r="Y11" t="inlineStr">
        <is>
          <t>aligned</t>
        </is>
      </c>
    </row>
    <row r="12">
      <c r="A12" s="68" t="inlineStr">
        <is>
          <t>maitake-d-fraction</t>
        </is>
      </c>
      <c r="B12" s="68" t="inlineStr">
        <is>
          <t>Maitake D-Fraction</t>
        </is>
      </c>
      <c r="C12" s="68" t="n">
        <v>2</v>
      </c>
      <c r="D12" s="68" t="n">
        <v>2</v>
      </c>
      <c r="E12" s="68" t="n">
        <v>1</v>
      </c>
      <c r="F12" s="68" t="n">
        <v>0</v>
      </c>
      <c r="G12" s="68" t="n">
        <v>0</v>
      </c>
      <c r="H12" s="68" t="n">
        <v>0</v>
      </c>
      <c r="I12" s="68" t="n">
        <v>1</v>
      </c>
      <c r="J12" s="68" t="inlineStr">
        <is>
          <t>present</t>
        </is>
      </c>
      <c r="K12" s="68" t="inlineStr">
        <is>
          <t>Near ready</t>
        </is>
      </c>
      <c r="L12" s="68" t="inlineStr">
        <is>
          <t>Backfill stronger citation and pathway detail before stronger recommendation use</t>
        </is>
      </c>
      <c r="M12" s="68" t="n"/>
      <c r="N12" s="68" t="n"/>
      <c r="O12" s="68" t="inlineStr">
        <is>
          <t>beta-glucans</t>
        </is>
      </c>
      <c r="P12" t="n">
        <v>1</v>
      </c>
      <c r="Q12" t="n">
        <v>63</v>
      </c>
      <c r="R12" t="inlineStr">
        <is>
          <t>skip</t>
        </is>
      </c>
      <c r="S12" t="inlineStr">
        <is>
          <t>maitake-d-fraction</t>
        </is>
      </c>
      <c r="T12" t="inlineStr">
        <is>
          <t>partial</t>
        </is>
      </c>
      <c r="U12" t="n">
        <v>42</v>
      </c>
      <c r="V12" t="inlineStr">
        <is>
          <t>Tier 2</t>
        </is>
      </c>
      <c r="W12" t="inlineStr">
        <is>
          <t>FALSE</t>
        </is>
      </c>
      <c r="X12" t="inlineStr">
        <is>
          <t>TRUE</t>
        </is>
      </c>
      <c r="Y12" t="inlineStr">
        <is>
          <t>aligned</t>
        </is>
      </c>
    </row>
    <row r="13">
      <c r="A13" s="68" t="inlineStr">
        <is>
          <t>gudmar</t>
        </is>
      </c>
      <c r="B13" s="68" t="inlineStr">
        <is>
          <t>Gudmar</t>
        </is>
      </c>
      <c r="C13" s="68" t="n">
        <v>2</v>
      </c>
      <c r="D13" s="68" t="n">
        <v>2</v>
      </c>
      <c r="E13" s="68" t="n">
        <v>1</v>
      </c>
      <c r="F13" s="68" t="n">
        <v>0</v>
      </c>
      <c r="G13" s="68" t="n">
        <v>0</v>
      </c>
      <c r="H13" s="68" t="n">
        <v>0</v>
      </c>
      <c r="I13" s="68" t="n">
        <v>1</v>
      </c>
      <c r="J13" s="68" t="inlineStr">
        <is>
          <t>present</t>
        </is>
      </c>
      <c r="K13" s="68" t="inlineStr">
        <is>
          <t>Near ready</t>
        </is>
      </c>
      <c r="L13" s="68" t="inlineStr">
        <is>
          <t>Backfill stronger citation and pathway detail before stronger recommendation use</t>
        </is>
      </c>
      <c r="M13" s="68" t="n"/>
      <c r="N13" s="68" t="inlineStr">
        <is>
          <t>alkamides</t>
        </is>
      </c>
      <c r="O13" s="68" t="inlineStr">
        <is>
          <t>gymnemic acids</t>
        </is>
      </c>
      <c r="P13" t="n">
        <v>1</v>
      </c>
      <c r="Q13" t="n">
        <v>63</v>
      </c>
      <c r="R13" t="inlineStr">
        <is>
          <t>skip</t>
        </is>
      </c>
      <c r="S13" t="inlineStr">
        <is>
          <t>gudmar</t>
        </is>
      </c>
      <c r="T13" t="inlineStr">
        <is>
          <t>partial</t>
        </is>
      </c>
      <c r="U13" t="n">
        <v>42</v>
      </c>
      <c r="V13" t="inlineStr">
        <is>
          <t>Tier 2</t>
        </is>
      </c>
      <c r="W13" t="inlineStr">
        <is>
          <t>FALSE</t>
        </is>
      </c>
      <c r="X13" t="inlineStr">
        <is>
          <t>TRUE</t>
        </is>
      </c>
      <c r="Y13" t="inlineStr">
        <is>
          <t>aligned</t>
        </is>
      </c>
    </row>
    <row r="14">
      <c r="A14" s="68" t="inlineStr">
        <is>
          <t>passionflower</t>
        </is>
      </c>
      <c r="B14" s="68" t="inlineStr">
        <is>
          <t>Passionflower</t>
        </is>
      </c>
      <c r="C14" s="68" t="n">
        <v>2</v>
      </c>
      <c r="D14" s="68" t="n">
        <v>2</v>
      </c>
      <c r="E14" s="68" t="n">
        <v>1</v>
      </c>
      <c r="F14" s="68" t="n">
        <v>0</v>
      </c>
      <c r="G14" s="68" t="n">
        <v>0</v>
      </c>
      <c r="H14" s="68" t="n">
        <v>0</v>
      </c>
      <c r="I14" s="68" t="n">
        <v>1</v>
      </c>
      <c r="J14" s="68" t="inlineStr">
        <is>
          <t>present</t>
        </is>
      </c>
      <c r="K14" s="68" t="inlineStr">
        <is>
          <t>Near ready</t>
        </is>
      </c>
      <c r="L14" s="68" t="inlineStr">
        <is>
          <t>Add citation-backed pathway detail</t>
        </is>
      </c>
      <c r="M14" s="68" t="n"/>
      <c r="N14" s="68" t="inlineStr">
        <is>
          <t>sesquiterpenoids</t>
        </is>
      </c>
      <c r="O14" s="68" t="inlineStr">
        <is>
          <t>chrysin</t>
        </is>
      </c>
      <c r="P14" t="n">
        <v>1</v>
      </c>
      <c r="Q14" t="n">
        <v>63</v>
      </c>
      <c r="R14" t="inlineStr">
        <is>
          <t>skip</t>
        </is>
      </c>
      <c r="S14" t="inlineStr">
        <is>
          <t>passionflower</t>
        </is>
      </c>
      <c r="T14" t="inlineStr">
        <is>
          <t>partial</t>
        </is>
      </c>
      <c r="U14" t="n">
        <v>42</v>
      </c>
      <c r="V14" t="inlineStr">
        <is>
          <t>Tier 2</t>
        </is>
      </c>
      <c r="W14" t="inlineStr">
        <is>
          <t>FALSE</t>
        </is>
      </c>
      <c r="X14" t="inlineStr">
        <is>
          <t>TRUE</t>
        </is>
      </c>
      <c r="Y14" t="inlineStr">
        <is>
          <t>aligned</t>
        </is>
      </c>
    </row>
    <row r="15">
      <c r="A15" s="68" t="inlineStr">
        <is>
          <t>cordyceps</t>
        </is>
      </c>
      <c r="B15" s="68" t="inlineStr">
        <is>
          <t>Cordyceps</t>
        </is>
      </c>
      <c r="C15" s="68" t="n">
        <v>2</v>
      </c>
      <c r="D15" s="68" t="n">
        <v>2</v>
      </c>
      <c r="E15" s="68" t="n">
        <v>1</v>
      </c>
      <c r="F15" s="68" t="n">
        <v>0</v>
      </c>
      <c r="G15" s="68" t="n">
        <v>0</v>
      </c>
      <c r="H15" s="68" t="n">
        <v>0</v>
      </c>
      <c r="I15" s="68" t="n">
        <v>1</v>
      </c>
      <c r="J15" s="68" t="inlineStr">
        <is>
          <t>present</t>
        </is>
      </c>
      <c r="K15" s="68" t="inlineStr">
        <is>
          <t>Near ready</t>
        </is>
      </c>
      <c r="L15" s="68" t="inlineStr">
        <is>
          <t>Add citation-backed pathway detail</t>
        </is>
      </c>
      <c r="M15" s="68" t="n"/>
      <c r="N15" s="68" t="inlineStr">
        <is>
          <t>alkamides</t>
        </is>
      </c>
      <c r="O15" s="68" t="inlineStr">
        <is>
          <t>cordycepin</t>
        </is>
      </c>
      <c r="P15" t="n">
        <v>1</v>
      </c>
      <c r="Q15" t="n">
        <v>63</v>
      </c>
      <c r="R15" t="inlineStr">
        <is>
          <t>skip</t>
        </is>
      </c>
      <c r="S15" t="inlineStr">
        <is>
          <t>cordyceps</t>
        </is>
      </c>
      <c r="T15" t="inlineStr">
        <is>
          <t>partial</t>
        </is>
      </c>
      <c r="U15" t="n">
        <v>42</v>
      </c>
      <c r="V15" t="inlineStr">
        <is>
          <t>Tier 2</t>
        </is>
      </c>
      <c r="W15" t="inlineStr">
        <is>
          <t>FALSE</t>
        </is>
      </c>
      <c r="X15" t="inlineStr">
        <is>
          <t>TRUE</t>
        </is>
      </c>
      <c r="Y15" t="inlineStr">
        <is>
          <t>aligned</t>
        </is>
      </c>
    </row>
    <row r="16">
      <c r="A16" s="68" t="inlineStr">
        <is>
          <t>reishi</t>
        </is>
      </c>
      <c r="B16" s="68" t="inlineStr">
        <is>
          <t>Reishi</t>
        </is>
      </c>
      <c r="C16" s="68" t="n">
        <v>2</v>
      </c>
      <c r="D16" s="68" t="n">
        <v>2</v>
      </c>
      <c r="E16" s="68" t="n">
        <v>1</v>
      </c>
      <c r="F16" s="68" t="n">
        <v>0</v>
      </c>
      <c r="G16" s="68" t="n">
        <v>0</v>
      </c>
      <c r="H16" s="68" t="n">
        <v>0</v>
      </c>
      <c r="I16" s="68" t="n">
        <v>1</v>
      </c>
      <c r="J16" s="68" t="inlineStr">
        <is>
          <t>present</t>
        </is>
      </c>
      <c r="K16" s="68" t="inlineStr">
        <is>
          <t>Near ready</t>
        </is>
      </c>
      <c r="L16" s="68" t="inlineStr">
        <is>
          <t>Add citation-backed pathway detail</t>
        </is>
      </c>
      <c r="M16" s="68" t="n"/>
      <c r="N16" s="68" t="inlineStr">
        <is>
          <t>sesquiterpenoids</t>
        </is>
      </c>
      <c r="O16" s="68" t="inlineStr">
        <is>
          <t>beta-glucans</t>
        </is>
      </c>
      <c r="P16" t="n">
        <v>1</v>
      </c>
      <c r="Q16" t="n">
        <v>63</v>
      </c>
      <c r="R16" t="inlineStr">
        <is>
          <t>skip</t>
        </is>
      </c>
      <c r="S16" t="inlineStr">
        <is>
          <t>reishi</t>
        </is>
      </c>
      <c r="T16" t="inlineStr">
        <is>
          <t>partial</t>
        </is>
      </c>
      <c r="U16" t="n">
        <v>42</v>
      </c>
      <c r="V16" t="inlineStr">
        <is>
          <t>Tier 2</t>
        </is>
      </c>
      <c r="W16" t="inlineStr">
        <is>
          <t>FALSE</t>
        </is>
      </c>
      <c r="X16" t="inlineStr">
        <is>
          <t>TRUE</t>
        </is>
      </c>
      <c r="Y16" t="inlineStr">
        <is>
          <t>aligned</t>
        </is>
      </c>
    </row>
    <row r="17">
      <c r="A17" s="68" t="inlineStr">
        <is>
          <t>turkey-tail</t>
        </is>
      </c>
      <c r="B17" s="68" t="inlineStr">
        <is>
          <t>Turkey Tail</t>
        </is>
      </c>
      <c r="C17" s="68" t="n">
        <v>2</v>
      </c>
      <c r="D17" s="68" t="n">
        <v>2</v>
      </c>
      <c r="E17" s="68" t="n">
        <v>1</v>
      </c>
      <c r="F17" s="68" t="n">
        <v>0</v>
      </c>
      <c r="G17" s="68" t="n">
        <v>0</v>
      </c>
      <c r="H17" s="68" t="n">
        <v>0</v>
      </c>
      <c r="I17" s="68" t="n">
        <v>1</v>
      </c>
      <c r="J17" s="68" t="inlineStr">
        <is>
          <t>present</t>
        </is>
      </c>
      <c r="K17" s="68" t="inlineStr">
        <is>
          <t>Near ready</t>
        </is>
      </c>
      <c r="L17" s="68" t="inlineStr">
        <is>
          <t>Add citation-backed pathway detail</t>
        </is>
      </c>
      <c r="M17" s="68" t="n"/>
      <c r="N17" s="68" t="n"/>
      <c r="O17" s="68" t="inlineStr">
        <is>
          <t>PSK</t>
        </is>
      </c>
      <c r="P17" t="n">
        <v>1</v>
      </c>
      <c r="Q17" t="n">
        <v>63</v>
      </c>
      <c r="R17" t="inlineStr">
        <is>
          <t>skip</t>
        </is>
      </c>
      <c r="S17" t="inlineStr">
        <is>
          <t>turkey-tail</t>
        </is>
      </c>
      <c r="T17" t="inlineStr">
        <is>
          <t>partial</t>
        </is>
      </c>
      <c r="U17" t="n">
        <v>42</v>
      </c>
      <c r="V17" t="inlineStr">
        <is>
          <t>Tier 2</t>
        </is>
      </c>
      <c r="W17" t="inlineStr">
        <is>
          <t>FALSE</t>
        </is>
      </c>
      <c r="X17" t="inlineStr">
        <is>
          <t>TRUE</t>
        </is>
      </c>
      <c r="Y17" t="inlineStr">
        <is>
          <t>aligned</t>
        </is>
      </c>
    </row>
    <row r="18">
      <c r="A18" s="68" t="inlineStr">
        <is>
          <t>turmeric</t>
        </is>
      </c>
      <c r="B18" s="68" t="inlineStr">
        <is>
          <t>Turmeric</t>
        </is>
      </c>
      <c r="C18" s="68" t="n">
        <v>3</v>
      </c>
      <c r="D18" s="68" t="n">
        <v>3</v>
      </c>
      <c r="E18" s="68" t="n">
        <v>2</v>
      </c>
      <c r="F18" s="68" t="n">
        <v>0</v>
      </c>
      <c r="G18" s="68" t="n">
        <v>0</v>
      </c>
      <c r="H18" s="68" t="n">
        <v>0</v>
      </c>
      <c r="I18" s="68" t="n">
        <v>1</v>
      </c>
      <c r="J18" s="68" t="inlineStr">
        <is>
          <t>source-upgraded</t>
        </is>
      </c>
      <c r="K18" s="68" t="inlineStr">
        <is>
          <t>Batch 11 curcuminoid lock complete</t>
        </is>
      </c>
      <c r="L18" s="68" t="inlineStr">
        <is>
          <t>QA + publish workflow</t>
        </is>
      </c>
      <c r="M18" s="68" t="n"/>
      <c r="N18" s="68" t="n"/>
      <c r="O18" s="68" t="inlineStr">
        <is>
          <t>bisdemethoxycurcumin; demethoxycurcumin</t>
        </is>
      </c>
      <c r="P18" t="n">
        <v>1</v>
      </c>
      <c r="Q18" t="n">
        <v>63</v>
      </c>
      <c r="R18" t="inlineStr">
        <is>
          <t>skip</t>
        </is>
      </c>
      <c r="S18" t="inlineStr">
        <is>
          <t>turmeric</t>
        </is>
      </c>
      <c r="T18" t="inlineStr">
        <is>
          <t>partial</t>
        </is>
      </c>
      <c r="U18" t="n">
        <v>42</v>
      </c>
      <c r="V18" t="inlineStr">
        <is>
          <t>Tier 2</t>
        </is>
      </c>
      <c r="W18" t="inlineStr">
        <is>
          <t>FALSE</t>
        </is>
      </c>
      <c r="X18" t="inlineStr">
        <is>
          <t>TRUE</t>
        </is>
      </c>
      <c r="Y18" t="inlineStr">
        <is>
          <t>aligned</t>
        </is>
      </c>
    </row>
    <row r="19">
      <c r="A19" s="68" t="inlineStr">
        <is>
          <t>black-pepper</t>
        </is>
      </c>
      <c r="B19" s="68" t="inlineStr">
        <is>
          <t>Black Pepper</t>
        </is>
      </c>
      <c r="C19" s="68" t="n">
        <v>2</v>
      </c>
      <c r="D19" s="68" t="n">
        <v>2</v>
      </c>
      <c r="E19" s="68" t="n">
        <v>1</v>
      </c>
      <c r="F19" s="68" t="n">
        <v>0</v>
      </c>
      <c r="G19" s="68" t="n">
        <v>0</v>
      </c>
      <c r="H19" s="68" t="n">
        <v>0</v>
      </c>
      <c r="I19" s="68" t="n">
        <v>1</v>
      </c>
      <c r="J19" s="68" t="inlineStr">
        <is>
          <t>present</t>
        </is>
      </c>
      <c r="K19" s="68" t="inlineStr">
        <is>
          <t>Near ready</t>
        </is>
      </c>
      <c r="L19" s="68" t="inlineStr">
        <is>
          <t>Backfill stronger citation and pathway detail before stronger recommendation use</t>
        </is>
      </c>
      <c r="M19" s="68" t="n"/>
      <c r="N19" s="68" t="inlineStr">
        <is>
          <t>alkaloids; sitoindosides</t>
        </is>
      </c>
      <c r="O19" s="68" t="inlineStr">
        <is>
          <t>piperine</t>
        </is>
      </c>
      <c r="P19" t="n">
        <v>1</v>
      </c>
      <c r="Q19" t="n">
        <v>61</v>
      </c>
      <c r="R19" t="inlineStr">
        <is>
          <t>skip</t>
        </is>
      </c>
      <c r="S19" t="inlineStr">
        <is>
          <t>black-pepper</t>
        </is>
      </c>
      <c r="T19" t="inlineStr">
        <is>
          <t>validated</t>
        </is>
      </c>
      <c r="U19" t="n">
        <v>44</v>
      </c>
      <c r="V19" t="inlineStr">
        <is>
          <t>Tier 2</t>
        </is>
      </c>
      <c r="W19" t="inlineStr">
        <is>
          <t>FALSE</t>
        </is>
      </c>
      <c r="X19" t="inlineStr">
        <is>
          <t>TRUE</t>
        </is>
      </c>
      <c r="Y19" t="inlineStr">
        <is>
          <t>aligned</t>
        </is>
      </c>
    </row>
    <row r="20">
      <c r="A20" s="68" t="inlineStr">
        <is>
          <t>banaba</t>
        </is>
      </c>
      <c r="B20" s="68" t="inlineStr">
        <is>
          <t>Banaba</t>
        </is>
      </c>
      <c r="C20" s="68" t="n">
        <v>2</v>
      </c>
      <c r="D20" s="68" t="n">
        <v>2</v>
      </c>
      <c r="E20" s="68" t="n">
        <v>1</v>
      </c>
      <c r="F20" s="68" t="n">
        <v>0</v>
      </c>
      <c r="G20" s="68" t="n">
        <v>0</v>
      </c>
      <c r="H20" s="68" t="n">
        <v>0</v>
      </c>
      <c r="I20" s="68" t="n">
        <v>1</v>
      </c>
      <c r="J20" s="68" t="inlineStr">
        <is>
          <t>present</t>
        </is>
      </c>
      <c r="K20" s="68" t="inlineStr">
        <is>
          <t>Near ready</t>
        </is>
      </c>
      <c r="L20" s="68" t="inlineStr">
        <is>
          <t>Backfill stronger citation and pathway detail before stronger recommendation use</t>
        </is>
      </c>
      <c r="M20" s="68" t="n"/>
      <c r="N20" s="68" t="n"/>
      <c r="O20" s="68" t="inlineStr">
        <is>
          <t>corosolic acid</t>
        </is>
      </c>
      <c r="P20" t="n">
        <v>1</v>
      </c>
      <c r="Q20" t="n">
        <v>61</v>
      </c>
      <c r="R20" t="inlineStr">
        <is>
          <t>skip</t>
        </is>
      </c>
      <c r="S20" t="inlineStr">
        <is>
          <t>banaba</t>
        </is>
      </c>
      <c r="T20" t="inlineStr">
        <is>
          <t>partial</t>
        </is>
      </c>
      <c r="U20" t="n">
        <v>44</v>
      </c>
      <c r="V20" t="inlineStr">
        <is>
          <t>Tier 2</t>
        </is>
      </c>
      <c r="W20" t="inlineStr">
        <is>
          <t>FALSE</t>
        </is>
      </c>
      <c r="X20" t="inlineStr">
        <is>
          <t>TRUE</t>
        </is>
      </c>
      <c r="Y20" t="inlineStr">
        <is>
          <t>aligned</t>
        </is>
      </c>
    </row>
    <row r="21">
      <c r="A21" s="68" t="inlineStr">
        <is>
          <t>cranberry</t>
        </is>
      </c>
      <c r="B21" s="68" t="inlineStr">
        <is>
          <t>Cranberry</t>
        </is>
      </c>
      <c r="C21" s="68" t="n">
        <v>2</v>
      </c>
      <c r="D21" s="68" t="n">
        <v>2</v>
      </c>
      <c r="E21" s="68" t="n">
        <v>1</v>
      </c>
      <c r="F21" s="68" t="n">
        <v>0</v>
      </c>
      <c r="G21" s="68" t="n">
        <v>0</v>
      </c>
      <c r="H21" s="68" t="n">
        <v>0</v>
      </c>
      <c r="I21" s="68" t="n">
        <v>1</v>
      </c>
      <c r="J21" s="68" t="inlineStr">
        <is>
          <t>present</t>
        </is>
      </c>
      <c r="K21" s="68" t="inlineStr">
        <is>
          <t>Near ready</t>
        </is>
      </c>
      <c r="L21" s="68" t="inlineStr">
        <is>
          <t>Backfill stronger citation and pathway detail before stronger recommendation use</t>
        </is>
      </c>
      <c r="M21" s="68" t="n"/>
      <c r="N21" s="68" t="n"/>
      <c r="O21" s="68" t="inlineStr">
        <is>
          <t>A-type proanthocyanidins</t>
        </is>
      </c>
      <c r="P21" t="n">
        <v>1</v>
      </c>
      <c r="Q21" t="n">
        <v>61</v>
      </c>
      <c r="R21" t="inlineStr">
        <is>
          <t>skip</t>
        </is>
      </c>
      <c r="S21" t="inlineStr">
        <is>
          <t>cranberry</t>
        </is>
      </c>
      <c r="T21" t="inlineStr">
        <is>
          <t>partial</t>
        </is>
      </c>
      <c r="U21" t="n">
        <v>44</v>
      </c>
      <c r="V21" t="inlineStr">
        <is>
          <t>Tier 2</t>
        </is>
      </c>
      <c r="W21" t="inlineStr">
        <is>
          <t>FALSE</t>
        </is>
      </c>
      <c r="X21" t="inlineStr">
        <is>
          <t>TRUE</t>
        </is>
      </c>
      <c r="Y21" t="inlineStr">
        <is>
          <t>aligned</t>
        </is>
      </c>
    </row>
    <row r="22">
      <c r="A22" s="68" t="inlineStr">
        <is>
          <t>boldo</t>
        </is>
      </c>
      <c r="B22" s="68" t="inlineStr">
        <is>
          <t>Boldo</t>
        </is>
      </c>
      <c r="C22" s="68" t="n">
        <v>2</v>
      </c>
      <c r="D22" s="68" t="n">
        <v>2</v>
      </c>
      <c r="E22" s="68" t="n">
        <v>1</v>
      </c>
      <c r="F22" s="68" t="n">
        <v>0</v>
      </c>
      <c r="G22" s="68" t="n">
        <v>0</v>
      </c>
      <c r="H22" s="68" t="n">
        <v>0</v>
      </c>
      <c r="I22" s="68" t="n">
        <v>1</v>
      </c>
      <c r="J22" s="68" t="inlineStr">
        <is>
          <t>present</t>
        </is>
      </c>
      <c r="K22" s="68" t="inlineStr">
        <is>
          <t>Near ready</t>
        </is>
      </c>
      <c r="L22" s="68" t="inlineStr">
        <is>
          <t>Backfill stronger citation and pathway detail before stronger recommendation use</t>
        </is>
      </c>
      <c r="M22" s="68" t="n"/>
      <c r="N22" s="68" t="n"/>
      <c r="O22" s="68" t="inlineStr">
        <is>
          <t>boldine</t>
        </is>
      </c>
      <c r="P22" t="n">
        <v>1</v>
      </c>
      <c r="Q22" t="n">
        <v>61</v>
      </c>
      <c r="R22" t="inlineStr">
        <is>
          <t>skip</t>
        </is>
      </c>
      <c r="S22" t="inlineStr">
        <is>
          <t>boldo</t>
        </is>
      </c>
      <c r="T22" t="inlineStr">
        <is>
          <t>partial</t>
        </is>
      </c>
      <c r="U22" t="n">
        <v>44</v>
      </c>
      <c r="V22" t="inlineStr">
        <is>
          <t>Tier 2</t>
        </is>
      </c>
      <c r="W22" t="inlineStr">
        <is>
          <t>FALSE</t>
        </is>
      </c>
      <c r="X22" t="inlineStr">
        <is>
          <t>TRUE</t>
        </is>
      </c>
      <c r="Y22" t="inlineStr">
        <is>
          <t>aligned</t>
        </is>
      </c>
    </row>
    <row r="23">
      <c r="A23" s="68" t="inlineStr">
        <is>
          <t>maral-root</t>
        </is>
      </c>
      <c r="B23" s="68" t="inlineStr">
        <is>
          <t>Maral Root</t>
        </is>
      </c>
      <c r="C23" s="68" t="n">
        <v>2</v>
      </c>
      <c r="D23" s="68" t="n">
        <v>2</v>
      </c>
      <c r="E23" s="68" t="n">
        <v>1</v>
      </c>
      <c r="F23" s="68" t="n">
        <v>0</v>
      </c>
      <c r="G23" s="68" t="n">
        <v>0</v>
      </c>
      <c r="H23" s="68" t="n">
        <v>0</v>
      </c>
      <c r="I23" s="68" t="n">
        <v>1</v>
      </c>
      <c r="J23" s="68" t="inlineStr">
        <is>
          <t>present</t>
        </is>
      </c>
      <c r="K23" s="68" t="inlineStr">
        <is>
          <t>Near ready</t>
        </is>
      </c>
      <c r="L23" s="68" t="inlineStr">
        <is>
          <t>Backfill stronger citation and pathway detail before stronger recommendation use</t>
        </is>
      </c>
      <c r="M23" s="68" t="n"/>
      <c r="N23" s="68" t="n"/>
      <c r="O23" s="68" t="inlineStr">
        <is>
          <t>ecdysterone</t>
        </is>
      </c>
      <c r="P23" t="n">
        <v>1</v>
      </c>
      <c r="Q23" t="n">
        <v>61</v>
      </c>
      <c r="R23" t="inlineStr">
        <is>
          <t>skip</t>
        </is>
      </c>
      <c r="S23" t="inlineStr">
        <is>
          <t>maral-root</t>
        </is>
      </c>
      <c r="T23" t="inlineStr">
        <is>
          <t>partial</t>
        </is>
      </c>
      <c r="U23" t="n">
        <v>44</v>
      </c>
      <c r="V23" t="inlineStr">
        <is>
          <t>Tier 2</t>
        </is>
      </c>
      <c r="W23" t="inlineStr">
        <is>
          <t>FALSE</t>
        </is>
      </c>
      <c r="X23" t="inlineStr">
        <is>
          <t>TRUE</t>
        </is>
      </c>
      <c r="Y23" t="inlineStr">
        <is>
          <t>aligned</t>
        </is>
      </c>
    </row>
    <row r="24">
      <c r="A24" s="68" t="inlineStr">
        <is>
          <t>jatamansi</t>
        </is>
      </c>
      <c r="B24" s="68" t="inlineStr">
        <is>
          <t>Jatamansi</t>
        </is>
      </c>
      <c r="C24" s="68" t="n">
        <v>2</v>
      </c>
      <c r="D24" s="68" t="n">
        <v>2</v>
      </c>
      <c r="E24" s="68" t="n">
        <v>1</v>
      </c>
      <c r="F24" s="68" t="n">
        <v>0</v>
      </c>
      <c r="G24" s="68" t="n">
        <v>0</v>
      </c>
      <c r="H24" s="68" t="n">
        <v>0</v>
      </c>
      <c r="I24" s="68" t="n">
        <v>1</v>
      </c>
      <c r="J24" s="68" t="inlineStr">
        <is>
          <t>present</t>
        </is>
      </c>
      <c r="K24" s="68" t="inlineStr">
        <is>
          <t>Near ready</t>
        </is>
      </c>
      <c r="L24" s="68" t="inlineStr">
        <is>
          <t>Backfill stronger citation and pathway detail before stronger recommendation use</t>
        </is>
      </c>
      <c r="M24" s="68" t="n"/>
      <c r="N24" s="68" t="n"/>
      <c r="O24" s="68" t="inlineStr">
        <is>
          <t>jatamansone</t>
        </is>
      </c>
      <c r="P24" t="n">
        <v>1</v>
      </c>
      <c r="Q24" t="n">
        <v>61</v>
      </c>
      <c r="R24" t="inlineStr">
        <is>
          <t>skip</t>
        </is>
      </c>
      <c r="S24" t="inlineStr">
        <is>
          <t>jatamansi</t>
        </is>
      </c>
      <c r="T24" t="inlineStr">
        <is>
          <t>partial</t>
        </is>
      </c>
      <c r="U24" t="n">
        <v>44</v>
      </c>
      <c r="V24" t="inlineStr">
        <is>
          <t>Tier 2</t>
        </is>
      </c>
      <c r="W24" t="inlineStr">
        <is>
          <t>FALSE</t>
        </is>
      </c>
      <c r="X24" t="inlineStr">
        <is>
          <t>TRUE</t>
        </is>
      </c>
      <c r="Y24" t="inlineStr">
        <is>
          <t>aligned</t>
        </is>
      </c>
    </row>
    <row r="25">
      <c r="A25" s="68" t="inlineStr">
        <is>
          <t>soursop</t>
        </is>
      </c>
      <c r="B25" s="68" t="inlineStr">
        <is>
          <t>Soursop</t>
        </is>
      </c>
      <c r="C25" s="68" t="n">
        <v>2</v>
      </c>
      <c r="D25" s="68" t="n">
        <v>2</v>
      </c>
      <c r="E25" s="68" t="n">
        <v>1</v>
      </c>
      <c r="F25" s="68" t="n">
        <v>0</v>
      </c>
      <c r="G25" s="68" t="n">
        <v>0</v>
      </c>
      <c r="H25" s="68" t="n">
        <v>0</v>
      </c>
      <c r="I25" s="68" t="n">
        <v>1</v>
      </c>
      <c r="J25" s="68" t="inlineStr">
        <is>
          <t>present</t>
        </is>
      </c>
      <c r="K25" s="68" t="inlineStr">
        <is>
          <t>Near ready</t>
        </is>
      </c>
      <c r="L25" s="68" t="inlineStr">
        <is>
          <t>Backfill stronger citation and pathway detail before stronger recommendation use</t>
        </is>
      </c>
      <c r="M25" s="68" t="n"/>
      <c r="N25" s="68" t="n"/>
      <c r="O25" s="68" t="inlineStr">
        <is>
          <t>annonacin</t>
        </is>
      </c>
      <c r="P25" t="n">
        <v>1</v>
      </c>
      <c r="Q25" t="n">
        <v>61</v>
      </c>
      <c r="R25" t="inlineStr">
        <is>
          <t>skip</t>
        </is>
      </c>
      <c r="S25" t="inlineStr">
        <is>
          <t>soursop</t>
        </is>
      </c>
      <c r="T25" t="inlineStr">
        <is>
          <t>partial</t>
        </is>
      </c>
      <c r="U25" t="n">
        <v>44</v>
      </c>
      <c r="V25" t="inlineStr">
        <is>
          <t>Tier 2</t>
        </is>
      </c>
      <c r="W25" t="inlineStr">
        <is>
          <t>FALSE</t>
        </is>
      </c>
      <c r="X25" t="inlineStr">
        <is>
          <t>TRUE</t>
        </is>
      </c>
      <c r="Y25" t="inlineStr">
        <is>
          <t>aligned</t>
        </is>
      </c>
    </row>
    <row r="26">
      <c r="A26" s="68" t="inlineStr">
        <is>
          <t>shankhpushpi</t>
        </is>
      </c>
      <c r="B26" s="68" t="inlineStr">
        <is>
          <t>Shankhpushpi</t>
        </is>
      </c>
      <c r="C26" s="68" t="n">
        <v>2</v>
      </c>
      <c r="D26" s="68" t="n">
        <v>2</v>
      </c>
      <c r="E26" s="68" t="n">
        <v>1</v>
      </c>
      <c r="F26" s="68" t="n">
        <v>0</v>
      </c>
      <c r="G26" s="68" t="n">
        <v>0</v>
      </c>
      <c r="H26" s="68" t="n">
        <v>0</v>
      </c>
      <c r="I26" s="68" t="n">
        <v>1</v>
      </c>
      <c r="J26" s="68" t="inlineStr">
        <is>
          <t>present</t>
        </is>
      </c>
      <c r="K26" s="68" t="inlineStr">
        <is>
          <t>Near ready</t>
        </is>
      </c>
      <c r="L26" s="68" t="inlineStr">
        <is>
          <t>Backfill stronger citation and pathway detail before stronger recommendation use</t>
        </is>
      </c>
      <c r="M26" s="68" t="n"/>
      <c r="N26" s="68" t="n"/>
      <c r="O26" s="68" t="inlineStr">
        <is>
          <t>convolvine</t>
        </is>
      </c>
      <c r="P26" t="n">
        <v>1</v>
      </c>
      <c r="Q26" t="n">
        <v>61</v>
      </c>
      <c r="R26" t="inlineStr">
        <is>
          <t>skip</t>
        </is>
      </c>
      <c r="S26" t="inlineStr">
        <is>
          <t>shankhpushpi</t>
        </is>
      </c>
      <c r="T26" t="inlineStr">
        <is>
          <t>partial</t>
        </is>
      </c>
      <c r="U26" t="n">
        <v>44</v>
      </c>
      <c r="V26" t="inlineStr">
        <is>
          <t>Tier 2</t>
        </is>
      </c>
      <c r="W26" t="inlineStr">
        <is>
          <t>FALSE</t>
        </is>
      </c>
      <c r="X26" t="inlineStr">
        <is>
          <t>TRUE</t>
        </is>
      </c>
      <c r="Y26" t="inlineStr">
        <is>
          <t>aligned</t>
        </is>
      </c>
    </row>
    <row r="27">
      <c r="A27" s="68" t="inlineStr">
        <is>
          <t>gastrodia</t>
        </is>
      </c>
      <c r="B27" s="68" t="inlineStr">
        <is>
          <t>Gastrodia</t>
        </is>
      </c>
      <c r="C27" s="68" t="n">
        <v>2</v>
      </c>
      <c r="D27" s="68" t="n">
        <v>2</v>
      </c>
      <c r="E27" s="68" t="n">
        <v>1</v>
      </c>
      <c r="F27" s="68" t="n">
        <v>0</v>
      </c>
      <c r="G27" s="68" t="n">
        <v>0</v>
      </c>
      <c r="H27" s="68" t="n">
        <v>0</v>
      </c>
      <c r="I27" s="68" t="n">
        <v>1</v>
      </c>
      <c r="J27" s="68" t="inlineStr">
        <is>
          <t>present</t>
        </is>
      </c>
      <c r="K27" s="68" t="inlineStr">
        <is>
          <t>Near ready</t>
        </is>
      </c>
      <c r="L27" s="68" t="inlineStr">
        <is>
          <t>Backfill stronger citation and pathway detail before stronger recommendation use</t>
        </is>
      </c>
      <c r="M27" s="68" t="n"/>
      <c r="N27" s="68" t="n"/>
      <c r="O27" s="68" t="inlineStr">
        <is>
          <t>gastrodin</t>
        </is>
      </c>
      <c r="P27" t="n">
        <v>1</v>
      </c>
      <c r="Q27" t="n">
        <v>61</v>
      </c>
      <c r="R27" t="inlineStr">
        <is>
          <t>skip</t>
        </is>
      </c>
      <c r="S27" t="inlineStr">
        <is>
          <t>gastrodia</t>
        </is>
      </c>
      <c r="T27" t="inlineStr">
        <is>
          <t>partial</t>
        </is>
      </c>
      <c r="U27" t="n">
        <v>44</v>
      </c>
      <c r="V27" t="inlineStr">
        <is>
          <t>Tier 2</t>
        </is>
      </c>
      <c r="W27" t="inlineStr">
        <is>
          <t>FALSE</t>
        </is>
      </c>
      <c r="X27" t="inlineStr">
        <is>
          <t>TRUE</t>
        </is>
      </c>
      <c r="Y27" t="inlineStr">
        <is>
          <t>aligned</t>
        </is>
      </c>
    </row>
    <row r="28">
      <c r="A28" s="68" t="inlineStr">
        <is>
          <t>white-peony</t>
        </is>
      </c>
      <c r="B28" s="68" t="inlineStr">
        <is>
          <t>White Peony</t>
        </is>
      </c>
      <c r="C28" s="68" t="n">
        <v>2</v>
      </c>
      <c r="D28" s="68" t="n">
        <v>2</v>
      </c>
      <c r="E28" s="68" t="n">
        <v>1</v>
      </c>
      <c r="F28" s="68" t="n">
        <v>0</v>
      </c>
      <c r="G28" s="68" t="n">
        <v>0</v>
      </c>
      <c r="H28" s="68" t="n">
        <v>0</v>
      </c>
      <c r="I28" s="68" t="n">
        <v>1</v>
      </c>
      <c r="J28" s="68" t="inlineStr">
        <is>
          <t>present</t>
        </is>
      </c>
      <c r="K28" s="68" t="inlineStr">
        <is>
          <t>Near ready</t>
        </is>
      </c>
      <c r="L28" s="68" t="inlineStr">
        <is>
          <t>Backfill stronger citation and pathway detail before stronger recommendation use</t>
        </is>
      </c>
      <c r="M28" s="68" t="n"/>
      <c r="N28" s="68" t="n"/>
      <c r="O28" s="68" t="inlineStr">
        <is>
          <t>paeoniflorin</t>
        </is>
      </c>
      <c r="P28" t="n">
        <v>1</v>
      </c>
      <c r="Q28" t="n">
        <v>61</v>
      </c>
      <c r="R28" t="inlineStr">
        <is>
          <t>skip</t>
        </is>
      </c>
      <c r="S28" t="inlineStr">
        <is>
          <t>white-peony</t>
        </is>
      </c>
      <c r="T28" t="inlineStr">
        <is>
          <t>partial</t>
        </is>
      </c>
      <c r="U28" t="n">
        <v>44</v>
      </c>
      <c r="V28" t="inlineStr">
        <is>
          <t>Tier 2</t>
        </is>
      </c>
      <c r="W28" t="inlineStr">
        <is>
          <t>FALSE</t>
        </is>
      </c>
      <c r="X28" t="inlineStr">
        <is>
          <t>TRUE</t>
        </is>
      </c>
      <c r="Y28" t="inlineStr">
        <is>
          <t>aligned</t>
        </is>
      </c>
    </row>
    <row r="29">
      <c r="A29" s="68" t="inlineStr">
        <is>
          <t>atractylodes</t>
        </is>
      </c>
      <c r="B29" s="68" t="inlineStr">
        <is>
          <t>Atractylodes</t>
        </is>
      </c>
      <c r="C29" s="68" t="n">
        <v>2</v>
      </c>
      <c r="D29" s="68" t="n">
        <v>2</v>
      </c>
      <c r="E29" s="68" t="n">
        <v>1</v>
      </c>
      <c r="F29" s="68" t="n">
        <v>0</v>
      </c>
      <c r="G29" s="68" t="n">
        <v>0</v>
      </c>
      <c r="H29" s="68" t="n">
        <v>0</v>
      </c>
      <c r="I29" s="68" t="n">
        <v>1</v>
      </c>
      <c r="J29" s="68" t="inlineStr">
        <is>
          <t>present</t>
        </is>
      </c>
      <c r="K29" s="68" t="inlineStr">
        <is>
          <t>Near ready</t>
        </is>
      </c>
      <c r="L29" s="68" t="inlineStr">
        <is>
          <t>Backfill stronger citation and pathway detail before stronger recommendation use</t>
        </is>
      </c>
      <c r="M29" s="68" t="n"/>
      <c r="N29" s="68" t="inlineStr">
        <is>
          <t>alkamides</t>
        </is>
      </c>
      <c r="O29" s="68" t="inlineStr">
        <is>
          <t>atractylenolide I</t>
        </is>
      </c>
      <c r="P29" t="n">
        <v>1</v>
      </c>
      <c r="Q29" t="n">
        <v>61</v>
      </c>
      <c r="R29" t="inlineStr">
        <is>
          <t>skip</t>
        </is>
      </c>
      <c r="S29" t="inlineStr">
        <is>
          <t>atractylodes</t>
        </is>
      </c>
      <c r="T29" t="inlineStr">
        <is>
          <t>partial</t>
        </is>
      </c>
      <c r="U29" t="n">
        <v>44</v>
      </c>
      <c r="V29" t="inlineStr">
        <is>
          <t>Tier 2</t>
        </is>
      </c>
      <c r="W29" t="inlineStr">
        <is>
          <t>FALSE</t>
        </is>
      </c>
      <c r="X29" t="inlineStr">
        <is>
          <t>TRUE</t>
        </is>
      </c>
      <c r="Y29" t="inlineStr">
        <is>
          <t>aligned</t>
        </is>
      </c>
    </row>
    <row r="30">
      <c r="A30" s="68" t="inlineStr">
        <is>
          <t>ajwain</t>
        </is>
      </c>
      <c r="B30" s="68" t="inlineStr">
        <is>
          <t>Ajwain</t>
        </is>
      </c>
      <c r="C30" s="68" t="n">
        <v>2</v>
      </c>
      <c r="D30" s="68" t="n">
        <v>2</v>
      </c>
      <c r="E30" s="68" t="n">
        <v>1</v>
      </c>
      <c r="F30" s="68" t="n">
        <v>0</v>
      </c>
      <c r="G30" s="68" t="n">
        <v>0</v>
      </c>
      <c r="H30" s="68" t="n">
        <v>0</v>
      </c>
      <c r="I30" s="68" t="n">
        <v>1</v>
      </c>
      <c r="J30" s="68" t="inlineStr">
        <is>
          <t>present</t>
        </is>
      </c>
      <c r="K30" s="68" t="inlineStr">
        <is>
          <t>Near ready</t>
        </is>
      </c>
      <c r="L30" s="68" t="inlineStr">
        <is>
          <t>Backfill stronger citation and pathway detail before stronger recommendation use</t>
        </is>
      </c>
      <c r="M30" s="68" t="n"/>
      <c r="N30" s="68" t="inlineStr">
        <is>
          <t>alkamides</t>
        </is>
      </c>
      <c r="O30" s="68" t="inlineStr">
        <is>
          <t>thymol</t>
        </is>
      </c>
      <c r="P30" t="n">
        <v>1</v>
      </c>
      <c r="Q30" t="n">
        <v>61</v>
      </c>
      <c r="R30" t="inlineStr">
        <is>
          <t>skip</t>
        </is>
      </c>
      <c r="S30" t="inlineStr">
        <is>
          <t>ajwain</t>
        </is>
      </c>
      <c r="T30" t="inlineStr">
        <is>
          <t>partial</t>
        </is>
      </c>
      <c r="U30" t="n">
        <v>44</v>
      </c>
      <c r="V30" t="inlineStr">
        <is>
          <t>Tier 2</t>
        </is>
      </c>
      <c r="W30" t="inlineStr">
        <is>
          <t>FALSE</t>
        </is>
      </c>
      <c r="X30" t="inlineStr">
        <is>
          <t>TRUE</t>
        </is>
      </c>
      <c r="Y30" t="inlineStr">
        <is>
          <t>aligned</t>
        </is>
      </c>
    </row>
    <row r="31">
      <c r="A31" s="68" t="inlineStr">
        <is>
          <t>red-clover</t>
        </is>
      </c>
      <c r="B31" s="68" t="inlineStr">
        <is>
          <t>Red Clover</t>
        </is>
      </c>
      <c r="C31" s="68" t="n">
        <v>2</v>
      </c>
      <c r="D31" s="68" t="n">
        <v>2</v>
      </c>
      <c r="E31" s="68" t="n">
        <v>1</v>
      </c>
      <c r="F31" s="68" t="n">
        <v>0</v>
      </c>
      <c r="G31" s="68" t="n">
        <v>0</v>
      </c>
      <c r="H31" s="68" t="n">
        <v>0</v>
      </c>
      <c r="I31" s="68" t="n">
        <v>1</v>
      </c>
      <c r="J31" s="68" t="inlineStr">
        <is>
          <t>present</t>
        </is>
      </c>
      <c r="K31" s="68" t="inlineStr">
        <is>
          <t>Near ready</t>
        </is>
      </c>
      <c r="L31" s="68" t="inlineStr">
        <is>
          <t>Backfill stronger citation and pathway detail before stronger recommendation use</t>
        </is>
      </c>
      <c r="M31" s="68" t="n"/>
      <c r="N31" s="68" t="n"/>
      <c r="O31" s="68" t="inlineStr">
        <is>
          <t>genistein</t>
        </is>
      </c>
      <c r="P31" t="n">
        <v>1</v>
      </c>
      <c r="Q31" t="n">
        <v>60</v>
      </c>
      <c r="R31" t="inlineStr">
        <is>
          <t>skip</t>
        </is>
      </c>
      <c r="S31" t="inlineStr">
        <is>
          <t>red-clover</t>
        </is>
      </c>
      <c r="T31" t="inlineStr">
        <is>
          <t>validated</t>
        </is>
      </c>
      <c r="U31" t="n">
        <v>45</v>
      </c>
      <c r="V31" t="inlineStr">
        <is>
          <t>Tier 2</t>
        </is>
      </c>
      <c r="W31" t="inlineStr">
        <is>
          <t>FALSE</t>
        </is>
      </c>
      <c r="X31" t="inlineStr">
        <is>
          <t>TRUE</t>
        </is>
      </c>
      <c r="Y31" t="inlineStr">
        <is>
          <t>aligned</t>
        </is>
      </c>
    </row>
    <row r="32">
      <c r="A32" s="68" t="inlineStr">
        <is>
          <t>mulberry-leaf</t>
        </is>
      </c>
      <c r="B32" s="68" t="inlineStr">
        <is>
          <t>Mulberry Leaf</t>
        </is>
      </c>
      <c r="C32" s="68" t="n">
        <v>2</v>
      </c>
      <c r="D32" s="68" t="n">
        <v>2</v>
      </c>
      <c r="E32" s="68" t="n">
        <v>1</v>
      </c>
      <c r="F32" s="68" t="n">
        <v>0</v>
      </c>
      <c r="G32" s="68" t="n">
        <v>0</v>
      </c>
      <c r="H32" s="68" t="n">
        <v>0</v>
      </c>
      <c r="I32" s="68" t="n">
        <v>1</v>
      </c>
      <c r="J32" s="68" t="inlineStr">
        <is>
          <t>present</t>
        </is>
      </c>
      <c r="K32" s="68" t="inlineStr">
        <is>
          <t>Near ready</t>
        </is>
      </c>
      <c r="L32" s="68" t="inlineStr">
        <is>
          <t>Backfill stronger citation and pathway detail before stronger recommendation use</t>
        </is>
      </c>
      <c r="M32" s="68" t="n"/>
      <c r="N32" s="68" t="inlineStr">
        <is>
          <t>caffeic acid derivatives</t>
        </is>
      </c>
      <c r="O32" s="68" t="inlineStr">
        <is>
          <t>1-deoxynojirimycin</t>
        </is>
      </c>
      <c r="P32" t="n">
        <v>1</v>
      </c>
      <c r="Q32" t="n">
        <v>60</v>
      </c>
      <c r="R32" t="inlineStr">
        <is>
          <t>skip</t>
        </is>
      </c>
      <c r="S32" t="inlineStr">
        <is>
          <t>mulberry-leaf</t>
        </is>
      </c>
      <c r="T32" t="inlineStr">
        <is>
          <t>validated</t>
        </is>
      </c>
      <c r="U32" t="n">
        <v>45</v>
      </c>
      <c r="V32" t="inlineStr">
        <is>
          <t>Tier 2</t>
        </is>
      </c>
      <c r="W32" t="inlineStr">
        <is>
          <t>FALSE</t>
        </is>
      </c>
      <c r="X32" t="inlineStr">
        <is>
          <t>TRUE</t>
        </is>
      </c>
      <c r="Y32" t="inlineStr">
        <is>
          <t>aligned</t>
        </is>
      </c>
    </row>
    <row r="33">
      <c r="A33" s="68" t="inlineStr">
        <is>
          <t>ashoka</t>
        </is>
      </c>
      <c r="B33" s="68" t="inlineStr">
        <is>
          <t>Ashoka</t>
        </is>
      </c>
      <c r="C33" s="68" t="n">
        <v>2</v>
      </c>
      <c r="D33" s="68" t="n">
        <v>2</v>
      </c>
      <c r="E33" s="68" t="n">
        <v>1</v>
      </c>
      <c r="F33" s="68" t="n">
        <v>0</v>
      </c>
      <c r="G33" s="68" t="n">
        <v>0</v>
      </c>
      <c r="H33" s="68" t="n">
        <v>0</v>
      </c>
      <c r="I33" s="68" t="n">
        <v>1</v>
      </c>
      <c r="J33" s="68" t="inlineStr">
        <is>
          <t>present</t>
        </is>
      </c>
      <c r="K33" s="68" t="inlineStr">
        <is>
          <t>Near ready</t>
        </is>
      </c>
      <c r="L33" s="68" t="inlineStr">
        <is>
          <t>Backfill stronger citation and pathway detail before stronger recommendation use</t>
        </is>
      </c>
      <c r="M33" s="68" t="n"/>
      <c r="N33" s="68" t="inlineStr">
        <is>
          <t>paradols; shogaols</t>
        </is>
      </c>
      <c r="O33" s="68" t="inlineStr">
        <is>
          <t>catechins</t>
        </is>
      </c>
      <c r="P33" t="n">
        <v>1</v>
      </c>
      <c r="Q33" t="n">
        <v>60</v>
      </c>
      <c r="R33" t="inlineStr">
        <is>
          <t>skip</t>
        </is>
      </c>
      <c r="S33" t="inlineStr">
        <is>
          <t>ashoka</t>
        </is>
      </c>
      <c r="T33" t="inlineStr">
        <is>
          <t>validated</t>
        </is>
      </c>
      <c r="U33" t="n">
        <v>45</v>
      </c>
      <c r="V33" t="inlineStr">
        <is>
          <t>Tier 2</t>
        </is>
      </c>
      <c r="W33" t="inlineStr">
        <is>
          <t>FALSE</t>
        </is>
      </c>
      <c r="X33" t="inlineStr">
        <is>
          <t>TRUE</t>
        </is>
      </c>
      <c r="Y33" t="inlineStr">
        <is>
          <t>aligned</t>
        </is>
      </c>
    </row>
    <row r="34">
      <c r="A34" s="68" t="inlineStr">
        <is>
          <t>rehmannia-prepared</t>
        </is>
      </c>
      <c r="B34" s="68" t="inlineStr">
        <is>
          <t>Rehmannia Prepared</t>
        </is>
      </c>
      <c r="C34" s="68" t="n">
        <v>2</v>
      </c>
      <c r="D34" s="68" t="n">
        <v>2</v>
      </c>
      <c r="E34" s="68" t="n">
        <v>1</v>
      </c>
      <c r="F34" s="68" t="n">
        <v>0</v>
      </c>
      <c r="G34" s="68" t="n">
        <v>0</v>
      </c>
      <c r="H34" s="68" t="n">
        <v>0</v>
      </c>
      <c r="I34" s="68" t="n">
        <v>1</v>
      </c>
      <c r="J34" s="68" t="inlineStr">
        <is>
          <t>present</t>
        </is>
      </c>
      <c r="K34" s="68" t="inlineStr">
        <is>
          <t>Near ready</t>
        </is>
      </c>
      <c r="L34" s="68" t="inlineStr">
        <is>
          <t>Backfill stronger citation and pathway detail before stronger recommendation use</t>
        </is>
      </c>
      <c r="M34" s="68" t="n"/>
      <c r="N34" s="68" t="n"/>
      <c r="O34" s="68" t="inlineStr">
        <is>
          <t>catalpol</t>
        </is>
      </c>
      <c r="P34" t="n">
        <v>1</v>
      </c>
      <c r="Q34" t="n">
        <v>60</v>
      </c>
      <c r="R34" t="inlineStr">
        <is>
          <t>skip</t>
        </is>
      </c>
      <c r="S34" t="inlineStr">
        <is>
          <t>rehmannia-prepared</t>
        </is>
      </c>
      <c r="T34" t="inlineStr">
        <is>
          <t>validated</t>
        </is>
      </c>
      <c r="U34" t="n">
        <v>45</v>
      </c>
      <c r="V34" t="inlineStr">
        <is>
          <t>Tier 2</t>
        </is>
      </c>
      <c r="W34" t="inlineStr">
        <is>
          <t>FALSE</t>
        </is>
      </c>
      <c r="X34" t="inlineStr">
        <is>
          <t>TRUE</t>
        </is>
      </c>
      <c r="Y34" t="inlineStr">
        <is>
          <t>aligned</t>
        </is>
      </c>
    </row>
    <row r="35">
      <c r="A35" s="68" t="inlineStr">
        <is>
          <t>rhodiola</t>
        </is>
      </c>
      <c r="B35" s="68" t="inlineStr">
        <is>
          <t>Rhodiola</t>
        </is>
      </c>
      <c r="C35" s="68" t="n">
        <v>2</v>
      </c>
      <c r="D35" s="68" t="n">
        <v>2</v>
      </c>
      <c r="E35" s="68" t="n">
        <v>1</v>
      </c>
      <c r="F35" s="68" t="n">
        <v>0</v>
      </c>
      <c r="G35" s="68" t="n">
        <v>0</v>
      </c>
      <c r="H35" s="68" t="n">
        <v>0</v>
      </c>
      <c r="I35" s="68" t="n">
        <v>1</v>
      </c>
      <c r="J35" s="68" t="inlineStr">
        <is>
          <t>present</t>
        </is>
      </c>
      <c r="K35" s="68" t="inlineStr">
        <is>
          <t>Near ready</t>
        </is>
      </c>
      <c r="L35" s="68" t="inlineStr">
        <is>
          <t>Add citation-backed pathway detail</t>
        </is>
      </c>
      <c r="M35" s="68" t="n"/>
      <c r="N35" s="68" t="n"/>
      <c r="O35" s="68" t="inlineStr">
        <is>
          <t>salidroside</t>
        </is>
      </c>
      <c r="P35" t="n">
        <v>1</v>
      </c>
      <c r="Q35" t="n">
        <v>60</v>
      </c>
      <c r="R35" t="inlineStr">
        <is>
          <t>skip</t>
        </is>
      </c>
      <c r="S35" t="inlineStr">
        <is>
          <t>rhodiola</t>
        </is>
      </c>
      <c r="T35" t="inlineStr">
        <is>
          <t>validated</t>
        </is>
      </c>
      <c r="U35" t="n">
        <v>45</v>
      </c>
      <c r="V35" t="inlineStr">
        <is>
          <t>Tier 2</t>
        </is>
      </c>
      <c r="W35" t="inlineStr">
        <is>
          <t>FALSE</t>
        </is>
      </c>
      <c r="X35" t="inlineStr">
        <is>
          <t>TRUE</t>
        </is>
      </c>
      <c r="Y35" t="inlineStr">
        <is>
          <t>aligned</t>
        </is>
      </c>
    </row>
    <row r="36">
      <c r="A36" s="68" t="inlineStr">
        <is>
          <t>lions-mane</t>
        </is>
      </c>
      <c r="B36" s="68" t="inlineStr">
        <is>
          <t>Lion's Mane</t>
        </is>
      </c>
      <c r="C36" s="68" t="n">
        <v>2</v>
      </c>
      <c r="D36" s="68" t="n">
        <v>2</v>
      </c>
      <c r="E36" s="68" t="n">
        <v>1</v>
      </c>
      <c r="F36" s="68" t="n">
        <v>0</v>
      </c>
      <c r="G36" s="68" t="n">
        <v>0</v>
      </c>
      <c r="H36" s="68" t="n">
        <v>0</v>
      </c>
      <c r="I36" s="68" t="n">
        <v>1</v>
      </c>
      <c r="J36" s="68" t="inlineStr">
        <is>
          <t>present</t>
        </is>
      </c>
      <c r="K36" s="68" t="inlineStr">
        <is>
          <t>Near ready</t>
        </is>
      </c>
      <c r="L36" s="68" t="inlineStr">
        <is>
          <t>Add citation-backed pathway detail</t>
        </is>
      </c>
      <c r="M36" s="68" t="n"/>
      <c r="N36" s="68" t="n"/>
      <c r="O36" s="68" t="inlineStr">
        <is>
          <t>hericenone C</t>
        </is>
      </c>
      <c r="P36" t="n">
        <v>1</v>
      </c>
      <c r="Q36" t="n">
        <v>60</v>
      </c>
      <c r="R36" t="inlineStr">
        <is>
          <t>skip</t>
        </is>
      </c>
      <c r="S36" t="inlineStr">
        <is>
          <t>lions-mane</t>
        </is>
      </c>
      <c r="T36" t="inlineStr">
        <is>
          <t>validated</t>
        </is>
      </c>
      <c r="U36" t="n">
        <v>45</v>
      </c>
      <c r="V36" t="inlineStr">
        <is>
          <t>Tier 2</t>
        </is>
      </c>
      <c r="W36" t="inlineStr">
        <is>
          <t>FALSE</t>
        </is>
      </c>
      <c r="X36" t="inlineStr">
        <is>
          <t>TRUE</t>
        </is>
      </c>
      <c r="Y36" t="inlineStr">
        <is>
          <t>aligned</t>
        </is>
      </c>
    </row>
    <row r="37">
      <c r="A37" s="68" t="inlineStr">
        <is>
          <t>echinacea-purpurea</t>
        </is>
      </c>
      <c r="B37" s="68" t="inlineStr">
        <is>
          <t>Echinacea Purpurea</t>
        </is>
      </c>
      <c r="C37" s="68" t="n">
        <v>5</v>
      </c>
      <c r="D37" s="68" t="n">
        <v>5</v>
      </c>
      <c r="E37" s="68" t="n">
        <v>4</v>
      </c>
      <c r="F37" s="68" t="n">
        <v>0</v>
      </c>
      <c r="G37" s="68" t="n">
        <v>0</v>
      </c>
      <c r="H37" s="68" t="n">
        <v>1</v>
      </c>
      <c r="I37" s="68" t="n">
        <v>1</v>
      </c>
      <c r="J37" s="68" t="inlineStr">
        <is>
          <t>source-upgraded</t>
        </is>
      </c>
      <c r="K37" s="68" t="inlineStr">
        <is>
          <t>Batch 16 echinacea lock complete</t>
        </is>
      </c>
      <c r="L37" s="68" t="inlineStr">
        <is>
          <t>QA + publish workflow</t>
        </is>
      </c>
      <c r="M37" s="68" t="n"/>
      <c r="N37" s="68" t="inlineStr">
        <is>
          <t>alkamides</t>
        </is>
      </c>
      <c r="O37" s="68" t="inlineStr">
        <is>
          <t>caffeic acid; chicoric acid; cynarin; echinacoside</t>
        </is>
      </c>
      <c r="P37" t="n">
        <v>1</v>
      </c>
      <c r="Q37" t="n">
        <v>59</v>
      </c>
      <c r="R37" t="inlineStr">
        <is>
          <t>skip</t>
        </is>
      </c>
      <c r="S37" t="inlineStr">
        <is>
          <t>echinacea-purpurea</t>
        </is>
      </c>
      <c r="T37" t="inlineStr">
        <is>
          <t>validated</t>
        </is>
      </c>
      <c r="U37" t="n">
        <v>46</v>
      </c>
      <c r="V37" t="inlineStr">
        <is>
          <t>Tier 2</t>
        </is>
      </c>
      <c r="W37" t="inlineStr">
        <is>
          <t>FALSE</t>
        </is>
      </c>
      <c r="X37" t="inlineStr">
        <is>
          <t>TRUE</t>
        </is>
      </c>
      <c r="Y37" t="inlineStr">
        <is>
          <t>aligned</t>
        </is>
      </c>
    </row>
    <row r="38">
      <c r="A38" s="68" t="inlineStr">
        <is>
          <t>guarana</t>
        </is>
      </c>
      <c r="B38" s="68" t="inlineStr">
        <is>
          <t>Guarana</t>
        </is>
      </c>
      <c r="C38" s="68" t="n">
        <v>2</v>
      </c>
      <c r="D38" s="68" t="n">
        <v>2</v>
      </c>
      <c r="E38" s="68" t="n">
        <v>1</v>
      </c>
      <c r="F38" s="68" t="n">
        <v>0</v>
      </c>
      <c r="G38" s="68" t="n">
        <v>0</v>
      </c>
      <c r="H38" s="68" t="n">
        <v>0</v>
      </c>
      <c r="I38" s="68" t="n">
        <v>1</v>
      </c>
      <c r="J38" s="68" t="inlineStr">
        <is>
          <t>present</t>
        </is>
      </c>
      <c r="K38" s="68" t="inlineStr">
        <is>
          <t>Near ready</t>
        </is>
      </c>
      <c r="L38" s="68" t="inlineStr">
        <is>
          <t>Needs mechanism refinement</t>
        </is>
      </c>
      <c r="M38" s="68" t="n"/>
      <c r="N38" s="68" t="inlineStr">
        <is>
          <t>caffeic acid derivatives</t>
        </is>
      </c>
      <c r="O38" s="68" t="inlineStr">
        <is>
          <t>caffeine</t>
        </is>
      </c>
      <c r="P38" t="n">
        <v>1</v>
      </c>
      <c r="Q38" t="n">
        <v>57</v>
      </c>
      <c r="R38" t="inlineStr">
        <is>
          <t>skip</t>
        </is>
      </c>
      <c r="S38" t="inlineStr">
        <is>
          <t>guarana</t>
        </is>
      </c>
      <c r="T38" t="inlineStr">
        <is>
          <t>validated</t>
        </is>
      </c>
      <c r="U38" t="n">
        <v>48</v>
      </c>
      <c r="V38" t="inlineStr">
        <is>
          <t>Tier 2</t>
        </is>
      </c>
      <c r="W38" t="inlineStr">
        <is>
          <t>FALSE</t>
        </is>
      </c>
      <c r="X38" t="inlineStr">
        <is>
          <t>TRUE</t>
        </is>
      </c>
      <c r="Y38" t="inlineStr">
        <is>
          <t>aligned</t>
        </is>
      </c>
    </row>
    <row r="39">
      <c r="A39" s="68" t="inlineStr">
        <is>
          <t>dong-quai</t>
        </is>
      </c>
      <c r="B39" s="68" t="inlineStr">
        <is>
          <t>Dong Quai</t>
        </is>
      </c>
      <c r="C39" s="68" t="n">
        <v>2</v>
      </c>
      <c r="D39" s="68" t="n">
        <v>2</v>
      </c>
      <c r="E39" s="68" t="n">
        <v>1</v>
      </c>
      <c r="F39" s="68" t="n">
        <v>0</v>
      </c>
      <c r="G39" s="68" t="n">
        <v>0</v>
      </c>
      <c r="H39" s="68" t="n">
        <v>0</v>
      </c>
      <c r="I39" s="68" t="n">
        <v>1</v>
      </c>
      <c r="J39" s="68" t="inlineStr">
        <is>
          <t>present</t>
        </is>
      </c>
      <c r="K39" s="68" t="inlineStr">
        <is>
          <t>Near ready</t>
        </is>
      </c>
      <c r="L39" s="68" t="inlineStr">
        <is>
          <t>Needs mechanism refinement</t>
        </is>
      </c>
      <c r="M39" s="68" t="n"/>
      <c r="N39" s="68" t="inlineStr">
        <is>
          <t>paradols; shogaols</t>
        </is>
      </c>
      <c r="O39" s="68" t="inlineStr">
        <is>
          <t>curcumin</t>
        </is>
      </c>
      <c r="P39" t="n">
        <v>1</v>
      </c>
      <c r="Q39" t="n">
        <v>57</v>
      </c>
      <c r="R39" t="inlineStr">
        <is>
          <t>skip</t>
        </is>
      </c>
      <c r="S39" t="inlineStr">
        <is>
          <t>dong-quai</t>
        </is>
      </c>
      <c r="T39" t="inlineStr">
        <is>
          <t>validated</t>
        </is>
      </c>
      <c r="U39" t="n">
        <v>48</v>
      </c>
      <c r="V39" t="inlineStr">
        <is>
          <t>Tier 2</t>
        </is>
      </c>
      <c r="W39" t="inlineStr">
        <is>
          <t>FALSE</t>
        </is>
      </c>
      <c r="X39" t="inlineStr">
        <is>
          <t>TRUE</t>
        </is>
      </c>
      <c r="Y39" t="inlineStr">
        <is>
          <t>aligned</t>
        </is>
      </c>
    </row>
    <row r="40">
      <c r="A40" s="68" t="inlineStr">
        <is>
          <t>rosemary</t>
        </is>
      </c>
      <c r="B40" s="68" t="inlineStr">
        <is>
          <t>Rosemary</t>
        </is>
      </c>
      <c r="C40" s="68" t="n">
        <v>2</v>
      </c>
      <c r="D40" s="68" t="n">
        <v>2</v>
      </c>
      <c r="E40" s="68" t="n">
        <v>1</v>
      </c>
      <c r="F40" s="68" t="n">
        <v>0</v>
      </c>
      <c r="G40" s="68" t="n">
        <v>0</v>
      </c>
      <c r="H40" s="68" t="n">
        <v>0</v>
      </c>
      <c r="I40" s="68" t="n">
        <v>1</v>
      </c>
      <c r="J40" s="68" t="inlineStr">
        <is>
          <t>present</t>
        </is>
      </c>
      <c r="K40" s="68" t="inlineStr">
        <is>
          <t>Near ready</t>
        </is>
      </c>
      <c r="L40" s="68" t="inlineStr">
        <is>
          <t>Needs mechanism refinement</t>
        </is>
      </c>
      <c r="M40" s="68" t="n"/>
      <c r="N40" s="68" t="n"/>
      <c r="O40" s="68" t="inlineStr">
        <is>
          <t>thymol</t>
        </is>
      </c>
      <c r="P40" t="n">
        <v>1</v>
      </c>
      <c r="Q40" t="n">
        <v>57</v>
      </c>
      <c r="R40" t="inlineStr">
        <is>
          <t>skip</t>
        </is>
      </c>
      <c r="S40" t="inlineStr">
        <is>
          <t>rosemary</t>
        </is>
      </c>
      <c r="T40" t="inlineStr">
        <is>
          <t>validated</t>
        </is>
      </c>
      <c r="U40" t="n">
        <v>48</v>
      </c>
      <c r="V40" t="inlineStr">
        <is>
          <t>Tier 2</t>
        </is>
      </c>
      <c r="W40" t="inlineStr">
        <is>
          <t>FALSE</t>
        </is>
      </c>
      <c r="X40" t="inlineStr">
        <is>
          <t>TRUE</t>
        </is>
      </c>
      <c r="Y40" t="inlineStr">
        <is>
          <t>aligned</t>
        </is>
      </c>
    </row>
    <row r="41">
      <c r="A41" s="68" t="inlineStr">
        <is>
          <t>sage</t>
        </is>
      </c>
      <c r="B41" s="68" t="inlineStr">
        <is>
          <t>Sage</t>
        </is>
      </c>
      <c r="C41" s="68" t="n">
        <v>2</v>
      </c>
      <c r="D41" s="68" t="n">
        <v>2</v>
      </c>
      <c r="E41" s="68" t="n">
        <v>1</v>
      </c>
      <c r="F41" s="68" t="n">
        <v>0</v>
      </c>
      <c r="G41" s="68" t="n">
        <v>0</v>
      </c>
      <c r="H41" s="68" t="n">
        <v>0</v>
      </c>
      <c r="I41" s="68" t="n">
        <v>1</v>
      </c>
      <c r="J41" s="68" t="inlineStr">
        <is>
          <t>present</t>
        </is>
      </c>
      <c r="K41" s="68" t="inlineStr">
        <is>
          <t>Near ready</t>
        </is>
      </c>
      <c r="L41" s="68" t="inlineStr">
        <is>
          <t>Needs mechanism refinement</t>
        </is>
      </c>
      <c r="M41" s="68" t="n"/>
      <c r="N41" s="68" t="n"/>
      <c r="O41" s="68" t="inlineStr">
        <is>
          <t>carvacrol</t>
        </is>
      </c>
      <c r="P41" t="n">
        <v>1</v>
      </c>
      <c r="Q41" t="n">
        <v>57</v>
      </c>
      <c r="R41" t="inlineStr">
        <is>
          <t>skip</t>
        </is>
      </c>
      <c r="S41" t="inlineStr">
        <is>
          <t>sage</t>
        </is>
      </c>
      <c r="T41" t="inlineStr">
        <is>
          <t>validated</t>
        </is>
      </c>
      <c r="U41" t="n">
        <v>48</v>
      </c>
      <c r="V41" t="inlineStr">
        <is>
          <t>Tier 2</t>
        </is>
      </c>
      <c r="W41" t="inlineStr">
        <is>
          <t>FALSE</t>
        </is>
      </c>
      <c r="X41" t="inlineStr">
        <is>
          <t>TRUE</t>
        </is>
      </c>
      <c r="Y41" t="inlineStr">
        <is>
          <t>aligned</t>
        </is>
      </c>
    </row>
    <row r="42">
      <c r="A42" s="68" t="inlineStr">
        <is>
          <t>thyme</t>
        </is>
      </c>
      <c r="B42" s="68" t="inlineStr">
        <is>
          <t>Thyme</t>
        </is>
      </c>
      <c r="C42" s="68" t="n">
        <v>2</v>
      </c>
      <c r="D42" s="68" t="n">
        <v>2</v>
      </c>
      <c r="E42" s="68" t="n">
        <v>1</v>
      </c>
      <c r="F42" s="68" t="n">
        <v>0</v>
      </c>
      <c r="G42" s="68" t="n">
        <v>0</v>
      </c>
      <c r="H42" s="68" t="n">
        <v>0</v>
      </c>
      <c r="I42" s="68" t="n">
        <v>1</v>
      </c>
      <c r="J42" s="68" t="inlineStr">
        <is>
          <t>present</t>
        </is>
      </c>
      <c r="K42" s="68" t="inlineStr">
        <is>
          <t>Near ready</t>
        </is>
      </c>
      <c r="L42" s="68" t="inlineStr">
        <is>
          <t>Needs mechanism refinement</t>
        </is>
      </c>
      <c r="M42" s="68" t="n"/>
      <c r="N42" s="68" t="n"/>
      <c r="O42" s="68" t="inlineStr">
        <is>
          <t>eucalyptol</t>
        </is>
      </c>
      <c r="P42" t="n">
        <v>1</v>
      </c>
      <c r="Q42" t="n">
        <v>57</v>
      </c>
      <c r="R42" t="inlineStr">
        <is>
          <t>skip</t>
        </is>
      </c>
      <c r="S42" t="inlineStr">
        <is>
          <t>thyme</t>
        </is>
      </c>
      <c r="T42" t="inlineStr">
        <is>
          <t>validated</t>
        </is>
      </c>
      <c r="U42" t="n">
        <v>48</v>
      </c>
      <c r="V42" t="inlineStr">
        <is>
          <t>Tier 2</t>
        </is>
      </c>
      <c r="W42" t="inlineStr">
        <is>
          <t>FALSE</t>
        </is>
      </c>
      <c r="X42" t="inlineStr">
        <is>
          <t>TRUE</t>
        </is>
      </c>
      <c r="Y42" t="inlineStr">
        <is>
          <t>aligned</t>
        </is>
      </c>
    </row>
    <row r="43">
      <c r="A43" s="68" t="inlineStr">
        <is>
          <t>artichoke</t>
        </is>
      </c>
      <c r="B43" s="68" t="inlineStr">
        <is>
          <t>Artichoke</t>
        </is>
      </c>
      <c r="C43" s="68" t="n">
        <v>2</v>
      </c>
      <c r="D43" s="68" t="n">
        <v>2</v>
      </c>
      <c r="E43" s="68" t="n">
        <v>1</v>
      </c>
      <c r="F43" s="68" t="n">
        <v>0</v>
      </c>
      <c r="G43" s="68" t="n">
        <v>0</v>
      </c>
      <c r="H43" s="68" t="n">
        <v>0</v>
      </c>
      <c r="I43" s="68" t="n">
        <v>1</v>
      </c>
      <c r="J43" s="68" t="inlineStr">
        <is>
          <t>present</t>
        </is>
      </c>
      <c r="K43" s="68" t="inlineStr">
        <is>
          <t>Near ready</t>
        </is>
      </c>
      <c r="L43" s="68" t="inlineStr">
        <is>
          <t>Backfill stronger citation and pathway detail before stronger recommendation use</t>
        </is>
      </c>
      <c r="M43" s="68" t="n"/>
      <c r="N43" s="68" t="n"/>
      <c r="O43" s="68" t="inlineStr">
        <is>
          <t>cynarin</t>
        </is>
      </c>
      <c r="P43" t="n">
        <v>1</v>
      </c>
      <c r="Q43" t="n">
        <v>57</v>
      </c>
      <c r="R43" t="inlineStr">
        <is>
          <t>skip</t>
        </is>
      </c>
      <c r="S43" t="inlineStr">
        <is>
          <t>artichoke</t>
        </is>
      </c>
      <c r="T43" t="inlineStr">
        <is>
          <t>validated</t>
        </is>
      </c>
      <c r="U43" t="n">
        <v>48</v>
      </c>
      <c r="V43" t="inlineStr">
        <is>
          <t>Tier 2</t>
        </is>
      </c>
      <c r="W43" t="inlineStr">
        <is>
          <t>FALSE</t>
        </is>
      </c>
      <c r="X43" t="inlineStr">
        <is>
          <t>TRUE</t>
        </is>
      </c>
      <c r="Y43" t="inlineStr">
        <is>
          <t>aligned</t>
        </is>
      </c>
    </row>
    <row r="44">
      <c r="A44" s="68" t="inlineStr">
        <is>
          <t>fennel</t>
        </is>
      </c>
      <c r="B44" s="68" t="inlineStr">
        <is>
          <t>Fennel</t>
        </is>
      </c>
      <c r="C44" s="68" t="n">
        <v>2</v>
      </c>
      <c r="D44" s="68" t="n">
        <v>2</v>
      </c>
      <c r="E44" s="68" t="n">
        <v>1</v>
      </c>
      <c r="F44" s="68" t="n">
        <v>0</v>
      </c>
      <c r="G44" s="68" t="n">
        <v>0</v>
      </c>
      <c r="H44" s="68" t="n">
        <v>0</v>
      </c>
      <c r="I44" s="68" t="n">
        <v>1</v>
      </c>
      <c r="J44" s="68" t="inlineStr">
        <is>
          <t>present</t>
        </is>
      </c>
      <c r="K44" s="68" t="inlineStr">
        <is>
          <t>Near ready</t>
        </is>
      </c>
      <c r="L44" s="68" t="inlineStr">
        <is>
          <t>Backfill stronger citation and pathway detail before stronger recommendation use</t>
        </is>
      </c>
      <c r="M44" s="68" t="n"/>
      <c r="N44" s="68" t="n"/>
      <c r="O44" s="68" t="inlineStr">
        <is>
          <t>anethole</t>
        </is>
      </c>
      <c r="P44" t="n">
        <v>1</v>
      </c>
      <c r="Q44" t="n">
        <v>57</v>
      </c>
      <c r="R44" t="inlineStr">
        <is>
          <t>skip</t>
        </is>
      </c>
      <c r="S44" t="inlineStr">
        <is>
          <t>fennel</t>
        </is>
      </c>
      <c r="T44" t="inlineStr">
        <is>
          <t>validated</t>
        </is>
      </c>
      <c r="U44" t="n">
        <v>48</v>
      </c>
      <c r="V44" t="inlineStr">
        <is>
          <t>Tier 2</t>
        </is>
      </c>
      <c r="W44" t="inlineStr">
        <is>
          <t>FALSE</t>
        </is>
      </c>
      <c r="X44" t="inlineStr">
        <is>
          <t>TRUE</t>
        </is>
      </c>
      <c r="Y44" t="inlineStr">
        <is>
          <t>aligned</t>
        </is>
      </c>
    </row>
    <row r="45">
      <c r="A45" s="68" t="inlineStr">
        <is>
          <t>cinnamon</t>
        </is>
      </c>
      <c r="B45" s="68" t="inlineStr">
        <is>
          <t>Cinnamon</t>
        </is>
      </c>
      <c r="C45" s="68" t="n">
        <v>2</v>
      </c>
      <c r="D45" s="68" t="n">
        <v>2</v>
      </c>
      <c r="E45" s="68" t="n">
        <v>1</v>
      </c>
      <c r="F45" s="68" t="n">
        <v>0</v>
      </c>
      <c r="G45" s="68" t="n">
        <v>0</v>
      </c>
      <c r="H45" s="68" t="n">
        <v>0</v>
      </c>
      <c r="I45" s="68" t="n">
        <v>1</v>
      </c>
      <c r="J45" s="68" t="inlineStr">
        <is>
          <t>present</t>
        </is>
      </c>
      <c r="K45" s="68" t="inlineStr">
        <is>
          <t>Near ready</t>
        </is>
      </c>
      <c r="L45" s="68" t="inlineStr">
        <is>
          <t>Backfill stronger citation and pathway detail before stronger recommendation use</t>
        </is>
      </c>
      <c r="M45" s="68" t="n"/>
      <c r="N45" s="68" t="n"/>
      <c r="O45" s="68" t="inlineStr">
        <is>
          <t>cinnamaldehyde</t>
        </is>
      </c>
      <c r="P45" t="n">
        <v>1</v>
      </c>
      <c r="Q45" t="n">
        <v>57</v>
      </c>
      <c r="R45" t="inlineStr">
        <is>
          <t>skip</t>
        </is>
      </c>
      <c r="S45" t="inlineStr">
        <is>
          <t>cinnamon</t>
        </is>
      </c>
      <c r="T45" t="inlineStr">
        <is>
          <t>validated</t>
        </is>
      </c>
      <c r="U45" t="n">
        <v>48</v>
      </c>
      <c r="V45" t="inlineStr">
        <is>
          <t>Tier 2</t>
        </is>
      </c>
      <c r="W45" t="inlineStr">
        <is>
          <t>FALSE</t>
        </is>
      </c>
      <c r="X45" t="inlineStr">
        <is>
          <t>TRUE</t>
        </is>
      </c>
      <c r="Y45" t="inlineStr">
        <is>
          <t>aligned</t>
        </is>
      </c>
    </row>
    <row r="46">
      <c r="A46" s="68" t="inlineStr">
        <is>
          <t>dandelion</t>
        </is>
      </c>
      <c r="B46" s="68" t="inlineStr">
        <is>
          <t>Dandelion</t>
        </is>
      </c>
      <c r="C46" s="68" t="n">
        <v>2</v>
      </c>
      <c r="D46" s="68" t="n">
        <v>2</v>
      </c>
      <c r="E46" s="68" t="n">
        <v>1</v>
      </c>
      <c r="F46" s="68" t="n">
        <v>0</v>
      </c>
      <c r="G46" s="68" t="n">
        <v>0</v>
      </c>
      <c r="H46" s="68" t="n">
        <v>0</v>
      </c>
      <c r="I46" s="68" t="n">
        <v>1</v>
      </c>
      <c r="J46" s="68" t="inlineStr">
        <is>
          <t>present</t>
        </is>
      </c>
      <c r="K46" s="68" t="inlineStr">
        <is>
          <t>Near ready</t>
        </is>
      </c>
      <c r="L46" s="68" t="inlineStr">
        <is>
          <t>Backfill stronger citation and pathway detail before stronger recommendation use</t>
        </is>
      </c>
      <c r="M46" s="68" t="n"/>
      <c r="N46" s="68" t="n"/>
      <c r="O46" s="68" t="inlineStr">
        <is>
          <t>taraxasterol</t>
        </is>
      </c>
      <c r="P46" t="n">
        <v>1</v>
      </c>
      <c r="Q46" t="n">
        <v>57</v>
      </c>
      <c r="R46" t="inlineStr">
        <is>
          <t>skip</t>
        </is>
      </c>
      <c r="S46" t="inlineStr">
        <is>
          <t>dandelion</t>
        </is>
      </c>
      <c r="T46" t="inlineStr">
        <is>
          <t>validated</t>
        </is>
      </c>
      <c r="U46" t="n">
        <v>48</v>
      </c>
      <c r="V46" t="inlineStr">
        <is>
          <t>Tier 2</t>
        </is>
      </c>
      <c r="W46" t="inlineStr">
        <is>
          <t>FALSE</t>
        </is>
      </c>
      <c r="X46" t="inlineStr">
        <is>
          <t>TRUE</t>
        </is>
      </c>
      <c r="Y46" t="inlineStr">
        <is>
          <t>aligned</t>
        </is>
      </c>
    </row>
    <row r="47">
      <c r="A47" s="68" t="inlineStr">
        <is>
          <t>burdock</t>
        </is>
      </c>
      <c r="B47" s="68" t="inlineStr">
        <is>
          <t>Burdock</t>
        </is>
      </c>
      <c r="C47" s="68" t="n">
        <v>2</v>
      </c>
      <c r="D47" s="68" t="n">
        <v>2</v>
      </c>
      <c r="E47" s="68" t="n">
        <v>1</v>
      </c>
      <c r="F47" s="68" t="n">
        <v>0</v>
      </c>
      <c r="G47" s="68" t="n">
        <v>0</v>
      </c>
      <c r="H47" s="68" t="n">
        <v>0</v>
      </c>
      <c r="I47" s="68" t="n">
        <v>1</v>
      </c>
      <c r="J47" s="68" t="inlineStr">
        <is>
          <t>present</t>
        </is>
      </c>
      <c r="K47" s="68" t="inlineStr">
        <is>
          <t>Near ready</t>
        </is>
      </c>
      <c r="L47" s="68" t="inlineStr">
        <is>
          <t>Backfill stronger citation and pathway detail before stronger recommendation use</t>
        </is>
      </c>
      <c r="M47" s="68" t="n"/>
      <c r="N47" s="68" t="n"/>
      <c r="O47" s="68" t="inlineStr">
        <is>
          <t>arctiin</t>
        </is>
      </c>
      <c r="P47" t="n">
        <v>1</v>
      </c>
      <c r="Q47" t="n">
        <v>57</v>
      </c>
      <c r="R47" t="inlineStr">
        <is>
          <t>skip</t>
        </is>
      </c>
      <c r="S47" t="inlineStr">
        <is>
          <t>burdock</t>
        </is>
      </c>
      <c r="T47" t="inlineStr">
        <is>
          <t>validated</t>
        </is>
      </c>
      <c r="U47" t="n">
        <v>48</v>
      </c>
      <c r="V47" t="inlineStr">
        <is>
          <t>Tier 2</t>
        </is>
      </c>
      <c r="W47" t="inlineStr">
        <is>
          <t>FALSE</t>
        </is>
      </c>
      <c r="X47" t="inlineStr">
        <is>
          <t>TRUE</t>
        </is>
      </c>
      <c r="Y47" t="inlineStr">
        <is>
          <t>aligned</t>
        </is>
      </c>
    </row>
    <row r="48">
      <c r="A48" s="68" t="inlineStr">
        <is>
          <t>chamomile</t>
        </is>
      </c>
      <c r="B48" s="68" t="inlineStr">
        <is>
          <t>Chamomile</t>
        </is>
      </c>
      <c r="C48" s="68" t="n">
        <v>2</v>
      </c>
      <c r="D48" s="68" t="n">
        <v>2</v>
      </c>
      <c r="E48" s="68" t="n">
        <v>1</v>
      </c>
      <c r="F48" s="68" t="n">
        <v>0</v>
      </c>
      <c r="G48" s="68" t="n">
        <v>0</v>
      </c>
      <c r="H48" s="68" t="n">
        <v>0</v>
      </c>
      <c r="I48" s="68" t="n">
        <v>1</v>
      </c>
      <c r="J48" s="68" t="inlineStr">
        <is>
          <t>present</t>
        </is>
      </c>
      <c r="K48" s="68" t="inlineStr">
        <is>
          <t>Near ready</t>
        </is>
      </c>
      <c r="L48" s="68" t="inlineStr">
        <is>
          <t>Backfill stronger citation and pathway detail before stronger recommendation use</t>
        </is>
      </c>
      <c r="M48" s="68" t="n"/>
      <c r="N48" s="68" t="n"/>
      <c r="O48" s="68" t="inlineStr">
        <is>
          <t>apigenin</t>
        </is>
      </c>
      <c r="P48" t="n">
        <v>1</v>
      </c>
      <c r="Q48" t="n">
        <v>57</v>
      </c>
      <c r="R48" t="inlineStr">
        <is>
          <t>skip</t>
        </is>
      </c>
      <c r="S48" t="inlineStr">
        <is>
          <t>chamomile</t>
        </is>
      </c>
      <c r="T48" t="inlineStr">
        <is>
          <t>validated</t>
        </is>
      </c>
      <c r="U48" t="n">
        <v>48</v>
      </c>
      <c r="V48" t="inlineStr">
        <is>
          <t>Tier 2</t>
        </is>
      </c>
      <c r="W48" t="inlineStr">
        <is>
          <t>FALSE</t>
        </is>
      </c>
      <c r="X48" t="inlineStr">
        <is>
          <t>TRUE</t>
        </is>
      </c>
      <c r="Y48" t="inlineStr">
        <is>
          <t>aligned</t>
        </is>
      </c>
    </row>
    <row r="49">
      <c r="A49" s="68" t="inlineStr">
        <is>
          <t>oatstraw</t>
        </is>
      </c>
      <c r="B49" s="68" t="inlineStr">
        <is>
          <t>Oatstraw</t>
        </is>
      </c>
      <c r="C49" s="68" t="n">
        <v>2</v>
      </c>
      <c r="D49" s="68" t="n">
        <v>2</v>
      </c>
      <c r="E49" s="68" t="n">
        <v>1</v>
      </c>
      <c r="F49" s="68" t="n">
        <v>0</v>
      </c>
      <c r="G49" s="68" t="n">
        <v>0</v>
      </c>
      <c r="H49" s="68" t="n">
        <v>0</v>
      </c>
      <c r="I49" s="68" t="n">
        <v>1</v>
      </c>
      <c r="J49" s="68" t="inlineStr">
        <is>
          <t>present</t>
        </is>
      </c>
      <c r="K49" s="68" t="inlineStr">
        <is>
          <t>Near ready</t>
        </is>
      </c>
      <c r="L49" s="68" t="inlineStr">
        <is>
          <t>Backfill stronger citation and pathway detail before stronger recommendation use</t>
        </is>
      </c>
      <c r="M49" s="68" t="n"/>
      <c r="N49" s="68" t="n"/>
      <c r="O49" s="68" t="inlineStr">
        <is>
          <t>avenanthramides</t>
        </is>
      </c>
      <c r="P49" t="n">
        <v>1</v>
      </c>
      <c r="Q49" t="n">
        <v>57</v>
      </c>
      <c r="R49" t="inlineStr">
        <is>
          <t>skip</t>
        </is>
      </c>
      <c r="S49" t="inlineStr">
        <is>
          <t>oatstraw</t>
        </is>
      </c>
      <c r="T49" t="inlineStr">
        <is>
          <t>validated</t>
        </is>
      </c>
      <c r="U49" t="n">
        <v>48</v>
      </c>
      <c r="V49" t="inlineStr">
        <is>
          <t>Tier 2</t>
        </is>
      </c>
      <c r="W49" t="inlineStr">
        <is>
          <t>FALSE</t>
        </is>
      </c>
      <c r="X49" t="inlineStr">
        <is>
          <t>TRUE</t>
        </is>
      </c>
      <c r="Y49" t="inlineStr">
        <is>
          <t>aligned</t>
        </is>
      </c>
    </row>
    <row r="50">
      <c r="A50" s="68" t="inlineStr">
        <is>
          <t>pau-darco</t>
        </is>
      </c>
      <c r="B50" s="68" t="inlineStr">
        <is>
          <t>Pau d'Arco</t>
        </is>
      </c>
      <c r="C50" s="68" t="n">
        <v>2</v>
      </c>
      <c r="D50" s="68" t="n">
        <v>2</v>
      </c>
      <c r="E50" s="68" t="n">
        <v>1</v>
      </c>
      <c r="F50" s="68" t="n">
        <v>0</v>
      </c>
      <c r="G50" s="68" t="n">
        <v>0</v>
      </c>
      <c r="H50" s="68" t="n">
        <v>0</v>
      </c>
      <c r="I50" s="68" t="n">
        <v>1</v>
      </c>
      <c r="J50" s="68" t="inlineStr">
        <is>
          <t>present</t>
        </is>
      </c>
      <c r="K50" s="68" t="inlineStr">
        <is>
          <t>Near ready</t>
        </is>
      </c>
      <c r="L50" s="68" t="inlineStr">
        <is>
          <t>Backfill stronger citation and pathway detail before stronger recommendation use</t>
        </is>
      </c>
      <c r="M50" s="68" t="n"/>
      <c r="N50" s="68" t="n"/>
      <c r="O50" s="68" t="inlineStr">
        <is>
          <t>lapachol</t>
        </is>
      </c>
      <c r="P50" t="n">
        <v>1</v>
      </c>
      <c r="Q50" t="n">
        <v>57</v>
      </c>
      <c r="R50" t="inlineStr">
        <is>
          <t>skip</t>
        </is>
      </c>
      <c r="S50" t="inlineStr">
        <is>
          <t>pau-darco</t>
        </is>
      </c>
      <c r="T50" t="inlineStr">
        <is>
          <t>validated</t>
        </is>
      </c>
      <c r="U50" t="n">
        <v>48</v>
      </c>
      <c r="V50" t="inlineStr">
        <is>
          <t>Tier 2</t>
        </is>
      </c>
      <c r="W50" t="inlineStr">
        <is>
          <t>FALSE</t>
        </is>
      </c>
      <c r="X50" t="inlineStr">
        <is>
          <t>TRUE</t>
        </is>
      </c>
      <c r="Y50" t="inlineStr">
        <is>
          <t>aligned</t>
        </is>
      </c>
    </row>
    <row r="51">
      <c r="A51" s="68" t="inlineStr">
        <is>
          <t>neem</t>
        </is>
      </c>
      <c r="B51" s="68" t="inlineStr">
        <is>
          <t>Neem</t>
        </is>
      </c>
      <c r="C51" s="68" t="n">
        <v>2</v>
      </c>
      <c r="D51" s="68" t="n">
        <v>2</v>
      </c>
      <c r="E51" s="68" t="n">
        <v>1</v>
      </c>
      <c r="F51" s="68" t="n">
        <v>0</v>
      </c>
      <c r="G51" s="68" t="n">
        <v>0</v>
      </c>
      <c r="H51" s="68" t="n">
        <v>0</v>
      </c>
      <c r="I51" s="68" t="n">
        <v>1</v>
      </c>
      <c r="J51" s="68" t="inlineStr">
        <is>
          <t>present</t>
        </is>
      </c>
      <c r="K51" s="68" t="inlineStr">
        <is>
          <t>Near ready</t>
        </is>
      </c>
      <c r="L51" s="68" t="inlineStr">
        <is>
          <t>Backfill stronger citation and pathway detail before stronger recommendation use</t>
        </is>
      </c>
      <c r="M51" s="68" t="n"/>
      <c r="N51" s="68" t="n"/>
      <c r="O51" s="68" t="inlineStr">
        <is>
          <t>nimbin</t>
        </is>
      </c>
      <c r="P51" t="n">
        <v>1</v>
      </c>
      <c r="Q51" t="n">
        <v>57</v>
      </c>
      <c r="R51" t="inlineStr">
        <is>
          <t>skip</t>
        </is>
      </c>
      <c r="S51" t="inlineStr">
        <is>
          <t>neem</t>
        </is>
      </c>
      <c r="T51" t="inlineStr">
        <is>
          <t>validated</t>
        </is>
      </c>
      <c r="U51" t="n">
        <v>48</v>
      </c>
      <c r="V51" t="inlineStr">
        <is>
          <t>Tier 2</t>
        </is>
      </c>
      <c r="W51" t="inlineStr">
        <is>
          <t>FALSE</t>
        </is>
      </c>
      <c r="X51" t="inlineStr">
        <is>
          <t>TRUE</t>
        </is>
      </c>
      <c r="Y51" t="inlineStr">
        <is>
          <t>aligned</t>
        </is>
      </c>
    </row>
    <row r="52">
      <c r="A52" s="68" t="inlineStr">
        <is>
          <t>lemon-verbena</t>
        </is>
      </c>
      <c r="B52" s="68" t="inlineStr">
        <is>
          <t>Lemon Verbena</t>
        </is>
      </c>
      <c r="C52" s="68" t="n">
        <v>2</v>
      </c>
      <c r="D52" s="68" t="n">
        <v>2</v>
      </c>
      <c r="E52" s="68" t="n">
        <v>1</v>
      </c>
      <c r="F52" s="68" t="n">
        <v>0</v>
      </c>
      <c r="G52" s="68" t="n">
        <v>0</v>
      </c>
      <c r="H52" s="68" t="n">
        <v>0</v>
      </c>
      <c r="I52" s="68" t="n">
        <v>1</v>
      </c>
      <c r="J52" s="68" t="inlineStr">
        <is>
          <t>present</t>
        </is>
      </c>
      <c r="K52" s="68" t="inlineStr">
        <is>
          <t>Near ready</t>
        </is>
      </c>
      <c r="L52" s="68" t="inlineStr">
        <is>
          <t>Backfill stronger citation and pathway detail before stronger recommendation use</t>
        </is>
      </c>
      <c r="M52" s="68" t="n"/>
      <c r="N52" s="68" t="n"/>
      <c r="O52" s="68" t="inlineStr">
        <is>
          <t>verbascoside</t>
        </is>
      </c>
      <c r="P52" t="n">
        <v>1</v>
      </c>
      <c r="Q52" t="n">
        <v>57</v>
      </c>
      <c r="R52" t="inlineStr">
        <is>
          <t>skip</t>
        </is>
      </c>
      <c r="S52" t="inlineStr">
        <is>
          <t>lemon-verbena</t>
        </is>
      </c>
      <c r="T52" t="inlineStr">
        <is>
          <t>validated</t>
        </is>
      </c>
      <c r="U52" t="n">
        <v>48</v>
      </c>
      <c r="V52" t="inlineStr">
        <is>
          <t>Tier 2</t>
        </is>
      </c>
      <c r="W52" t="inlineStr">
        <is>
          <t>FALSE</t>
        </is>
      </c>
      <c r="X52" t="inlineStr">
        <is>
          <t>TRUE</t>
        </is>
      </c>
      <c r="Y52" t="inlineStr">
        <is>
          <t>aligned</t>
        </is>
      </c>
    </row>
    <row r="53">
      <c r="A53" s="68" t="inlineStr">
        <is>
          <t>milky-oats</t>
        </is>
      </c>
      <c r="B53" s="68" t="inlineStr">
        <is>
          <t>Milk Oats</t>
        </is>
      </c>
      <c r="C53" s="68" t="n">
        <v>2</v>
      </c>
      <c r="D53" s="68" t="n">
        <v>2</v>
      </c>
      <c r="E53" s="68" t="n">
        <v>1</v>
      </c>
      <c r="F53" s="68" t="n">
        <v>0</v>
      </c>
      <c r="G53" s="68" t="n">
        <v>0</v>
      </c>
      <c r="H53" s="68" t="n">
        <v>0</v>
      </c>
      <c r="I53" s="68" t="n">
        <v>1</v>
      </c>
      <c r="J53" s="68" t="inlineStr">
        <is>
          <t>present</t>
        </is>
      </c>
      <c r="K53" s="68" t="inlineStr">
        <is>
          <t>Near ready</t>
        </is>
      </c>
      <c r="L53" s="68" t="inlineStr">
        <is>
          <t>Backfill stronger citation and pathway detail before stronger recommendation use</t>
        </is>
      </c>
      <c r="M53" s="68" t="n"/>
      <c r="N53" s="68" t="n"/>
      <c r="O53" s="68" t="inlineStr">
        <is>
          <t>avenacosides</t>
        </is>
      </c>
      <c r="P53" t="n">
        <v>1</v>
      </c>
      <c r="Q53" t="n">
        <v>57</v>
      </c>
      <c r="R53" t="inlineStr">
        <is>
          <t>skip</t>
        </is>
      </c>
      <c r="S53" t="inlineStr">
        <is>
          <t>milk-oats</t>
        </is>
      </c>
      <c r="T53" t="inlineStr">
        <is>
          <t>validated</t>
        </is>
      </c>
      <c r="U53" t="n">
        <v>48</v>
      </c>
      <c r="V53" t="inlineStr">
        <is>
          <t>Tier 2</t>
        </is>
      </c>
      <c r="W53" t="inlineStr">
        <is>
          <t>FALSE</t>
        </is>
      </c>
      <c r="X53" t="inlineStr">
        <is>
          <t>TRUE</t>
        </is>
      </c>
      <c r="Y53" t="inlineStr">
        <is>
          <t>aligned</t>
        </is>
      </c>
    </row>
    <row r="54">
      <c r="A54" s="68" t="inlineStr">
        <is>
          <t>ashitaba</t>
        </is>
      </c>
      <c r="B54" s="68" t="inlineStr">
        <is>
          <t>Ashitaba</t>
        </is>
      </c>
      <c r="C54" s="68" t="n">
        <v>2</v>
      </c>
      <c r="D54" s="68" t="n">
        <v>2</v>
      </c>
      <c r="E54" s="68" t="n">
        <v>1</v>
      </c>
      <c r="F54" s="68" t="n">
        <v>0</v>
      </c>
      <c r="G54" s="68" t="n">
        <v>0</v>
      </c>
      <c r="H54" s="68" t="n">
        <v>0</v>
      </c>
      <c r="I54" s="68" t="n">
        <v>1</v>
      </c>
      <c r="J54" s="68" t="inlineStr">
        <is>
          <t>present</t>
        </is>
      </c>
      <c r="K54" s="68" t="inlineStr">
        <is>
          <t>Near ready</t>
        </is>
      </c>
      <c r="L54" s="68" t="inlineStr">
        <is>
          <t>Backfill stronger citation and pathway detail before stronger recommendation use</t>
        </is>
      </c>
      <c r="M54" s="68" t="n"/>
      <c r="N54" s="68" t="n"/>
      <c r="O54" s="68" t="inlineStr">
        <is>
          <t>4-hydroxyderricin</t>
        </is>
      </c>
      <c r="P54" t="n">
        <v>1</v>
      </c>
      <c r="Q54" t="n">
        <v>57</v>
      </c>
      <c r="R54" t="inlineStr">
        <is>
          <t>skip</t>
        </is>
      </c>
      <c r="S54" t="inlineStr">
        <is>
          <t>ashitaba</t>
        </is>
      </c>
      <c r="T54" t="inlineStr">
        <is>
          <t>validated</t>
        </is>
      </c>
      <c r="U54" t="n">
        <v>48</v>
      </c>
      <c r="V54" t="inlineStr">
        <is>
          <t>Tier 2</t>
        </is>
      </c>
      <c r="W54" t="inlineStr">
        <is>
          <t>FALSE</t>
        </is>
      </c>
      <c r="X54" t="inlineStr">
        <is>
          <t>TRUE</t>
        </is>
      </c>
      <c r="Y54" t="inlineStr">
        <is>
          <t>aligned</t>
        </is>
      </c>
    </row>
    <row r="55">
      <c r="A55" s="68" t="inlineStr">
        <is>
          <t>pomegranate</t>
        </is>
      </c>
      <c r="B55" s="68" t="inlineStr">
        <is>
          <t>Pomegranate</t>
        </is>
      </c>
      <c r="C55" s="68" t="n">
        <v>2</v>
      </c>
      <c r="D55" s="68" t="n">
        <v>2</v>
      </c>
      <c r="E55" s="68" t="n">
        <v>1</v>
      </c>
      <c r="F55" s="68" t="n">
        <v>0</v>
      </c>
      <c r="G55" s="68" t="n">
        <v>0</v>
      </c>
      <c r="H55" s="68" t="n">
        <v>0</v>
      </c>
      <c r="I55" s="68" t="n">
        <v>1</v>
      </c>
      <c r="J55" s="68" t="inlineStr">
        <is>
          <t>present</t>
        </is>
      </c>
      <c r="K55" s="68" t="inlineStr">
        <is>
          <t>Near ready</t>
        </is>
      </c>
      <c r="L55" s="68" t="inlineStr">
        <is>
          <t>Backfill stronger citation and pathway detail before stronger recommendation use</t>
        </is>
      </c>
      <c r="M55" s="68" t="n"/>
      <c r="N55" s="68" t="n"/>
      <c r="O55" s="68" t="inlineStr">
        <is>
          <t>punicalagins</t>
        </is>
      </c>
      <c r="P55" t="n">
        <v>1</v>
      </c>
      <c r="Q55" t="n">
        <v>57</v>
      </c>
      <c r="R55" t="inlineStr">
        <is>
          <t>skip</t>
        </is>
      </c>
      <c r="S55" t="inlineStr">
        <is>
          <t>pomegranate</t>
        </is>
      </c>
      <c r="T55" t="inlineStr">
        <is>
          <t>validated</t>
        </is>
      </c>
      <c r="U55" t="n">
        <v>48</v>
      </c>
      <c r="V55" t="inlineStr">
        <is>
          <t>Tier 2</t>
        </is>
      </c>
      <c r="W55" t="inlineStr">
        <is>
          <t>FALSE</t>
        </is>
      </c>
      <c r="X55" t="inlineStr">
        <is>
          <t>TRUE</t>
        </is>
      </c>
      <c r="Y55" t="inlineStr">
        <is>
          <t>aligned</t>
        </is>
      </c>
    </row>
    <row r="56">
      <c r="A56" s="68" t="inlineStr">
        <is>
          <t>arjuna</t>
        </is>
      </c>
      <c r="B56" s="68" t="inlineStr">
        <is>
          <t>Arjuna</t>
        </is>
      </c>
      <c r="C56" s="68" t="n">
        <v>2</v>
      </c>
      <c r="D56" s="68" t="n">
        <v>2</v>
      </c>
      <c r="E56" s="68" t="n">
        <v>1</v>
      </c>
      <c r="F56" s="68" t="n">
        <v>0</v>
      </c>
      <c r="G56" s="68" t="n">
        <v>0</v>
      </c>
      <c r="H56" s="68" t="n">
        <v>0</v>
      </c>
      <c r="I56" s="68" t="n">
        <v>1</v>
      </c>
      <c r="J56" s="68" t="inlineStr">
        <is>
          <t>present</t>
        </is>
      </c>
      <c r="K56" s="68" t="inlineStr">
        <is>
          <t>Near ready</t>
        </is>
      </c>
      <c r="L56" s="68" t="inlineStr">
        <is>
          <t>Backfill stronger citation and pathway detail before stronger recommendation use</t>
        </is>
      </c>
      <c r="M56" s="68" t="n"/>
      <c r="N56" s="68" t="n"/>
      <c r="O56" s="68" t="inlineStr">
        <is>
          <t>arjunolic acid</t>
        </is>
      </c>
      <c r="P56" t="n">
        <v>1</v>
      </c>
      <c r="Q56" t="n">
        <v>57</v>
      </c>
      <c r="R56" t="inlineStr">
        <is>
          <t>skip</t>
        </is>
      </c>
      <c r="S56" t="inlineStr">
        <is>
          <t>arjuna</t>
        </is>
      </c>
      <c r="T56" t="inlineStr">
        <is>
          <t>validated</t>
        </is>
      </c>
      <c r="U56" t="n">
        <v>48</v>
      </c>
      <c r="V56" t="inlineStr">
        <is>
          <t>Tier 2</t>
        </is>
      </c>
      <c r="W56" t="inlineStr">
        <is>
          <t>FALSE</t>
        </is>
      </c>
      <c r="X56" t="inlineStr">
        <is>
          <t>TRUE</t>
        </is>
      </c>
      <c r="Y56" t="inlineStr">
        <is>
          <t>aligned</t>
        </is>
      </c>
    </row>
    <row r="57">
      <c r="A57" s="68" t="inlineStr">
        <is>
          <t>noni</t>
        </is>
      </c>
      <c r="B57" s="68" t="inlineStr">
        <is>
          <t>Noni</t>
        </is>
      </c>
      <c r="C57" s="68" t="n">
        <v>2</v>
      </c>
      <c r="D57" s="68" t="n">
        <v>2</v>
      </c>
      <c r="E57" s="68" t="n">
        <v>1</v>
      </c>
      <c r="F57" s="68" t="n">
        <v>0</v>
      </c>
      <c r="G57" s="68" t="n">
        <v>0</v>
      </c>
      <c r="H57" s="68" t="n">
        <v>0</v>
      </c>
      <c r="I57" s="68" t="n">
        <v>1</v>
      </c>
      <c r="J57" s="68" t="inlineStr">
        <is>
          <t>present</t>
        </is>
      </c>
      <c r="K57" s="68" t="inlineStr">
        <is>
          <t>Near ready</t>
        </is>
      </c>
      <c r="L57" s="68" t="inlineStr">
        <is>
          <t>Backfill stronger citation and pathway detail before stronger recommendation use</t>
        </is>
      </c>
      <c r="M57" s="68" t="n"/>
      <c r="N57" s="68" t="n"/>
      <c r="O57" s="68" t="inlineStr">
        <is>
          <t>damnacanthal</t>
        </is>
      </c>
      <c r="P57" t="n">
        <v>1</v>
      </c>
      <c r="Q57" t="n">
        <v>57</v>
      </c>
      <c r="R57" t="inlineStr">
        <is>
          <t>skip</t>
        </is>
      </c>
      <c r="S57" t="inlineStr">
        <is>
          <t>noni</t>
        </is>
      </c>
      <c r="T57" t="inlineStr">
        <is>
          <t>validated</t>
        </is>
      </c>
      <c r="U57" t="n">
        <v>48</v>
      </c>
      <c r="V57" t="inlineStr">
        <is>
          <t>Tier 2</t>
        </is>
      </c>
      <c r="W57" t="inlineStr">
        <is>
          <t>FALSE</t>
        </is>
      </c>
      <c r="X57" t="inlineStr">
        <is>
          <t>TRUE</t>
        </is>
      </c>
      <c r="Y57" t="inlineStr">
        <is>
          <t>aligned</t>
        </is>
      </c>
    </row>
    <row r="58">
      <c r="A58" s="68" t="inlineStr">
        <is>
          <t>rose-hips</t>
        </is>
      </c>
      <c r="B58" s="68" t="inlineStr">
        <is>
          <t>Rose Hips</t>
        </is>
      </c>
      <c r="C58" s="68" t="n">
        <v>2</v>
      </c>
      <c r="D58" s="68" t="n">
        <v>2</v>
      </c>
      <c r="E58" s="68" t="n">
        <v>1</v>
      </c>
      <c r="F58" s="68" t="n">
        <v>0</v>
      </c>
      <c r="G58" s="68" t="n">
        <v>0</v>
      </c>
      <c r="H58" s="68" t="n">
        <v>0</v>
      </c>
      <c r="I58" s="68" t="n">
        <v>1</v>
      </c>
      <c r="J58" s="68" t="inlineStr">
        <is>
          <t>present</t>
        </is>
      </c>
      <c r="K58" s="68" t="inlineStr">
        <is>
          <t>Near ready</t>
        </is>
      </c>
      <c r="L58" s="68" t="inlineStr">
        <is>
          <t>Backfill stronger citation and pathway detail before stronger recommendation use</t>
        </is>
      </c>
      <c r="M58" s="68" t="n"/>
      <c r="N58" s="68" t="n"/>
      <c r="O58" s="68" t="inlineStr">
        <is>
          <t>trans-tiliroside</t>
        </is>
      </c>
      <c r="P58" t="n">
        <v>1</v>
      </c>
      <c r="Q58" t="n">
        <v>57</v>
      </c>
      <c r="R58" t="inlineStr">
        <is>
          <t>skip</t>
        </is>
      </c>
      <c r="S58" t="inlineStr">
        <is>
          <t>rose-hips</t>
        </is>
      </c>
      <c r="T58" t="inlineStr">
        <is>
          <t>validated</t>
        </is>
      </c>
      <c r="U58" t="n">
        <v>48</v>
      </c>
      <c r="V58" t="inlineStr">
        <is>
          <t>Tier 2</t>
        </is>
      </c>
      <c r="W58" t="inlineStr">
        <is>
          <t>FALSE</t>
        </is>
      </c>
      <c r="X58" t="inlineStr">
        <is>
          <t>TRUE</t>
        </is>
      </c>
      <c r="Y58" t="inlineStr">
        <is>
          <t>aligned</t>
        </is>
      </c>
    </row>
    <row r="59">
      <c r="A59" s="68" t="inlineStr">
        <is>
          <t>myrtle</t>
        </is>
      </c>
      <c r="B59" s="68" t="inlineStr">
        <is>
          <t>Myrtle</t>
        </is>
      </c>
      <c r="C59" s="68" t="n">
        <v>2</v>
      </c>
      <c r="D59" s="68" t="n">
        <v>2</v>
      </c>
      <c r="E59" s="68" t="n">
        <v>1</v>
      </c>
      <c r="F59" s="68" t="n">
        <v>0</v>
      </c>
      <c r="G59" s="68" t="n">
        <v>0</v>
      </c>
      <c r="H59" s="68" t="n">
        <v>0</v>
      </c>
      <c r="I59" s="68" t="n">
        <v>1</v>
      </c>
      <c r="J59" s="68" t="inlineStr">
        <is>
          <t>present</t>
        </is>
      </c>
      <c r="K59" s="68" t="inlineStr">
        <is>
          <t>Near ready</t>
        </is>
      </c>
      <c r="L59" s="68" t="inlineStr">
        <is>
          <t>Backfill stronger citation and pathway detail before stronger recommendation use</t>
        </is>
      </c>
      <c r="M59" s="68" t="n"/>
      <c r="N59" s="68" t="n"/>
      <c r="O59" s="68" t="inlineStr">
        <is>
          <t>myrtenyl acetate</t>
        </is>
      </c>
      <c r="P59" t="n">
        <v>1</v>
      </c>
      <c r="Q59" t="n">
        <v>57</v>
      </c>
      <c r="R59" t="inlineStr">
        <is>
          <t>skip</t>
        </is>
      </c>
      <c r="S59" t="inlineStr">
        <is>
          <t>myrtle</t>
        </is>
      </c>
      <c r="T59" t="inlineStr">
        <is>
          <t>validated</t>
        </is>
      </c>
      <c r="U59" t="n">
        <v>48</v>
      </c>
      <c r="V59" t="inlineStr">
        <is>
          <t>Tier 2</t>
        </is>
      </c>
      <c r="W59" t="inlineStr">
        <is>
          <t>FALSE</t>
        </is>
      </c>
      <c r="X59" t="inlineStr">
        <is>
          <t>TRUE</t>
        </is>
      </c>
      <c r="Y59" t="inlineStr">
        <is>
          <t>aligned</t>
        </is>
      </c>
    </row>
    <row r="60">
      <c r="A60" s="68" t="inlineStr">
        <is>
          <t>mangosteen</t>
        </is>
      </c>
      <c r="B60" s="68" t="inlineStr">
        <is>
          <t>Mangosteen</t>
        </is>
      </c>
      <c r="C60" s="68" t="n">
        <v>2</v>
      </c>
      <c r="D60" s="68" t="n">
        <v>2</v>
      </c>
      <c r="E60" s="68" t="n">
        <v>1</v>
      </c>
      <c r="F60" s="68" t="n">
        <v>0</v>
      </c>
      <c r="G60" s="68" t="n">
        <v>0</v>
      </c>
      <c r="H60" s="68" t="n">
        <v>0</v>
      </c>
      <c r="I60" s="68" t="n">
        <v>1</v>
      </c>
      <c r="J60" s="68" t="inlineStr">
        <is>
          <t>present</t>
        </is>
      </c>
      <c r="K60" s="68" t="inlineStr">
        <is>
          <t>Near ready</t>
        </is>
      </c>
      <c r="L60" s="68" t="inlineStr">
        <is>
          <t>Backfill stronger citation and pathway detail before stronger recommendation use</t>
        </is>
      </c>
      <c r="M60" s="68" t="n"/>
      <c r="N60" s="68" t="n"/>
      <c r="O60" s="68" t="inlineStr">
        <is>
          <t>alpha-mangostin</t>
        </is>
      </c>
      <c r="P60" t="n">
        <v>1</v>
      </c>
      <c r="Q60" t="n">
        <v>57</v>
      </c>
      <c r="R60" t="inlineStr">
        <is>
          <t>skip</t>
        </is>
      </c>
      <c r="S60" t="inlineStr">
        <is>
          <t>mangosteen</t>
        </is>
      </c>
      <c r="T60" t="inlineStr">
        <is>
          <t>validated</t>
        </is>
      </c>
      <c r="U60" t="n">
        <v>48</v>
      </c>
      <c r="V60" t="inlineStr">
        <is>
          <t>Tier 2</t>
        </is>
      </c>
      <c r="W60" t="inlineStr">
        <is>
          <t>FALSE</t>
        </is>
      </c>
      <c r="X60" t="inlineStr">
        <is>
          <t>TRUE</t>
        </is>
      </c>
      <c r="Y60" t="inlineStr">
        <is>
          <t>aligned</t>
        </is>
      </c>
    </row>
    <row r="61">
      <c r="A61" s="68" t="inlineStr">
        <is>
          <t>suma</t>
        </is>
      </c>
      <c r="B61" s="68" t="inlineStr">
        <is>
          <t>Suma</t>
        </is>
      </c>
      <c r="C61" s="68" t="n">
        <v>2</v>
      </c>
      <c r="D61" s="68" t="n">
        <v>2</v>
      </c>
      <c r="E61" s="68" t="n">
        <v>1</v>
      </c>
      <c r="F61" s="68" t="n">
        <v>0</v>
      </c>
      <c r="G61" s="68" t="n">
        <v>0</v>
      </c>
      <c r="H61" s="68" t="n">
        <v>0</v>
      </c>
      <c r="I61" s="68" t="n">
        <v>1</v>
      </c>
      <c r="J61" s="68" t="inlineStr">
        <is>
          <t>present</t>
        </is>
      </c>
      <c r="K61" s="68" t="inlineStr">
        <is>
          <t>Near ready</t>
        </is>
      </c>
      <c r="L61" s="68" t="inlineStr">
        <is>
          <t>Backfill stronger citation and pathway detail before stronger recommendation use</t>
        </is>
      </c>
      <c r="M61" s="68" t="n"/>
      <c r="N61" s="68" t="n"/>
      <c r="O61" s="68" t="inlineStr">
        <is>
          <t>pfaffic acid</t>
        </is>
      </c>
      <c r="P61" t="n">
        <v>1</v>
      </c>
      <c r="Q61" t="n">
        <v>57</v>
      </c>
      <c r="R61" t="inlineStr">
        <is>
          <t>skip</t>
        </is>
      </c>
      <c r="S61" t="inlineStr">
        <is>
          <t>suma</t>
        </is>
      </c>
      <c r="T61" t="inlineStr">
        <is>
          <t>validated</t>
        </is>
      </c>
      <c r="U61" t="n">
        <v>48</v>
      </c>
      <c r="V61" t="inlineStr">
        <is>
          <t>Tier 2</t>
        </is>
      </c>
      <c r="W61" t="inlineStr">
        <is>
          <t>FALSE</t>
        </is>
      </c>
      <c r="X61" t="inlineStr">
        <is>
          <t>TRUE</t>
        </is>
      </c>
      <c r="Y61" t="inlineStr">
        <is>
          <t>aligned</t>
        </is>
      </c>
    </row>
    <row r="62">
      <c r="A62" s="68" t="inlineStr">
        <is>
          <t>hops</t>
        </is>
      </c>
      <c r="B62" s="68" t="inlineStr">
        <is>
          <t>Hops</t>
        </is>
      </c>
      <c r="C62" s="68" t="n">
        <v>2</v>
      </c>
      <c r="D62" s="68" t="n">
        <v>2</v>
      </c>
      <c r="E62" s="68" t="n">
        <v>1</v>
      </c>
      <c r="F62" s="68" t="n">
        <v>0</v>
      </c>
      <c r="G62" s="68" t="n">
        <v>0</v>
      </c>
      <c r="H62" s="68" t="n">
        <v>0</v>
      </c>
      <c r="I62" s="68" t="n">
        <v>1</v>
      </c>
      <c r="J62" s="68" t="inlineStr">
        <is>
          <t>present</t>
        </is>
      </c>
      <c r="K62" s="68" t="inlineStr">
        <is>
          <t>Near ready</t>
        </is>
      </c>
      <c r="L62" s="68" t="inlineStr">
        <is>
          <t>Backfill stronger citation and pathway detail before stronger recommendation use</t>
        </is>
      </c>
      <c r="M62" s="68" t="n"/>
      <c r="N62" s="68" t="n"/>
      <c r="O62" s="68" t="inlineStr">
        <is>
          <t>humulone</t>
        </is>
      </c>
      <c r="P62" t="n">
        <v>1</v>
      </c>
      <c r="Q62" t="n">
        <v>57</v>
      </c>
      <c r="R62" t="inlineStr">
        <is>
          <t>skip</t>
        </is>
      </c>
      <c r="S62" t="inlineStr">
        <is>
          <t>hops</t>
        </is>
      </c>
      <c r="T62" t="inlineStr">
        <is>
          <t>validated</t>
        </is>
      </c>
      <c r="U62" t="n">
        <v>48</v>
      </c>
      <c r="V62" t="inlineStr">
        <is>
          <t>Tier 2</t>
        </is>
      </c>
      <c r="W62" t="inlineStr">
        <is>
          <t>FALSE</t>
        </is>
      </c>
      <c r="X62" t="inlineStr">
        <is>
          <t>TRUE</t>
        </is>
      </c>
      <c r="Y62" t="inlineStr">
        <is>
          <t>aligned</t>
        </is>
      </c>
    </row>
    <row r="63">
      <c r="A63" s="68" t="inlineStr">
        <is>
          <t>danshen</t>
        </is>
      </c>
      <c r="B63" s="68" t="inlineStr">
        <is>
          <t>Danshen</t>
        </is>
      </c>
      <c r="C63" s="68" t="n">
        <v>2</v>
      </c>
      <c r="D63" s="68" t="n">
        <v>2</v>
      </c>
      <c r="E63" s="68" t="n">
        <v>1</v>
      </c>
      <c r="F63" s="68" t="n">
        <v>0</v>
      </c>
      <c r="G63" s="68" t="n">
        <v>0</v>
      </c>
      <c r="H63" s="68" t="n">
        <v>0</v>
      </c>
      <c r="I63" s="68" t="n">
        <v>1</v>
      </c>
      <c r="J63" s="68" t="inlineStr">
        <is>
          <t>present</t>
        </is>
      </c>
      <c r="K63" s="68" t="inlineStr">
        <is>
          <t>Near ready</t>
        </is>
      </c>
      <c r="L63" s="68" t="inlineStr">
        <is>
          <t>Backfill stronger citation and pathway detail before stronger recommendation use</t>
        </is>
      </c>
      <c r="M63" s="68" t="n"/>
      <c r="N63" s="68" t="n"/>
      <c r="O63" s="68" t="inlineStr">
        <is>
          <t>tanshinone IIA</t>
        </is>
      </c>
      <c r="P63" t="n">
        <v>1</v>
      </c>
      <c r="Q63" t="n">
        <v>57</v>
      </c>
      <c r="R63" t="inlineStr">
        <is>
          <t>skip</t>
        </is>
      </c>
      <c r="S63" t="inlineStr">
        <is>
          <t>danshen</t>
        </is>
      </c>
      <c r="T63" t="inlineStr">
        <is>
          <t>validated</t>
        </is>
      </c>
      <c r="U63" t="n">
        <v>48</v>
      </c>
      <c r="V63" t="inlineStr">
        <is>
          <t>Tier 2</t>
        </is>
      </c>
      <c r="W63" t="inlineStr">
        <is>
          <t>FALSE</t>
        </is>
      </c>
      <c r="X63" t="inlineStr">
        <is>
          <t>TRUE</t>
        </is>
      </c>
      <c r="Y63" t="inlineStr">
        <is>
          <t>aligned</t>
        </is>
      </c>
    </row>
    <row r="64">
      <c r="A64" s="68" t="inlineStr">
        <is>
          <t>eucommia</t>
        </is>
      </c>
      <c r="B64" s="68" t="inlineStr">
        <is>
          <t>Eucommia</t>
        </is>
      </c>
      <c r="C64" s="68" t="n">
        <v>2</v>
      </c>
      <c r="D64" s="68" t="n">
        <v>2</v>
      </c>
      <c r="E64" s="68" t="n">
        <v>1</v>
      </c>
      <c r="F64" s="68" t="n">
        <v>0</v>
      </c>
      <c r="G64" s="68" t="n">
        <v>0</v>
      </c>
      <c r="H64" s="68" t="n">
        <v>0</v>
      </c>
      <c r="I64" s="68" t="n">
        <v>1</v>
      </c>
      <c r="J64" s="68" t="inlineStr">
        <is>
          <t>present</t>
        </is>
      </c>
      <c r="K64" s="68" t="inlineStr">
        <is>
          <t>Near ready</t>
        </is>
      </c>
      <c r="L64" s="68" t="inlineStr">
        <is>
          <t>Backfill stronger citation and pathway detail before stronger recommendation use</t>
        </is>
      </c>
      <c r="M64" s="68" t="n"/>
      <c r="N64" s="68" t="n"/>
      <c r="O64" s="68" t="inlineStr">
        <is>
          <t>geniposidic acid</t>
        </is>
      </c>
      <c r="P64" t="n">
        <v>1</v>
      </c>
      <c r="Q64" t="n">
        <v>57</v>
      </c>
      <c r="R64" t="inlineStr">
        <is>
          <t>skip</t>
        </is>
      </c>
      <c r="S64" t="inlineStr">
        <is>
          <t>eucommia</t>
        </is>
      </c>
      <c r="T64" t="inlineStr">
        <is>
          <t>validated</t>
        </is>
      </c>
      <c r="U64" t="n">
        <v>48</v>
      </c>
      <c r="V64" t="inlineStr">
        <is>
          <t>Tier 2</t>
        </is>
      </c>
      <c r="W64" t="inlineStr">
        <is>
          <t>FALSE</t>
        </is>
      </c>
      <c r="X64" t="inlineStr">
        <is>
          <t>TRUE</t>
        </is>
      </c>
      <c r="Y64" t="inlineStr">
        <is>
          <t>aligned</t>
        </is>
      </c>
    </row>
    <row r="65">
      <c r="A65" s="68" t="inlineStr">
        <is>
          <t>cistanche</t>
        </is>
      </c>
      <c r="B65" s="68" t="inlineStr">
        <is>
          <t>Cistanche</t>
        </is>
      </c>
      <c r="C65" s="68" t="n">
        <v>2</v>
      </c>
      <c r="D65" s="68" t="n">
        <v>2</v>
      </c>
      <c r="E65" s="68" t="n">
        <v>1</v>
      </c>
      <c r="F65" s="68" t="n">
        <v>0</v>
      </c>
      <c r="G65" s="68" t="n">
        <v>0</v>
      </c>
      <c r="H65" s="68" t="n">
        <v>0</v>
      </c>
      <c r="I65" s="68" t="n">
        <v>1</v>
      </c>
      <c r="J65" s="68" t="inlineStr">
        <is>
          <t>present</t>
        </is>
      </c>
      <c r="K65" s="68" t="inlineStr">
        <is>
          <t>Near ready</t>
        </is>
      </c>
      <c r="L65" s="68" t="inlineStr">
        <is>
          <t>Backfill stronger citation and pathway detail before stronger recommendation use</t>
        </is>
      </c>
      <c r="M65" s="68" t="n"/>
      <c r="N65" s="68" t="n"/>
      <c r="O65" s="68" t="inlineStr">
        <is>
          <t>echinacoside</t>
        </is>
      </c>
      <c r="P65" t="n">
        <v>1</v>
      </c>
      <c r="Q65" t="n">
        <v>57</v>
      </c>
      <c r="R65" t="inlineStr">
        <is>
          <t>skip</t>
        </is>
      </c>
      <c r="S65" t="inlineStr">
        <is>
          <t>cistanche</t>
        </is>
      </c>
      <c r="T65" t="inlineStr">
        <is>
          <t>validated</t>
        </is>
      </c>
      <c r="U65" t="n">
        <v>48</v>
      </c>
      <c r="V65" t="inlineStr">
        <is>
          <t>Tier 2</t>
        </is>
      </c>
      <c r="W65" t="inlineStr">
        <is>
          <t>FALSE</t>
        </is>
      </c>
      <c r="X65" t="inlineStr">
        <is>
          <t>TRUE</t>
        </is>
      </c>
      <c r="Y65" t="inlineStr">
        <is>
          <t>aligned</t>
        </is>
      </c>
    </row>
    <row r="66">
      <c r="A66" s="68" t="inlineStr">
        <is>
          <t>longan</t>
        </is>
      </c>
      <c r="B66" s="68" t="inlineStr">
        <is>
          <t>Longan</t>
        </is>
      </c>
      <c r="C66" s="68" t="n">
        <v>2</v>
      </c>
      <c r="D66" s="68" t="n">
        <v>2</v>
      </c>
      <c r="E66" s="68" t="n">
        <v>1</v>
      </c>
      <c r="F66" s="68" t="n">
        <v>0</v>
      </c>
      <c r="G66" s="68" t="n">
        <v>0</v>
      </c>
      <c r="H66" s="68" t="n">
        <v>0</v>
      </c>
      <c r="I66" s="68" t="n">
        <v>1</v>
      </c>
      <c r="J66" s="68" t="inlineStr">
        <is>
          <t>present</t>
        </is>
      </c>
      <c r="K66" s="68" t="inlineStr">
        <is>
          <t>Near ready</t>
        </is>
      </c>
      <c r="L66" s="68" t="inlineStr">
        <is>
          <t>Backfill stronger citation and pathway detail before stronger recommendation use</t>
        </is>
      </c>
      <c r="M66" s="68" t="n"/>
      <c r="N66" s="68" t="n"/>
      <c r="O66" s="68" t="inlineStr">
        <is>
          <t>gallic acid</t>
        </is>
      </c>
      <c r="P66" t="n">
        <v>1</v>
      </c>
      <c r="Q66" t="n">
        <v>57</v>
      </c>
      <c r="R66" t="inlineStr">
        <is>
          <t>skip</t>
        </is>
      </c>
      <c r="S66" t="inlineStr">
        <is>
          <t>longan</t>
        </is>
      </c>
      <c r="T66" t="inlineStr">
        <is>
          <t>validated</t>
        </is>
      </c>
      <c r="U66" t="n">
        <v>48</v>
      </c>
      <c r="V66" t="inlineStr">
        <is>
          <t>Tier 2</t>
        </is>
      </c>
      <c r="W66" t="inlineStr">
        <is>
          <t>FALSE</t>
        </is>
      </c>
      <c r="X66" t="inlineStr">
        <is>
          <t>TRUE</t>
        </is>
      </c>
      <c r="Y66" t="inlineStr">
        <is>
          <t>aligned</t>
        </is>
      </c>
    </row>
    <row r="67">
      <c r="A67" s="68" t="inlineStr">
        <is>
          <t>polygala</t>
        </is>
      </c>
      <c r="B67" s="68" t="inlineStr">
        <is>
          <t>Polygala</t>
        </is>
      </c>
      <c r="C67" s="68" t="n">
        <v>2</v>
      </c>
      <c r="D67" s="68" t="n">
        <v>2</v>
      </c>
      <c r="E67" s="68" t="n">
        <v>1</v>
      </c>
      <c r="F67" s="68" t="n">
        <v>0</v>
      </c>
      <c r="G67" s="68" t="n">
        <v>0</v>
      </c>
      <c r="H67" s="68" t="n">
        <v>0</v>
      </c>
      <c r="I67" s="68" t="n">
        <v>1</v>
      </c>
      <c r="J67" s="68" t="inlineStr">
        <is>
          <t>present</t>
        </is>
      </c>
      <c r="K67" s="68" t="inlineStr">
        <is>
          <t>Near ready</t>
        </is>
      </c>
      <c r="L67" s="68" t="inlineStr">
        <is>
          <t>Backfill stronger citation and pathway detail before stronger recommendation use</t>
        </is>
      </c>
      <c r="M67" s="68" t="n"/>
      <c r="N67" s="68" t="n"/>
      <c r="O67" s="68" t="inlineStr">
        <is>
          <t>tenuifolin</t>
        </is>
      </c>
      <c r="P67" t="n">
        <v>1</v>
      </c>
      <c r="Q67" t="n">
        <v>57</v>
      </c>
      <c r="R67" t="inlineStr">
        <is>
          <t>skip</t>
        </is>
      </c>
      <c r="S67" t="inlineStr">
        <is>
          <t>polygala</t>
        </is>
      </c>
      <c r="T67" t="inlineStr">
        <is>
          <t>validated</t>
        </is>
      </c>
      <c r="U67" t="n">
        <v>48</v>
      </c>
      <c r="V67" t="inlineStr">
        <is>
          <t>Tier 2</t>
        </is>
      </c>
      <c r="W67" t="inlineStr">
        <is>
          <t>FALSE</t>
        </is>
      </c>
      <c r="X67" t="inlineStr">
        <is>
          <t>TRUE</t>
        </is>
      </c>
      <c r="Y67" t="inlineStr">
        <is>
          <t>aligned</t>
        </is>
      </c>
    </row>
    <row r="68">
      <c r="A68" s="68" t="inlineStr">
        <is>
          <t>bupleurum</t>
        </is>
      </c>
      <c r="B68" s="68" t="inlineStr">
        <is>
          <t>Bupleurum</t>
        </is>
      </c>
      <c r="C68" s="68" t="n">
        <v>2</v>
      </c>
      <c r="D68" s="68" t="n">
        <v>2</v>
      </c>
      <c r="E68" s="68" t="n">
        <v>1</v>
      </c>
      <c r="F68" s="68" t="n">
        <v>0</v>
      </c>
      <c r="G68" s="68" t="n">
        <v>0</v>
      </c>
      <c r="H68" s="68" t="n">
        <v>0</v>
      </c>
      <c r="I68" s="68" t="n">
        <v>1</v>
      </c>
      <c r="J68" s="68" t="inlineStr">
        <is>
          <t>present</t>
        </is>
      </c>
      <c r="K68" s="68" t="inlineStr">
        <is>
          <t>Near ready</t>
        </is>
      </c>
      <c r="L68" s="68" t="inlineStr">
        <is>
          <t>Backfill stronger citation and pathway detail before stronger recommendation use</t>
        </is>
      </c>
      <c r="M68" s="68" t="n"/>
      <c r="N68" s="68" t="n"/>
      <c r="O68" s="68" t="inlineStr">
        <is>
          <t>saikosaponin A</t>
        </is>
      </c>
      <c r="P68" t="n">
        <v>1</v>
      </c>
      <c r="Q68" t="n">
        <v>57</v>
      </c>
      <c r="R68" t="inlineStr">
        <is>
          <t>skip</t>
        </is>
      </c>
      <c r="S68" t="inlineStr">
        <is>
          <t>bupleurum</t>
        </is>
      </c>
      <c r="T68" t="inlineStr">
        <is>
          <t>validated</t>
        </is>
      </c>
      <c r="U68" t="n">
        <v>48</v>
      </c>
      <c r="V68" t="inlineStr">
        <is>
          <t>Tier 2</t>
        </is>
      </c>
      <c r="W68" t="inlineStr">
        <is>
          <t>FALSE</t>
        </is>
      </c>
      <c r="X68" t="inlineStr">
        <is>
          <t>TRUE</t>
        </is>
      </c>
      <c r="Y68" t="inlineStr">
        <is>
          <t>aligned</t>
        </is>
      </c>
    </row>
    <row r="69">
      <c r="A69" s="68" t="inlineStr">
        <is>
          <t>ophiopogon</t>
        </is>
      </c>
      <c r="B69" s="68" t="inlineStr">
        <is>
          <t>Ophiopogon</t>
        </is>
      </c>
      <c r="C69" s="68" t="n">
        <v>2</v>
      </c>
      <c r="D69" s="68" t="n">
        <v>2</v>
      </c>
      <c r="E69" s="68" t="n">
        <v>1</v>
      </c>
      <c r="F69" s="68" t="n">
        <v>0</v>
      </c>
      <c r="G69" s="68" t="n">
        <v>0</v>
      </c>
      <c r="H69" s="68" t="n">
        <v>0</v>
      </c>
      <c r="I69" s="68" t="n">
        <v>1</v>
      </c>
      <c r="J69" s="68" t="inlineStr">
        <is>
          <t>present</t>
        </is>
      </c>
      <c r="K69" s="68" t="inlineStr">
        <is>
          <t>Near ready</t>
        </is>
      </c>
      <c r="L69" s="68" t="inlineStr">
        <is>
          <t>Backfill stronger citation and pathway detail before stronger recommendation use</t>
        </is>
      </c>
      <c r="M69" s="68" t="n"/>
      <c r="N69" s="68" t="n"/>
      <c r="O69" s="68" t="inlineStr">
        <is>
          <t>ophiopogonin D</t>
        </is>
      </c>
      <c r="P69" t="n">
        <v>1</v>
      </c>
      <c r="Q69" t="n">
        <v>57</v>
      </c>
      <c r="R69" t="inlineStr">
        <is>
          <t>skip</t>
        </is>
      </c>
      <c r="S69" t="inlineStr">
        <is>
          <t>ophiopogon</t>
        </is>
      </c>
      <c r="T69" t="inlineStr">
        <is>
          <t>validated</t>
        </is>
      </c>
      <c r="U69" t="n">
        <v>48</v>
      </c>
      <c r="V69" t="inlineStr">
        <is>
          <t>Tier 2</t>
        </is>
      </c>
      <c r="W69" t="inlineStr">
        <is>
          <t>FALSE</t>
        </is>
      </c>
      <c r="X69" t="inlineStr">
        <is>
          <t>TRUE</t>
        </is>
      </c>
      <c r="Y69" t="inlineStr">
        <is>
          <t>aligned</t>
        </is>
      </c>
    </row>
    <row r="70">
      <c r="A70" s="68" t="inlineStr">
        <is>
          <t>houttuynia</t>
        </is>
      </c>
      <c r="B70" s="68" t="inlineStr">
        <is>
          <t>Houttuynia</t>
        </is>
      </c>
      <c r="C70" s="68" t="n">
        <v>2</v>
      </c>
      <c r="D70" s="68" t="n">
        <v>2</v>
      </c>
      <c r="E70" s="68" t="n">
        <v>1</v>
      </c>
      <c r="F70" s="68" t="n">
        <v>0</v>
      </c>
      <c r="G70" s="68" t="n">
        <v>0</v>
      </c>
      <c r="H70" s="68" t="n">
        <v>0</v>
      </c>
      <c r="I70" s="68" t="n">
        <v>1</v>
      </c>
      <c r="J70" s="68" t="inlineStr">
        <is>
          <t>present</t>
        </is>
      </c>
      <c r="K70" s="68" t="inlineStr">
        <is>
          <t>Near ready</t>
        </is>
      </c>
      <c r="L70" s="68" t="inlineStr">
        <is>
          <t>Backfill stronger citation and pathway detail before stronger recommendation use</t>
        </is>
      </c>
      <c r="M70" s="68" t="n"/>
      <c r="N70" s="68" t="n"/>
      <c r="O70" s="68" t="inlineStr">
        <is>
          <t>quercitrin</t>
        </is>
      </c>
      <c r="P70" t="n">
        <v>1</v>
      </c>
      <c r="Q70" t="n">
        <v>57</v>
      </c>
      <c r="R70" t="inlineStr">
        <is>
          <t>skip</t>
        </is>
      </c>
      <c r="S70" t="inlineStr">
        <is>
          <t>houttuynia</t>
        </is>
      </c>
      <c r="T70" t="inlineStr">
        <is>
          <t>validated</t>
        </is>
      </c>
      <c r="U70" t="n">
        <v>48</v>
      </c>
      <c r="V70" t="inlineStr">
        <is>
          <t>Tier 2</t>
        </is>
      </c>
      <c r="W70" t="inlineStr">
        <is>
          <t>FALSE</t>
        </is>
      </c>
      <c r="X70" t="inlineStr">
        <is>
          <t>TRUE</t>
        </is>
      </c>
      <c r="Y70" t="inlineStr">
        <is>
          <t>aligned</t>
        </is>
      </c>
    </row>
    <row r="71">
      <c r="A71" s="68" t="inlineStr">
        <is>
          <t>isatis</t>
        </is>
      </c>
      <c r="B71" s="68" t="inlineStr">
        <is>
          <t>Isatis</t>
        </is>
      </c>
      <c r="C71" s="68" t="n">
        <v>2</v>
      </c>
      <c r="D71" s="68" t="n">
        <v>2</v>
      </c>
      <c r="E71" s="68" t="n">
        <v>1</v>
      </c>
      <c r="F71" s="68" t="n">
        <v>0</v>
      </c>
      <c r="G71" s="68" t="n">
        <v>0</v>
      </c>
      <c r="H71" s="68" t="n">
        <v>0</v>
      </c>
      <c r="I71" s="68" t="n">
        <v>1</v>
      </c>
      <c r="J71" s="68" t="inlineStr">
        <is>
          <t>present</t>
        </is>
      </c>
      <c r="K71" s="68" t="inlineStr">
        <is>
          <t>Near ready</t>
        </is>
      </c>
      <c r="L71" s="68" t="inlineStr">
        <is>
          <t>Backfill stronger citation and pathway detail before stronger recommendation use</t>
        </is>
      </c>
      <c r="M71" s="68" t="n"/>
      <c r="N71" s="68" t="n"/>
      <c r="O71" s="68" t="inlineStr">
        <is>
          <t>tryptanthrin</t>
        </is>
      </c>
      <c r="P71" t="n">
        <v>1</v>
      </c>
      <c r="Q71" t="n">
        <v>57</v>
      </c>
      <c r="R71" t="inlineStr">
        <is>
          <t>skip</t>
        </is>
      </c>
      <c r="S71" t="inlineStr">
        <is>
          <t>isatis</t>
        </is>
      </c>
      <c r="T71" t="inlineStr">
        <is>
          <t>validated</t>
        </is>
      </c>
      <c r="U71" t="n">
        <v>48</v>
      </c>
      <c r="V71" t="inlineStr">
        <is>
          <t>Tier 2</t>
        </is>
      </c>
      <c r="W71" t="inlineStr">
        <is>
          <t>FALSE</t>
        </is>
      </c>
      <c r="X71" t="inlineStr">
        <is>
          <t>TRUE</t>
        </is>
      </c>
      <c r="Y71" t="inlineStr">
        <is>
          <t>aligned</t>
        </is>
      </c>
    </row>
    <row r="72">
      <c r="A72" s="68" t="inlineStr">
        <is>
          <t>sophora-flavescens</t>
        </is>
      </c>
      <c r="B72" s="68" t="inlineStr">
        <is>
          <t>Sophora Flavescens</t>
        </is>
      </c>
      <c r="C72" s="68" t="n">
        <v>2</v>
      </c>
      <c r="D72" s="68" t="n">
        <v>2</v>
      </c>
      <c r="E72" s="68" t="n">
        <v>1</v>
      </c>
      <c r="F72" s="68" t="n">
        <v>0</v>
      </c>
      <c r="G72" s="68" t="n">
        <v>0</v>
      </c>
      <c r="H72" s="68" t="n">
        <v>0</v>
      </c>
      <c r="I72" s="68" t="n">
        <v>1</v>
      </c>
      <c r="J72" s="68" t="inlineStr">
        <is>
          <t>present</t>
        </is>
      </c>
      <c r="K72" s="68" t="inlineStr">
        <is>
          <t>Near ready</t>
        </is>
      </c>
      <c r="L72" s="68" t="inlineStr">
        <is>
          <t>Backfill stronger citation and pathway detail before stronger recommendation use</t>
        </is>
      </c>
      <c r="M72" s="68" t="n"/>
      <c r="N72" s="68" t="n"/>
      <c r="O72" s="68" t="inlineStr">
        <is>
          <t>matrine</t>
        </is>
      </c>
      <c r="P72" t="n">
        <v>1</v>
      </c>
      <c r="Q72" t="n">
        <v>57</v>
      </c>
      <c r="R72" t="inlineStr">
        <is>
          <t>skip</t>
        </is>
      </c>
      <c r="S72" t="inlineStr">
        <is>
          <t>sophora-flavescens</t>
        </is>
      </c>
      <c r="T72" t="inlineStr">
        <is>
          <t>validated</t>
        </is>
      </c>
      <c r="U72" t="n">
        <v>48</v>
      </c>
      <c r="V72" t="inlineStr">
        <is>
          <t>Tier 2</t>
        </is>
      </c>
      <c r="W72" t="inlineStr">
        <is>
          <t>FALSE</t>
        </is>
      </c>
      <c r="X72" t="inlineStr">
        <is>
          <t>TRUE</t>
        </is>
      </c>
      <c r="Y72" t="inlineStr">
        <is>
          <t>aligned</t>
        </is>
      </c>
    </row>
    <row r="73">
      <c r="A73" s="68" t="inlineStr">
        <is>
          <t>notoginseng</t>
        </is>
      </c>
      <c r="B73" s="68" t="inlineStr">
        <is>
          <t>Notoginseng</t>
        </is>
      </c>
      <c r="C73" s="68" t="n">
        <v>2</v>
      </c>
      <c r="D73" s="68" t="n">
        <v>2</v>
      </c>
      <c r="E73" s="68" t="n">
        <v>1</v>
      </c>
      <c r="F73" s="68" t="n">
        <v>0</v>
      </c>
      <c r="G73" s="68" t="n">
        <v>0</v>
      </c>
      <c r="H73" s="68" t="n">
        <v>0</v>
      </c>
      <c r="I73" s="68" t="n">
        <v>1</v>
      </c>
      <c r="J73" s="68" t="inlineStr">
        <is>
          <t>present</t>
        </is>
      </c>
      <c r="K73" s="68" t="inlineStr">
        <is>
          <t>Near ready</t>
        </is>
      </c>
      <c r="L73" s="68" t="inlineStr">
        <is>
          <t>Backfill stronger citation and pathway detail before stronger recommendation use</t>
        </is>
      </c>
      <c r="M73" s="68" t="n"/>
      <c r="N73" s="68" t="n"/>
      <c r="O73" s="68" t="inlineStr">
        <is>
          <t>notoginsenoside R1</t>
        </is>
      </c>
      <c r="P73" t="n">
        <v>1</v>
      </c>
      <c r="Q73" t="n">
        <v>57</v>
      </c>
      <c r="R73" t="inlineStr">
        <is>
          <t>skip</t>
        </is>
      </c>
      <c r="S73" t="inlineStr">
        <is>
          <t>notoginseng</t>
        </is>
      </c>
      <c r="T73" t="inlineStr">
        <is>
          <t>validated</t>
        </is>
      </c>
      <c r="U73" t="n">
        <v>48</v>
      </c>
      <c r="V73" t="inlineStr">
        <is>
          <t>Tier 2</t>
        </is>
      </c>
      <c r="W73" t="inlineStr">
        <is>
          <t>FALSE</t>
        </is>
      </c>
      <c r="X73" t="inlineStr">
        <is>
          <t>TRUE</t>
        </is>
      </c>
      <c r="Y73" t="inlineStr">
        <is>
          <t>aligned</t>
        </is>
      </c>
    </row>
    <row r="74">
      <c r="A74" s="68" t="inlineStr">
        <is>
          <t>schisandra-berry</t>
        </is>
      </c>
      <c r="B74" s="68" t="inlineStr">
        <is>
          <t>Schisandra Berry</t>
        </is>
      </c>
      <c r="C74" s="68" t="n">
        <v>2</v>
      </c>
      <c r="D74" s="68" t="n">
        <v>2</v>
      </c>
      <c r="E74" s="68" t="n">
        <v>1</v>
      </c>
      <c r="F74" s="68" t="n">
        <v>0</v>
      </c>
      <c r="G74" s="68" t="n">
        <v>0</v>
      </c>
      <c r="H74" s="68" t="n">
        <v>0</v>
      </c>
      <c r="I74" s="68" t="n">
        <v>1</v>
      </c>
      <c r="J74" s="68" t="inlineStr">
        <is>
          <t>present</t>
        </is>
      </c>
      <c r="K74" s="68" t="inlineStr">
        <is>
          <t>Near ready</t>
        </is>
      </c>
      <c r="L74" s="68" t="inlineStr">
        <is>
          <t>Backfill stronger citation and pathway detail before stronger recommendation use</t>
        </is>
      </c>
      <c r="M74" s="68" t="n"/>
      <c r="N74" s="68" t="n"/>
      <c r="O74" s="68" t="inlineStr">
        <is>
          <t>gomisin A</t>
        </is>
      </c>
      <c r="P74" t="n">
        <v>1</v>
      </c>
      <c r="Q74" t="n">
        <v>57</v>
      </c>
      <c r="R74" t="inlineStr">
        <is>
          <t>skip</t>
        </is>
      </c>
      <c r="S74" t="inlineStr">
        <is>
          <t>schisandra-berry</t>
        </is>
      </c>
      <c r="T74" t="inlineStr">
        <is>
          <t>validated</t>
        </is>
      </c>
      <c r="U74" t="n">
        <v>48</v>
      </c>
      <c r="V74" t="inlineStr">
        <is>
          <t>Tier 2</t>
        </is>
      </c>
      <c r="W74" t="inlineStr">
        <is>
          <t>FALSE</t>
        </is>
      </c>
      <c r="X74" t="inlineStr">
        <is>
          <t>TRUE</t>
        </is>
      </c>
      <c r="Y74" t="inlineStr">
        <is>
          <t>aligned</t>
        </is>
      </c>
    </row>
    <row r="75">
      <c r="A75" s="68" t="inlineStr">
        <is>
          <t>poria</t>
        </is>
      </c>
      <c r="B75" s="68" t="inlineStr">
        <is>
          <t>Poria</t>
        </is>
      </c>
      <c r="C75" s="68" t="n">
        <v>2</v>
      </c>
      <c r="D75" s="68" t="n">
        <v>2</v>
      </c>
      <c r="E75" s="68" t="n">
        <v>1</v>
      </c>
      <c r="F75" s="68" t="n">
        <v>0</v>
      </c>
      <c r="G75" s="68" t="n">
        <v>0</v>
      </c>
      <c r="H75" s="68" t="n">
        <v>0</v>
      </c>
      <c r="I75" s="68" t="n">
        <v>1</v>
      </c>
      <c r="J75" s="68" t="inlineStr">
        <is>
          <t>present</t>
        </is>
      </c>
      <c r="K75" s="68" t="inlineStr">
        <is>
          <t>Near ready</t>
        </is>
      </c>
      <c r="L75" s="68" t="inlineStr">
        <is>
          <t>Backfill stronger citation and pathway detail before stronger recommendation use</t>
        </is>
      </c>
      <c r="M75" s="68" t="n"/>
      <c r="N75" s="68" t="n"/>
      <c r="O75" s="68" t="inlineStr">
        <is>
          <t>pachymic acid</t>
        </is>
      </c>
      <c r="P75" t="n">
        <v>1</v>
      </c>
      <c r="Q75" t="n">
        <v>57</v>
      </c>
      <c r="R75" t="inlineStr">
        <is>
          <t>skip</t>
        </is>
      </c>
      <c r="S75" t="inlineStr">
        <is>
          <t>poria</t>
        </is>
      </c>
      <c r="T75" t="inlineStr">
        <is>
          <t>validated</t>
        </is>
      </c>
      <c r="U75" t="n">
        <v>48</v>
      </c>
      <c r="V75" t="inlineStr">
        <is>
          <t>Tier 2</t>
        </is>
      </c>
      <c r="W75" t="inlineStr">
        <is>
          <t>FALSE</t>
        </is>
      </c>
      <c r="X75" t="inlineStr">
        <is>
          <t>TRUE</t>
        </is>
      </c>
      <c r="Y75" t="inlineStr">
        <is>
          <t>aligned</t>
        </is>
      </c>
    </row>
    <row r="76">
      <c r="A76" s="68" t="inlineStr">
        <is>
          <t>agarikon</t>
        </is>
      </c>
      <c r="B76" s="68" t="inlineStr">
        <is>
          <t>Agarikon</t>
        </is>
      </c>
      <c r="C76" s="68" t="n">
        <v>2</v>
      </c>
      <c r="D76" s="68" t="n">
        <v>2</v>
      </c>
      <c r="E76" s="68" t="n">
        <v>1</v>
      </c>
      <c r="F76" s="68" t="n">
        <v>0</v>
      </c>
      <c r="G76" s="68" t="n">
        <v>0</v>
      </c>
      <c r="H76" s="68" t="n">
        <v>0</v>
      </c>
      <c r="I76" s="68" t="n">
        <v>1</v>
      </c>
      <c r="J76" s="68" t="inlineStr">
        <is>
          <t>present</t>
        </is>
      </c>
      <c r="K76" s="68" t="inlineStr">
        <is>
          <t>Near ready</t>
        </is>
      </c>
      <c r="L76" s="68" t="inlineStr">
        <is>
          <t>Backfill stronger citation and pathway detail before stronger recommendation use</t>
        </is>
      </c>
      <c r="M76" s="68" t="n"/>
      <c r="N76" s="68" t="n"/>
      <c r="O76" s="68" t="inlineStr">
        <is>
          <t>agaric acid</t>
        </is>
      </c>
      <c r="P76" t="n">
        <v>1</v>
      </c>
      <c r="Q76" t="n">
        <v>57</v>
      </c>
      <c r="R76" t="inlineStr">
        <is>
          <t>skip</t>
        </is>
      </c>
      <c r="S76" t="inlineStr">
        <is>
          <t>agarikon</t>
        </is>
      </c>
      <c r="T76" t="inlineStr">
        <is>
          <t>validated</t>
        </is>
      </c>
      <c r="U76" t="n">
        <v>48</v>
      </c>
      <c r="V76" t="inlineStr">
        <is>
          <t>Tier 2</t>
        </is>
      </c>
      <c r="W76" t="inlineStr">
        <is>
          <t>FALSE</t>
        </is>
      </c>
      <c r="X76" t="inlineStr">
        <is>
          <t>TRUE</t>
        </is>
      </c>
      <c r="Y76" t="inlineStr">
        <is>
          <t>aligned</t>
        </is>
      </c>
    </row>
    <row r="77">
      <c r="A77" s="68" t="inlineStr">
        <is>
          <t>elecampane</t>
        </is>
      </c>
      <c r="B77" s="68" t="inlineStr">
        <is>
          <t>Elecampane</t>
        </is>
      </c>
      <c r="C77" s="68" t="n">
        <v>2</v>
      </c>
      <c r="D77" s="68" t="n">
        <v>2</v>
      </c>
      <c r="E77" s="68" t="n">
        <v>1</v>
      </c>
      <c r="F77" s="68" t="n">
        <v>0</v>
      </c>
      <c r="G77" s="68" t="n">
        <v>0</v>
      </c>
      <c r="H77" s="68" t="n">
        <v>0</v>
      </c>
      <c r="I77" s="68" t="n">
        <v>1</v>
      </c>
      <c r="J77" s="68" t="inlineStr">
        <is>
          <t>present</t>
        </is>
      </c>
      <c r="K77" s="68" t="inlineStr">
        <is>
          <t>Near ready</t>
        </is>
      </c>
      <c r="L77" s="68" t="inlineStr">
        <is>
          <t>Backfill stronger citation and pathway detail before stronger recommendation use</t>
        </is>
      </c>
      <c r="M77" s="68" t="n"/>
      <c r="N77" s="68" t="n"/>
      <c r="O77" s="68" t="inlineStr">
        <is>
          <t>alantolactone</t>
        </is>
      </c>
      <c r="P77" t="n">
        <v>1</v>
      </c>
      <c r="Q77" t="n">
        <v>57</v>
      </c>
      <c r="R77" t="inlineStr">
        <is>
          <t>skip</t>
        </is>
      </c>
      <c r="S77" t="inlineStr">
        <is>
          <t>elecampane</t>
        </is>
      </c>
      <c r="T77" t="inlineStr">
        <is>
          <t>validated</t>
        </is>
      </c>
      <c r="U77" t="n">
        <v>48</v>
      </c>
      <c r="V77" t="inlineStr">
        <is>
          <t>Tier 2</t>
        </is>
      </c>
      <c r="W77" t="inlineStr">
        <is>
          <t>FALSE</t>
        </is>
      </c>
      <c r="X77" t="inlineStr">
        <is>
          <t>TRUE</t>
        </is>
      </c>
      <c r="Y77" t="inlineStr">
        <is>
          <t>aligned</t>
        </is>
      </c>
    </row>
    <row r="78">
      <c r="A78" s="68" t="inlineStr">
        <is>
          <t>angelica-root</t>
        </is>
      </c>
      <c r="B78" s="68" t="inlineStr">
        <is>
          <t>Angelica Root</t>
        </is>
      </c>
      <c r="C78" s="68" t="n">
        <v>2</v>
      </c>
      <c r="D78" s="68" t="n">
        <v>2</v>
      </c>
      <c r="E78" s="68" t="n">
        <v>1</v>
      </c>
      <c r="F78" s="68" t="n">
        <v>0</v>
      </c>
      <c r="G78" s="68" t="n">
        <v>0</v>
      </c>
      <c r="H78" s="68" t="n">
        <v>0</v>
      </c>
      <c r="I78" s="68" t="n">
        <v>1</v>
      </c>
      <c r="J78" s="68" t="inlineStr">
        <is>
          <t>present</t>
        </is>
      </c>
      <c r="K78" s="68" t="inlineStr">
        <is>
          <t>Near ready</t>
        </is>
      </c>
      <c r="L78" s="68" t="inlineStr">
        <is>
          <t>Backfill stronger citation and pathway detail before stronger recommendation use</t>
        </is>
      </c>
      <c r="M78" s="68" t="n"/>
      <c r="N78" s="68" t="n"/>
      <c r="O78" s="68" t="inlineStr">
        <is>
          <t>angelicin</t>
        </is>
      </c>
      <c r="P78" t="n">
        <v>1</v>
      </c>
      <c r="Q78" t="n">
        <v>57</v>
      </c>
      <c r="R78" t="inlineStr">
        <is>
          <t>skip</t>
        </is>
      </c>
      <c r="S78" t="inlineStr">
        <is>
          <t>angelica-root</t>
        </is>
      </c>
      <c r="T78" t="inlineStr">
        <is>
          <t>validated</t>
        </is>
      </c>
      <c r="U78" t="n">
        <v>48</v>
      </c>
      <c r="V78" t="inlineStr">
        <is>
          <t>Tier 2</t>
        </is>
      </c>
      <c r="W78" t="inlineStr">
        <is>
          <t>FALSE</t>
        </is>
      </c>
      <c r="X78" t="inlineStr">
        <is>
          <t>TRUE</t>
        </is>
      </c>
      <c r="Y78" t="inlineStr">
        <is>
          <t>aligned</t>
        </is>
      </c>
    </row>
    <row r="79">
      <c r="A79" s="68" t="inlineStr">
        <is>
          <t>galangal</t>
        </is>
      </c>
      <c r="B79" s="68" t="inlineStr">
        <is>
          <t>Galangal</t>
        </is>
      </c>
      <c r="C79" s="68" t="n">
        <v>2</v>
      </c>
      <c r="D79" s="68" t="n">
        <v>2</v>
      </c>
      <c r="E79" s="68" t="n">
        <v>1</v>
      </c>
      <c r="F79" s="68" t="n">
        <v>0</v>
      </c>
      <c r="G79" s="68" t="n">
        <v>0</v>
      </c>
      <c r="H79" s="68" t="n">
        <v>0</v>
      </c>
      <c r="I79" s="68" t="n">
        <v>1</v>
      </c>
      <c r="J79" s="68" t="inlineStr">
        <is>
          <t>present</t>
        </is>
      </c>
      <c r="K79" s="68" t="inlineStr">
        <is>
          <t>Near ready</t>
        </is>
      </c>
      <c r="L79" s="68" t="inlineStr">
        <is>
          <t>Backfill stronger citation and pathway detail before stronger recommendation use</t>
        </is>
      </c>
      <c r="M79" s="68" t="n"/>
      <c r="N79" s="68" t="n"/>
      <c r="O79" s="68" t="inlineStr">
        <is>
          <t>galangin</t>
        </is>
      </c>
      <c r="P79" t="n">
        <v>1</v>
      </c>
      <c r="Q79" t="n">
        <v>57</v>
      </c>
      <c r="R79" t="inlineStr">
        <is>
          <t>skip</t>
        </is>
      </c>
      <c r="S79" t="inlineStr">
        <is>
          <t>galangal</t>
        </is>
      </c>
      <c r="T79" t="inlineStr">
        <is>
          <t>validated</t>
        </is>
      </c>
      <c r="U79" t="n">
        <v>48</v>
      </c>
      <c r="V79" t="inlineStr">
        <is>
          <t>Tier 2</t>
        </is>
      </c>
      <c r="W79" t="inlineStr">
        <is>
          <t>FALSE</t>
        </is>
      </c>
      <c r="X79" t="inlineStr">
        <is>
          <t>TRUE</t>
        </is>
      </c>
      <c r="Y79" t="inlineStr">
        <is>
          <t>aligned</t>
        </is>
      </c>
    </row>
    <row r="80">
      <c r="A80" s="68" t="inlineStr">
        <is>
          <t>caraway</t>
        </is>
      </c>
      <c r="B80" s="68" t="inlineStr">
        <is>
          <t>Caraway</t>
        </is>
      </c>
      <c r="C80" s="68" t="n">
        <v>2</v>
      </c>
      <c r="D80" s="68" t="n">
        <v>2</v>
      </c>
      <c r="E80" s="68" t="n">
        <v>1</v>
      </c>
      <c r="F80" s="68" t="n">
        <v>0</v>
      </c>
      <c r="G80" s="68" t="n">
        <v>0</v>
      </c>
      <c r="H80" s="68" t="n">
        <v>0</v>
      </c>
      <c r="I80" s="68" t="n">
        <v>1</v>
      </c>
      <c r="J80" s="68" t="inlineStr">
        <is>
          <t>present</t>
        </is>
      </c>
      <c r="K80" s="68" t="inlineStr">
        <is>
          <t>Near ready</t>
        </is>
      </c>
      <c r="L80" s="68" t="inlineStr">
        <is>
          <t>Backfill stronger citation and pathway detail before stronger recommendation use</t>
        </is>
      </c>
      <c r="M80" s="68" t="n"/>
      <c r="N80" s="68" t="n"/>
      <c r="O80" s="68" t="inlineStr">
        <is>
          <t>carvone</t>
        </is>
      </c>
      <c r="P80" t="n">
        <v>1</v>
      </c>
      <c r="Q80" t="n">
        <v>57</v>
      </c>
      <c r="R80" t="inlineStr">
        <is>
          <t>skip</t>
        </is>
      </c>
      <c r="S80" t="inlineStr">
        <is>
          <t>caraway</t>
        </is>
      </c>
      <c r="T80" t="inlineStr">
        <is>
          <t>validated</t>
        </is>
      </c>
      <c r="U80" t="n">
        <v>48</v>
      </c>
      <c r="V80" t="inlineStr">
        <is>
          <t>Tier 2</t>
        </is>
      </c>
      <c r="W80" t="inlineStr">
        <is>
          <t>FALSE</t>
        </is>
      </c>
      <c r="X80" t="inlineStr">
        <is>
          <t>TRUE</t>
        </is>
      </c>
      <c r="Y80" t="inlineStr">
        <is>
          <t>aligned</t>
        </is>
      </c>
    </row>
    <row r="81">
      <c r="A81" s="68" t="inlineStr">
        <is>
          <t>holy-basil-purple</t>
        </is>
      </c>
      <c r="B81" s="68" t="inlineStr">
        <is>
          <t>Holy Basil Purple</t>
        </is>
      </c>
      <c r="C81" s="68" t="n">
        <v>2</v>
      </c>
      <c r="D81" s="68" t="n">
        <v>2</v>
      </c>
      <c r="E81" s="68" t="n">
        <v>1</v>
      </c>
      <c r="F81" s="68" t="n">
        <v>0</v>
      </c>
      <c r="G81" s="68" t="n">
        <v>0</v>
      </c>
      <c r="H81" s="68" t="n">
        <v>0</v>
      </c>
      <c r="I81" s="68" t="n">
        <v>1</v>
      </c>
      <c r="J81" s="68" t="inlineStr">
        <is>
          <t>present</t>
        </is>
      </c>
      <c r="K81" s="68" t="inlineStr">
        <is>
          <t>Near ready</t>
        </is>
      </c>
      <c r="L81" s="68" t="inlineStr">
        <is>
          <t>Backfill stronger citation and pathway detail before stronger recommendation use</t>
        </is>
      </c>
      <c r="M81" s="68" t="n"/>
      <c r="N81" s="68" t="n"/>
      <c r="O81" s="68" t="inlineStr">
        <is>
          <t>eugenol</t>
        </is>
      </c>
      <c r="P81" t="n">
        <v>1</v>
      </c>
      <c r="Q81" t="n">
        <v>57</v>
      </c>
      <c r="R81" t="inlineStr">
        <is>
          <t>skip</t>
        </is>
      </c>
      <c r="S81" t="inlineStr">
        <is>
          <t>holy-basil-purple</t>
        </is>
      </c>
      <c r="T81" t="inlineStr">
        <is>
          <t>validated</t>
        </is>
      </c>
      <c r="U81" t="n">
        <v>48</v>
      </c>
      <c r="V81" t="inlineStr">
        <is>
          <t>Tier 2</t>
        </is>
      </c>
      <c r="W81" t="inlineStr">
        <is>
          <t>FALSE</t>
        </is>
      </c>
      <c r="X81" t="inlineStr">
        <is>
          <t>TRUE</t>
        </is>
      </c>
      <c r="Y81" t="inlineStr">
        <is>
          <t>aligned</t>
        </is>
      </c>
    </row>
    <row r="82">
      <c r="A82" s="68" t="inlineStr">
        <is>
          <t>curry-leaf</t>
        </is>
      </c>
      <c r="B82" s="68" t="inlineStr">
        <is>
          <t>Curry Leaf</t>
        </is>
      </c>
      <c r="C82" s="68" t="n">
        <v>2</v>
      </c>
      <c r="D82" s="68" t="n">
        <v>2</v>
      </c>
      <c r="E82" s="68" t="n">
        <v>1</v>
      </c>
      <c r="F82" s="68" t="n">
        <v>0</v>
      </c>
      <c r="G82" s="68" t="n">
        <v>0</v>
      </c>
      <c r="H82" s="68" t="n">
        <v>0</v>
      </c>
      <c r="I82" s="68" t="n">
        <v>1</v>
      </c>
      <c r="J82" s="68" t="inlineStr">
        <is>
          <t>present</t>
        </is>
      </c>
      <c r="K82" s="68" t="inlineStr">
        <is>
          <t>Near ready</t>
        </is>
      </c>
      <c r="L82" s="68" t="inlineStr">
        <is>
          <t>Backfill stronger citation and pathway detail before stronger recommendation use</t>
        </is>
      </c>
      <c r="M82" s="68" t="n"/>
      <c r="N82" s="68" t="n"/>
      <c r="O82" s="68" t="inlineStr">
        <is>
          <t>mahanimbine</t>
        </is>
      </c>
      <c r="P82" t="n">
        <v>1</v>
      </c>
      <c r="Q82" t="n">
        <v>57</v>
      </c>
      <c r="R82" t="inlineStr">
        <is>
          <t>skip</t>
        </is>
      </c>
      <c r="S82" t="inlineStr">
        <is>
          <t>curry-leaf</t>
        </is>
      </c>
      <c r="T82" t="inlineStr">
        <is>
          <t>validated</t>
        </is>
      </c>
      <c r="U82" t="n">
        <v>48</v>
      </c>
      <c r="V82" t="inlineStr">
        <is>
          <t>Tier 2</t>
        </is>
      </c>
      <c r="W82" t="inlineStr">
        <is>
          <t>FALSE</t>
        </is>
      </c>
      <c r="X82" t="inlineStr">
        <is>
          <t>TRUE</t>
        </is>
      </c>
      <c r="Y82" t="inlineStr">
        <is>
          <t>aligned</t>
        </is>
      </c>
    </row>
    <row r="83">
      <c r="A83" s="68" t="inlineStr">
        <is>
          <t>boswellia</t>
        </is>
      </c>
      <c r="B83" s="68" t="inlineStr">
        <is>
          <t>Boswellia</t>
        </is>
      </c>
      <c r="C83" s="68" t="n">
        <v>2</v>
      </c>
      <c r="D83" s="68" t="n">
        <v>2</v>
      </c>
      <c r="E83" s="68" t="n">
        <v>1</v>
      </c>
      <c r="F83" s="68" t="n">
        <v>0</v>
      </c>
      <c r="G83" s="68" t="n">
        <v>0</v>
      </c>
      <c r="H83" s="68" t="n">
        <v>0</v>
      </c>
      <c r="I83" s="68" t="n">
        <v>1</v>
      </c>
      <c r="J83" s="68" t="inlineStr">
        <is>
          <t>present</t>
        </is>
      </c>
      <c r="K83" s="68" t="inlineStr">
        <is>
          <t>Near ready</t>
        </is>
      </c>
      <c r="L83" s="68" t="inlineStr">
        <is>
          <t>Add citation-backed pathway detail</t>
        </is>
      </c>
      <c r="M83" s="68" t="n"/>
      <c r="N83" s="68" t="n"/>
      <c r="O83" s="68" t="inlineStr">
        <is>
          <t>AKBA</t>
        </is>
      </c>
      <c r="P83" t="n">
        <v>1</v>
      </c>
      <c r="Q83" t="n">
        <v>57</v>
      </c>
      <c r="R83" t="inlineStr">
        <is>
          <t>skip</t>
        </is>
      </c>
      <c r="S83" t="inlineStr">
        <is>
          <t>boswellia</t>
        </is>
      </c>
      <c r="T83" t="inlineStr">
        <is>
          <t>validated</t>
        </is>
      </c>
      <c r="U83" t="n">
        <v>48</v>
      </c>
      <c r="V83" t="inlineStr">
        <is>
          <t>Tier 2</t>
        </is>
      </c>
      <c r="W83" t="inlineStr">
        <is>
          <t>FALSE</t>
        </is>
      </c>
      <c r="X83" t="inlineStr">
        <is>
          <t>TRUE</t>
        </is>
      </c>
      <c r="Y83" t="inlineStr">
        <is>
          <t>aligned</t>
        </is>
      </c>
    </row>
    <row r="84">
      <c r="A84" s="68" t="inlineStr">
        <is>
          <t>hawthorn</t>
        </is>
      </c>
      <c r="B84" s="68" t="inlineStr">
        <is>
          <t>Hawthorn</t>
        </is>
      </c>
      <c r="C84" s="68" t="n">
        <v>2</v>
      </c>
      <c r="D84" s="68" t="n">
        <v>2</v>
      </c>
      <c r="E84" s="68" t="n">
        <v>1</v>
      </c>
      <c r="F84" s="68" t="n">
        <v>0</v>
      </c>
      <c r="G84" s="68" t="n">
        <v>0</v>
      </c>
      <c r="H84" s="68" t="n">
        <v>0</v>
      </c>
      <c r="I84" s="68" t="n">
        <v>1</v>
      </c>
      <c r="J84" s="68" t="inlineStr">
        <is>
          <t>present</t>
        </is>
      </c>
      <c r="K84" s="68" t="inlineStr">
        <is>
          <t>Near ready</t>
        </is>
      </c>
      <c r="L84" s="68" t="inlineStr">
        <is>
          <t>Add citation-backed pathway detail</t>
        </is>
      </c>
      <c r="M84" s="68" t="n"/>
      <c r="N84" s="68" t="n"/>
      <c r="O84" s="68" t="inlineStr">
        <is>
          <t>procyanidin B2</t>
        </is>
      </c>
      <c r="P84" t="n">
        <v>1</v>
      </c>
      <c r="Q84" t="n">
        <v>57</v>
      </c>
      <c r="R84" t="inlineStr">
        <is>
          <t>skip</t>
        </is>
      </c>
      <c r="S84" t="inlineStr">
        <is>
          <t>hawthorn</t>
        </is>
      </c>
      <c r="T84" t="inlineStr">
        <is>
          <t>validated</t>
        </is>
      </c>
      <c r="U84" t="n">
        <v>48</v>
      </c>
      <c r="V84" t="inlineStr">
        <is>
          <t>Tier 2</t>
        </is>
      </c>
      <c r="W84" t="inlineStr">
        <is>
          <t>FALSE</t>
        </is>
      </c>
      <c r="X84" t="inlineStr">
        <is>
          <t>TRUE</t>
        </is>
      </c>
      <c r="Y84" t="inlineStr">
        <is>
          <t>aligned</t>
        </is>
      </c>
    </row>
    <row r="85">
      <c r="A85" s="68" t="inlineStr">
        <is>
          <t>astragalus</t>
        </is>
      </c>
      <c r="B85" s="68" t="inlineStr">
        <is>
          <t>Astragalus</t>
        </is>
      </c>
      <c r="C85" s="68" t="n">
        <v>2</v>
      </c>
      <c r="D85" s="68" t="n">
        <v>2</v>
      </c>
      <c r="E85" s="68" t="n">
        <v>1</v>
      </c>
      <c r="F85" s="68" t="n">
        <v>0</v>
      </c>
      <c r="G85" s="68" t="n">
        <v>0</v>
      </c>
      <c r="H85" s="68" t="n">
        <v>0</v>
      </c>
      <c r="I85" s="68" t="n">
        <v>1</v>
      </c>
      <c r="J85" s="68" t="inlineStr">
        <is>
          <t>present</t>
        </is>
      </c>
      <c r="K85" s="68" t="inlineStr">
        <is>
          <t>Near ready</t>
        </is>
      </c>
      <c r="L85" s="68" t="inlineStr">
        <is>
          <t>Add citation-backed pathway detail</t>
        </is>
      </c>
      <c r="M85" s="68" t="n"/>
      <c r="N85" s="68" t="n"/>
      <c r="O85" s="68" t="inlineStr">
        <is>
          <t>astragaloside IV</t>
        </is>
      </c>
      <c r="P85" t="n">
        <v>1</v>
      </c>
      <c r="Q85" t="n">
        <v>57</v>
      </c>
      <c r="R85" t="inlineStr">
        <is>
          <t>skip</t>
        </is>
      </c>
      <c r="S85" t="inlineStr">
        <is>
          <t>astragalus</t>
        </is>
      </c>
      <c r="T85" t="inlineStr">
        <is>
          <t>validated</t>
        </is>
      </c>
      <c r="U85" t="n">
        <v>48</v>
      </c>
      <c r="V85" t="inlineStr">
        <is>
          <t>Tier 2</t>
        </is>
      </c>
      <c r="W85" t="inlineStr">
        <is>
          <t>FALSE</t>
        </is>
      </c>
      <c r="X85" t="inlineStr">
        <is>
          <t>TRUE</t>
        </is>
      </c>
      <c r="Y85" t="inlineStr">
        <is>
          <t>aligned</t>
        </is>
      </c>
    </row>
    <row r="86">
      <c r="A86" s="68" t="inlineStr">
        <is>
          <t>nettle-root</t>
        </is>
      </c>
      <c r="B86" s="68" t="inlineStr">
        <is>
          <t>Nettle Root</t>
        </is>
      </c>
      <c r="C86" s="68" t="n">
        <v>2</v>
      </c>
      <c r="D86" s="68" t="n">
        <v>2</v>
      </c>
      <c r="E86" s="68" t="n">
        <v>1</v>
      </c>
      <c r="F86" s="68" t="n">
        <v>0</v>
      </c>
      <c r="G86" s="68" t="n">
        <v>0</v>
      </c>
      <c r="H86" s="68" t="n">
        <v>0</v>
      </c>
      <c r="I86" s="68" t="n">
        <v>1</v>
      </c>
      <c r="J86" s="68" t="inlineStr">
        <is>
          <t>present</t>
        </is>
      </c>
      <c r="K86" s="68" t="inlineStr">
        <is>
          <t>Near ready</t>
        </is>
      </c>
      <c r="L86" s="68" t="inlineStr">
        <is>
          <t>Add citation-backed pathway detail</t>
        </is>
      </c>
      <c r="M86" s="68" t="n"/>
      <c r="N86" s="68" t="n"/>
      <c r="O86" s="68" t="inlineStr">
        <is>
          <t>beta-sitosterol</t>
        </is>
      </c>
      <c r="P86" t="n">
        <v>1</v>
      </c>
      <c r="Q86" t="n">
        <v>57</v>
      </c>
      <c r="R86" t="inlineStr">
        <is>
          <t>skip</t>
        </is>
      </c>
      <c r="S86" t="inlineStr">
        <is>
          <t>nettle-root</t>
        </is>
      </c>
      <c r="T86" t="inlineStr">
        <is>
          <t>validated</t>
        </is>
      </c>
      <c r="U86" t="n">
        <v>48</v>
      </c>
      <c r="V86" t="inlineStr">
        <is>
          <t>Tier 2</t>
        </is>
      </c>
      <c r="W86" t="inlineStr">
        <is>
          <t>FALSE</t>
        </is>
      </c>
      <c r="X86" t="inlineStr">
        <is>
          <t>TRUE</t>
        </is>
      </c>
      <c r="Y86" t="inlineStr">
        <is>
          <t>aligned</t>
        </is>
      </c>
    </row>
    <row r="87">
      <c r="A87" s="68" t="inlineStr">
        <is>
          <t>bacopa</t>
        </is>
      </c>
      <c r="B87" s="68" t="inlineStr">
        <is>
          <t>Bacopa</t>
        </is>
      </c>
      <c r="C87" s="68" t="n">
        <v>2</v>
      </c>
      <c r="D87" s="68" t="n">
        <v>2</v>
      </c>
      <c r="E87" s="68" t="n">
        <v>1</v>
      </c>
      <c r="F87" s="68" t="n">
        <v>0</v>
      </c>
      <c r="G87" s="68" t="n">
        <v>0</v>
      </c>
      <c r="H87" s="68" t="n">
        <v>0</v>
      </c>
      <c r="I87" s="68" t="n">
        <v>1</v>
      </c>
      <c r="J87" s="68" t="inlineStr">
        <is>
          <t>present</t>
        </is>
      </c>
      <c r="K87" s="68" t="inlineStr">
        <is>
          <t>Near ready</t>
        </is>
      </c>
      <c r="L87" s="68" t="inlineStr">
        <is>
          <t>Add citation-backed pathway detail</t>
        </is>
      </c>
      <c r="M87" s="68" t="n"/>
      <c r="N87" s="68" t="n"/>
      <c r="O87" s="68" t="inlineStr">
        <is>
          <t>bacoside A</t>
        </is>
      </c>
      <c r="P87" t="n">
        <v>1</v>
      </c>
      <c r="Q87" t="n">
        <v>57</v>
      </c>
      <c r="R87" t="inlineStr">
        <is>
          <t>skip</t>
        </is>
      </c>
      <c r="S87" t="inlineStr">
        <is>
          <t>bacopa</t>
        </is>
      </c>
      <c r="T87" t="inlineStr">
        <is>
          <t>validated</t>
        </is>
      </c>
      <c r="U87" t="n">
        <v>48</v>
      </c>
      <c r="V87" t="inlineStr">
        <is>
          <t>Tier 2</t>
        </is>
      </c>
      <c r="W87" t="inlineStr">
        <is>
          <t>FALSE</t>
        </is>
      </c>
      <c r="X87" t="inlineStr">
        <is>
          <t>TRUE</t>
        </is>
      </c>
      <c r="Y87" t="inlineStr">
        <is>
          <t>aligned</t>
        </is>
      </c>
    </row>
    <row r="88">
      <c r="A88" s="68" t="inlineStr">
        <is>
          <t>ginger</t>
        </is>
      </c>
      <c r="B88" s="68" t="inlineStr">
        <is>
          <t>Ginger</t>
        </is>
      </c>
      <c r="C88" s="68" t="n">
        <v>4</v>
      </c>
      <c r="D88" s="68" t="n">
        <v>4</v>
      </c>
      <c r="E88" s="68" t="n">
        <v>2</v>
      </c>
      <c r="F88" s="68" t="n">
        <v>0</v>
      </c>
      <c r="G88" s="68" t="n">
        <v>0</v>
      </c>
      <c r="H88" s="68" t="n">
        <v>2</v>
      </c>
      <c r="I88" s="68" t="n">
        <v>1</v>
      </c>
      <c r="J88" s="68" t="inlineStr">
        <is>
          <t>present</t>
        </is>
      </c>
      <c r="K88" s="68" t="inlineStr">
        <is>
          <t>Near ready</t>
        </is>
      </c>
      <c r="L88" s="68" t="inlineStr">
        <is>
          <t>Decide whether broad classes stay as context-only labels</t>
        </is>
      </c>
      <c r="M88" s="68" t="n"/>
      <c r="N88" s="68" t="inlineStr">
        <is>
          <t>paradols; shogaols</t>
        </is>
      </c>
      <c r="O88" s="68" t="inlineStr">
        <is>
          <t>6-gingerol; zingerone</t>
        </is>
      </c>
      <c r="P88" t="n">
        <v>1</v>
      </c>
      <c r="Q88" t="n">
        <v>57</v>
      </c>
      <c r="R88" t="inlineStr">
        <is>
          <t>skip</t>
        </is>
      </c>
      <c r="S88" t="inlineStr">
        <is>
          <t>ginger</t>
        </is>
      </c>
      <c r="T88" t="inlineStr">
        <is>
          <t>validated</t>
        </is>
      </c>
      <c r="U88" t="n">
        <v>48</v>
      </c>
      <c r="V88" t="inlineStr">
        <is>
          <t>Tier 2</t>
        </is>
      </c>
      <c r="W88" t="inlineStr">
        <is>
          <t>FALSE</t>
        </is>
      </c>
      <c r="X88" t="inlineStr">
        <is>
          <t>TRUE</t>
        </is>
      </c>
      <c r="Y88" t="inlineStr">
        <is>
          <t>aligned</t>
        </is>
      </c>
    </row>
    <row r="89">
      <c r="A89" s="68" t="inlineStr">
        <is>
          <t>feverfew</t>
        </is>
      </c>
      <c r="B89" s="68" t="inlineStr">
        <is>
          <t>Feverfew</t>
        </is>
      </c>
      <c r="C89" s="68" t="n">
        <v>2</v>
      </c>
      <c r="D89" s="68" t="n">
        <v>2</v>
      </c>
      <c r="E89" s="68" t="n">
        <v>1</v>
      </c>
      <c r="F89" s="68" t="n">
        <v>0</v>
      </c>
      <c r="G89" s="68" t="n">
        <v>0</v>
      </c>
      <c r="H89" s="68" t="n">
        <v>0</v>
      </c>
      <c r="I89" s="68" t="n">
        <v>1</v>
      </c>
      <c r="J89" s="68" t="inlineStr">
        <is>
          <t>present</t>
        </is>
      </c>
      <c r="K89" s="68" t="inlineStr">
        <is>
          <t>Near ready</t>
        </is>
      </c>
      <c r="L89" s="68" t="inlineStr">
        <is>
          <t>Needs mechanism refinement</t>
        </is>
      </c>
      <c r="M89" s="68" t="n"/>
      <c r="N89" s="68" t="inlineStr">
        <is>
          <t>paradols; shogaols</t>
        </is>
      </c>
      <c r="O89" s="68" t="inlineStr">
        <is>
          <t>actein</t>
        </is>
      </c>
      <c r="P89" t="n">
        <v>0</v>
      </c>
      <c r="Q89" t="n">
        <v>50</v>
      </c>
      <c r="R89" t="inlineStr">
        <is>
          <t>skip</t>
        </is>
      </c>
      <c r="S89" t="inlineStr">
        <is>
          <t>feverfew</t>
        </is>
      </c>
      <c r="T89" t="inlineStr">
        <is>
          <t>validated</t>
        </is>
      </c>
      <c r="U89" t="n">
        <v>50</v>
      </c>
      <c r="V89" t="inlineStr">
        <is>
          <t>Tier 2</t>
        </is>
      </c>
      <c r="W89" t="inlineStr">
        <is>
          <t>FALSE</t>
        </is>
      </c>
      <c r="X89" t="inlineStr">
        <is>
          <t>TRUE</t>
        </is>
      </c>
      <c r="Y89" t="inlineStr">
        <is>
          <t>aligned</t>
        </is>
      </c>
    </row>
    <row r="90">
      <c r="A90" s="68" t="inlineStr">
        <is>
          <t>yerba-mate</t>
        </is>
      </c>
      <c r="B90" s="68" t="inlineStr">
        <is>
          <t>Yerba Mate</t>
        </is>
      </c>
      <c r="C90" s="68" t="n">
        <v>2</v>
      </c>
      <c r="D90" s="68" t="n">
        <v>2</v>
      </c>
      <c r="E90" s="68" t="n">
        <v>1</v>
      </c>
      <c r="F90" s="68" t="n">
        <v>0</v>
      </c>
      <c r="G90" s="68" t="n">
        <v>0</v>
      </c>
      <c r="H90" s="68" t="n">
        <v>0</v>
      </c>
      <c r="I90" s="68" t="n">
        <v>1</v>
      </c>
      <c r="J90" s="68" t="inlineStr">
        <is>
          <t>present</t>
        </is>
      </c>
      <c r="K90" s="68" t="inlineStr">
        <is>
          <t>Near ready</t>
        </is>
      </c>
      <c r="L90" s="68" t="inlineStr">
        <is>
          <t>Needs mechanism refinement</t>
        </is>
      </c>
      <c r="M90" s="68" t="n"/>
      <c r="N90" s="68" t="inlineStr">
        <is>
          <t>sesquiterpenoids</t>
        </is>
      </c>
      <c r="O90" s="68" t="inlineStr">
        <is>
          <t>apigenin</t>
        </is>
      </c>
      <c r="P90" t="n">
        <v>0</v>
      </c>
      <c r="Q90" t="n">
        <v>50</v>
      </c>
      <c r="R90" t="inlineStr">
        <is>
          <t>skip</t>
        </is>
      </c>
      <c r="S90" t="inlineStr">
        <is>
          <t>yerba-mate</t>
        </is>
      </c>
      <c r="T90" t="inlineStr">
        <is>
          <t>validated</t>
        </is>
      </c>
      <c r="U90" t="n">
        <v>50</v>
      </c>
      <c r="V90" t="inlineStr">
        <is>
          <t>Tier 2</t>
        </is>
      </c>
      <c r="W90" t="inlineStr">
        <is>
          <t>FALSE</t>
        </is>
      </c>
      <c r="X90" t="inlineStr">
        <is>
          <t>TRUE</t>
        </is>
      </c>
      <c r="Y90" t="inlineStr">
        <is>
          <t>aligned</t>
        </is>
      </c>
    </row>
    <row r="91">
      <c r="A91" s="68" t="inlineStr">
        <is>
          <t>damiana</t>
        </is>
      </c>
      <c r="B91" s="68" t="inlineStr">
        <is>
          <t>Damiana</t>
        </is>
      </c>
      <c r="C91" s="68" t="n">
        <v>2</v>
      </c>
      <c r="D91" s="68" t="n">
        <v>2</v>
      </c>
      <c r="E91" s="68" t="n">
        <v>1</v>
      </c>
      <c r="F91" s="68" t="n">
        <v>0</v>
      </c>
      <c r="G91" s="68" t="n">
        <v>0</v>
      </c>
      <c r="H91" s="68" t="n">
        <v>0</v>
      </c>
      <c r="I91" s="68" t="n">
        <v>1</v>
      </c>
      <c r="J91" s="68" t="inlineStr">
        <is>
          <t>present</t>
        </is>
      </c>
      <c r="K91" s="68" t="inlineStr">
        <is>
          <t>Near ready</t>
        </is>
      </c>
      <c r="L91" s="68" t="inlineStr">
        <is>
          <t>Needs mechanism refinement</t>
        </is>
      </c>
      <c r="M91" s="68" t="n"/>
      <c r="N91" s="68" t="n"/>
      <c r="O91" s="68" t="inlineStr">
        <is>
          <t>nuciferine</t>
        </is>
      </c>
      <c r="P91" t="n">
        <v>0</v>
      </c>
      <c r="Q91" t="n">
        <v>50</v>
      </c>
      <c r="R91" t="inlineStr">
        <is>
          <t>skip</t>
        </is>
      </c>
      <c r="S91" t="inlineStr">
        <is>
          <t>damiana</t>
        </is>
      </c>
      <c r="T91" t="inlineStr">
        <is>
          <t>validated</t>
        </is>
      </c>
      <c r="U91" t="n">
        <v>50</v>
      </c>
      <c r="V91" t="inlineStr">
        <is>
          <t>Tier 2</t>
        </is>
      </c>
      <c r="W91" t="inlineStr">
        <is>
          <t>FALSE</t>
        </is>
      </c>
      <c r="X91" t="inlineStr">
        <is>
          <t>TRUE</t>
        </is>
      </c>
      <c r="Y91" t="inlineStr">
        <is>
          <t>aligned</t>
        </is>
      </c>
    </row>
    <row r="92">
      <c r="A92" s="68" t="inlineStr">
        <is>
          <t>blue-lotus</t>
        </is>
      </c>
      <c r="B92" s="68" t="inlineStr">
        <is>
          <t>Blue Lotus</t>
        </is>
      </c>
      <c r="C92" s="68" t="n">
        <v>2</v>
      </c>
      <c r="D92" s="68" t="n">
        <v>2</v>
      </c>
      <c r="E92" s="68" t="n">
        <v>1</v>
      </c>
      <c r="F92" s="68" t="n">
        <v>0</v>
      </c>
      <c r="G92" s="68" t="n">
        <v>0</v>
      </c>
      <c r="H92" s="68" t="n">
        <v>0</v>
      </c>
      <c r="I92" s="68" t="n">
        <v>1</v>
      </c>
      <c r="J92" s="68" t="inlineStr">
        <is>
          <t>present</t>
        </is>
      </c>
      <c r="K92" s="68" t="inlineStr">
        <is>
          <t>Near ready</t>
        </is>
      </c>
      <c r="L92" s="68" t="inlineStr">
        <is>
          <t>Needs mechanism refinement</t>
        </is>
      </c>
      <c r="M92" s="68" t="n"/>
      <c r="N92" s="68" t="n"/>
      <c r="O92" s="68" t="inlineStr">
        <is>
          <t>puerarin</t>
        </is>
      </c>
      <c r="P92" t="n">
        <v>0</v>
      </c>
      <c r="Q92" t="n">
        <v>50</v>
      </c>
      <c r="R92" t="inlineStr">
        <is>
          <t>skip</t>
        </is>
      </c>
      <c r="S92" t="inlineStr">
        <is>
          <t>blue-lotus</t>
        </is>
      </c>
      <c r="T92" t="inlineStr">
        <is>
          <t>validated</t>
        </is>
      </c>
      <c r="U92" t="n">
        <v>50</v>
      </c>
      <c r="V92" t="inlineStr">
        <is>
          <t>Tier 2</t>
        </is>
      </c>
      <c r="W92" t="inlineStr">
        <is>
          <t>FALSE</t>
        </is>
      </c>
      <c r="X92" t="inlineStr">
        <is>
          <t>TRUE</t>
        </is>
      </c>
      <c r="Y92" t="inlineStr">
        <is>
          <t>aligned</t>
        </is>
      </c>
    </row>
    <row r="93">
      <c r="A93" s="68" t="inlineStr">
        <is>
          <t>yarrow</t>
        </is>
      </c>
      <c r="B93" s="68" t="inlineStr">
        <is>
          <t>Yarrow</t>
        </is>
      </c>
      <c r="C93" s="68" t="n">
        <v>2</v>
      </c>
      <c r="D93" s="68" t="n">
        <v>2</v>
      </c>
      <c r="E93" s="68" t="n">
        <v>1</v>
      </c>
      <c r="F93" s="68" t="n">
        <v>0</v>
      </c>
      <c r="G93" s="68" t="n">
        <v>0</v>
      </c>
      <c r="H93" s="68" t="n">
        <v>0</v>
      </c>
      <c r="I93" s="68" t="n">
        <v>1</v>
      </c>
      <c r="J93" s="68" t="inlineStr">
        <is>
          <t>present</t>
        </is>
      </c>
      <c r="K93" s="68" t="inlineStr">
        <is>
          <t>Near ready</t>
        </is>
      </c>
      <c r="L93" s="68" t="inlineStr">
        <is>
          <t>Needs mechanism refinement</t>
        </is>
      </c>
      <c r="M93" s="68" t="n"/>
      <c r="N93" s="68" t="inlineStr">
        <is>
          <t>paradols; shogaols</t>
        </is>
      </c>
      <c r="O93" s="68" t="inlineStr">
        <is>
          <t>petasin</t>
        </is>
      </c>
      <c r="P93" t="n">
        <v>0</v>
      </c>
      <c r="Q93" t="n">
        <v>50</v>
      </c>
      <c r="R93" t="inlineStr">
        <is>
          <t>skip</t>
        </is>
      </c>
      <c r="S93" t="inlineStr">
        <is>
          <t>yarrow</t>
        </is>
      </c>
      <c r="T93" t="inlineStr">
        <is>
          <t>validated</t>
        </is>
      </c>
      <c r="U93" t="n">
        <v>50</v>
      </c>
      <c r="V93" t="inlineStr">
        <is>
          <t>Tier 2</t>
        </is>
      </c>
      <c r="W93" t="inlineStr">
        <is>
          <t>FALSE</t>
        </is>
      </c>
      <c r="X93" t="inlineStr">
        <is>
          <t>TRUE</t>
        </is>
      </c>
      <c r="Y93" t="inlineStr">
        <is>
          <t>aligned</t>
        </is>
      </c>
    </row>
    <row r="94">
      <c r="A94" s="68" t="inlineStr">
        <is>
          <t>moringa</t>
        </is>
      </c>
      <c r="B94" s="68" t="inlineStr">
        <is>
          <t>Moringa</t>
        </is>
      </c>
      <c r="C94" s="68" t="n">
        <v>2</v>
      </c>
      <c r="D94" s="68" t="n">
        <v>2</v>
      </c>
      <c r="E94" s="68" t="n">
        <v>1</v>
      </c>
      <c r="F94" s="68" t="n">
        <v>0</v>
      </c>
      <c r="G94" s="68" t="n">
        <v>0</v>
      </c>
      <c r="H94" s="68" t="n">
        <v>0</v>
      </c>
      <c r="I94" s="68" t="n">
        <v>1</v>
      </c>
      <c r="J94" s="68" t="inlineStr">
        <is>
          <t>present</t>
        </is>
      </c>
      <c r="K94" s="68" t="inlineStr">
        <is>
          <t>Near ready</t>
        </is>
      </c>
      <c r="L94" s="68" t="inlineStr">
        <is>
          <t>Backfill stronger citation and pathway detail before stronger recommendation use</t>
        </is>
      </c>
      <c r="M94" s="68" t="n"/>
      <c r="N94" s="68" t="n"/>
      <c r="O94" s="68" t="inlineStr">
        <is>
          <t>moringin</t>
        </is>
      </c>
      <c r="P94" t="n">
        <v>0</v>
      </c>
      <c r="Q94" t="n">
        <v>50</v>
      </c>
      <c r="R94" t="inlineStr">
        <is>
          <t>skip</t>
        </is>
      </c>
      <c r="S94" t="inlineStr">
        <is>
          <t>moringa</t>
        </is>
      </c>
      <c r="T94" t="inlineStr">
        <is>
          <t>validated</t>
        </is>
      </c>
      <c r="U94" t="n">
        <v>50</v>
      </c>
      <c r="V94" t="inlineStr">
        <is>
          <t>Tier 2</t>
        </is>
      </c>
      <c r="W94" t="inlineStr">
        <is>
          <t>FALSE</t>
        </is>
      </c>
      <c r="X94" t="inlineStr">
        <is>
          <t>TRUE</t>
        </is>
      </c>
      <c r="Y94" t="inlineStr">
        <is>
          <t>aligned</t>
        </is>
      </c>
    </row>
    <row r="95">
      <c r="A95" s="68" t="inlineStr">
        <is>
          <t>juniper</t>
        </is>
      </c>
      <c r="B95" s="68" t="inlineStr">
        <is>
          <t>Juniper</t>
        </is>
      </c>
      <c r="C95" s="68" t="n">
        <v>2</v>
      </c>
      <c r="D95" s="68" t="n">
        <v>2</v>
      </c>
      <c r="E95" s="68" t="n">
        <v>1</v>
      </c>
      <c r="F95" s="68" t="n">
        <v>0</v>
      </c>
      <c r="G95" s="68" t="n">
        <v>0</v>
      </c>
      <c r="H95" s="68" t="n">
        <v>0</v>
      </c>
      <c r="I95" s="68" t="n">
        <v>1</v>
      </c>
      <c r="J95" s="68" t="inlineStr">
        <is>
          <t>present</t>
        </is>
      </c>
      <c r="K95" s="68" t="inlineStr">
        <is>
          <t>Near ready</t>
        </is>
      </c>
      <c r="L95" s="68" t="inlineStr">
        <is>
          <t>Backfill stronger citation and pathway detail before stronger recommendation use</t>
        </is>
      </c>
      <c r="M95" s="68" t="n"/>
      <c r="N95" s="68" t="inlineStr">
        <is>
          <t>glucosinolates; macaenes; macamides</t>
        </is>
      </c>
      <c r="O95" s="68" t="inlineStr">
        <is>
          <t>alpha-pinene</t>
        </is>
      </c>
      <c r="P95" t="n">
        <v>0</v>
      </c>
      <c r="Q95" t="n">
        <v>50</v>
      </c>
      <c r="R95" t="inlineStr">
        <is>
          <t>skip</t>
        </is>
      </c>
      <c r="S95" t="inlineStr">
        <is>
          <t>juniper</t>
        </is>
      </c>
      <c r="T95" t="inlineStr">
        <is>
          <t>validated</t>
        </is>
      </c>
      <c r="U95" t="n">
        <v>50</v>
      </c>
      <c r="V95" t="inlineStr">
        <is>
          <t>Tier 2</t>
        </is>
      </c>
      <c r="W95" t="inlineStr">
        <is>
          <t>FALSE</t>
        </is>
      </c>
      <c r="X95" t="inlineStr">
        <is>
          <t>TRUE</t>
        </is>
      </c>
      <c r="Y95" t="inlineStr">
        <is>
          <t>aligned</t>
        </is>
      </c>
    </row>
    <row r="96">
      <c r="A96" s="68" t="inlineStr">
        <is>
          <t>lemongrass</t>
        </is>
      </c>
      <c r="B96" s="68" t="inlineStr">
        <is>
          <t>Lemongrass</t>
        </is>
      </c>
      <c r="C96" s="68" t="n">
        <v>2</v>
      </c>
      <c r="D96" s="68" t="n">
        <v>2</v>
      </c>
      <c r="E96" s="68" t="n">
        <v>1</v>
      </c>
      <c r="F96" s="68" t="n">
        <v>0</v>
      </c>
      <c r="G96" s="68" t="n">
        <v>0</v>
      </c>
      <c r="H96" s="68" t="n">
        <v>0</v>
      </c>
      <c r="I96" s="68" t="n">
        <v>1</v>
      </c>
      <c r="J96" s="68" t="inlineStr">
        <is>
          <t>present</t>
        </is>
      </c>
      <c r="K96" s="68" t="inlineStr">
        <is>
          <t>Near ready</t>
        </is>
      </c>
      <c r="L96" s="68" t="inlineStr">
        <is>
          <t>Backfill stronger citation and pathway detail before stronger recommendation use</t>
        </is>
      </c>
      <c r="M96" s="68" t="n"/>
      <c r="N96" s="68" t="n"/>
      <c r="O96" s="68" t="inlineStr">
        <is>
          <t>citral</t>
        </is>
      </c>
      <c r="P96" t="n">
        <v>0</v>
      </c>
      <c r="Q96" t="n">
        <v>50</v>
      </c>
      <c r="R96" t="inlineStr">
        <is>
          <t>skip</t>
        </is>
      </c>
      <c r="S96" t="inlineStr">
        <is>
          <t>lemongrass</t>
        </is>
      </c>
      <c r="T96" t="inlineStr">
        <is>
          <t>validated</t>
        </is>
      </c>
      <c r="U96" t="n">
        <v>50</v>
      </c>
      <c r="V96" t="inlineStr">
        <is>
          <t>Tier 2</t>
        </is>
      </c>
      <c r="W96" t="inlineStr">
        <is>
          <t>FALSE</t>
        </is>
      </c>
      <c r="X96" t="inlineStr">
        <is>
          <t>TRUE</t>
        </is>
      </c>
      <c r="Y96" t="inlineStr">
        <is>
          <t>aligned</t>
        </is>
      </c>
    </row>
    <row r="97">
      <c r="A97" s="68" t="inlineStr">
        <is>
          <t>perilla</t>
        </is>
      </c>
      <c r="B97" s="68" t="inlineStr">
        <is>
          <t>Perilla</t>
        </is>
      </c>
      <c r="C97" s="68" t="n">
        <v>2</v>
      </c>
      <c r="D97" s="68" t="n">
        <v>2</v>
      </c>
      <c r="E97" s="68" t="n">
        <v>1</v>
      </c>
      <c r="F97" s="68" t="n">
        <v>0</v>
      </c>
      <c r="G97" s="68" t="n">
        <v>0</v>
      </c>
      <c r="H97" s="68" t="n">
        <v>0</v>
      </c>
      <c r="I97" s="68" t="n">
        <v>1</v>
      </c>
      <c r="J97" s="68" t="inlineStr">
        <is>
          <t>present</t>
        </is>
      </c>
      <c r="K97" s="68" t="inlineStr">
        <is>
          <t>Near ready</t>
        </is>
      </c>
      <c r="L97" s="68" t="inlineStr">
        <is>
          <t>Backfill stronger citation and pathway detail before stronger recommendation use</t>
        </is>
      </c>
      <c r="M97" s="68" t="n"/>
      <c r="N97" s="68" t="n"/>
      <c r="O97" s="68" t="inlineStr">
        <is>
          <t>perillaldehyde</t>
        </is>
      </c>
      <c r="P97" t="n">
        <v>0</v>
      </c>
      <c r="Q97" t="n">
        <v>50</v>
      </c>
      <c r="R97" t="inlineStr">
        <is>
          <t>skip</t>
        </is>
      </c>
      <c r="S97" t="inlineStr">
        <is>
          <t>perilla</t>
        </is>
      </c>
      <c r="T97" t="inlineStr">
        <is>
          <t>validated</t>
        </is>
      </c>
      <c r="U97" t="n">
        <v>50</v>
      </c>
      <c r="V97" t="inlineStr">
        <is>
          <t>Tier 2</t>
        </is>
      </c>
      <c r="W97" t="inlineStr">
        <is>
          <t>FALSE</t>
        </is>
      </c>
      <c r="X97" t="inlineStr">
        <is>
          <t>TRUE</t>
        </is>
      </c>
      <c r="Y97" t="inlineStr">
        <is>
          <t>aligned</t>
        </is>
      </c>
    </row>
    <row r="98">
      <c r="A98" s="68" t="inlineStr">
        <is>
          <t>maca</t>
        </is>
      </c>
      <c r="B98" s="68" t="inlineStr">
        <is>
          <t>Maca</t>
        </is>
      </c>
      <c r="C98" s="68" t="n">
        <v>3</v>
      </c>
      <c r="D98" s="68" t="n">
        <v>3</v>
      </c>
      <c r="E98" s="68" t="n">
        <v>0</v>
      </c>
      <c r="F98" s="68" t="n">
        <v>0</v>
      </c>
      <c r="G98" s="68" t="n">
        <v>0</v>
      </c>
      <c r="H98" s="68" t="n">
        <v>3</v>
      </c>
      <c r="I98" s="68" t="n">
        <v>0</v>
      </c>
      <c r="J98" s="68" t="inlineStr">
        <is>
          <t>present</t>
        </is>
      </c>
      <c r="K98" s="68" t="inlineStr">
        <is>
          <t>Near ready</t>
        </is>
      </c>
      <c r="L98" s="68" t="inlineStr">
        <is>
          <t>Decide whether broad classes stay as context-only labels</t>
        </is>
      </c>
      <c r="M98" s="68" t="n"/>
      <c r="N98" s="68" t="inlineStr">
        <is>
          <t>glucosinolates; macaenes; macamides</t>
        </is>
      </c>
      <c r="O98" s="68" t="inlineStr">
        <is>
          <t>agaric acid</t>
        </is>
      </c>
      <c r="P98" t="n">
        <v>0</v>
      </c>
      <c r="Q98" t="n">
        <v>50</v>
      </c>
      <c r="R98" t="inlineStr">
        <is>
          <t>skip</t>
        </is>
      </c>
      <c r="S98" t="inlineStr">
        <is>
          <t>maca</t>
        </is>
      </c>
      <c r="T98" t="inlineStr">
        <is>
          <t>validated</t>
        </is>
      </c>
      <c r="U98" t="n">
        <v>50</v>
      </c>
      <c r="V98" t="inlineStr">
        <is>
          <t>Tier 2</t>
        </is>
      </c>
      <c r="W98" t="inlineStr">
        <is>
          <t>FALSE</t>
        </is>
      </c>
      <c r="X98" t="inlineStr">
        <is>
          <t>TRUE</t>
        </is>
      </c>
      <c r="Y98" t="inlineStr">
        <is>
          <t>aligned</t>
        </is>
      </c>
    </row>
    <row r="99">
      <c r="A99" s="68" t="inlineStr">
        <is>
          <t>calendula</t>
        </is>
      </c>
      <c r="B99" s="68" t="inlineStr">
        <is>
          <t>Calendula</t>
        </is>
      </c>
      <c r="C99" s="68" t="n">
        <v>2</v>
      </c>
      <c r="D99" s="68" t="n">
        <v>2</v>
      </c>
      <c r="E99" s="68" t="n">
        <v>1</v>
      </c>
      <c r="F99" s="68" t="n">
        <v>0</v>
      </c>
      <c r="G99" s="68" t="n">
        <v>0</v>
      </c>
      <c r="H99" s="68" t="n">
        <v>0</v>
      </c>
      <c r="I99" s="68" t="n">
        <v>1</v>
      </c>
      <c r="J99" s="68" t="inlineStr">
        <is>
          <t>present</t>
        </is>
      </c>
      <c r="K99" s="68" t="inlineStr">
        <is>
          <t>Near ready</t>
        </is>
      </c>
      <c r="L99" s="68" t="inlineStr">
        <is>
          <t>Backfill stronger citation and pathway detail before stronger recommendation use</t>
        </is>
      </c>
      <c r="M99" s="68" t="n"/>
      <c r="N99" s="68" t="n"/>
      <c r="O99" s="68" t="inlineStr">
        <is>
          <t>faradiol</t>
        </is>
      </c>
      <c r="P99" t="n">
        <v>0</v>
      </c>
      <c r="Q99" t="n">
        <v>50</v>
      </c>
      <c r="R99" t="inlineStr">
        <is>
          <t>skip</t>
        </is>
      </c>
      <c r="S99" t="inlineStr">
        <is>
          <t>calendula</t>
        </is>
      </c>
      <c r="T99" t="inlineStr">
        <is>
          <t>validated</t>
        </is>
      </c>
      <c r="U99" t="n">
        <v>50</v>
      </c>
      <c r="V99" t="inlineStr">
        <is>
          <t>Tier 2</t>
        </is>
      </c>
      <c r="W99" t="inlineStr">
        <is>
          <t>FALSE</t>
        </is>
      </c>
      <c r="X99" t="inlineStr">
        <is>
          <t>TRUE</t>
        </is>
      </c>
      <c r="Y99" t="inlineStr">
        <is>
          <t>aligned</t>
        </is>
      </c>
    </row>
    <row r="100">
      <c r="A100" s="68" t="inlineStr">
        <is>
          <t>mugwort</t>
        </is>
      </c>
      <c r="B100" s="68" t="inlineStr">
        <is>
          <t>Mugwort</t>
        </is>
      </c>
      <c r="C100" s="68" t="n">
        <v>2</v>
      </c>
      <c r="D100" s="68" t="n">
        <v>2</v>
      </c>
      <c r="E100" s="68" t="n">
        <v>1</v>
      </c>
      <c r="F100" s="68" t="n">
        <v>0</v>
      </c>
      <c r="G100" s="68" t="n">
        <v>0</v>
      </c>
      <c r="H100" s="68" t="n">
        <v>0</v>
      </c>
      <c r="I100" s="68" t="n">
        <v>1</v>
      </c>
      <c r="J100" s="68" t="inlineStr">
        <is>
          <t>present</t>
        </is>
      </c>
      <c r="K100" s="68" t="inlineStr">
        <is>
          <t>Near ready</t>
        </is>
      </c>
      <c r="L100" s="68" t="inlineStr">
        <is>
          <t>Backfill stronger citation and pathway detail before stronger recommendation use</t>
        </is>
      </c>
      <c r="M100" s="68" t="n"/>
      <c r="N100" s="68" t="n"/>
      <c r="O100" s="68" t="inlineStr">
        <is>
          <t>thujone</t>
        </is>
      </c>
      <c r="P100" t="n">
        <v>0</v>
      </c>
      <c r="Q100" t="n">
        <v>50</v>
      </c>
      <c r="R100" t="inlineStr">
        <is>
          <t>skip</t>
        </is>
      </c>
      <c r="S100" t="inlineStr">
        <is>
          <t>mugwort</t>
        </is>
      </c>
      <c r="T100" t="inlineStr">
        <is>
          <t>validated</t>
        </is>
      </c>
      <c r="U100" t="n">
        <v>50</v>
      </c>
      <c r="V100" t="inlineStr">
        <is>
          <t>Tier 2</t>
        </is>
      </c>
      <c r="W100" t="inlineStr">
        <is>
          <t>FALSE</t>
        </is>
      </c>
      <c r="X100" t="inlineStr">
        <is>
          <t>TRUE</t>
        </is>
      </c>
      <c r="Y100" t="inlineStr">
        <is>
          <t>aligned</t>
        </is>
      </c>
    </row>
    <row r="101">
      <c r="A101" s="68" t="inlineStr">
        <is>
          <t>cissus</t>
        </is>
      </c>
      <c r="B101" s="68" t="inlineStr">
        <is>
          <t>Cissus</t>
        </is>
      </c>
      <c r="C101" s="68" t="n">
        <v>2</v>
      </c>
      <c r="D101" s="68" t="n">
        <v>2</v>
      </c>
      <c r="E101" s="68" t="n">
        <v>1</v>
      </c>
      <c r="F101" s="68" t="n">
        <v>0</v>
      </c>
      <c r="G101" s="68" t="n">
        <v>0</v>
      </c>
      <c r="H101" s="68" t="n">
        <v>0</v>
      </c>
      <c r="I101" s="68" t="n">
        <v>1</v>
      </c>
      <c r="J101" s="68" t="inlineStr">
        <is>
          <t>present</t>
        </is>
      </c>
      <c r="K101" s="68" t="inlineStr">
        <is>
          <t>Near ready</t>
        </is>
      </c>
      <c r="L101" s="68" t="inlineStr">
        <is>
          <t>Backfill stronger citation and pathway detail before stronger recommendation use</t>
        </is>
      </c>
      <c r="M101" s="68" t="n"/>
      <c r="N101" s="68" t="n"/>
      <c r="O101" s="68" t="inlineStr">
        <is>
          <t>quadrangularin A</t>
        </is>
      </c>
      <c r="P101" t="n">
        <v>0</v>
      </c>
      <c r="Q101" t="n">
        <v>50</v>
      </c>
      <c r="R101" t="inlineStr">
        <is>
          <t>skip</t>
        </is>
      </c>
      <c r="S101" t="inlineStr">
        <is>
          <t>cissus</t>
        </is>
      </c>
      <c r="T101" t="inlineStr">
        <is>
          <t>validated</t>
        </is>
      </c>
      <c r="U101" t="n">
        <v>50</v>
      </c>
      <c r="V101" t="inlineStr">
        <is>
          <t>Tier 2</t>
        </is>
      </c>
      <c r="W101" t="inlineStr">
        <is>
          <t>FALSE</t>
        </is>
      </c>
      <c r="X101" t="inlineStr">
        <is>
          <t>TRUE</t>
        </is>
      </c>
      <c r="Y101" t="inlineStr">
        <is>
          <t>aligned</t>
        </is>
      </c>
    </row>
    <row r="102">
      <c r="A102" s="68" t="inlineStr">
        <is>
          <t>jujube</t>
        </is>
      </c>
      <c r="B102" s="68" t="inlineStr">
        <is>
          <t>Jujube</t>
        </is>
      </c>
      <c r="C102" s="68" t="n">
        <v>2</v>
      </c>
      <c r="D102" s="68" t="n">
        <v>2</v>
      </c>
      <c r="E102" s="68" t="n">
        <v>1</v>
      </c>
      <c r="F102" s="68" t="n">
        <v>0</v>
      </c>
      <c r="G102" s="68" t="n">
        <v>0</v>
      </c>
      <c r="H102" s="68" t="n">
        <v>0</v>
      </c>
      <c r="I102" s="68" t="n">
        <v>1</v>
      </c>
      <c r="J102" s="68" t="inlineStr">
        <is>
          <t>present</t>
        </is>
      </c>
      <c r="K102" s="68" t="inlineStr">
        <is>
          <t>Near ready</t>
        </is>
      </c>
      <c r="L102" s="68" t="inlineStr">
        <is>
          <t>Backfill stronger citation and pathway detail before stronger recommendation use</t>
        </is>
      </c>
      <c r="M102" s="68" t="n"/>
      <c r="N102" s="68" t="n"/>
      <c r="O102" s="68" t="inlineStr">
        <is>
          <t>jujuboside A</t>
        </is>
      </c>
      <c r="P102" t="n">
        <v>0</v>
      </c>
      <c r="Q102" t="n">
        <v>50</v>
      </c>
      <c r="R102" t="inlineStr">
        <is>
          <t>skip</t>
        </is>
      </c>
      <c r="S102" t="inlineStr">
        <is>
          <t>jujube</t>
        </is>
      </c>
      <c r="T102" t="inlineStr">
        <is>
          <t>validated</t>
        </is>
      </c>
      <c r="U102" t="n">
        <v>50</v>
      </c>
      <c r="V102" t="inlineStr">
        <is>
          <t>Tier 2</t>
        </is>
      </c>
      <c r="W102" t="inlineStr">
        <is>
          <t>FALSE</t>
        </is>
      </c>
      <c r="X102" t="inlineStr">
        <is>
          <t>TRUE</t>
        </is>
      </c>
      <c r="Y102" t="inlineStr">
        <is>
          <t>aligned</t>
        </is>
      </c>
    </row>
    <row r="103">
      <c r="A103" s="68" t="inlineStr">
        <is>
          <t>codonopsis</t>
        </is>
      </c>
      <c r="B103" s="68" t="inlineStr">
        <is>
          <t>Codonopsis</t>
        </is>
      </c>
      <c r="C103" s="68" t="n">
        <v>2</v>
      </c>
      <c r="D103" s="68" t="n">
        <v>2</v>
      </c>
      <c r="E103" s="68" t="n">
        <v>1</v>
      </c>
      <c r="F103" s="68" t="n">
        <v>0</v>
      </c>
      <c r="G103" s="68" t="n">
        <v>0</v>
      </c>
      <c r="H103" s="68" t="n">
        <v>0</v>
      </c>
      <c r="I103" s="68" t="n">
        <v>1</v>
      </c>
      <c r="J103" s="68" t="inlineStr">
        <is>
          <t>present</t>
        </is>
      </c>
      <c r="K103" s="68" t="inlineStr">
        <is>
          <t>Near ready</t>
        </is>
      </c>
      <c r="L103" s="68" t="inlineStr">
        <is>
          <t>Backfill stronger citation and pathway detail before stronger recommendation use</t>
        </is>
      </c>
      <c r="M103" s="68" t="n"/>
      <c r="N103" s="68" t="n"/>
      <c r="O103" s="68" t="inlineStr">
        <is>
          <t>tangshenoside I</t>
        </is>
      </c>
      <c r="P103" t="n">
        <v>0</v>
      </c>
      <c r="Q103" t="n">
        <v>50</v>
      </c>
      <c r="R103" t="inlineStr">
        <is>
          <t>skip</t>
        </is>
      </c>
      <c r="S103" t="inlineStr">
        <is>
          <t>codonopsis</t>
        </is>
      </c>
      <c r="T103" t="inlineStr">
        <is>
          <t>validated</t>
        </is>
      </c>
      <c r="U103" t="n">
        <v>50</v>
      </c>
      <c r="V103" t="inlineStr">
        <is>
          <t>Tier 2</t>
        </is>
      </c>
      <c r="W103" t="inlineStr">
        <is>
          <t>FALSE</t>
        </is>
      </c>
      <c r="X103" t="inlineStr">
        <is>
          <t>TRUE</t>
        </is>
      </c>
      <c r="Y103" t="inlineStr">
        <is>
          <t>aligned</t>
        </is>
      </c>
    </row>
    <row r="104">
      <c r="A104" s="68" t="inlineStr">
        <is>
          <t>dendrobium</t>
        </is>
      </c>
      <c r="B104" s="68" t="inlineStr">
        <is>
          <t>Dendrobium</t>
        </is>
      </c>
      <c r="C104" s="68" t="n">
        <v>2</v>
      </c>
      <c r="D104" s="68" t="n">
        <v>2</v>
      </c>
      <c r="E104" s="68" t="n">
        <v>1</v>
      </c>
      <c r="F104" s="68" t="n">
        <v>0</v>
      </c>
      <c r="G104" s="68" t="n">
        <v>0</v>
      </c>
      <c r="H104" s="68" t="n">
        <v>0</v>
      </c>
      <c r="I104" s="68" t="n">
        <v>1</v>
      </c>
      <c r="J104" s="68" t="inlineStr">
        <is>
          <t>present</t>
        </is>
      </c>
      <c r="K104" s="68" t="inlineStr">
        <is>
          <t>Near ready</t>
        </is>
      </c>
      <c r="L104" s="68" t="inlineStr">
        <is>
          <t>Backfill stronger citation and pathway detail before stronger recommendation use</t>
        </is>
      </c>
      <c r="M104" s="68" t="n"/>
      <c r="N104" s="68" t="n"/>
      <c r="O104" s="68" t="inlineStr">
        <is>
          <t>dendrobine</t>
        </is>
      </c>
      <c r="P104" t="n">
        <v>0</v>
      </c>
      <c r="Q104" t="n">
        <v>50</v>
      </c>
      <c r="R104" t="inlineStr">
        <is>
          <t>skip</t>
        </is>
      </c>
      <c r="S104" t="inlineStr">
        <is>
          <t>dendrobium</t>
        </is>
      </c>
      <c r="T104" t="inlineStr">
        <is>
          <t>validated</t>
        </is>
      </c>
      <c r="U104" t="n">
        <v>50</v>
      </c>
      <c r="V104" t="inlineStr">
        <is>
          <t>Tier 2</t>
        </is>
      </c>
      <c r="W104" t="inlineStr">
        <is>
          <t>FALSE</t>
        </is>
      </c>
      <c r="X104" t="inlineStr">
        <is>
          <t>TRUE</t>
        </is>
      </c>
      <c r="Y104" t="inlineStr">
        <is>
          <t>aligned</t>
        </is>
      </c>
    </row>
    <row r="105">
      <c r="A105" s="68" t="inlineStr">
        <is>
          <t>kuding-tea</t>
        </is>
      </c>
      <c r="B105" s="68" t="inlineStr">
        <is>
          <t>Kuding Tea</t>
        </is>
      </c>
      <c r="C105" s="68" t="n">
        <v>2</v>
      </c>
      <c r="D105" s="68" t="n">
        <v>2</v>
      </c>
      <c r="E105" s="68" t="n">
        <v>1</v>
      </c>
      <c r="F105" s="68" t="n">
        <v>0</v>
      </c>
      <c r="G105" s="68" t="n">
        <v>0</v>
      </c>
      <c r="H105" s="68" t="n">
        <v>0</v>
      </c>
      <c r="I105" s="68" t="n">
        <v>1</v>
      </c>
      <c r="J105" s="68" t="inlineStr">
        <is>
          <t>present</t>
        </is>
      </c>
      <c r="K105" s="68" t="inlineStr">
        <is>
          <t>Near ready</t>
        </is>
      </c>
      <c r="L105" s="68" t="inlineStr">
        <is>
          <t>Backfill stronger citation and pathway detail before stronger recommendation use</t>
        </is>
      </c>
      <c r="M105" s="68" t="n"/>
      <c r="N105" s="68" t="n"/>
      <c r="O105" s="68" t="inlineStr">
        <is>
          <t>kudinlactone</t>
        </is>
      </c>
      <c r="P105" t="n">
        <v>0</v>
      </c>
      <c r="Q105" t="n">
        <v>50</v>
      </c>
      <c r="R105" t="inlineStr">
        <is>
          <t>skip</t>
        </is>
      </c>
      <c r="S105" t="inlineStr">
        <is>
          <t>kuding-tea</t>
        </is>
      </c>
      <c r="T105" t="inlineStr">
        <is>
          <t>validated</t>
        </is>
      </c>
      <c r="U105" t="n">
        <v>50</v>
      </c>
      <c r="V105" t="inlineStr">
        <is>
          <t>Tier 2</t>
        </is>
      </c>
      <c r="W105" t="inlineStr">
        <is>
          <t>FALSE</t>
        </is>
      </c>
      <c r="X105" t="inlineStr">
        <is>
          <t>TRUE</t>
        </is>
      </c>
      <c r="Y105" t="inlineStr">
        <is>
          <t>aligned</t>
        </is>
      </c>
    </row>
    <row r="106">
      <c r="A106" s="68" t="inlineStr">
        <is>
          <t>catuaba</t>
        </is>
      </c>
      <c r="B106" s="68" t="inlineStr">
        <is>
          <t>Catuba</t>
        </is>
      </c>
      <c r="C106" s="68" t="n">
        <v>2</v>
      </c>
      <c r="D106" s="68" t="n">
        <v>2</v>
      </c>
      <c r="E106" s="68" t="n">
        <v>1</v>
      </c>
      <c r="F106" s="68" t="n">
        <v>0</v>
      </c>
      <c r="G106" s="68" t="n">
        <v>0</v>
      </c>
      <c r="H106" s="68" t="n">
        <v>0</v>
      </c>
      <c r="I106" s="68" t="n">
        <v>1</v>
      </c>
      <c r="J106" s="68" t="inlineStr">
        <is>
          <t>present</t>
        </is>
      </c>
      <c r="K106" s="68" t="inlineStr">
        <is>
          <t>Near ready</t>
        </is>
      </c>
      <c r="L106" s="68" t="inlineStr">
        <is>
          <t>Backfill stronger citation and pathway detail before stronger recommendation use</t>
        </is>
      </c>
      <c r="M106" s="68" t="n"/>
      <c r="N106" s="68" t="n"/>
      <c r="O106" s="68" t="inlineStr">
        <is>
          <t>catuabine</t>
        </is>
      </c>
      <c r="P106" t="n">
        <v>0</v>
      </c>
      <c r="Q106" t="n">
        <v>50</v>
      </c>
      <c r="R106" t="inlineStr">
        <is>
          <t>skip</t>
        </is>
      </c>
      <c r="S106" t="inlineStr">
        <is>
          <t>catuba</t>
        </is>
      </c>
      <c r="T106" t="inlineStr">
        <is>
          <t>validated</t>
        </is>
      </c>
      <c r="U106" t="n">
        <v>50</v>
      </c>
      <c r="V106" t="inlineStr">
        <is>
          <t>Tier 2</t>
        </is>
      </c>
      <c r="W106" t="inlineStr">
        <is>
          <t>FALSE</t>
        </is>
      </c>
      <c r="X106" t="inlineStr">
        <is>
          <t>TRUE</t>
        </is>
      </c>
      <c r="Y106" t="inlineStr">
        <is>
          <t>aligned</t>
        </is>
      </c>
    </row>
    <row r="107">
      <c r="A107" s="68" t="inlineStr">
        <is>
          <t>muira-puama</t>
        </is>
      </c>
      <c r="B107" s="68" t="inlineStr">
        <is>
          <t>Muira Puama</t>
        </is>
      </c>
      <c r="C107" s="68" t="n">
        <v>2</v>
      </c>
      <c r="D107" s="68" t="n">
        <v>2</v>
      </c>
      <c r="E107" s="68" t="n">
        <v>1</v>
      </c>
      <c r="F107" s="68" t="n">
        <v>0</v>
      </c>
      <c r="G107" s="68" t="n">
        <v>0</v>
      </c>
      <c r="H107" s="68" t="n">
        <v>0</v>
      </c>
      <c r="I107" s="68" t="n">
        <v>1</v>
      </c>
      <c r="J107" s="68" t="inlineStr">
        <is>
          <t>present</t>
        </is>
      </c>
      <c r="K107" s="68" t="inlineStr">
        <is>
          <t>Near ready</t>
        </is>
      </c>
      <c r="L107" s="68" t="inlineStr">
        <is>
          <t>Backfill stronger citation and pathway detail before stronger recommendation use</t>
        </is>
      </c>
      <c r="M107" s="68" t="n"/>
      <c r="N107" s="68" t="n"/>
      <c r="O107" s="68" t="inlineStr">
        <is>
          <t>beta-sitosterol</t>
        </is>
      </c>
      <c r="P107" t="n">
        <v>0</v>
      </c>
      <c r="Q107" t="n">
        <v>50</v>
      </c>
      <c r="R107" t="inlineStr">
        <is>
          <t>skip</t>
        </is>
      </c>
      <c r="S107" t="inlineStr">
        <is>
          <t>muira-puama</t>
        </is>
      </c>
      <c r="T107" t="inlineStr">
        <is>
          <t>validated</t>
        </is>
      </c>
      <c r="U107" t="n">
        <v>50</v>
      </c>
      <c r="V107" t="inlineStr">
        <is>
          <t>Tier 2</t>
        </is>
      </c>
      <c r="W107" t="inlineStr">
        <is>
          <t>FALSE</t>
        </is>
      </c>
      <c r="X107" t="inlineStr">
        <is>
          <t>TRUE</t>
        </is>
      </c>
      <c r="Y107" t="inlineStr">
        <is>
          <t>aligned</t>
        </is>
      </c>
    </row>
    <row r="108">
      <c r="A108" s="68" t="inlineStr">
        <is>
          <t>cardamom</t>
        </is>
      </c>
      <c r="B108" s="68" t="inlineStr">
        <is>
          <t>Cardamom</t>
        </is>
      </c>
      <c r="C108" s="68" t="n">
        <v>2</v>
      </c>
      <c r="D108" s="68" t="n">
        <v>2</v>
      </c>
      <c r="E108" s="68" t="n">
        <v>1</v>
      </c>
      <c r="F108" s="68" t="n">
        <v>0</v>
      </c>
      <c r="G108" s="68" t="n">
        <v>0</v>
      </c>
      <c r="H108" s="68" t="n">
        <v>0</v>
      </c>
      <c r="I108" s="68" t="n">
        <v>1</v>
      </c>
      <c r="J108" s="68" t="inlineStr">
        <is>
          <t>present</t>
        </is>
      </c>
      <c r="K108" s="68" t="inlineStr">
        <is>
          <t>Near ready</t>
        </is>
      </c>
      <c r="L108" s="68" t="inlineStr">
        <is>
          <t>Backfill stronger citation and pathway detail before stronger recommendation use</t>
        </is>
      </c>
      <c r="M108" s="68" t="n"/>
      <c r="N108" s="68" t="n"/>
      <c r="O108" s="68" t="inlineStr">
        <is>
          <t>terpinyl acetate</t>
        </is>
      </c>
      <c r="P108" t="n">
        <v>0</v>
      </c>
      <c r="Q108" t="n">
        <v>50</v>
      </c>
      <c r="R108" t="inlineStr">
        <is>
          <t>skip</t>
        </is>
      </c>
      <c r="S108" t="inlineStr">
        <is>
          <t>cardamom</t>
        </is>
      </c>
      <c r="T108" t="inlineStr">
        <is>
          <t>validated</t>
        </is>
      </c>
      <c r="U108" t="n">
        <v>50</v>
      </c>
      <c r="V108" t="inlineStr">
        <is>
          <t>Tier 2</t>
        </is>
      </c>
      <c r="W108" t="inlineStr">
        <is>
          <t>FALSE</t>
        </is>
      </c>
      <c r="X108" t="inlineStr">
        <is>
          <t>TRUE</t>
        </is>
      </c>
      <c r="Y108" t="inlineStr">
        <is>
          <t>aligned</t>
        </is>
      </c>
    </row>
    <row r="109">
      <c r="A109" s="68" t="inlineStr">
        <is>
          <t>garlic</t>
        </is>
      </c>
      <c r="B109" s="68" t="inlineStr">
        <is>
          <t>Garlic</t>
        </is>
      </c>
      <c r="C109" s="68" t="n">
        <v>5</v>
      </c>
      <c r="D109" s="68" t="n">
        <v>5</v>
      </c>
      <c r="E109" s="68" t="n">
        <v>5</v>
      </c>
      <c r="F109" s="68" t="n">
        <v>0</v>
      </c>
      <c r="G109" s="68" t="n">
        <v>0</v>
      </c>
      <c r="H109" s="68" t="n">
        <v>0</v>
      </c>
      <c r="I109" s="68" t="n">
        <v>1</v>
      </c>
      <c r="J109" s="68" t="inlineStr">
        <is>
          <t>source-upgraded</t>
        </is>
      </c>
      <c r="K109" s="68" t="inlineStr">
        <is>
          <t>Pass 24 residual resolution complete</t>
        </is>
      </c>
      <c r="L109" s="68" t="inlineStr">
        <is>
          <t>QA + publish workflow</t>
        </is>
      </c>
      <c r="M109" s="68" t="n"/>
      <c r="N109" s="68" t="n"/>
      <c r="O109" s="68" t="inlineStr">
        <is>
          <t>S-allyl-cysteine; ajoene; diallyl disulfide; diallyl sulfide; diallyl trisulfide</t>
        </is>
      </c>
      <c r="P109" t="n">
        <v>0</v>
      </c>
      <c r="Q109" t="n">
        <v>50</v>
      </c>
      <c r="R109" t="inlineStr">
        <is>
          <t>skip</t>
        </is>
      </c>
      <c r="S109" t="inlineStr">
        <is>
          <t>garlic</t>
        </is>
      </c>
      <c r="T109" t="inlineStr">
        <is>
          <t>validated</t>
        </is>
      </c>
      <c r="U109" t="n">
        <v>50</v>
      </c>
      <c r="V109" t="inlineStr">
        <is>
          <t>Tier 2</t>
        </is>
      </c>
      <c r="W109" t="inlineStr">
        <is>
          <t>FALSE</t>
        </is>
      </c>
      <c r="X109" t="inlineStr">
        <is>
          <t>TRUE</t>
        </is>
      </c>
      <c r="Y109" t="inlineStr">
        <is>
          <t>aligned</t>
        </is>
      </c>
    </row>
    <row r="110">
      <c r="A110" s="68" t="inlineStr">
        <is>
          <t>holy-basil</t>
        </is>
      </c>
      <c r="B110" s="68" t="inlineStr">
        <is>
          <t>Holy Basil</t>
        </is>
      </c>
      <c r="C110" s="68" t="n">
        <v>3</v>
      </c>
      <c r="D110" s="68" t="n">
        <v>3</v>
      </c>
      <c r="E110" s="68" t="n">
        <v>3</v>
      </c>
      <c r="F110" s="68" t="n">
        <v>0</v>
      </c>
      <c r="G110" s="68" t="n">
        <v>0</v>
      </c>
      <c r="H110" s="68" t="n">
        <v>0</v>
      </c>
      <c r="I110" s="68" t="n">
        <v>1</v>
      </c>
      <c r="J110" s="68" t="inlineStr">
        <is>
          <t>present</t>
        </is>
      </c>
      <c r="K110" s="68" t="inlineStr">
        <is>
          <t>Ready</t>
        </is>
      </c>
      <c r="L110" s="68" t="inlineStr">
        <is>
          <t>QA + publish workflow</t>
        </is>
      </c>
      <c r="M110" s="68" t="n"/>
      <c r="N110" s="68" t="n"/>
      <c r="O110" s="68" t="inlineStr">
        <is>
          <t>eugenol; rosmarinic acid; ursolic acid</t>
        </is>
      </c>
      <c r="P110" t="n">
        <v>0</v>
      </c>
      <c r="Q110" t="n">
        <v>48</v>
      </c>
      <c r="R110" t="inlineStr">
        <is>
          <t>skip</t>
        </is>
      </c>
      <c r="S110" t="inlineStr">
        <is>
          <t>holy-basil</t>
        </is>
      </c>
      <c r="T110" t="inlineStr">
        <is>
          <t>validated</t>
        </is>
      </c>
      <c r="U110" t="n">
        <v>52</v>
      </c>
      <c r="V110" t="inlineStr">
        <is>
          <t>Tier 2</t>
        </is>
      </c>
      <c r="W110" t="inlineStr">
        <is>
          <t>FALSE</t>
        </is>
      </c>
      <c r="X110" t="inlineStr">
        <is>
          <t>TRUE</t>
        </is>
      </c>
      <c r="Y110" t="inlineStr">
        <is>
          <t>aligned</t>
        </is>
      </c>
    </row>
    <row r="111">
      <c r="A111" s="68" t="inlineStr">
        <is>
          <t>valerian</t>
        </is>
      </c>
      <c r="B111" s="68" t="inlineStr">
        <is>
          <t>Valerian</t>
        </is>
      </c>
      <c r="C111" s="68" t="n">
        <v>4</v>
      </c>
      <c r="D111" s="68" t="n">
        <v>4</v>
      </c>
      <c r="E111" s="68" t="n">
        <v>5</v>
      </c>
      <c r="F111" s="68" t="n">
        <v>0</v>
      </c>
      <c r="G111" s="68" t="n">
        <v>0</v>
      </c>
      <c r="H111" s="68" t="n">
        <v>1</v>
      </c>
      <c r="I111" s="68" t="n">
        <v>1</v>
      </c>
      <c r="J111" s="68" t="inlineStr">
        <is>
          <t>source-upgraded</t>
        </is>
      </c>
      <c r="K111" s="68" t="inlineStr">
        <is>
          <t>Batch 17 valerian lock complete</t>
        </is>
      </c>
      <c r="L111" s="68" t="inlineStr">
        <is>
          <t>Use GABA/Sedation score in blend-builder testing</t>
        </is>
      </c>
      <c r="M111" s="68" t="n"/>
      <c r="N111" s="68" t="inlineStr">
        <is>
          <t>sesquiterpenoids</t>
        </is>
      </c>
      <c r="O111" s="68" t="inlineStr">
        <is>
          <t>isovaltrate; valerenal; valerenic acid; valerenol; valtrate</t>
        </is>
      </c>
      <c r="P111" t="n">
        <v>0</v>
      </c>
      <c r="Q111" t="n">
        <v>44</v>
      </c>
      <c r="R111" t="inlineStr">
        <is>
          <t>skip</t>
        </is>
      </c>
      <c r="S111" t="inlineStr">
        <is>
          <t>valerian</t>
        </is>
      </c>
      <c r="T111" t="inlineStr">
        <is>
          <t>validated</t>
        </is>
      </c>
      <c r="U111" t="n">
        <v>56</v>
      </c>
      <c r="V111" t="inlineStr">
        <is>
          <t>Tier 2</t>
        </is>
      </c>
      <c r="W111" t="inlineStr">
        <is>
          <t>FALSE</t>
        </is>
      </c>
      <c r="X111" t="inlineStr">
        <is>
          <t>TRUE</t>
        </is>
      </c>
      <c r="Y111" t="inlineStr">
        <is>
          <t>aligned</t>
        </is>
      </c>
    </row>
    <row r="112">
      <c r="A112" s="68" t="inlineStr">
        <is>
          <t>lemon-balm</t>
        </is>
      </c>
      <c r="B112" s="68" t="inlineStr">
        <is>
          <t>Lemon Balm</t>
        </is>
      </c>
      <c r="C112" s="68" t="n">
        <v>5</v>
      </c>
      <c r="D112" s="68" t="n">
        <v>5</v>
      </c>
      <c r="E112" s="68" t="n">
        <v>4</v>
      </c>
      <c r="F112" s="68" t="n">
        <v>0</v>
      </c>
      <c r="G112" s="68" t="n">
        <v>0</v>
      </c>
      <c r="H112" s="68" t="n">
        <v>1</v>
      </c>
      <c r="I112" s="68" t="n">
        <v>1</v>
      </c>
      <c r="J112" s="68" t="inlineStr">
        <is>
          <t>present</t>
        </is>
      </c>
      <c r="K112" s="68" t="inlineStr">
        <is>
          <t>Near ready</t>
        </is>
      </c>
      <c r="L112" s="68" t="inlineStr">
        <is>
          <t>Decide whether broad classes stay as context-only labels</t>
        </is>
      </c>
      <c r="M112" s="68" t="n"/>
      <c r="N112" s="68" t="inlineStr">
        <is>
          <t>flavonoids</t>
        </is>
      </c>
      <c r="O112" s="68" t="inlineStr">
        <is>
          <t>citral; citronellal; linalool; rosmarinic acid</t>
        </is>
      </c>
      <c r="P112" t="n">
        <v>0</v>
      </c>
      <c r="Q112" t="n">
        <v>42</v>
      </c>
      <c r="R112" t="inlineStr">
        <is>
          <t>skip</t>
        </is>
      </c>
      <c r="S112" t="inlineStr">
        <is>
          <t>lemon-balm</t>
        </is>
      </c>
      <c r="T112" t="inlineStr">
        <is>
          <t>validated</t>
        </is>
      </c>
      <c r="U112" t="n">
        <v>58</v>
      </c>
      <c r="V112" t="inlineStr">
        <is>
          <t>Tier 2</t>
        </is>
      </c>
      <c r="W112" t="inlineStr">
        <is>
          <t>FALSE</t>
        </is>
      </c>
      <c r="X112" t="inlineStr">
        <is>
          <t>TRUE</t>
        </is>
      </c>
      <c r="Y112" t="inlineStr">
        <is>
          <t>aligned</t>
        </is>
      </c>
    </row>
    <row r="113">
      <c r="A113" s="68" t="inlineStr">
        <is>
          <t>st-johns-wort</t>
        </is>
      </c>
      <c r="B113" s="68" t="inlineStr">
        <is>
          <t>St Johns Wort</t>
        </is>
      </c>
      <c r="C113" s="68" t="n">
        <v>7</v>
      </c>
      <c r="D113" s="68" t="n">
        <v>7</v>
      </c>
      <c r="E113" s="68" t="n">
        <v>7</v>
      </c>
      <c r="F113" s="68" t="n">
        <v>0</v>
      </c>
      <c r="G113" s="68" t="n">
        <v>0</v>
      </c>
      <c r="H113" s="68" t="n">
        <v>0</v>
      </c>
      <c r="I113" s="68" t="n">
        <v>1</v>
      </c>
      <c r="J113" s="68" t="inlineStr">
        <is>
          <t>source-upgraded</t>
        </is>
      </c>
      <c r="K113" s="68" t="inlineStr">
        <is>
          <t>Batch 13 interaction-critical lock complete</t>
        </is>
      </c>
      <c r="L113" s="68" t="inlineStr">
        <is>
          <t>Route through Contraindication Engine before any blend-builder use</t>
        </is>
      </c>
      <c r="M113" s="68" t="n"/>
      <c r="N113" s="68" t="n"/>
      <c r="O113" s="68" t="inlineStr">
        <is>
          <t>adhyperforin; hyperforin; hypericin; kaempferol; pseudohypericin; quercetin; rutin</t>
        </is>
      </c>
      <c r="P113" t="n">
        <v>0</v>
      </c>
      <c r="Q113" t="n">
        <v>42</v>
      </c>
      <c r="R113" t="inlineStr">
        <is>
          <t>skip</t>
        </is>
      </c>
      <c r="S113" t="inlineStr">
        <is>
          <t>st-johns-wort</t>
        </is>
      </c>
      <c r="T113" t="inlineStr">
        <is>
          <t>validated</t>
        </is>
      </c>
      <c r="U113" t="n">
        <v>58</v>
      </c>
      <c r="V113" t="inlineStr">
        <is>
          <t>Tier 2</t>
        </is>
      </c>
      <c r="W113" t="inlineStr">
        <is>
          <t>FALSE</t>
        </is>
      </c>
      <c r="X113" t="inlineStr">
        <is>
          <t>TRUE</t>
        </is>
      </c>
      <c r="Y113" t="inlineStr">
        <is>
          <t>aligned</t>
        </is>
      </c>
    </row>
    <row r="114">
      <c r="A114" s="68" t="inlineStr">
        <is>
          <t>peppermint</t>
        </is>
      </c>
      <c r="B114" s="68" t="inlineStr">
        <is>
          <t>Peppermint</t>
        </is>
      </c>
      <c r="C114" s="68" t="n">
        <v>5</v>
      </c>
      <c r="D114" s="68" t="n">
        <v>7</v>
      </c>
      <c r="E114" s="68" t="n">
        <v>7</v>
      </c>
      <c r="F114" s="68" t="n">
        <v>0</v>
      </c>
      <c r="G114" s="68" t="n">
        <v>0</v>
      </c>
      <c r="H114" s="68" t="n">
        <v>0</v>
      </c>
      <c r="I114" s="68" t="n">
        <v>1</v>
      </c>
      <c r="J114" s="68" t="inlineStr">
        <is>
          <t>source-upgraded</t>
        </is>
      </c>
      <c r="K114" s="68" t="inlineStr">
        <is>
          <t>Pass 24 residual resolution complete</t>
        </is>
      </c>
      <c r="L114" s="68" t="inlineStr">
        <is>
          <t>Route through Contraindication Engine before blend-builder use</t>
        </is>
      </c>
      <c r="M114" s="68" t="n"/>
      <c r="N114" s="68" t="n"/>
      <c r="O114" s="68" t="inlineStr">
        <is>
          <t>1,8-cineole; isomenthone; limonene; menthol; menthofuran; menthone; menthyl acetate</t>
        </is>
      </c>
      <c r="P114" t="n">
        <v>0</v>
      </c>
      <c r="Q114" t="n">
        <v>42</v>
      </c>
      <c r="R114" t="inlineStr">
        <is>
          <t>skip</t>
        </is>
      </c>
      <c r="S114" t="inlineStr">
        <is>
          <t>peppermint</t>
        </is>
      </c>
      <c r="T114" t="inlineStr">
        <is>
          <t>validated</t>
        </is>
      </c>
      <c r="U114" t="n">
        <v>58</v>
      </c>
      <c r="V114" t="inlineStr">
        <is>
          <t>Tier 2</t>
        </is>
      </c>
      <c r="W114" t="inlineStr">
        <is>
          <t>FALSE</t>
        </is>
      </c>
      <c r="X114" t="inlineStr">
        <is>
          <t>TRUE</t>
        </is>
      </c>
      <c r="Y114" t="inlineStr">
        <is>
          <t>aligned</t>
        </is>
      </c>
    </row>
    <row r="115">
      <c r="A115" s="68" t="inlineStr">
        <is>
          <t>kava</t>
        </is>
      </c>
      <c r="B115" s="68" t="inlineStr">
        <is>
          <t>Kava</t>
        </is>
      </c>
      <c r="C115" s="68" t="n">
        <v>7</v>
      </c>
      <c r="D115" s="68" t="n">
        <v>9</v>
      </c>
      <c r="E115" s="68" t="n">
        <v>9</v>
      </c>
      <c r="F115" s="68" t="n">
        <v>0</v>
      </c>
      <c r="G115" s="68" t="n">
        <v>0</v>
      </c>
      <c r="H115" s="68" t="n">
        <v>0</v>
      </c>
      <c r="I115" s="68" t="n">
        <v>1</v>
      </c>
      <c r="J115" s="68" t="inlineStr">
        <is>
          <t>source-upgraded</t>
        </is>
      </c>
      <c r="K115" s="68" t="inlineStr">
        <is>
          <t>Batch 8 kava lock complete</t>
        </is>
      </c>
      <c r="L115" s="68" t="inlineStr">
        <is>
          <t>QA + publish workflow</t>
        </is>
      </c>
      <c r="M115" s="68" t="n"/>
      <c r="N115" s="68" t="inlineStr">
        <is>
          <t>caffeic acid derivatives</t>
        </is>
      </c>
      <c r="O115" s="68" t="inlineStr">
        <is>
          <t>desmethoxyyangonin; dihydrokavain; dihydromethysticin; flavokavain A; flavokavain B; flavokavain C; kavain; methysticin; yangonin</t>
        </is>
      </c>
      <c r="P115" t="n">
        <v>0</v>
      </c>
      <c r="Q115" t="n">
        <v>38</v>
      </c>
      <c r="R115" t="inlineStr">
        <is>
          <t>skip</t>
        </is>
      </c>
      <c r="S115" t="inlineStr">
        <is>
          <t>kava</t>
        </is>
      </c>
      <c r="T115" t="inlineStr">
        <is>
          <t>validated</t>
        </is>
      </c>
      <c r="U115" t="n">
        <v>62</v>
      </c>
      <c r="V115" t="inlineStr">
        <is>
          <t>Tier 2</t>
        </is>
      </c>
      <c r="W115" t="inlineStr">
        <is>
          <t>FALSE</t>
        </is>
      </c>
      <c r="X115" t="inlineStr">
        <is>
          <t>TRUE</t>
        </is>
      </c>
      <c r="Y115" t="inlineStr">
        <is>
          <t>aligned</t>
        </is>
      </c>
    </row>
    <row r="116">
      <c r="A116" s="68" t="inlineStr">
        <is>
          <t>rhodiola-rosea</t>
        </is>
      </c>
      <c r="B116" s="68" t="inlineStr">
        <is>
          <t>Rhodiola Rosea</t>
        </is>
      </c>
      <c r="C116" s="68" t="n">
        <v>5</v>
      </c>
      <c r="D116" s="68" t="n">
        <v>5</v>
      </c>
      <c r="E116" s="68" t="n">
        <v>6</v>
      </c>
      <c r="F116" s="68" t="n">
        <v>0</v>
      </c>
      <c r="G116" s="68" t="n">
        <v>0</v>
      </c>
      <c r="H116" s="68" t="n">
        <v>0</v>
      </c>
      <c r="I116" s="68" t="n">
        <v>1</v>
      </c>
      <c r="J116" s="68" t="inlineStr">
        <is>
          <t>source-upgraded</t>
        </is>
      </c>
      <c r="K116" s="68" t="inlineStr">
        <is>
          <t>Batch 15 rhodiola refinement complete</t>
        </is>
      </c>
      <c r="L116" s="68" t="inlineStr">
        <is>
          <t>QA + publish workflow</t>
        </is>
      </c>
      <c r="M116" s="68" t="n"/>
      <c r="N116" s="68" t="inlineStr">
        <is>
          <t>caffeic acid derivatives</t>
        </is>
      </c>
      <c r="O116" s="68" t="inlineStr">
        <is>
          <t>rosarin; rosavin; rosin; salidroside; triandrin; tyrosol</t>
        </is>
      </c>
      <c r="P116" t="n">
        <v>0</v>
      </c>
      <c r="Q116" t="n">
        <v>36</v>
      </c>
      <c r="R116" t="inlineStr">
        <is>
          <t>skip</t>
        </is>
      </c>
      <c r="S116" t="inlineStr">
        <is>
          <t>rhodiola-rosea</t>
        </is>
      </c>
      <c r="T116" t="inlineStr">
        <is>
          <t>validated</t>
        </is>
      </c>
      <c r="U116" t="n">
        <v>64</v>
      </c>
      <c r="V116" t="inlineStr">
        <is>
          <t>Tier 2</t>
        </is>
      </c>
      <c r="W116" t="inlineStr">
        <is>
          <t>FALSE</t>
        </is>
      </c>
      <c r="X116" t="inlineStr">
        <is>
          <t>TRUE</t>
        </is>
      </c>
      <c r="Y116" t="inlineStr">
        <is>
          <t>aligned</t>
        </is>
      </c>
    </row>
    <row r="117">
      <c r="A117" s="68" t="inlineStr">
        <is>
          <t>black-cohosh</t>
        </is>
      </c>
      <c r="B117" s="68" t="inlineStr">
        <is>
          <t>Black Cohosh</t>
        </is>
      </c>
      <c r="C117" s="68" t="n">
        <v>4</v>
      </c>
      <c r="D117" s="68" t="n">
        <v>5</v>
      </c>
      <c r="E117" s="68" t="n">
        <v>4</v>
      </c>
      <c r="F117" s="68" t="n">
        <v>0</v>
      </c>
      <c r="G117" s="68" t="n">
        <v>0</v>
      </c>
      <c r="H117" s="68" t="n">
        <v>1</v>
      </c>
      <c r="I117" s="68" t="n">
        <v>1</v>
      </c>
      <c r="J117" s="68" t="inlineStr">
        <is>
          <t>present</t>
        </is>
      </c>
      <c r="K117" s="68" t="inlineStr">
        <is>
          <t>Batch 2 compound lock complete</t>
        </is>
      </c>
      <c r="L117" s="68" t="inlineStr">
        <is>
          <t>Keep broad class context only; black cohosh specific provisional compounds are now locked</t>
        </is>
      </c>
      <c r="M117" s="68" t="n"/>
      <c r="N117" s="68" t="inlineStr">
        <is>
          <t>caffeic acid derivatives</t>
        </is>
      </c>
      <c r="O117" s="68" t="inlineStr">
        <is>
          <t>23-epi-26-deoxyactein; actein; cimifugoside; fukinolic acid</t>
        </is>
      </c>
      <c r="P117" t="n">
        <v>0</v>
      </c>
      <c r="Q117" t="n">
        <v>36</v>
      </c>
      <c r="R117" t="inlineStr">
        <is>
          <t>skip</t>
        </is>
      </c>
      <c r="S117" t="inlineStr">
        <is>
          <t>black-cohosh</t>
        </is>
      </c>
      <c r="T117" t="inlineStr">
        <is>
          <t>validated</t>
        </is>
      </c>
      <c r="U117" t="n">
        <v>64</v>
      </c>
      <c r="V117" t="inlineStr">
        <is>
          <t>Tier 2</t>
        </is>
      </c>
      <c r="W117" t="inlineStr">
        <is>
          <t>FALSE</t>
        </is>
      </c>
      <c r="X117" t="inlineStr">
        <is>
          <t>TRUE</t>
        </is>
      </c>
      <c r="Y117" t="inlineStr">
        <is>
          <t>aligned</t>
        </is>
      </c>
    </row>
    <row r="118">
      <c r="A118" s="68" t="inlineStr">
        <is>
          <t>milk-thistle</t>
        </is>
      </c>
      <c r="B118" s="68" t="inlineStr">
        <is>
          <t>Milk Thistle</t>
        </is>
      </c>
      <c r="C118" s="68" t="n">
        <v>5</v>
      </c>
      <c r="D118" s="68" t="n">
        <v>7</v>
      </c>
      <c r="E118" s="68" t="n">
        <v>7</v>
      </c>
      <c r="F118" s="68" t="n">
        <v>0</v>
      </c>
      <c r="G118" s="68" t="n">
        <v>0</v>
      </c>
      <c r="H118" s="68" t="n">
        <v>0</v>
      </c>
      <c r="I118" s="68" t="n">
        <v>1</v>
      </c>
      <c r="J118" s="68" t="inlineStr">
        <is>
          <t>source-upgraded</t>
        </is>
      </c>
      <c r="K118" s="68" t="inlineStr">
        <is>
          <t>Batch 10 milk thistle lock complete</t>
        </is>
      </c>
      <c r="L118" s="68" t="inlineStr">
        <is>
          <t>QA + publish workflow</t>
        </is>
      </c>
      <c r="M118" s="68" t="n"/>
      <c r="N118" s="68" t="n"/>
      <c r="O118" s="68" t="inlineStr">
        <is>
          <t>isosilybin A; isosilybin B; isosilychristin; silybin A; silybin B; silychristin; silydianin</t>
        </is>
      </c>
      <c r="P118" t="n">
        <v>0</v>
      </c>
      <c r="Q118" t="n">
        <v>36</v>
      </c>
      <c r="R118" t="inlineStr">
        <is>
          <t>skip</t>
        </is>
      </c>
      <c r="S118" t="inlineStr">
        <is>
          <t>milk-thistle</t>
        </is>
      </c>
      <c r="T118" t="inlineStr">
        <is>
          <t>validated</t>
        </is>
      </c>
      <c r="U118" t="n">
        <v>64</v>
      </c>
      <c r="V118" t="inlineStr">
        <is>
          <t>Tier 2</t>
        </is>
      </c>
      <c r="W118" t="inlineStr">
        <is>
          <t>FALSE</t>
        </is>
      </c>
      <c r="X118" t="inlineStr">
        <is>
          <t>TRUE</t>
        </is>
      </c>
      <c r="Y118" t="inlineStr">
        <is>
          <t>aligned</t>
        </is>
      </c>
    </row>
    <row r="119">
      <c r="A119" s="68" t="inlineStr">
        <is>
          <t>ashwagandha</t>
        </is>
      </c>
      <c r="B119" s="68" t="inlineStr">
        <is>
          <t>Ashwagandha</t>
        </is>
      </c>
      <c r="C119" s="68" t="n">
        <v>8</v>
      </c>
      <c r="D119" s="68" t="n">
        <v>8</v>
      </c>
      <c r="E119" s="68" t="n">
        <v>7</v>
      </c>
      <c r="F119" s="68" t="n">
        <v>0</v>
      </c>
      <c r="G119" s="68" t="n">
        <v>0</v>
      </c>
      <c r="H119" s="68" t="n">
        <v>2</v>
      </c>
      <c r="I119" s="68" t="n">
        <v>1</v>
      </c>
      <c r="J119" s="68" t="inlineStr">
        <is>
          <t>needs-source-normalization</t>
        </is>
      </c>
      <c r="K119" s="68" t="inlineStr">
        <is>
          <t>Batch 5 compound lock complete</t>
        </is>
      </c>
      <c r="L119" s="68" t="inlineStr">
        <is>
          <t>Normalize residual generic sitoindosides mentions; consider withanoside V only after direct herb-row source support is added</t>
        </is>
      </c>
      <c r="M119" s="68" t="n"/>
      <c r="N119" s="68" t="inlineStr">
        <is>
          <t>alkaloids; sitoindosides</t>
        </is>
      </c>
      <c r="O119" s="68" t="inlineStr">
        <is>
          <t>sitoindoside IX; sitoindoside X; withaferin A; withanolide A; withanolide d; withanone; withanoside IV</t>
        </is>
      </c>
      <c r="P119" t="n">
        <v>0</v>
      </c>
      <c r="Q119" t="n">
        <v>34</v>
      </c>
      <c r="R119" t="inlineStr">
        <is>
          <t>skip</t>
        </is>
      </c>
      <c r="S119" t="inlineStr">
        <is>
          <t>ashwagandha</t>
        </is>
      </c>
      <c r="T119" t="inlineStr">
        <is>
          <t>validated</t>
        </is>
      </c>
      <c r="U119" t="n">
        <v>66</v>
      </c>
      <c r="V119" t="inlineStr">
        <is>
          <t>Tier 2</t>
        </is>
      </c>
      <c r="W119" t="inlineStr">
        <is>
          <t>FALSE</t>
        </is>
      </c>
      <c r="X119" t="inlineStr">
        <is>
          <t>TRUE</t>
        </is>
      </c>
      <c r="Y119" t="inlineStr">
        <is>
          <t>aligned</t>
        </is>
      </c>
    </row>
    <row r="120">
      <c r="A120" s="68" t="inlineStr">
        <is>
          <t>ginkgo-biloba</t>
        </is>
      </c>
      <c r="B120" s="68" t="inlineStr">
        <is>
          <t>Ginkgo Biloba</t>
        </is>
      </c>
      <c r="C120" s="68" t="n">
        <v>5</v>
      </c>
      <c r="D120" s="68" t="n">
        <v>8</v>
      </c>
      <c r="E120" s="68" t="n">
        <v>8</v>
      </c>
      <c r="F120" s="68" t="n">
        <v>0</v>
      </c>
      <c r="G120" s="68" t="n">
        <v>0</v>
      </c>
      <c r="H120" s="68" t="n">
        <v>0</v>
      </c>
      <c r="I120" s="68" t="n">
        <v>1</v>
      </c>
      <c r="J120" s="68" t="inlineStr">
        <is>
          <t>source-upgraded</t>
        </is>
      </c>
      <c r="K120" s="68" t="inlineStr">
        <is>
          <t>Batch 8 ginkgo lock complete</t>
        </is>
      </c>
      <c r="L120" s="68" t="inlineStr">
        <is>
          <t>QA + publish workflow</t>
        </is>
      </c>
      <c r="M120" s="68" t="n"/>
      <c r="N120" s="68" t="n"/>
      <c r="O120" s="68" t="inlineStr">
        <is>
          <t>bilobalide; bilobetin; ginkgetin; ginkgolide A; ginkgolide B; ginkgolide C; ginkgolide J; sciadopitysin</t>
        </is>
      </c>
      <c r="P120" t="n">
        <v>0</v>
      </c>
      <c r="Q120" t="n">
        <v>28</v>
      </c>
      <c r="R120" t="inlineStr">
        <is>
          <t>skip</t>
        </is>
      </c>
      <c r="S120" t="inlineStr">
        <is>
          <t>ginkgo-biloba</t>
        </is>
      </c>
      <c r="T120" t="inlineStr">
        <is>
          <t>production_ready</t>
        </is>
      </c>
      <c r="U120" t="n">
        <v>72</v>
      </c>
      <c r="V120" t="inlineStr">
        <is>
          <t>Tier 1</t>
        </is>
      </c>
      <c r="W120" t="inlineStr">
        <is>
          <t>FALSE</t>
        </is>
      </c>
      <c r="X120" t="inlineStr">
        <is>
          <t>TRUE</t>
        </is>
      </c>
      <c r="Y120" t="inlineStr">
        <is>
          <t>aligned</t>
        </is>
      </c>
    </row>
    <row r="121">
      <c r="A121" t="inlineStr">
        <is>
          <t>Corydalis yanhusuo</t>
        </is>
      </c>
      <c r="B121" t="inlineStr">
        <is>
          <t>Needs human dosing data</t>
        </is>
      </c>
    </row>
    <row r="122">
      <c r="A122" t="inlineStr">
        <is>
          <t>Picralima nitida</t>
        </is>
      </c>
      <c r="B122" t="inlineStr">
        <is>
          <t>Safety clarification</t>
        </is>
      </c>
    </row>
    <row r="123">
      <c r="A123" t="inlineStr">
        <is>
          <t>Peganum harmala</t>
        </is>
      </c>
      <c r="B123" t="inlineStr">
        <is>
          <t>Interaction expansion</t>
        </is>
      </c>
    </row>
    <row r="124">
      <c r="A124" t="inlineStr">
        <is>
          <t>Tabernanthe iboga</t>
        </is>
      </c>
      <c r="B124" t="inlineStr">
        <is>
          <t>Cardiotoxicity expansion</t>
        </is>
      </c>
    </row>
    <row r="125">
      <c r="A125" t="inlineStr">
        <is>
          <t>Phyllanthus amarus</t>
        </is>
      </c>
      <c r="B125" t="inlineStr">
        <is>
          <t>Clinical validation depth</t>
        </is>
      </c>
    </row>
    <row r="126">
      <c r="A126" t="inlineStr">
        <is>
          <t>Andrographis paniculata</t>
        </is>
      </c>
      <c r="B126" t="inlineStr">
        <is>
          <t>Dose standardization</t>
        </is>
      </c>
    </row>
    <row r="127">
      <c r="A127" t="inlineStr">
        <is>
          <t>ashitaba</t>
        </is>
      </c>
      <c r="B127" t="inlineStr">
        <is>
          <t>Ashitaba</t>
        </is>
      </c>
      <c r="C127" t="n">
        <v>2</v>
      </c>
      <c r="D127" t="n">
        <v>2</v>
      </c>
      <c r="E127" t="n">
        <v>2</v>
      </c>
      <c r="F127" t="n">
        <v>0</v>
      </c>
      <c r="G127" t="n">
        <v>0</v>
      </c>
      <c r="H127" t="n">
        <v>0</v>
      </c>
      <c r="I127" t="n">
        <v>1</v>
      </c>
      <c r="J127" t="inlineStr">
        <is>
          <t>present</t>
        </is>
      </c>
      <c r="K127" t="inlineStr">
        <is>
          <t>Near ready</t>
        </is>
      </c>
      <c r="L127" t="inlineStr">
        <is>
          <t>Deepen citation + pathway specificity for chalcones</t>
        </is>
      </c>
      <c r="O127" t="inlineStr">
        <is>
          <t>xanthoangelol; 4-hydroxyderricin</t>
        </is>
      </c>
      <c r="P127" t="n">
        <v>1</v>
      </c>
      <c r="Q127" t="n">
        <v>78</v>
      </c>
      <c r="R127" t="inlineStr">
        <is>
          <t>upgrade</t>
        </is>
      </c>
      <c r="S127" t="inlineStr">
        <is>
          <t>ashitaba</t>
        </is>
      </c>
      <c r="T127" t="inlineStr">
        <is>
          <t>partial</t>
        </is>
      </c>
      <c r="U127" t="n">
        <v>52</v>
      </c>
      <c r="V127" t="inlineStr">
        <is>
          <t>Tier 2</t>
        </is>
      </c>
      <c r="W127" t="inlineStr">
        <is>
          <t>FALSE</t>
        </is>
      </c>
      <c r="X127" t="inlineStr">
        <is>
          <t>TRUE</t>
        </is>
      </c>
      <c r="Y127" t="inlineStr">
        <is>
          <t>aligned</t>
        </is>
      </c>
    </row>
    <row r="128">
      <c r="A128" t="inlineStr">
        <is>
          <t>danshen</t>
        </is>
      </c>
      <c r="B128" t="inlineStr">
        <is>
          <t>Danshen</t>
        </is>
      </c>
      <c r="C128" t="n">
        <v>2</v>
      </c>
      <c r="D128" t="n">
        <v>2</v>
      </c>
      <c r="E128" t="n">
        <v>2</v>
      </c>
      <c r="F128" t="n">
        <v>0</v>
      </c>
      <c r="G128" t="n">
        <v>0</v>
      </c>
      <c r="H128" t="n">
        <v>0</v>
      </c>
      <c r="I128" t="n">
        <v>1</v>
      </c>
      <c r="J128" t="inlineStr">
        <is>
          <t>present</t>
        </is>
      </c>
      <c r="K128" t="inlineStr">
        <is>
          <t>Near ready</t>
        </is>
      </c>
      <c r="L128" t="inlineStr">
        <is>
          <t>Backfill stronger citation and vascular interaction detail</t>
        </is>
      </c>
      <c r="O128" t="inlineStr">
        <is>
          <t>tanshinone IIA; salvianolic acid B</t>
        </is>
      </c>
      <c r="P128" t="n">
        <v>1</v>
      </c>
      <c r="Q128" t="n">
        <v>80</v>
      </c>
      <c r="R128" t="inlineStr">
        <is>
          <t>upgrade</t>
        </is>
      </c>
      <c r="S128" t="inlineStr">
        <is>
          <t>danshen</t>
        </is>
      </c>
      <c r="T128" t="inlineStr">
        <is>
          <t>partial</t>
        </is>
      </c>
      <c r="U128" t="n">
        <v>55</v>
      </c>
      <c r="V128" t="inlineStr">
        <is>
          <t>Tier 2</t>
        </is>
      </c>
      <c r="W128" t="inlineStr">
        <is>
          <t>FALSE</t>
        </is>
      </c>
      <c r="X128" t="inlineStr">
        <is>
          <t>TRUE</t>
        </is>
      </c>
      <c r="Y128" t="inlineStr">
        <is>
          <t>aligned</t>
        </is>
      </c>
    </row>
    <row r="129">
      <c r="A129" t="inlineStr">
        <is>
          <t>cistanche</t>
        </is>
      </c>
      <c r="B129" t="inlineStr">
        <is>
          <t>Cistanche</t>
        </is>
      </c>
      <c r="C129" t="n">
        <v>1</v>
      </c>
      <c r="D129" t="n">
        <v>1</v>
      </c>
      <c r="E129" t="n">
        <v>1</v>
      </c>
      <c r="F129" t="n">
        <v>0</v>
      </c>
      <c r="G129" t="n">
        <v>0</v>
      </c>
      <c r="H129" t="n">
        <v>0</v>
      </c>
      <c r="I129" t="n">
        <v>1</v>
      </c>
      <c r="J129" t="inlineStr">
        <is>
          <t>present</t>
        </is>
      </c>
      <c r="K129" t="inlineStr">
        <is>
          <t>Near ready</t>
        </is>
      </c>
      <c r="L129" t="inlineStr">
        <is>
          <t>Expand human evidence and dosing layer</t>
        </is>
      </c>
      <c r="O129" t="inlineStr">
        <is>
          <t>acteoside</t>
        </is>
      </c>
      <c r="P129" t="n">
        <v>1</v>
      </c>
      <c r="Q129" t="n">
        <v>74</v>
      </c>
      <c r="R129" t="inlineStr">
        <is>
          <t>upgrade</t>
        </is>
      </c>
      <c r="S129" t="inlineStr">
        <is>
          <t>cistanche</t>
        </is>
      </c>
      <c r="T129" t="inlineStr">
        <is>
          <t>partial</t>
        </is>
      </c>
      <c r="U129" t="n">
        <v>50</v>
      </c>
      <c r="V129" t="inlineStr">
        <is>
          <t>Tier 2</t>
        </is>
      </c>
      <c r="W129" t="inlineStr">
        <is>
          <t>FALSE</t>
        </is>
      </c>
      <c r="X129" t="inlineStr">
        <is>
          <t>TRUE</t>
        </is>
      </c>
      <c r="Y129" t="inlineStr">
        <is>
          <t>aligned</t>
        </is>
      </c>
    </row>
    <row r="130">
      <c r="A130" t="inlineStr">
        <is>
          <t>isatis</t>
        </is>
      </c>
      <c r="B130" t="inlineStr">
        <is>
          <t>Isatis</t>
        </is>
      </c>
      <c r="C130" t="n">
        <v>1</v>
      </c>
      <c r="D130" t="n">
        <v>1</v>
      </c>
      <c r="E130" t="n">
        <v>1</v>
      </c>
      <c r="F130" t="n">
        <v>0</v>
      </c>
      <c r="G130" t="n">
        <v>0</v>
      </c>
      <c r="H130" t="n">
        <v>0</v>
      </c>
      <c r="I130" t="n">
        <v>1</v>
      </c>
      <c r="J130" t="inlineStr">
        <is>
          <t>present</t>
        </is>
      </c>
      <c r="K130" t="inlineStr">
        <is>
          <t>Needs caution review</t>
        </is>
      </c>
      <c r="L130" t="inlineStr">
        <is>
          <t>Clarify safety and human-use boundaries for indirubin-linked activity</t>
        </is>
      </c>
      <c r="O130" t="inlineStr">
        <is>
          <t>indirubin</t>
        </is>
      </c>
      <c r="P130" t="n">
        <v>1</v>
      </c>
      <c r="Q130" t="n">
        <v>76</v>
      </c>
      <c r="R130" t="inlineStr">
        <is>
          <t>upgrade</t>
        </is>
      </c>
      <c r="S130" t="inlineStr">
        <is>
          <t>isatis</t>
        </is>
      </c>
      <c r="T130" t="inlineStr">
        <is>
          <t>partial</t>
        </is>
      </c>
      <c r="U130" t="n">
        <v>48</v>
      </c>
      <c r="V130" t="inlineStr">
        <is>
          <t>Tier 2</t>
        </is>
      </c>
      <c r="W130" t="inlineStr">
        <is>
          <t>FALSE</t>
        </is>
      </c>
      <c r="X130" t="inlineStr">
        <is>
          <t>FALSE</t>
        </is>
      </c>
      <c r="Y130" t="inlineStr">
        <is>
          <t>needs_work</t>
        </is>
      </c>
    </row>
    <row r="131">
      <c r="A131" t="inlineStr">
        <is>
          <t>rehmannia-prepared</t>
        </is>
      </c>
      <c r="B131" t="inlineStr">
        <is>
          <t>Rehmannia Prepared</t>
        </is>
      </c>
      <c r="C131" t="n">
        <v>2</v>
      </c>
      <c r="D131" t="n">
        <v>2</v>
      </c>
      <c r="E131" t="n">
        <v>1</v>
      </c>
      <c r="F131" t="n">
        <v>0</v>
      </c>
      <c r="G131" t="n">
        <v>0</v>
      </c>
      <c r="H131" t="n">
        <v>0</v>
      </c>
      <c r="I131" t="n">
        <v>1</v>
      </c>
      <c r="J131" t="inlineStr">
        <is>
          <t>present</t>
        </is>
      </c>
      <c r="K131" t="inlineStr">
        <is>
          <t>Near ready</t>
        </is>
      </c>
      <c r="L131" t="inlineStr">
        <is>
          <t>Add stronger evidence layer for catalpol and prepared-root context</t>
        </is>
      </c>
      <c r="O131" t="inlineStr">
        <is>
          <t>catalpol</t>
        </is>
      </c>
      <c r="P131" t="n">
        <v>1</v>
      </c>
      <c r="Q131" t="n">
        <v>72</v>
      </c>
      <c r="R131" t="inlineStr">
        <is>
          <t>upgrade</t>
        </is>
      </c>
      <c r="S131" t="inlineStr">
        <is>
          <t>rehmannia-prepared</t>
        </is>
      </c>
      <c r="T131" t="inlineStr">
        <is>
          <t>partial</t>
        </is>
      </c>
      <c r="U131" t="n">
        <v>47</v>
      </c>
      <c r="V131" t="inlineStr">
        <is>
          <t>Tier 3</t>
        </is>
      </c>
      <c r="W131" t="inlineStr">
        <is>
          <t>FALSE</t>
        </is>
      </c>
      <c r="X131" t="inlineStr">
        <is>
          <t>TRUE</t>
        </is>
      </c>
      <c r="Y131" t="inlineStr">
        <is>
          <t>aligned</t>
        </is>
      </c>
    </row>
    <row r="132">
      <c r="A132" t="inlineStr">
        <is>
          <t>bacopa</t>
        </is>
      </c>
      <c r="B132" t="inlineStr">
        <is>
          <t>Bacopa</t>
        </is>
      </c>
      <c r="C132" t="n">
        <v>2</v>
      </c>
      <c r="D132" t="n">
        <v>2</v>
      </c>
      <c r="E132" t="n">
        <v>2</v>
      </c>
      <c r="F132" t="n">
        <v>0</v>
      </c>
      <c r="G132" t="n">
        <v>0</v>
      </c>
      <c r="H132" t="n">
        <v>0</v>
      </c>
      <c r="I132" t="n">
        <v>1</v>
      </c>
      <c r="J132" t="inlineStr">
        <is>
          <t>present</t>
        </is>
      </c>
      <c r="K132" t="inlineStr">
        <is>
          <t>Near ready</t>
        </is>
      </c>
      <c r="L132" t="inlineStr">
        <is>
          <t>Differentiate bacoside A vs bacopaside II with cleaner mechanism detail</t>
        </is>
      </c>
      <c r="O132" t="inlineStr">
        <is>
          <t>bacoside A; bacopaside II</t>
        </is>
      </c>
      <c r="P132" t="n">
        <v>1</v>
      </c>
      <c r="Q132" t="n">
        <v>82</v>
      </c>
      <c r="R132" t="inlineStr">
        <is>
          <t>upgrade</t>
        </is>
      </c>
      <c r="S132" t="inlineStr">
        <is>
          <t>bacopa</t>
        </is>
      </c>
      <c r="T132" t="inlineStr">
        <is>
          <t>partial</t>
        </is>
      </c>
      <c r="U132" t="n">
        <v>58</v>
      </c>
      <c r="V132" t="inlineStr">
        <is>
          <t>Tier 2</t>
        </is>
      </c>
      <c r="W132" t="inlineStr">
        <is>
          <t>FALSE</t>
        </is>
      </c>
      <c r="X132" t="inlineStr">
        <is>
          <t>TRUE</t>
        </is>
      </c>
      <c r="Y132" t="inlineStr">
        <is>
          <t>aligned</t>
        </is>
      </c>
    </row>
    <row r="133">
      <c r="A133" t="inlineStr">
        <is>
          <t>epimedium</t>
        </is>
      </c>
      <c r="B133" t="inlineStr">
        <is>
          <t>Epimedium</t>
        </is>
      </c>
      <c r="C133" t="n">
        <v>1</v>
      </c>
      <c r="D133" t="n">
        <v>1</v>
      </c>
      <c r="E133" t="n">
        <v>1</v>
      </c>
      <c r="F133" t="n">
        <v>0</v>
      </c>
      <c r="G133" t="n">
        <v>0</v>
      </c>
      <c r="H133" t="n">
        <v>0</v>
      </c>
      <c r="I133" t="n">
        <v>1</v>
      </c>
      <c r="J133" t="inlineStr">
        <is>
          <t>present</t>
        </is>
      </c>
      <c r="K133" t="inlineStr">
        <is>
          <t>Near ready</t>
        </is>
      </c>
      <c r="L133" t="inlineStr">
        <is>
          <t>Expand PDE/NO mechanism clarity and contraindication review</t>
        </is>
      </c>
      <c r="O133" t="inlineStr">
        <is>
          <t>icariin</t>
        </is>
      </c>
      <c r="P133" t="n">
        <v>1</v>
      </c>
      <c r="Q133" t="n">
        <v>79</v>
      </c>
      <c r="R133" t="inlineStr">
        <is>
          <t>upgrade</t>
        </is>
      </c>
      <c r="S133" t="inlineStr">
        <is>
          <t>epimedium</t>
        </is>
      </c>
      <c r="T133" t="inlineStr">
        <is>
          <t>partial</t>
        </is>
      </c>
      <c r="U133" t="n">
        <v>54</v>
      </c>
      <c r="V133" t="inlineStr">
        <is>
          <t>Tier 2</t>
        </is>
      </c>
      <c r="W133" t="inlineStr">
        <is>
          <t>FALSE</t>
        </is>
      </c>
      <c r="X133" t="inlineStr">
        <is>
          <t>TRUE</t>
        </is>
      </c>
      <c r="Y133" t="inlineStr">
        <is>
          <t>aligned</t>
        </is>
      </c>
    </row>
    <row r="134">
      <c r="A134" t="inlineStr">
        <is>
          <t>yohimbe</t>
        </is>
      </c>
      <c r="B134" t="inlineStr">
        <is>
          <t>Yohimbe</t>
        </is>
      </c>
      <c r="C134" t="n">
        <v>1</v>
      </c>
      <c r="D134" t="n">
        <v>1</v>
      </c>
      <c r="E134" t="n">
        <v>1</v>
      </c>
      <c r="F134" t="n">
        <v>0</v>
      </c>
      <c r="G134" t="n">
        <v>0</v>
      </c>
      <c r="H134" t="n">
        <v>0</v>
      </c>
      <c r="I134" t="n">
        <v>1</v>
      </c>
      <c r="J134" t="inlineStr">
        <is>
          <t>present</t>
        </is>
      </c>
      <c r="K134" t="inlineStr">
        <is>
          <t>Needs caution review</t>
        </is>
      </c>
      <c r="L134" t="inlineStr">
        <is>
          <t>Expand CV/psychiatric safety detail before stronger recommendation use</t>
        </is>
      </c>
      <c r="O134" t="inlineStr">
        <is>
          <t>yohimbine</t>
        </is>
      </c>
      <c r="P134" t="n">
        <v>1</v>
      </c>
      <c r="Q134" t="n">
        <v>88</v>
      </c>
      <c r="R134" t="inlineStr">
        <is>
          <t>upgrade</t>
        </is>
      </c>
      <c r="S134" t="inlineStr">
        <is>
          <t>yohimbe</t>
        </is>
      </c>
      <c r="T134" t="inlineStr">
        <is>
          <t>partial</t>
        </is>
      </c>
      <c r="U134" t="n">
        <v>60</v>
      </c>
      <c r="V134" t="inlineStr">
        <is>
          <t>Tier 1</t>
        </is>
      </c>
      <c r="W134" t="inlineStr">
        <is>
          <t>TRUE</t>
        </is>
      </c>
      <c r="X134" t="inlineStr">
        <is>
          <t>FALSE</t>
        </is>
      </c>
      <c r="Y134" t="inlineStr">
        <is>
          <t>needs_work</t>
        </is>
      </c>
    </row>
    <row r="135">
      <c r="A135" t="inlineStr">
        <is>
          <t>lions-mane</t>
        </is>
      </c>
      <c r="B135" t="inlineStr">
        <is>
          <t>Lion's Mane</t>
        </is>
      </c>
      <c r="C135" t="n">
        <v>2</v>
      </c>
      <c r="D135" t="n">
        <v>2</v>
      </c>
      <c r="E135" t="n">
        <v>2</v>
      </c>
      <c r="F135" t="n">
        <v>0</v>
      </c>
      <c r="G135" t="n">
        <v>0</v>
      </c>
      <c r="H135" t="n">
        <v>0</v>
      </c>
      <c r="I135" t="n">
        <v>1</v>
      </c>
      <c r="J135" t="inlineStr">
        <is>
          <t>present</t>
        </is>
      </c>
      <c r="K135" t="inlineStr">
        <is>
          <t>Near ready</t>
        </is>
      </c>
      <c r="L135" t="inlineStr">
        <is>
          <t>Differentiate hericenones vs erinacines and tissue-source context</t>
        </is>
      </c>
      <c r="O135" t="inlineStr">
        <is>
          <t>hericenones; erinacines</t>
        </is>
      </c>
      <c r="P135" t="n">
        <v>1</v>
      </c>
      <c r="Q135" t="n">
        <v>84</v>
      </c>
      <c r="R135" t="inlineStr">
        <is>
          <t>upgrade</t>
        </is>
      </c>
      <c r="S135" t="inlineStr">
        <is>
          <t>lions-mane</t>
        </is>
      </c>
      <c r="T135" t="inlineStr">
        <is>
          <t>partial</t>
        </is>
      </c>
      <c r="U135" t="n">
        <v>57</v>
      </c>
      <c r="V135" t="inlineStr">
        <is>
          <t>Tier 2</t>
        </is>
      </c>
      <c r="W135" t="inlineStr">
        <is>
          <t>FALSE</t>
        </is>
      </c>
      <c r="X135" t="inlineStr">
        <is>
          <t>TRUE</t>
        </is>
      </c>
      <c r="Y135" t="inlineStr">
        <is>
          <t>aligned</t>
        </is>
      </c>
    </row>
    <row r="136">
      <c r="A136" t="inlineStr">
        <is>
          <t>eleuthero</t>
        </is>
      </c>
      <c r="B136" t="inlineStr">
        <is>
          <t>Eleuthero</t>
        </is>
      </c>
      <c r="C136" t="n">
        <v>1</v>
      </c>
      <c r="D136" t="n">
        <v>1</v>
      </c>
      <c r="E136" t="n">
        <v>1</v>
      </c>
      <c r="F136" t="n">
        <v>0</v>
      </c>
      <c r="G136" t="n">
        <v>0</v>
      </c>
      <c r="H136" t="n">
        <v>0</v>
      </c>
      <c r="I136" t="n">
        <v>1</v>
      </c>
      <c r="J136" t="inlineStr">
        <is>
          <t>present</t>
        </is>
      </c>
      <c r="K136" t="inlineStr">
        <is>
          <t>Near ready</t>
        </is>
      </c>
      <c r="L136" t="inlineStr">
        <is>
          <t>Expand eleutheroside specificity and citation strength</t>
        </is>
      </c>
      <c r="O136" t="inlineStr">
        <is>
          <t>eleutherosides</t>
        </is>
      </c>
      <c r="P136" t="n">
        <v>1</v>
      </c>
      <c r="Q136" t="n">
        <v>70</v>
      </c>
      <c r="R136" t="inlineStr">
        <is>
          <t>upgrade</t>
        </is>
      </c>
      <c r="S136" t="inlineStr">
        <is>
          <t>eleuthero</t>
        </is>
      </c>
      <c r="T136" t="inlineStr">
        <is>
          <t>partial</t>
        </is>
      </c>
      <c r="U136" t="n">
        <v>46</v>
      </c>
      <c r="V136" t="inlineStr">
        <is>
          <t>Tier 3</t>
        </is>
      </c>
      <c r="W136" t="inlineStr">
        <is>
          <t>FALSE</t>
        </is>
      </c>
      <c r="X136" t="inlineStr">
        <is>
          <t>TRUE</t>
        </is>
      </c>
      <c r="Y136" t="inlineStr">
        <is>
          <t>aligned</t>
        </is>
      </c>
    </row>
    <row r="137">
      <c r="A137" t="inlineStr">
        <is>
          <t>luo-han-guo</t>
        </is>
      </c>
      <c r="B137" t="inlineStr">
        <is>
          <t>Luo Han Guo</t>
        </is>
      </c>
      <c r="C137" t="n">
        <v>1</v>
      </c>
      <c r="D137" t="n">
        <v>1</v>
      </c>
      <c r="E137" t="n">
        <v>1</v>
      </c>
      <c r="F137" t="n">
        <v>0</v>
      </c>
      <c r="G137" t="n">
        <v>0</v>
      </c>
      <c r="H137" t="n">
        <v>0</v>
      </c>
      <c r="I137" t="n">
        <v>1</v>
      </c>
      <c r="J137" t="inlineStr">
        <is>
          <t>present</t>
        </is>
      </c>
      <c r="K137" t="inlineStr">
        <is>
          <t>Near ready</t>
        </is>
      </c>
      <c r="L137" t="inlineStr">
        <is>
          <t>Differentiate mogroside family members if source support improves</t>
        </is>
      </c>
      <c r="O137" t="inlineStr">
        <is>
          <t>mogrosides</t>
        </is>
      </c>
      <c r="P137" t="n">
        <v>1</v>
      </c>
      <c r="Q137" t="n">
        <v>69</v>
      </c>
      <c r="R137" t="inlineStr">
        <is>
          <t>upgrade</t>
        </is>
      </c>
      <c r="S137" t="inlineStr">
        <is>
          <t>luo-han-guo</t>
        </is>
      </c>
      <c r="T137" t="inlineStr">
        <is>
          <t>partial</t>
        </is>
      </c>
      <c r="U137" t="n">
        <v>45</v>
      </c>
      <c r="V137" t="inlineStr">
        <is>
          <t>Tier 3</t>
        </is>
      </c>
      <c r="W137" t="inlineStr">
        <is>
          <t>FALSE</t>
        </is>
      </c>
      <c r="X137" t="inlineStr">
        <is>
          <t>TRUE</t>
        </is>
      </c>
      <c r="Y137" t="inlineStr">
        <is>
          <t>aligned</t>
        </is>
      </c>
    </row>
    <row r="138">
      <c r="A138" t="inlineStr">
        <is>
          <t>psyllium</t>
        </is>
      </c>
      <c r="B138" t="inlineStr">
        <is>
          <t>Psyllium</t>
        </is>
      </c>
      <c r="C138" t="n">
        <v>2</v>
      </c>
      <c r="D138" t="n">
        <v>2</v>
      </c>
      <c r="E138" t="n">
        <v>2</v>
      </c>
      <c r="F138" t="n">
        <v>0</v>
      </c>
      <c r="G138" t="n">
        <v>0</v>
      </c>
      <c r="H138" t="n">
        <v>0</v>
      </c>
      <c r="I138" t="n">
        <v>1</v>
      </c>
      <c r="J138" t="inlineStr">
        <is>
          <t>present</t>
        </is>
      </c>
      <c r="K138" t="inlineStr">
        <is>
          <t>Near ready</t>
        </is>
      </c>
      <c r="L138" t="inlineStr">
        <is>
          <t>Expand fiber-drug separation and GI-use specificity</t>
        </is>
      </c>
      <c r="O138" t="inlineStr">
        <is>
          <t>mucilage; arabinoxylans</t>
        </is>
      </c>
      <c r="P138" t="n">
        <v>1</v>
      </c>
      <c r="Q138" t="n">
        <v>75</v>
      </c>
      <c r="R138" t="inlineStr">
        <is>
          <t>upgrade</t>
        </is>
      </c>
      <c r="S138" t="inlineStr">
        <is>
          <t>psyllium</t>
        </is>
      </c>
      <c r="T138" t="inlineStr">
        <is>
          <t>partial</t>
        </is>
      </c>
      <c r="U138" t="n">
        <v>49</v>
      </c>
      <c r="V138" t="inlineStr">
        <is>
          <t>Tier 2</t>
        </is>
      </c>
      <c r="W138" t="inlineStr">
        <is>
          <t>FALSE</t>
        </is>
      </c>
      <c r="X138" t="inlineStr">
        <is>
          <t>TRUE</t>
        </is>
      </c>
      <c r="Y138" t="inlineStr">
        <is>
          <t>aligned</t>
        </is>
      </c>
    </row>
    <row r="139">
      <c r="A139" t="inlineStr">
        <is>
          <t>myrtle</t>
        </is>
      </c>
      <c r="B139" t="inlineStr">
        <is>
          <t>Myrtle</t>
        </is>
      </c>
      <c r="C139" t="n">
        <v>1</v>
      </c>
      <c r="D139" t="n">
        <v>1</v>
      </c>
      <c r="E139" t="n">
        <v>1</v>
      </c>
      <c r="F139" t="n">
        <v>0</v>
      </c>
      <c r="G139" t="n">
        <v>0</v>
      </c>
      <c r="H139" t="n">
        <v>0</v>
      </c>
      <c r="I139" t="n">
        <v>1</v>
      </c>
      <c r="J139" t="inlineStr">
        <is>
          <t>present</t>
        </is>
      </c>
      <c r="K139" t="inlineStr">
        <is>
          <t>Near ready</t>
        </is>
      </c>
      <c r="L139" t="inlineStr">
        <is>
          <t>Add source depth and mechanism refinement for myricetin entry</t>
        </is>
      </c>
      <c r="O139" t="inlineStr">
        <is>
          <t>myricetin</t>
        </is>
      </c>
      <c r="P139" t="n">
        <v>1</v>
      </c>
      <c r="Q139" t="n">
        <v>68</v>
      </c>
      <c r="R139" t="inlineStr">
        <is>
          <t>upgrade</t>
        </is>
      </c>
      <c r="S139" t="inlineStr">
        <is>
          <t>myrtle</t>
        </is>
      </c>
      <c r="T139" t="inlineStr">
        <is>
          <t>partial</t>
        </is>
      </c>
      <c r="U139" t="n">
        <v>44</v>
      </c>
      <c r="V139" t="inlineStr">
        <is>
          <t>Tier 3</t>
        </is>
      </c>
      <c r="W139" t="inlineStr">
        <is>
          <t>FALSE</t>
        </is>
      </c>
      <c r="X139" t="inlineStr">
        <is>
          <t>TRUE</t>
        </is>
      </c>
      <c r="Y139" t="inlineStr">
        <is>
          <t>aligned</t>
        </is>
      </c>
    </row>
    <row r="140">
      <c r="A140" t="inlineStr">
        <is>
          <t>calendula</t>
        </is>
      </c>
      <c r="B140" t="inlineStr">
        <is>
          <t>Calendula</t>
        </is>
      </c>
      <c r="C140" t="n">
        <v>1</v>
      </c>
      <c r="D140" t="n">
        <v>1</v>
      </c>
      <c r="E140" t="n">
        <v>1</v>
      </c>
      <c r="F140" t="n">
        <v>0</v>
      </c>
      <c r="G140" t="n">
        <v>0</v>
      </c>
      <c r="H140" t="n">
        <v>0</v>
      </c>
      <c r="I140" t="n">
        <v>1</v>
      </c>
      <c r="J140" t="inlineStr">
        <is>
          <t>present</t>
        </is>
      </c>
      <c r="K140" t="inlineStr">
        <is>
          <t>Near ready</t>
        </is>
      </c>
      <c r="L140" t="inlineStr">
        <is>
          <t>Clarify topical vs systemic relevance of faradiol esters</t>
        </is>
      </c>
      <c r="O140" t="inlineStr">
        <is>
          <t>faradiol esters</t>
        </is>
      </c>
      <c r="P140" t="n">
        <v>1</v>
      </c>
      <c r="Q140" t="n">
        <v>71</v>
      </c>
      <c r="R140" t="inlineStr">
        <is>
          <t>upgrade</t>
        </is>
      </c>
      <c r="S140" t="inlineStr">
        <is>
          <t>calendula</t>
        </is>
      </c>
      <c r="T140" t="inlineStr">
        <is>
          <t>partial</t>
        </is>
      </c>
      <c r="U140" t="n">
        <v>47</v>
      </c>
      <c r="V140" t="inlineStr">
        <is>
          <t>Tier 3</t>
        </is>
      </c>
      <c r="W140" t="inlineStr">
        <is>
          <t>FALSE</t>
        </is>
      </c>
      <c r="X140" t="inlineStr">
        <is>
          <t>TRUE</t>
        </is>
      </c>
      <c r="Y140" t="inlineStr">
        <is>
          <t>aligned</t>
        </is>
      </c>
    </row>
    <row r="141">
      <c r="A141" t="inlineStr">
        <is>
          <t>maca</t>
        </is>
      </c>
      <c r="B141" t="inlineStr">
        <is>
          <t>Maca</t>
        </is>
      </c>
      <c r="C141" t="n">
        <v>2</v>
      </c>
      <c r="D141" t="n">
        <v>2</v>
      </c>
      <c r="E141" t="n">
        <v>2</v>
      </c>
      <c r="F141" t="n">
        <v>0</v>
      </c>
      <c r="G141" t="n">
        <v>0</v>
      </c>
      <c r="H141" t="n">
        <v>0</v>
      </c>
      <c r="I141" t="n">
        <v>1</v>
      </c>
      <c r="J141" t="inlineStr">
        <is>
          <t>present</t>
        </is>
      </c>
      <c r="K141" t="inlineStr">
        <is>
          <t>Needs precision pass</t>
        </is>
      </c>
      <c r="L141" t="inlineStr">
        <is>
          <t>Resolve broad marker chemistry into stronger evidence buckets</t>
        </is>
      </c>
      <c r="O141" t="inlineStr">
        <is>
          <t>macamides; macaenes</t>
        </is>
      </c>
      <c r="P141" t="n">
        <v>1</v>
      </c>
      <c r="Q141" t="n">
        <v>73</v>
      </c>
      <c r="R141" t="inlineStr">
        <is>
          <t>upgrade</t>
        </is>
      </c>
      <c r="S141" t="inlineStr">
        <is>
          <t>maca</t>
        </is>
      </c>
      <c r="T141" t="inlineStr">
        <is>
          <t>partial</t>
        </is>
      </c>
      <c r="U141" t="n">
        <v>46</v>
      </c>
      <c r="V141" t="inlineStr">
        <is>
          <t>Tier 3</t>
        </is>
      </c>
      <c r="W141" t="inlineStr">
        <is>
          <t>FALSE</t>
        </is>
      </c>
      <c r="X141" t="inlineStr">
        <is>
          <t>TRUE</t>
        </is>
      </c>
      <c r="Y141" t="inlineStr">
        <is>
          <t>aligned</t>
        </is>
      </c>
    </row>
    <row r="142">
      <c r="A142" t="inlineStr">
        <is>
          <t>Salvia miltiorrhiza</t>
        </is>
      </c>
      <c r="B142" t="inlineStr">
        <is>
          <t>Expand cardiovascular trials</t>
        </is>
      </c>
    </row>
    <row r="143">
      <c r="A143" t="inlineStr">
        <is>
          <t>Epimedium</t>
        </is>
      </c>
      <c r="B143" t="inlineStr">
        <is>
          <t>Dose standardization needed</t>
        </is>
      </c>
    </row>
    <row r="144">
      <c r="A144" t="inlineStr">
        <is>
          <t>Pausinystalia yohimbe</t>
        </is>
      </c>
      <c r="B144" t="inlineStr">
        <is>
          <t>Safety/toxicity clarification</t>
        </is>
      </c>
    </row>
    <row r="145">
      <c r="A145" t="inlineStr">
        <is>
          <t>Mucuna pruriens</t>
        </is>
      </c>
      <c r="B145" t="inlineStr">
        <is>
          <t>Expand neurotransmitter interaction depth</t>
        </is>
      </c>
    </row>
    <row r="146">
      <c r="A146" t="inlineStr">
        <is>
          <t>Curcuma longa</t>
        </is>
      </c>
      <c r="B146" t="inlineStr">
        <is>
          <t>Add bioavailability data</t>
        </is>
      </c>
    </row>
    <row r="147">
      <c r="A147" t="inlineStr">
        <is>
          <t>Camellia sinensis</t>
        </is>
      </c>
      <c r="B147" t="inlineStr">
        <is>
          <t>Dose-response standardization</t>
        </is>
      </c>
    </row>
    <row r="148">
      <c r="A148" t="inlineStr">
        <is>
          <t>Hypericum perforatum</t>
        </is>
      </c>
      <c r="B148" t="inlineStr">
        <is>
          <t>Drug interaction expansion (CYP enzymes)</t>
        </is>
      </c>
    </row>
    <row r="149">
      <c r="A149" t="inlineStr">
        <is>
          <t>Ginkgo biloba</t>
        </is>
      </c>
      <c r="B149" t="inlineStr">
        <is>
          <t>Clinical efficacy clarification</t>
        </is>
      </c>
    </row>
    <row r="150">
      <c r="A150" t="inlineStr">
        <is>
          <t>Panax ginseng</t>
        </is>
      </c>
      <c r="B150" t="inlineStr">
        <is>
          <t>Mechanism refinement</t>
        </is>
      </c>
    </row>
    <row r="151">
      <c r="A151" t="inlineStr">
        <is>
          <t>Withania somnifera</t>
        </is>
      </c>
      <c r="B151" t="inlineStr">
        <is>
          <t>Long-term safety studies</t>
        </is>
      </c>
    </row>
    <row r="152">
      <c r="A152" t="inlineStr">
        <is>
          <t>compound-master</t>
        </is>
      </c>
      <c r="B152" t="inlineStr">
        <is>
          <t>Compound Master alias audit</t>
        </is>
      </c>
    </row>
    <row r="153">
      <c r="A153" t="inlineStr">
        <is>
          <t>cross-link-layer</t>
        </is>
      </c>
      <c r="B153" t="inlineStr">
        <is>
          <t>Expand shared flavonoids across more herbs</t>
        </is>
      </c>
    </row>
    <row r="154">
      <c r="A154" t="inlineStr">
        <is>
          <t>cross-link-layer</t>
        </is>
      </c>
      <c r="B154" t="inlineStr">
        <is>
          <t>Expand shared terpenoids across more herbs</t>
        </is>
      </c>
    </row>
    <row r="155">
      <c r="A155" t="inlineStr">
        <is>
          <t>curcuma-longa</t>
        </is>
      </c>
      <c r="B155" t="inlineStr">
        <is>
          <t>Curcuma longa</t>
        </is>
      </c>
    </row>
    <row r="156">
      <c r="A156" t="inlineStr">
        <is>
          <t>camellia-sinensis</t>
        </is>
      </c>
      <c r="B156" t="inlineStr">
        <is>
          <t>Camellia sinensis</t>
        </is>
      </c>
    </row>
    <row r="157">
      <c r="A157" t="inlineStr">
        <is>
          <t>hypericum-perforatum</t>
        </is>
      </c>
      <c r="B157" t="inlineStr">
        <is>
          <t>Hypericum perforatum</t>
        </is>
      </c>
    </row>
    <row r="158">
      <c r="A158" t="inlineStr">
        <is>
          <t>panax-ginseng</t>
        </is>
      </c>
      <c r="B158" t="inlineStr">
        <is>
          <t>Panax ginseng</t>
        </is>
      </c>
    </row>
    <row r="159">
      <c r="A159" t="inlineStr">
        <is>
          <t>ginkgo-biloba</t>
        </is>
      </c>
      <c r="B159" t="inlineStr">
        <is>
          <t>Ginkgo biloba</t>
        </is>
      </c>
    </row>
    <row r="160">
      <c r="A160" t="inlineStr">
        <is>
          <t>Quercetin</t>
        </is>
      </c>
      <c r="B160" t="inlineStr">
        <is>
          <t>Expand cross-herb mapping</t>
        </is>
      </c>
    </row>
    <row r="161">
      <c r="A161" t="inlineStr">
        <is>
          <t>Apigenin</t>
        </is>
      </c>
      <c r="B161" t="inlineStr">
        <is>
          <t>Add receptor-level mechanisms</t>
        </is>
      </c>
    </row>
    <row r="162">
      <c r="A162" t="inlineStr">
        <is>
          <t>Resveratrol</t>
        </is>
      </c>
      <c r="B162" t="inlineStr">
        <is>
          <t>Add AMPK + sirtuin pathways</t>
        </is>
      </c>
    </row>
    <row r="163">
      <c r="A163" t="inlineStr">
        <is>
          <t>Caffeine</t>
        </is>
      </c>
      <c r="B163" t="inlineStr">
        <is>
          <t>Add adenosine receptor specificity</t>
        </is>
      </c>
    </row>
    <row r="164">
      <c r="A164" t="inlineStr">
        <is>
          <t>Ibogaine</t>
        </is>
      </c>
      <c r="B164" t="inlineStr">
        <is>
          <t>Add 5-HT2A, nicotinic, and cardiotoxicity detail where justified</t>
        </is>
      </c>
    </row>
    <row r="165">
      <c r="A165" t="inlineStr">
        <is>
          <t>Caffeine</t>
        </is>
      </c>
      <c r="B165" t="inlineStr">
        <is>
          <t>Add A1 versus A2A evidence notes and preparation context</t>
        </is>
      </c>
    </row>
    <row r="166">
      <c r="A166" t="inlineStr">
        <is>
          <t>Curcumin</t>
        </is>
      </c>
      <c r="B166" t="inlineStr">
        <is>
          <t>Differentiate COX-2 modulation from broader inflammatory claims</t>
        </is>
      </c>
    </row>
    <row r="167">
      <c r="A167" t="inlineStr">
        <is>
          <t>Quercetin</t>
        </is>
      </c>
      <c r="B167" t="inlineStr">
        <is>
          <t>Audit mast-cell and antioxidant evidence depth</t>
        </is>
      </c>
    </row>
    <row r="168">
      <c r="A168" t="inlineStr">
        <is>
          <t>Resveratrol</t>
        </is>
      </c>
      <c r="B168" t="inlineStr">
        <is>
          <t>Clarify AMPK versus SIRT1 evidence framing</t>
        </is>
      </c>
    </row>
    <row r="169">
      <c r="A169" t="inlineStr">
        <is>
          <t>Piper nigrum</t>
        </is>
      </c>
      <c r="B169" t="inlineStr">
        <is>
          <t>Expand piperine interaction and bioavailability notes</t>
        </is>
      </c>
    </row>
    <row r="170">
      <c r="A170" t="inlineStr">
        <is>
          <t>Scutellaria baicalensis</t>
        </is>
      </c>
      <c r="B170" t="inlineStr">
        <is>
          <t>Expand baicalin and baicalein compound cluster</t>
        </is>
      </c>
    </row>
    <row r="171">
      <c r="A171" t="inlineStr">
        <is>
          <t>Scutellaria baicalensis</t>
        </is>
      </c>
      <c r="B171" t="inlineStr">
        <is>
          <t>Expand baicalin/baicalein comparative pharmacology</t>
        </is>
      </c>
    </row>
    <row r="172">
      <c r="A172" t="inlineStr">
        <is>
          <t>Rosmarinus officinalis</t>
        </is>
      </c>
      <c r="B172" t="inlineStr">
        <is>
          <t>Expand carnosic acid/carnosol cluster</t>
        </is>
      </c>
    </row>
    <row r="173">
      <c r="A173" t="inlineStr">
        <is>
          <t>Zingiber officinale</t>
        </is>
      </c>
      <c r="B173" t="inlineStr">
        <is>
          <t>Expand gingerol/shogaol ratio and effects</t>
        </is>
      </c>
    </row>
    <row r="174">
      <c r="A174" t="inlineStr">
        <is>
          <t>Panax ginseng</t>
        </is>
      </c>
      <c r="B174" t="inlineStr">
        <is>
          <t>Expand ginsenoside diversity and ratios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656"/>
  <sheetViews>
    <sheetView workbookViewId="0">
      <selection activeCell="A1" sqref="A1"/>
    </sheetView>
  </sheetViews>
  <sheetFormatPr baseColWidth="8" defaultRowHeight="15"/>
  <cols>
    <col width="28" customWidth="1" min="1" max="1"/>
    <col width="20" customWidth="1" min="2" max="2"/>
    <col width="13" customWidth="1" min="3" max="3"/>
    <col width="28" customWidth="1" min="4" max="4"/>
    <col width="28" customWidth="1" min="5" max="5"/>
    <col width="10" customWidth="1" min="6" max="6"/>
    <col width="28" customWidth="1" min="7" max="7"/>
    <col width="28" customWidth="1" min="8" max="8"/>
  </cols>
  <sheetData>
    <row r="1">
      <c r="A1" s="6" t="inlineStr">
        <is>
          <t>pathwayTarget</t>
        </is>
      </c>
      <c r="B1" s="6" t="inlineStr">
        <is>
          <t>canonicalCompoundId</t>
        </is>
      </c>
      <c r="C1" s="6" t="inlineStr">
        <is>
          <t>compoundName</t>
        </is>
      </c>
      <c r="D1" s="6" t="inlineStr">
        <is>
          <t>herbSlugs</t>
        </is>
      </c>
      <c r="E1" s="6" t="inlineStr">
        <is>
          <t>herbNames</t>
        </is>
      </c>
      <c r="F1" s="6" t="inlineStr">
        <is>
          <t>herbCount</t>
        </is>
      </c>
      <c r="G1" s="6" t="inlineStr">
        <is>
          <t>mechanismTags</t>
        </is>
      </c>
      <c r="H1" s="6" t="inlineStr">
        <is>
          <t>sourceQuality</t>
        </is>
      </c>
    </row>
    <row r="2">
      <c r="A2" s="68" t="inlineStr">
        <is>
          <t>AMPK activation</t>
        </is>
      </c>
      <c r="B2" s="68" t="inlineStr">
        <is>
          <t>berberine</t>
        </is>
      </c>
      <c r="C2" s="68" t="inlineStr">
        <is>
          <t>berberine</t>
        </is>
      </c>
      <c r="D2" s="68" t="inlineStr">
        <is>
          <t>argemone-mexicana; berberis-vulgaris; chelidonium-majus; coptis-chinensis; hydrastis-canadensis; phellodendron-amurense</t>
        </is>
      </c>
      <c r="E2" s="68" t="inlineStr">
        <is>
          <t>argemone mexicana; berberis vulgaris; chelidonium majus; coptis chinensis; hydrastis canadensis; phellodendron amurense</t>
        </is>
      </c>
      <c r="F2" s="68" t="n">
        <v>6</v>
      </c>
      <c r="G2" s="68" t="inlineStr">
        <is>
          <t>multi-target signaling modulation</t>
        </is>
      </c>
      <c r="H2" s="68" t="inlineStr">
        <is>
          <t>inferred_plus_trusted_gov; trusted_gov_added</t>
        </is>
      </c>
    </row>
    <row r="3">
      <c r="A3" s="68" t="inlineStr">
        <is>
          <t>NF-kB pathway inhibition</t>
        </is>
      </c>
      <c r="B3" s="68" t="inlineStr">
        <is>
          <t>berberine</t>
        </is>
      </c>
      <c r="C3" s="68" t="inlineStr">
        <is>
          <t>berberine</t>
        </is>
      </c>
      <c r="D3" s="68" t="inlineStr">
        <is>
          <t>argemone-mexicana; berberis-vulgaris; chelidonium-majus; coptis-chinensis; hydrastis-canadensis; phellodendron-amurense</t>
        </is>
      </c>
      <c r="E3" s="68" t="inlineStr">
        <is>
          <t>argemone mexicana; berberis vulgaris; chelidonium majus; coptis chinensis; hydrastis canadensis; phellodendron amurense</t>
        </is>
      </c>
      <c r="F3" s="68" t="n">
        <v>6</v>
      </c>
      <c r="G3" s="68" t="inlineStr">
        <is>
          <t>multi-target signaling modulation</t>
        </is>
      </c>
      <c r="H3" s="68" t="inlineStr">
        <is>
          <t>inferred_plus_trusted_gov; trusted_gov_added</t>
        </is>
      </c>
    </row>
    <row r="4">
      <c r="A4" s="68" t="inlineStr">
        <is>
          <t>general or unknown targets</t>
        </is>
      </c>
      <c r="B4" s="68" t="inlineStr">
        <is>
          <t>berberine</t>
        </is>
      </c>
      <c r="C4" s="68" t="inlineStr">
        <is>
          <t>berberine</t>
        </is>
      </c>
      <c r="D4" s="68" t="inlineStr">
        <is>
          <t>argemone-mexicana; berberis-vulgaris; chelidonium-majus; coptis-chinensis; hydrastis-canadensis; phellodendron-amurense</t>
        </is>
      </c>
      <c r="E4" s="68" t="inlineStr">
        <is>
          <t>argemone mexicana; berberis vulgaris; chelidonium majus; coptis chinensis; hydrastis canadensis; phellodendron amurense</t>
        </is>
      </c>
      <c r="F4" s="68" t="n">
        <v>6</v>
      </c>
      <c r="G4" s="68" t="inlineStr">
        <is>
          <t>multi-target signaling modulation</t>
        </is>
      </c>
      <c r="H4" s="68" t="inlineStr">
        <is>
          <t>inferred_plus_trusted_gov; trusted_gov_added</t>
        </is>
      </c>
    </row>
    <row r="5">
      <c r="A5" s="68" t="inlineStr">
        <is>
          <t>mitochondrial complex I inhibition</t>
        </is>
      </c>
      <c r="B5" s="68" t="inlineStr">
        <is>
          <t>berberine</t>
        </is>
      </c>
      <c r="C5" s="68" t="inlineStr">
        <is>
          <t>berberine</t>
        </is>
      </c>
      <c r="D5" s="68" t="inlineStr">
        <is>
          <t>argemone-mexicana; berberis-vulgaris; chelidonium-majus; coptis-chinensis; hydrastis-canadensis; phellodendron-amurense</t>
        </is>
      </c>
      <c r="E5" s="68" t="inlineStr">
        <is>
          <t>argemone mexicana; berberis vulgaris; chelidonium majus; coptis chinensis; hydrastis canadensis; phellodendron amurense</t>
        </is>
      </c>
      <c r="F5" s="68" t="n">
        <v>6</v>
      </c>
      <c r="G5" s="68" t="inlineStr">
        <is>
          <t>multi-target signaling modulation</t>
        </is>
      </c>
      <c r="H5" s="68" t="inlineStr">
        <is>
          <t>inferred_plus_trusted_gov; trusted_gov_added</t>
        </is>
      </c>
    </row>
    <row r="6">
      <c r="A6" s="68" t="inlineStr">
        <is>
          <t>NF-kB pathway inhibition</t>
        </is>
      </c>
      <c r="B6" s="68" t="inlineStr">
        <is>
          <t>eugenol</t>
        </is>
      </c>
      <c r="C6" s="68" t="inlineStr">
        <is>
          <t>eugenol</t>
        </is>
      </c>
      <c r="D6" s="68" t="inlineStr">
        <is>
          <t>acorus-calamus; cinnamomum-verum; laurus-nobilis; ocimum-sanctum; pimenta-racemosa; syzygium-aromaticum; tulsi</t>
        </is>
      </c>
      <c r="E6" s="68" t="inlineStr">
        <is>
          <t>acorus calamus; cinnamomum verum; holy basil; laurus nobilis; ocimum sanctum; pimenta racemosa; syzygium aromaticum; tulsi</t>
        </is>
      </c>
      <c r="F6" s="68" t="n">
        <v>7</v>
      </c>
      <c r="G6" s="68" t="inlineStr">
        <is>
          <t>COX/NF-kB inhibition; GABAergic modulation; multi-target signaling modulation</t>
        </is>
      </c>
      <c r="H6" s="68" t="inlineStr">
        <is>
          <t>inferred_plus_trusted_gov; trusted_gov_added</t>
        </is>
      </c>
    </row>
    <row r="7">
      <c r="A7" s="68" t="inlineStr">
        <is>
          <t>PLCγ2-PKC pathway inhibition</t>
        </is>
      </c>
      <c r="B7" s="68" t="inlineStr">
        <is>
          <t>eugenol</t>
        </is>
      </c>
      <c r="C7" s="68" t="inlineStr">
        <is>
          <t>eugenol</t>
        </is>
      </c>
      <c r="D7" s="68" t="inlineStr">
        <is>
          <t>acorus-calamus; cinnamomum-verum; laurus-nobilis; ocimum-sanctum; pimenta-racemosa; syzygium-aromaticum; tulsi</t>
        </is>
      </c>
      <c r="E7" s="68" t="inlineStr">
        <is>
          <t>acorus calamus; cinnamomum verum; holy basil; laurus nobilis; ocimum sanctum; pimenta racemosa; syzygium aromaticum; tulsi</t>
        </is>
      </c>
      <c r="F7" s="68" t="n">
        <v>7</v>
      </c>
      <c r="G7" s="68" t="inlineStr">
        <is>
          <t>COX/NF-kB inhibition; GABAergic modulation; multi-target signaling modulation</t>
        </is>
      </c>
      <c r="H7" s="68" t="inlineStr">
        <is>
          <t>inferred_plus_trusted_gov; trusted_gov_added</t>
        </is>
      </c>
    </row>
    <row r="8">
      <c r="A8" s="68" t="inlineStr">
        <is>
          <t>TRPV1 activation</t>
        </is>
      </c>
      <c r="B8" s="68" t="inlineStr">
        <is>
          <t>eugenol</t>
        </is>
      </c>
      <c r="C8" s="68" t="inlineStr">
        <is>
          <t>eugenol</t>
        </is>
      </c>
      <c r="D8" s="68" t="inlineStr">
        <is>
          <t>acorus-calamus; cinnamomum-verum; laurus-nobilis; ocimum-sanctum; pimenta-racemosa; syzygium-aromaticum; tulsi</t>
        </is>
      </c>
      <c r="E8" s="68" t="inlineStr">
        <is>
          <t>acorus calamus; cinnamomum verum; holy basil; laurus nobilis; ocimum sanctum; pimenta racemosa; syzygium aromaticum; tulsi</t>
        </is>
      </c>
      <c r="F8" s="68" t="n">
        <v>7</v>
      </c>
      <c r="G8" s="68" t="inlineStr">
        <is>
          <t>COX/NF-kB inhibition; GABAergic modulation; multi-target signaling modulation</t>
        </is>
      </c>
      <c r="H8" s="68" t="inlineStr">
        <is>
          <t>inferred_plus_trusted_gov; trusted_gov_added</t>
        </is>
      </c>
    </row>
    <row r="9">
      <c r="A9" s="68" t="inlineStr">
        <is>
          <t>cPLA2-TxA2 pathway inhibition</t>
        </is>
      </c>
      <c r="B9" s="68" t="inlineStr">
        <is>
          <t>eugenol</t>
        </is>
      </c>
      <c r="C9" s="68" t="inlineStr">
        <is>
          <t>eugenol</t>
        </is>
      </c>
      <c r="D9" s="68" t="inlineStr">
        <is>
          <t>acorus-calamus; cinnamomum-verum; laurus-nobilis; ocimum-sanctum; pimenta-racemosa; syzygium-aromaticum; tulsi</t>
        </is>
      </c>
      <c r="E9" s="68" t="inlineStr">
        <is>
          <t>acorus calamus; cinnamomum verum; holy basil; laurus nobilis; ocimum sanctum; pimenta racemosa; syzygium aromaticum; tulsi</t>
        </is>
      </c>
      <c r="F9" s="68" t="n">
        <v>7</v>
      </c>
      <c r="G9" s="68" t="inlineStr">
        <is>
          <t>COX/NF-kB inhibition; GABAergic modulation; multi-target signaling modulation</t>
        </is>
      </c>
      <c r="H9" s="68" t="inlineStr">
        <is>
          <t>inferred_plus_trusted_gov; trusted_gov_added</t>
        </is>
      </c>
    </row>
    <row r="10">
      <c r="A10" s="68" t="inlineStr">
        <is>
          <t>gabaergic_modulation</t>
        </is>
      </c>
      <c r="B10" s="68" t="inlineStr">
        <is>
          <t>eugenol</t>
        </is>
      </c>
      <c r="C10" s="68" t="inlineStr">
        <is>
          <t>eugenol</t>
        </is>
      </c>
      <c r="D10" s="68" t="inlineStr">
        <is>
          <t>acorus-calamus; cinnamomum-verum; laurus-nobilis; ocimum-sanctum; pimenta-racemosa; syzygium-aromaticum; tulsi</t>
        </is>
      </c>
      <c r="E10" s="68" t="inlineStr">
        <is>
          <t>acorus calamus; cinnamomum verum; holy basil; laurus nobilis; ocimum sanctum; pimenta racemosa; syzygium aromaticum; tulsi</t>
        </is>
      </c>
      <c r="F10" s="68" t="n">
        <v>7</v>
      </c>
      <c r="G10" s="68" t="inlineStr">
        <is>
          <t>COX/NF-kB inhibition; GABAergic modulation; multi-target signaling modulation</t>
        </is>
      </c>
      <c r="H10" s="68" t="inlineStr">
        <is>
          <t>inferred_plus_trusted_gov; trusted_gov_added</t>
        </is>
      </c>
    </row>
    <row r="11">
      <c r="A11" s="68" t="inlineStr">
        <is>
          <t>general or unknown targets</t>
        </is>
      </c>
      <c r="B11" s="68" t="inlineStr">
        <is>
          <t>eugenol</t>
        </is>
      </c>
      <c r="C11" s="68" t="inlineStr">
        <is>
          <t>eugenol</t>
        </is>
      </c>
      <c r="D11" s="68" t="inlineStr">
        <is>
          <t>acorus-calamus; cinnamomum-verum; laurus-nobilis; ocimum-sanctum; pimenta-racemosa; syzygium-aromaticum; tulsi</t>
        </is>
      </c>
      <c r="E11" s="68" t="inlineStr">
        <is>
          <t>acorus calamus; cinnamomum verum; holy basil; laurus nobilis; ocimum sanctum; pimenta racemosa; syzygium aromaticum; tulsi</t>
        </is>
      </c>
      <c r="F11" s="68" t="n">
        <v>7</v>
      </c>
      <c r="G11" s="68" t="inlineStr">
        <is>
          <t>COX/NF-kB inhibition; GABAergic modulation; multi-target signaling modulation</t>
        </is>
      </c>
      <c r="H11" s="68" t="inlineStr">
        <is>
          <t>inferred_plus_trusted_gov; trusted_gov_added</t>
        </is>
      </c>
    </row>
    <row r="12">
      <c r="A12" s="68" t="inlineStr">
        <is>
          <t>inflammatory_pathway_modulation</t>
        </is>
      </c>
      <c r="B12" s="68" t="inlineStr">
        <is>
          <t>eugenol</t>
        </is>
      </c>
      <c r="C12" s="68" t="inlineStr">
        <is>
          <t>eugenol</t>
        </is>
      </c>
      <c r="D12" s="68" t="inlineStr">
        <is>
          <t>acorus-calamus; cinnamomum-verum; laurus-nobilis; ocimum-sanctum; pimenta-racemosa; syzygium-aromaticum; tulsi</t>
        </is>
      </c>
      <c r="E12" s="68" t="inlineStr">
        <is>
          <t>acorus calamus; cinnamomum verum; holy basil; laurus nobilis; ocimum sanctum; pimenta racemosa; syzygium aromaticum; tulsi</t>
        </is>
      </c>
      <c r="F12" s="68" t="n">
        <v>7</v>
      </c>
      <c r="G12" s="68" t="inlineStr">
        <is>
          <t>COX/NF-kB inhibition; GABAergic modulation; multi-target signaling modulation</t>
        </is>
      </c>
      <c r="H12" s="68" t="inlineStr">
        <is>
          <t>inferred_plus_trusted_gov; trusted_gov_added</t>
        </is>
      </c>
    </row>
    <row r="13">
      <c r="A13" s="68" t="inlineStr">
        <is>
          <t>voltage-gated sodium channel inhibition</t>
        </is>
      </c>
      <c r="B13" s="68" t="inlineStr">
        <is>
          <t>eugenol</t>
        </is>
      </c>
      <c r="C13" s="68" t="inlineStr">
        <is>
          <t>eugenol</t>
        </is>
      </c>
      <c r="D13" s="68" t="inlineStr">
        <is>
          <t>acorus-calamus; cinnamomum-verum; laurus-nobilis; ocimum-sanctum; pimenta-racemosa; syzygium-aromaticum; tulsi</t>
        </is>
      </c>
      <c r="E13" s="68" t="inlineStr">
        <is>
          <t>acorus calamus; cinnamomum verum; holy basil; laurus nobilis; ocimum sanctum; pimenta racemosa; syzygium aromaticum; tulsi</t>
        </is>
      </c>
      <c r="F13" s="68" t="n">
        <v>7</v>
      </c>
      <c r="G13" s="68" t="inlineStr">
        <is>
          <t>COX/NF-kB inhibition; GABAergic modulation; multi-target signaling modulation</t>
        </is>
      </c>
      <c r="H13" s="68" t="inlineStr">
        <is>
          <t>inferred_plus_trusted_gov; trusted_gov_added</t>
        </is>
      </c>
    </row>
    <row r="14">
      <c r="A14" s="68" t="inlineStr">
        <is>
          <t>NF-kB pathway modulation</t>
        </is>
      </c>
      <c r="B14" s="68" t="inlineStr">
        <is>
          <t>carvacrol</t>
        </is>
      </c>
      <c r="C14" s="68" t="inlineStr">
        <is>
          <t>carvacrol</t>
        </is>
      </c>
      <c r="D14" s="68" t="inlineStr">
        <is>
          <t>monarda-fistulosa; origanum-vulgare; thymus-vulgaris</t>
        </is>
      </c>
      <c r="E14" s="68" t="inlineStr">
        <is>
          <t>monarda fistulosa; origanum vulgare; thymus vulgaris</t>
        </is>
      </c>
      <c r="F14" s="68" t="n">
        <v>3</v>
      </c>
      <c r="G14" s="68" t="inlineStr">
        <is>
          <t>multi-target signaling modulation</t>
        </is>
      </c>
      <c r="H14" s="68" t="inlineStr">
        <is>
          <t>inferred_plus_trusted_gov; trusted_gov_added</t>
        </is>
      </c>
    </row>
    <row r="15">
      <c r="A15" s="68" t="inlineStr">
        <is>
          <t>TRPA1 activation</t>
        </is>
      </c>
      <c r="B15" s="68" t="inlineStr">
        <is>
          <t>carvacrol</t>
        </is>
      </c>
      <c r="C15" s="68" t="inlineStr">
        <is>
          <t>carvacrol</t>
        </is>
      </c>
      <c r="D15" s="68" t="inlineStr">
        <is>
          <t>monarda-fistulosa; origanum-vulgare; thymus-vulgaris</t>
        </is>
      </c>
      <c r="E15" s="68" t="inlineStr">
        <is>
          <t>monarda fistulosa; origanum vulgare; thymus vulgaris</t>
        </is>
      </c>
      <c r="F15" s="68" t="n">
        <v>3</v>
      </c>
      <c r="G15" s="68" t="inlineStr">
        <is>
          <t>multi-target signaling modulation</t>
        </is>
      </c>
      <c r="H15" s="68" t="inlineStr">
        <is>
          <t>inferred_plus_trusted_gov; trusted_gov_added</t>
        </is>
      </c>
    </row>
    <row r="16">
      <c r="A16" s="68" t="inlineStr">
        <is>
          <t>TRPV3 activation</t>
        </is>
      </c>
      <c r="B16" s="68" t="inlineStr">
        <is>
          <t>carvacrol</t>
        </is>
      </c>
      <c r="C16" s="68" t="inlineStr">
        <is>
          <t>carvacrol</t>
        </is>
      </c>
      <c r="D16" s="68" t="inlineStr">
        <is>
          <t>monarda-fistulosa; origanum-vulgare; thymus-vulgaris</t>
        </is>
      </c>
      <c r="E16" s="68" t="inlineStr">
        <is>
          <t>monarda fistulosa; origanum vulgare; thymus vulgaris</t>
        </is>
      </c>
      <c r="F16" s="68" t="n">
        <v>3</v>
      </c>
      <c r="G16" s="68" t="inlineStr">
        <is>
          <t>multi-target signaling modulation</t>
        </is>
      </c>
      <c r="H16" s="68" t="inlineStr">
        <is>
          <t>inferred_plus_trusted_gov; trusted_gov_added</t>
        </is>
      </c>
    </row>
    <row r="17">
      <c r="A17" s="68" t="inlineStr">
        <is>
          <t>general or unknown targets</t>
        </is>
      </c>
      <c r="B17" s="68" t="inlineStr">
        <is>
          <t>carvacrol</t>
        </is>
      </c>
      <c r="C17" s="68" t="inlineStr">
        <is>
          <t>carvacrol</t>
        </is>
      </c>
      <c r="D17" s="68" t="inlineStr">
        <is>
          <t>monarda-fistulosa; origanum-vulgare; thymus-vulgaris</t>
        </is>
      </c>
      <c r="E17" s="68" t="inlineStr">
        <is>
          <t>monarda fistulosa; origanum vulgare; thymus vulgaris</t>
        </is>
      </c>
      <c r="F17" s="68" t="n">
        <v>3</v>
      </c>
      <c r="G17" s="68" t="inlineStr">
        <is>
          <t>multi-target signaling modulation</t>
        </is>
      </c>
      <c r="H17" s="68" t="inlineStr">
        <is>
          <t>inferred_plus_trusted_gov; trusted_gov_added</t>
        </is>
      </c>
    </row>
    <row r="18">
      <c r="A18" s="68" t="inlineStr">
        <is>
          <t>TNF-a reduction</t>
        </is>
      </c>
      <c r="B18" s="68" t="inlineStr">
        <is>
          <t>citral</t>
        </is>
      </c>
      <c r="C18" s="68" t="inlineStr">
        <is>
          <t>citral</t>
        </is>
      </c>
      <c r="D18" s="68" t="inlineStr">
        <is>
          <t>cymbopogon-citratus; lippia-alba; melissa-officinalis; melissa-officinalis-lemon-balm</t>
        </is>
      </c>
      <c r="E18" s="68" t="inlineStr">
        <is>
          <t>cymbopogon citratus; lemon balm; lippia alba; melissa officinalis (lemon balm)</t>
        </is>
      </c>
      <c r="F18" s="68" t="n">
        <v>4</v>
      </c>
      <c r="G18" s="68" t="inlineStr">
        <is>
          <t>GABAergic modulation; multi-target signaling modulation</t>
        </is>
      </c>
      <c r="H18" s="68" t="inlineStr">
        <is>
          <t>inferred_plus_trusted_gov; trusted_gov_added</t>
        </is>
      </c>
    </row>
    <row r="19">
      <c r="A19" s="68" t="inlineStr">
        <is>
          <t>TRPM3 modulation</t>
        </is>
      </c>
      <c r="B19" s="68" t="inlineStr">
        <is>
          <t>citral</t>
        </is>
      </c>
      <c r="C19" s="68" t="inlineStr">
        <is>
          <t>citral</t>
        </is>
      </c>
      <c r="D19" s="68" t="inlineStr">
        <is>
          <t>cymbopogon-citratus; lippia-alba; melissa-officinalis; melissa-officinalis-lemon-balm</t>
        </is>
      </c>
      <c r="E19" s="68" t="inlineStr">
        <is>
          <t>cymbopogon citratus; lemon balm; lippia alba; melissa officinalis (lemon balm)</t>
        </is>
      </c>
      <c r="F19" s="68" t="n">
        <v>4</v>
      </c>
      <c r="G19" s="68" t="inlineStr">
        <is>
          <t>GABAergic modulation; multi-target signaling modulation</t>
        </is>
      </c>
      <c r="H19" s="68" t="inlineStr">
        <is>
          <t>inferred_plus_trusted_gov; trusted_gov_added</t>
        </is>
      </c>
    </row>
    <row r="20">
      <c r="A20" s="68" t="inlineStr">
        <is>
          <t>TRPM8 modulation</t>
        </is>
      </c>
      <c r="B20" s="68" t="inlineStr">
        <is>
          <t>citral</t>
        </is>
      </c>
      <c r="C20" s="68" t="inlineStr">
        <is>
          <t>citral</t>
        </is>
      </c>
      <c r="D20" s="68" t="inlineStr">
        <is>
          <t>cymbopogon-citratus; lippia-alba; melissa-officinalis; melissa-officinalis-lemon-balm</t>
        </is>
      </c>
      <c r="E20" s="68" t="inlineStr">
        <is>
          <t>cymbopogon citratus; lemon balm; lippia alba; melissa officinalis (lemon balm)</t>
        </is>
      </c>
      <c r="F20" s="68" t="n">
        <v>4</v>
      </c>
      <c r="G20" s="68" t="inlineStr">
        <is>
          <t>GABAergic modulation; multi-target signaling modulation</t>
        </is>
      </c>
      <c r="H20" s="68" t="inlineStr">
        <is>
          <t>inferred_plus_trusted_gov; trusted_gov_added</t>
        </is>
      </c>
    </row>
    <row r="21">
      <c r="A21" s="68" t="inlineStr">
        <is>
          <t>TRPV1 modulation</t>
        </is>
      </c>
      <c r="B21" s="68" t="inlineStr">
        <is>
          <t>citral</t>
        </is>
      </c>
      <c r="C21" s="68" t="inlineStr">
        <is>
          <t>citral</t>
        </is>
      </c>
      <c r="D21" s="68" t="inlineStr">
        <is>
          <t>cymbopogon-citratus; lippia-alba; melissa-officinalis; melissa-officinalis-lemon-balm</t>
        </is>
      </c>
      <c r="E21" s="68" t="inlineStr">
        <is>
          <t>cymbopogon citratus; lemon balm; lippia alba; melissa officinalis (lemon balm)</t>
        </is>
      </c>
      <c r="F21" s="68" t="n">
        <v>4</v>
      </c>
      <c r="G21" s="68" t="inlineStr">
        <is>
          <t>GABAergic modulation; multi-target signaling modulation</t>
        </is>
      </c>
      <c r="H21" s="68" t="inlineStr">
        <is>
          <t>inferred_plus_trusted_gov; trusted_gov_added</t>
        </is>
      </c>
    </row>
    <row r="22">
      <c r="A22" s="68" t="inlineStr">
        <is>
          <t>gabaergic_modulation</t>
        </is>
      </c>
      <c r="B22" s="68" t="inlineStr">
        <is>
          <t>citral</t>
        </is>
      </c>
      <c r="C22" s="68" t="inlineStr">
        <is>
          <t>citral</t>
        </is>
      </c>
      <c r="D22" s="68" t="inlineStr">
        <is>
          <t>cymbopogon-citratus; lippia-alba; melissa-officinalis; melissa-officinalis-lemon-balm</t>
        </is>
      </c>
      <c r="E22" s="68" t="inlineStr">
        <is>
          <t>cymbopogon citratus; lemon balm; lippia alba; melissa officinalis (lemon balm)</t>
        </is>
      </c>
      <c r="F22" s="68" t="n">
        <v>4</v>
      </c>
      <c r="G22" s="68" t="inlineStr">
        <is>
          <t>GABAergic modulation; multi-target signaling modulation</t>
        </is>
      </c>
      <c r="H22" s="68" t="inlineStr">
        <is>
          <t>inferred_plus_trusted_gov; trusted_gov_added</t>
        </is>
      </c>
    </row>
    <row r="23">
      <c r="A23" s="68" t="inlineStr">
        <is>
          <t>general or unknown targets</t>
        </is>
      </c>
      <c r="B23" s="68" t="inlineStr">
        <is>
          <t>citral</t>
        </is>
      </c>
      <c r="C23" s="68" t="inlineStr">
        <is>
          <t>citral</t>
        </is>
      </c>
      <c r="D23" s="68" t="inlineStr">
        <is>
          <t>cymbopogon-citratus; lippia-alba; melissa-officinalis; melissa-officinalis-lemon-balm</t>
        </is>
      </c>
      <c r="E23" s="68" t="inlineStr">
        <is>
          <t>cymbopogon citratus; lemon balm; lippia alba; melissa officinalis (lemon balm)</t>
        </is>
      </c>
      <c r="F23" s="68" t="n">
        <v>4</v>
      </c>
      <c r="G23" s="68" t="inlineStr">
        <is>
          <t>GABAergic modulation; multi-target signaling modulation</t>
        </is>
      </c>
      <c r="H23" s="68" t="inlineStr">
        <is>
          <t>inferred_plus_trusted_gov; trusted_gov_added</t>
        </is>
      </c>
    </row>
    <row r="24">
      <c r="A24" s="68" t="inlineStr">
        <is>
          <t>TRPM8 agonism</t>
        </is>
      </c>
      <c r="B24" s="68" t="inlineStr">
        <is>
          <t>menthol</t>
        </is>
      </c>
      <c r="C24" s="68" t="inlineStr">
        <is>
          <t>menthol</t>
        </is>
      </c>
      <c r="D24" s="68" t="inlineStr">
        <is>
          <t>mentha-piperita</t>
        </is>
      </c>
      <c r="E24" s="68" t="inlineStr">
        <is>
          <t>mentha piperita; peppermint</t>
        </is>
      </c>
      <c r="F24" s="68" t="n">
        <v>1</v>
      </c>
      <c r="G24" s="68" t="inlineStr">
        <is>
          <t>multi-target signaling modulation</t>
        </is>
      </c>
      <c r="H24" s="68" t="inlineStr">
        <is>
          <t>inferred_plus_trusted_gov; trusted_gov_added</t>
        </is>
      </c>
    </row>
    <row r="25">
      <c r="A25" s="68" t="inlineStr">
        <is>
          <t>general or unknown targets</t>
        </is>
      </c>
      <c r="B25" s="68" t="inlineStr">
        <is>
          <t>menthol</t>
        </is>
      </c>
      <c r="C25" s="68" t="inlineStr">
        <is>
          <t>menthol</t>
        </is>
      </c>
      <c r="D25" s="68" t="inlineStr">
        <is>
          <t>mentha-piperita</t>
        </is>
      </c>
      <c r="E25" s="68" t="inlineStr">
        <is>
          <t>mentha piperita; peppermint</t>
        </is>
      </c>
      <c r="F25" s="68" t="n">
        <v>1</v>
      </c>
      <c r="G25" s="68" t="inlineStr">
        <is>
          <t>multi-target signaling modulation</t>
        </is>
      </c>
      <c r="H25" s="68" t="inlineStr">
        <is>
          <t>inferred_plus_trusted_gov; trusted_gov_added</t>
        </is>
      </c>
    </row>
    <row r="26">
      <c r="A26" s="68" t="inlineStr">
        <is>
          <t>NF-kB pathway inhibition</t>
        </is>
      </c>
      <c r="B26" s="68" t="inlineStr">
        <is>
          <t>emodin</t>
        </is>
      </c>
      <c r="C26" s="68" t="inlineStr">
        <is>
          <t>emodin</t>
        </is>
      </c>
      <c r="D26" s="68" t="inlineStr">
        <is>
          <t>cassia-occidentalis; polygonum-multiflorum; rheum-palmatum</t>
        </is>
      </c>
      <c r="E26" s="68" t="inlineStr">
        <is>
          <t>cassia occidentalis; polygonum multiflorum; rheum palmatum</t>
        </is>
      </c>
      <c r="F26" s="68" t="n">
        <v>3</v>
      </c>
      <c r="G26" s="68" t="inlineStr">
        <is>
          <t>multi-target signaling modulation</t>
        </is>
      </c>
      <c r="H26" s="68" t="inlineStr">
        <is>
          <t>inferred_plus_trusted_gov</t>
        </is>
      </c>
    </row>
    <row r="27">
      <c r="A27" s="68" t="inlineStr">
        <is>
          <t>apoptosis/caspase signaling modulation</t>
        </is>
      </c>
      <c r="B27" s="68" t="inlineStr">
        <is>
          <t>emodin</t>
        </is>
      </c>
      <c r="C27" s="68" t="inlineStr">
        <is>
          <t>emodin</t>
        </is>
      </c>
      <c r="D27" s="68" t="inlineStr">
        <is>
          <t>cassia-occidentalis; polygonum-multiflorum; rheum-palmatum</t>
        </is>
      </c>
      <c r="E27" s="68" t="inlineStr">
        <is>
          <t>cassia occidentalis; polygonum multiflorum; rheum palmatum</t>
        </is>
      </c>
      <c r="F27" s="68" t="n">
        <v>3</v>
      </c>
      <c r="G27" s="68" t="inlineStr">
        <is>
          <t>multi-target signaling modulation</t>
        </is>
      </c>
      <c r="H27" s="68" t="inlineStr">
        <is>
          <t>inferred_plus_trusted_gov</t>
        </is>
      </c>
    </row>
    <row r="28">
      <c r="A28" s="68" t="inlineStr">
        <is>
          <t>general or unknown targets</t>
        </is>
      </c>
      <c r="B28" s="68" t="inlineStr">
        <is>
          <t>emodin</t>
        </is>
      </c>
      <c r="C28" s="68" t="inlineStr">
        <is>
          <t>emodin</t>
        </is>
      </c>
      <c r="D28" s="68" t="inlineStr">
        <is>
          <t>cassia-occidentalis; polygonum-multiflorum; rheum-palmatum</t>
        </is>
      </c>
      <c r="E28" s="68" t="inlineStr">
        <is>
          <t>cassia occidentalis; polygonum multiflorum; rheum palmatum</t>
        </is>
      </c>
      <c r="F28" s="68" t="n">
        <v>3</v>
      </c>
      <c r="G28" s="68" t="inlineStr">
        <is>
          <t>multi-target signaling modulation</t>
        </is>
      </c>
      <c r="H28" s="68" t="inlineStr">
        <is>
          <t>inferred_plus_trusted_gov</t>
        </is>
      </c>
    </row>
    <row r="29">
      <c r="A29" s="68" t="inlineStr">
        <is>
          <t>tyrosine-kinase-related signaling</t>
        </is>
      </c>
      <c r="B29" s="68" t="inlineStr">
        <is>
          <t>emodin</t>
        </is>
      </c>
      <c r="C29" s="68" t="inlineStr">
        <is>
          <t>emodin</t>
        </is>
      </c>
      <c r="D29" s="68" t="inlineStr">
        <is>
          <t>cassia-occidentalis; polygonum-multiflorum; rheum-palmatum</t>
        </is>
      </c>
      <c r="E29" s="68" t="inlineStr">
        <is>
          <t>cassia occidentalis; polygonum multiflorum; rheum palmatum</t>
        </is>
      </c>
      <c r="F29" s="68" t="n">
        <v>3</v>
      </c>
      <c r="G29" s="68" t="inlineStr">
        <is>
          <t>multi-target signaling modulation</t>
        </is>
      </c>
      <c r="H29" s="68" t="inlineStr">
        <is>
          <t>inferred_plus_trusted_gov</t>
        </is>
      </c>
    </row>
    <row r="30">
      <c r="A30" s="68" t="inlineStr">
        <is>
          <t>AMPK activation</t>
        </is>
      </c>
      <c r="B30" s="68" t="inlineStr">
        <is>
          <t>salidroside</t>
        </is>
      </c>
      <c r="C30" s="68" t="inlineStr">
        <is>
          <t>salidroside</t>
        </is>
      </c>
      <c r="D30" s="68" t="inlineStr">
        <is>
          <t>rhodiola; rhodiola-rosea</t>
        </is>
      </c>
      <c r="E30" s="68" t="inlineStr">
        <is>
          <t>rhodiola; rhodiola rosea</t>
        </is>
      </c>
      <c r="F30" s="68" t="n">
        <v>2</v>
      </c>
      <c r="G30" s="68" t="inlineStr">
        <is>
          <t>multi-target signaling modulation</t>
        </is>
      </c>
      <c r="H30" s="68" t="inlineStr">
        <is>
          <t>inferred_plus_trusted_gov; trusted_gov_added</t>
        </is>
      </c>
    </row>
    <row r="31">
      <c r="A31" s="68" t="inlineStr">
        <is>
          <t>Nrf2/ARE pathway activation</t>
        </is>
      </c>
      <c r="B31" s="68" t="inlineStr">
        <is>
          <t>salidroside</t>
        </is>
      </c>
      <c r="C31" s="68" t="inlineStr">
        <is>
          <t>salidroside</t>
        </is>
      </c>
      <c r="D31" s="68" t="inlineStr">
        <is>
          <t>rhodiola; rhodiola-rosea</t>
        </is>
      </c>
      <c r="E31" s="68" t="inlineStr">
        <is>
          <t>rhodiola; rhodiola rosea</t>
        </is>
      </c>
      <c r="F31" s="68" t="n">
        <v>2</v>
      </c>
      <c r="G31" s="68" t="inlineStr">
        <is>
          <t>multi-target signaling modulation</t>
        </is>
      </c>
      <c r="H31" s="68" t="inlineStr">
        <is>
          <t>inferred_plus_trusted_gov; trusted_gov_added</t>
        </is>
      </c>
    </row>
    <row r="32">
      <c r="A32" s="68" t="inlineStr">
        <is>
          <t>PI3K/Akt pathway modulation</t>
        </is>
      </c>
      <c r="B32" s="68" t="inlineStr">
        <is>
          <t>salidroside</t>
        </is>
      </c>
      <c r="C32" s="68" t="inlineStr">
        <is>
          <t>salidroside</t>
        </is>
      </c>
      <c r="D32" s="68" t="inlineStr">
        <is>
          <t>rhodiola; rhodiola-rosea</t>
        </is>
      </c>
      <c r="E32" s="68" t="inlineStr">
        <is>
          <t>rhodiola; rhodiola rosea</t>
        </is>
      </c>
      <c r="F32" s="68" t="n">
        <v>2</v>
      </c>
      <c r="G32" s="68" t="inlineStr">
        <is>
          <t>multi-target signaling modulation</t>
        </is>
      </c>
      <c r="H32" s="68" t="inlineStr">
        <is>
          <t>inferred_plus_trusted_gov; trusted_gov_added</t>
        </is>
      </c>
    </row>
    <row r="33">
      <c r="A33" s="68" t="inlineStr">
        <is>
          <t>general or unknown targets</t>
        </is>
      </c>
      <c r="B33" s="68" t="inlineStr">
        <is>
          <t>salidroside</t>
        </is>
      </c>
      <c r="C33" s="68" t="inlineStr">
        <is>
          <t>salidroside</t>
        </is>
      </c>
      <c r="D33" s="68" t="inlineStr">
        <is>
          <t>rhodiola; rhodiola-rosea</t>
        </is>
      </c>
      <c r="E33" s="68" t="inlineStr">
        <is>
          <t>rhodiola; rhodiola rosea</t>
        </is>
      </c>
      <c r="F33" s="68" t="n">
        <v>2</v>
      </c>
      <c r="G33" s="68" t="inlineStr">
        <is>
          <t>multi-target signaling modulation</t>
        </is>
      </c>
      <c r="H33" s="68" t="inlineStr">
        <is>
          <t>inferred_plus_trusted_gov; trusted_gov_added</t>
        </is>
      </c>
    </row>
    <row r="34">
      <c r="A34" s="68" t="inlineStr">
        <is>
          <t>NF-kB pathway inhibition</t>
        </is>
      </c>
      <c r="B34" s="68" t="inlineStr">
        <is>
          <t>quercetin</t>
        </is>
      </c>
      <c r="C34" s="68" t="inlineStr">
        <is>
          <t>quercetin</t>
        </is>
      </c>
      <c r="D34" s="68" t="inlineStr">
        <is>
          <t>amorpha-fruticosa; annona-muricata; hibiscus-sabdariffa; moringa-oleifera</t>
        </is>
      </c>
      <c r="E34" s="68" t="inlineStr">
        <is>
          <t>amorpha fruticosa; annona muricata; hibiscus sabdariffa; moringa oleifera</t>
        </is>
      </c>
      <c r="F34" s="68" t="n">
        <v>4</v>
      </c>
      <c r="G34" s="68" t="inlineStr">
        <is>
          <t>multi-target signaling modulation; muscarinic receptor interaction</t>
        </is>
      </c>
      <c r="H34" s="68" t="inlineStr">
        <is>
          <t>inferred_plus_trusted_gov; trusted_gov_added</t>
        </is>
      </c>
    </row>
    <row r="35">
      <c r="A35" s="68" t="inlineStr">
        <is>
          <t>Nrf2 pathway activation</t>
        </is>
      </c>
      <c r="B35" s="68" t="inlineStr">
        <is>
          <t>quercetin</t>
        </is>
      </c>
      <c r="C35" s="68" t="inlineStr">
        <is>
          <t>quercetin</t>
        </is>
      </c>
      <c r="D35" s="68" t="inlineStr">
        <is>
          <t>amorpha-fruticosa; annona-muricata; hibiscus-sabdariffa; moringa-oleifera</t>
        </is>
      </c>
      <c r="E35" s="68" t="inlineStr">
        <is>
          <t>amorpha fruticosa; annona muricata; hibiscus sabdariffa; moringa oleifera</t>
        </is>
      </c>
      <c r="F35" s="68" t="n">
        <v>4</v>
      </c>
      <c r="G35" s="68" t="inlineStr">
        <is>
          <t>multi-target signaling modulation; muscarinic receptor interaction</t>
        </is>
      </c>
      <c r="H35" s="68" t="inlineStr">
        <is>
          <t>inferred_plus_trusted_gov; trusted_gov_added</t>
        </is>
      </c>
    </row>
    <row r="36">
      <c r="A36" s="68" t="inlineStr">
        <is>
          <t>cholinergic_modulation</t>
        </is>
      </c>
      <c r="B36" s="68" t="inlineStr">
        <is>
          <t>quercetin</t>
        </is>
      </c>
      <c r="C36" s="68" t="inlineStr">
        <is>
          <t>quercetin</t>
        </is>
      </c>
      <c r="D36" s="68" t="inlineStr">
        <is>
          <t>amorpha-fruticosa; annona-muricata; hibiscus-sabdariffa; moringa-oleifera</t>
        </is>
      </c>
      <c r="E36" s="68" t="inlineStr">
        <is>
          <t>amorpha fruticosa; annona muricata; hibiscus sabdariffa; moringa oleifera</t>
        </is>
      </c>
      <c r="F36" s="68" t="n">
        <v>4</v>
      </c>
      <c r="G36" s="68" t="inlineStr">
        <is>
          <t>multi-target signaling modulation; muscarinic receptor interaction</t>
        </is>
      </c>
      <c r="H36" s="68" t="inlineStr">
        <is>
          <t>inferred_plus_trusted_gov; trusted_gov_added</t>
        </is>
      </c>
    </row>
    <row r="37">
      <c r="A37" s="68" t="inlineStr">
        <is>
          <t>general or unknown targets</t>
        </is>
      </c>
      <c r="B37" s="68" t="inlineStr">
        <is>
          <t>quercetin</t>
        </is>
      </c>
      <c r="C37" s="68" t="inlineStr">
        <is>
          <t>quercetin</t>
        </is>
      </c>
      <c r="D37" s="68" t="inlineStr">
        <is>
          <t>amorpha-fruticosa; annona-muricata; hibiscus-sabdariffa; moringa-oleifera</t>
        </is>
      </c>
      <c r="E37" s="68" t="inlineStr">
        <is>
          <t>amorpha fruticosa; annona muricata; hibiscus sabdariffa; moringa oleifera</t>
        </is>
      </c>
      <c r="F37" s="68" t="n">
        <v>4</v>
      </c>
      <c r="G37" s="68" t="inlineStr">
        <is>
          <t>multi-target signaling modulation; muscarinic receptor interaction</t>
        </is>
      </c>
      <c r="H37" s="68" t="inlineStr">
        <is>
          <t>inferred_plus_trusted_gov; trusted_gov_added</t>
        </is>
      </c>
    </row>
    <row r="38">
      <c r="A38" s="68" t="inlineStr">
        <is>
          <t>xanthine oxidase inhibition</t>
        </is>
      </c>
      <c r="B38" s="68" t="inlineStr">
        <is>
          <t>quercetin</t>
        </is>
      </c>
      <c r="C38" s="68" t="inlineStr">
        <is>
          <t>quercetin</t>
        </is>
      </c>
      <c r="D38" s="68" t="inlineStr">
        <is>
          <t>amorpha-fruticosa; annona-muricata; hibiscus-sabdariffa; moringa-oleifera</t>
        </is>
      </c>
      <c r="E38" s="68" t="inlineStr">
        <is>
          <t>amorpha fruticosa; annona muricata; hibiscus sabdariffa; moringa oleifera</t>
        </is>
      </c>
      <c r="F38" s="68" t="n">
        <v>4</v>
      </c>
      <c r="G38" s="68" t="inlineStr">
        <is>
          <t>multi-target signaling modulation; muscarinic receptor interaction</t>
        </is>
      </c>
      <c r="H38" s="68" t="inlineStr">
        <is>
          <t>inferred_plus_trusted_gov; trusted_gov_added</t>
        </is>
      </c>
    </row>
    <row r="39">
      <c r="A39" s="68" t="inlineStr">
        <is>
          <t>AMPK activation</t>
        </is>
      </c>
      <c r="B39" s="68" t="inlineStr">
        <is>
          <t>resveratrol</t>
        </is>
      </c>
      <c r="C39" s="68" t="inlineStr">
        <is>
          <t>resveratrol</t>
        </is>
      </c>
      <c r="D39" s="68" t="n"/>
      <c r="E39" s="68" t="n"/>
      <c r="F39" s="68" t="n">
        <v>0</v>
      </c>
      <c r="G39" s="68" t="n"/>
      <c r="H39" s="68" t="n"/>
    </row>
    <row r="40">
      <c r="A40" s="68" t="inlineStr">
        <is>
          <t>NF-kB pathway inhibition</t>
        </is>
      </c>
      <c r="B40" s="68" t="inlineStr">
        <is>
          <t>resveratrol</t>
        </is>
      </c>
      <c r="C40" s="68" t="inlineStr">
        <is>
          <t>resveratrol</t>
        </is>
      </c>
      <c r="D40" s="68" t="n"/>
      <c r="E40" s="68" t="n"/>
      <c r="F40" s="68" t="n">
        <v>0</v>
      </c>
      <c r="G40" s="68" t="n"/>
      <c r="H40" s="68" t="n"/>
    </row>
    <row r="41">
      <c r="A41" s="68" t="inlineStr">
        <is>
          <t>SIRT1 activation</t>
        </is>
      </c>
      <c r="B41" s="68" t="inlineStr">
        <is>
          <t>resveratrol</t>
        </is>
      </c>
      <c r="C41" s="68" t="inlineStr">
        <is>
          <t>resveratrol</t>
        </is>
      </c>
      <c r="D41" s="68" t="n"/>
      <c r="E41" s="68" t="n"/>
      <c r="F41" s="68" t="n">
        <v>0</v>
      </c>
      <c r="G41" s="68" t="n"/>
      <c r="H41" s="68" t="n"/>
    </row>
    <row r="42">
      <c r="A42" s="68" t="inlineStr">
        <is>
          <t>MT1 receptor agonism</t>
        </is>
      </c>
      <c r="B42" s="68" t="inlineStr">
        <is>
          <t>melatonin</t>
        </is>
      </c>
      <c r="C42" s="68" t="inlineStr">
        <is>
          <t>melatonin</t>
        </is>
      </c>
      <c r="D42" s="68" t="n"/>
      <c r="E42" s="68" t="n"/>
      <c r="F42" s="68" t="n">
        <v>0</v>
      </c>
      <c r="G42" s="68" t="n"/>
      <c r="H42" s="68" t="n"/>
    </row>
    <row r="43">
      <c r="A43" s="68" t="inlineStr">
        <is>
          <t>MT2 receptor agonism</t>
        </is>
      </c>
      <c r="B43" s="68" t="inlineStr">
        <is>
          <t>melatonin</t>
        </is>
      </c>
      <c r="C43" s="68" t="inlineStr">
        <is>
          <t>melatonin</t>
        </is>
      </c>
      <c r="D43" s="68" t="n"/>
      <c r="E43" s="68" t="n"/>
      <c r="F43" s="68" t="n">
        <v>0</v>
      </c>
      <c r="G43" s="68" t="n"/>
      <c r="H43" s="68" t="n"/>
    </row>
    <row r="44">
      <c r="A44" s="68" t="inlineStr">
        <is>
          <t>Glutamatergic modulation</t>
        </is>
      </c>
      <c r="B44" s="68" t="inlineStr">
        <is>
          <t>l-theanine</t>
        </is>
      </c>
      <c r="C44" s="68" t="inlineStr">
        <is>
          <t>L-theanine</t>
        </is>
      </c>
      <c r="D44" s="68" t="n"/>
      <c r="E44" s="68" t="n"/>
      <c r="F44" s="68" t="n">
        <v>0</v>
      </c>
      <c r="G44" s="68" t="n"/>
      <c r="H44" s="68" t="n"/>
    </row>
    <row r="45">
      <c r="A45" s="68" t="inlineStr">
        <is>
          <t>alpha-wave/stress-response modulation</t>
        </is>
      </c>
      <c r="B45" s="68" t="inlineStr">
        <is>
          <t>l-theanine</t>
        </is>
      </c>
      <c r="C45" s="68" t="inlineStr">
        <is>
          <t>L-theanine</t>
        </is>
      </c>
      <c r="D45" s="68" t="n"/>
      <c r="E45" s="68" t="n"/>
      <c r="F45" s="68" t="n">
        <v>0</v>
      </c>
      <c r="G45" s="68" t="n"/>
      <c r="H45" s="68" t="n"/>
    </row>
    <row r="46">
      <c r="A46" s="68" t="inlineStr">
        <is>
          <t>COX-2 pathway modulation</t>
        </is>
      </c>
      <c r="B46" s="68" t="inlineStr">
        <is>
          <t>curcumin</t>
        </is>
      </c>
      <c r="C46" s="68" t="inlineStr">
        <is>
          <t>curcumin</t>
        </is>
      </c>
      <c r="D46" s="68" t="inlineStr">
        <is>
          <t>curcuma-longa</t>
        </is>
      </c>
      <c r="E46" s="68" t="inlineStr">
        <is>
          <t>curcuma longa</t>
        </is>
      </c>
      <c r="F46" s="68" t="n">
        <v>1</v>
      </c>
      <c r="G46" s="68" t="inlineStr">
        <is>
          <t>nf-kb inhibition</t>
        </is>
      </c>
      <c r="H46" s="68" t="inlineStr">
        <is>
          <t>inferred_plus_trusted_gov</t>
        </is>
      </c>
    </row>
    <row r="47">
      <c r="A47" s="68" t="inlineStr">
        <is>
          <t>NF-kB pathway inhibition</t>
        </is>
      </c>
      <c r="B47" s="68" t="inlineStr">
        <is>
          <t>curcumin</t>
        </is>
      </c>
      <c r="C47" s="68" t="inlineStr">
        <is>
          <t>curcumin</t>
        </is>
      </c>
      <c r="D47" s="68" t="inlineStr">
        <is>
          <t>curcuma-longa</t>
        </is>
      </c>
      <c r="E47" s="68" t="inlineStr">
        <is>
          <t>curcuma longa</t>
        </is>
      </c>
      <c r="F47" s="68" t="n">
        <v>1</v>
      </c>
      <c r="G47" s="68" t="inlineStr">
        <is>
          <t>nf-kb inhibition</t>
        </is>
      </c>
      <c r="H47" s="68" t="inlineStr">
        <is>
          <t>inferred_plus_trusted_gov</t>
        </is>
      </c>
    </row>
    <row r="48">
      <c r="A48" s="68" t="inlineStr">
        <is>
          <t>NFKB1 pathway</t>
        </is>
      </c>
      <c r="B48" s="68" t="inlineStr">
        <is>
          <t>curcumin</t>
        </is>
      </c>
      <c r="C48" s="68" t="inlineStr">
        <is>
          <t>curcumin</t>
        </is>
      </c>
      <c r="D48" s="68" t="inlineStr">
        <is>
          <t>curcuma-longa</t>
        </is>
      </c>
      <c r="E48" s="68" t="inlineStr">
        <is>
          <t>curcuma longa</t>
        </is>
      </c>
      <c r="F48" s="68" t="n">
        <v>1</v>
      </c>
      <c r="G48" s="68" t="inlineStr">
        <is>
          <t>nf-kb inhibition</t>
        </is>
      </c>
      <c r="H48" s="68" t="inlineStr">
        <is>
          <t>inferred_plus_trusted_gov</t>
        </is>
      </c>
    </row>
    <row r="49">
      <c r="A49" s="68" t="inlineStr">
        <is>
          <t>Nrf2 pathway activation</t>
        </is>
      </c>
      <c r="B49" s="68" t="inlineStr">
        <is>
          <t>curcumin</t>
        </is>
      </c>
      <c r="C49" s="68" t="inlineStr">
        <is>
          <t>curcumin</t>
        </is>
      </c>
      <c r="D49" s="68" t="inlineStr">
        <is>
          <t>curcuma-longa</t>
        </is>
      </c>
      <c r="E49" s="68" t="inlineStr">
        <is>
          <t>curcuma longa</t>
        </is>
      </c>
      <c r="F49" s="68" t="n">
        <v>1</v>
      </c>
      <c r="G49" s="68" t="inlineStr">
        <is>
          <t>nf-kb inhibition</t>
        </is>
      </c>
      <c r="H49" s="68" t="inlineStr">
        <is>
          <t>inferred_plus_trusted_gov</t>
        </is>
      </c>
    </row>
    <row r="50">
      <c r="A50" s="68" t="inlineStr">
        <is>
          <t>Methylation pathways</t>
        </is>
      </c>
      <c r="B50" s="68" t="inlineStr">
        <is>
          <t>s-adenosyl-l-methionine</t>
        </is>
      </c>
      <c r="C50" s="68" t="inlineStr">
        <is>
          <t>s-adenosyl-l-methionine (same)</t>
        </is>
      </c>
      <c r="D50" s="68" t="n"/>
      <c r="E50" s="68" t="n"/>
      <c r="F50" s="68" t="n">
        <v>0</v>
      </c>
      <c r="G50" s="68" t="n"/>
      <c r="H50" s="68" t="n"/>
    </row>
    <row r="51">
      <c r="A51" s="68" t="inlineStr">
        <is>
          <t>polyamine biosynthesis</t>
        </is>
      </c>
      <c r="B51" s="68" t="inlineStr">
        <is>
          <t>s-adenosyl-l-methionine</t>
        </is>
      </c>
      <c r="C51" s="68" t="inlineStr">
        <is>
          <t>s-adenosyl-l-methionine (same)</t>
        </is>
      </c>
      <c r="D51" s="68" t="n"/>
      <c r="E51" s="68" t="n"/>
      <c r="F51" s="68" t="n">
        <v>0</v>
      </c>
      <c r="G51" s="68" t="n"/>
      <c r="H51" s="68" t="n"/>
    </row>
    <row r="52">
      <c r="A52" s="68" t="inlineStr">
        <is>
          <t>transsulfuration pathway</t>
        </is>
      </c>
      <c r="B52" s="68" t="inlineStr">
        <is>
          <t>s-adenosyl-l-methionine</t>
        </is>
      </c>
      <c r="C52" s="68" t="inlineStr">
        <is>
          <t>s-adenosyl-l-methionine (same)</t>
        </is>
      </c>
      <c r="D52" s="68" t="n"/>
      <c r="E52" s="68" t="n"/>
      <c r="F52" s="68" t="n">
        <v>0</v>
      </c>
      <c r="G52" s="68" t="n"/>
      <c r="H52" s="68" t="n"/>
    </row>
    <row r="53">
      <c r="A53" s="68" t="inlineStr">
        <is>
          <t>Eicosanoid pathway modulation</t>
        </is>
      </c>
      <c r="B53" s="68" t="inlineStr">
        <is>
          <t>omega-3 fatty acids</t>
        </is>
      </c>
      <c r="C53" s="68" t="inlineStr">
        <is>
          <t>omega-3 fatty acids</t>
        </is>
      </c>
      <c r="D53" s="68" t="n"/>
      <c r="E53" s="68" t="n"/>
      <c r="F53" s="68" t="n">
        <v>0</v>
      </c>
      <c r="G53" s="68" t="n"/>
      <c r="H53" s="68" t="n"/>
    </row>
    <row r="54">
      <c r="A54" s="68" t="inlineStr">
        <is>
          <t>specialized pro-resolving mediator pathways</t>
        </is>
      </c>
      <c r="B54" s="68" t="inlineStr">
        <is>
          <t>omega-3 fatty acids</t>
        </is>
      </c>
      <c r="C54" s="68" t="inlineStr">
        <is>
          <t>omega-3 fatty acids</t>
        </is>
      </c>
      <c r="D54" s="68" t="n"/>
      <c r="E54" s="68" t="n"/>
      <c r="F54" s="68" t="n">
        <v>0</v>
      </c>
      <c r="G54" s="68" t="n"/>
      <c r="H54" s="68" t="n"/>
    </row>
    <row r="55">
      <c r="A55" s="68" t="inlineStr">
        <is>
          <t>triglyceride synthesis reduction</t>
        </is>
      </c>
      <c r="B55" s="68" t="inlineStr">
        <is>
          <t>omega-3 fatty acids</t>
        </is>
      </c>
      <c r="C55" s="68" t="inlineStr">
        <is>
          <t>omega-3 fatty acids</t>
        </is>
      </c>
      <c r="D55" s="68" t="n"/>
      <c r="E55" s="68" t="n"/>
      <c r="F55" s="68" t="n">
        <v>0</v>
      </c>
      <c r="G55" s="68" t="n"/>
      <c r="H55" s="68" t="n"/>
    </row>
    <row r="56">
      <c r="A56" s="68" t="inlineStr">
        <is>
          <t>Gut barrier integrity</t>
        </is>
      </c>
      <c r="B56" s="68" t="inlineStr">
        <is>
          <t>probiotics</t>
        </is>
      </c>
      <c r="C56" s="68" t="inlineStr">
        <is>
          <t>probiotics</t>
        </is>
      </c>
      <c r="D56" s="68" t="n"/>
      <c r="E56" s="68" t="n"/>
      <c r="F56" s="68" t="n">
        <v>0</v>
      </c>
      <c r="G56" s="68" t="n"/>
      <c r="H56" s="68" t="n"/>
    </row>
    <row r="57">
      <c r="A57" s="68" t="inlineStr">
        <is>
          <t>colonization resistance</t>
        </is>
      </c>
      <c r="B57" s="68" t="inlineStr">
        <is>
          <t>probiotics</t>
        </is>
      </c>
      <c r="C57" s="68" t="inlineStr">
        <is>
          <t>probiotics</t>
        </is>
      </c>
      <c r="D57" s="68" t="n"/>
      <c r="E57" s="68" t="n"/>
      <c r="F57" s="68" t="n">
        <v>0</v>
      </c>
      <c r="G57" s="68" t="n"/>
      <c r="H57" s="68" t="n"/>
    </row>
    <row r="58">
      <c r="A58" s="68" t="inlineStr">
        <is>
          <t>immune modulation</t>
        </is>
      </c>
      <c r="B58" s="68" t="inlineStr">
        <is>
          <t>probiotics</t>
        </is>
      </c>
      <c r="C58" s="68" t="inlineStr">
        <is>
          <t>probiotics</t>
        </is>
      </c>
      <c r="D58" s="68" t="n"/>
      <c r="E58" s="68" t="n"/>
      <c r="F58" s="68" t="n">
        <v>0</v>
      </c>
      <c r="G58" s="68" t="n"/>
      <c r="H58" s="68" t="n"/>
    </row>
    <row r="59">
      <c r="A59" s="68" t="inlineStr">
        <is>
          <t>short-chain fatty acid production</t>
        </is>
      </c>
      <c r="B59" s="68" t="inlineStr">
        <is>
          <t>probiotics</t>
        </is>
      </c>
      <c r="C59" s="68" t="inlineStr">
        <is>
          <t>probiotics</t>
        </is>
      </c>
      <c r="D59" s="68" t="n"/>
      <c r="E59" s="68" t="n"/>
      <c r="F59" s="68" t="n">
        <v>0</v>
      </c>
      <c r="G59" s="68" t="n"/>
      <c r="H59" s="68" t="n"/>
    </row>
    <row r="60">
      <c r="A60" s="68" t="inlineStr">
        <is>
          <t>Vitamin D receptor agonism</t>
        </is>
      </c>
      <c r="B60" s="68" t="inlineStr">
        <is>
          <t>vitamin d</t>
        </is>
      </c>
      <c r="C60" s="68" t="inlineStr">
        <is>
          <t>vitamin d</t>
        </is>
      </c>
      <c r="D60" s="68" t="n"/>
      <c r="E60" s="68" t="n"/>
      <c r="F60" s="68" t="n">
        <v>0</v>
      </c>
      <c r="G60" s="68" t="n"/>
      <c r="H60" s="68" t="n"/>
    </row>
    <row r="61">
      <c r="A61" s="68" t="inlineStr">
        <is>
          <t>bone mineralization signaling</t>
        </is>
      </c>
      <c r="B61" s="68" t="inlineStr">
        <is>
          <t>vitamin d</t>
        </is>
      </c>
      <c r="C61" s="68" t="inlineStr">
        <is>
          <t>vitamin d</t>
        </is>
      </c>
      <c r="D61" s="68" t="n"/>
      <c r="E61" s="68" t="n"/>
      <c r="F61" s="68" t="n">
        <v>0</v>
      </c>
      <c r="G61" s="68" t="n"/>
      <c r="H61" s="68" t="n"/>
    </row>
    <row r="62">
      <c r="A62" s="68" t="inlineStr">
        <is>
          <t>calcium absorption regulation</t>
        </is>
      </c>
      <c r="B62" s="68" t="inlineStr">
        <is>
          <t>vitamin d</t>
        </is>
      </c>
      <c r="C62" s="68" t="inlineStr">
        <is>
          <t>vitamin d</t>
        </is>
      </c>
      <c r="D62" s="68" t="n"/>
      <c r="E62" s="68" t="n"/>
      <c r="F62" s="68" t="n">
        <v>0</v>
      </c>
      <c r="G62" s="68" t="n"/>
      <c r="H62" s="68" t="n"/>
    </row>
    <row r="63">
      <c r="A63" s="68" t="inlineStr">
        <is>
          <t>Glutathione replenishment</t>
        </is>
      </c>
      <c r="B63" s="68" t="inlineStr">
        <is>
          <t>n-acetylcysteine</t>
        </is>
      </c>
      <c r="C63" s="68" t="inlineStr">
        <is>
          <t>n-acetylcysteine (nac)</t>
        </is>
      </c>
      <c r="D63" s="68" t="n"/>
      <c r="E63" s="68" t="n"/>
      <c r="F63" s="68" t="n">
        <v>0</v>
      </c>
      <c r="G63" s="68" t="n"/>
      <c r="H63" s="68" t="n"/>
    </row>
    <row r="64">
      <c r="A64" s="68" t="inlineStr">
        <is>
          <t>mucolytic disulfide-bond reduction</t>
        </is>
      </c>
      <c r="B64" s="68" t="inlineStr">
        <is>
          <t>n-acetylcysteine</t>
        </is>
      </c>
      <c r="C64" s="68" t="inlineStr">
        <is>
          <t>n-acetylcysteine (nac)</t>
        </is>
      </c>
      <c r="D64" s="68" t="n"/>
      <c r="E64" s="68" t="n"/>
      <c r="F64" s="68" t="n">
        <v>0</v>
      </c>
      <c r="G64" s="68" t="n"/>
      <c r="H64" s="68" t="n"/>
    </row>
    <row r="65">
      <c r="A65" s="68" t="inlineStr">
        <is>
          <t>redox signaling modulation</t>
        </is>
      </c>
      <c r="B65" s="68" t="inlineStr">
        <is>
          <t>n-acetylcysteine</t>
        </is>
      </c>
      <c r="C65" s="68" t="inlineStr">
        <is>
          <t>n-acetylcysteine (nac)</t>
        </is>
      </c>
      <c r="D65" s="68" t="n"/>
      <c r="E65" s="68" t="n"/>
      <c r="F65" s="68" t="n">
        <v>0</v>
      </c>
      <c r="G65" s="68" t="n"/>
      <c r="H65" s="68" t="n"/>
    </row>
    <row r="66">
      <c r="A66" s="68" t="inlineStr">
        <is>
          <t>ATP-dependent enzymatic reactions</t>
        </is>
      </c>
      <c r="B66" s="68" t="inlineStr">
        <is>
          <t>magnesium</t>
        </is>
      </c>
      <c r="C66" s="68" t="inlineStr">
        <is>
          <t>magnesium</t>
        </is>
      </c>
      <c r="D66" s="68" t="n"/>
      <c r="E66" s="68" t="n"/>
      <c r="F66" s="68" t="n">
        <v>0</v>
      </c>
      <c r="G66" s="68" t="n"/>
      <c r="H66" s="68" t="n"/>
    </row>
    <row r="67">
      <c r="A67" s="68" t="inlineStr">
        <is>
          <t>calcium/potassium ion transport</t>
        </is>
      </c>
      <c r="B67" s="68" t="inlineStr">
        <is>
          <t>magnesium</t>
        </is>
      </c>
      <c r="C67" s="68" t="inlineStr">
        <is>
          <t>magnesium</t>
        </is>
      </c>
      <c r="D67" s="68" t="n"/>
      <c r="E67" s="68" t="n"/>
      <c r="F67" s="68" t="n">
        <v>0</v>
      </c>
      <c r="G67" s="68" t="n"/>
      <c r="H67" s="68" t="n"/>
    </row>
    <row r="68">
      <c r="A68" s="68" t="inlineStr">
        <is>
          <t>glycolysis</t>
        </is>
      </c>
      <c r="B68" s="68" t="inlineStr">
        <is>
          <t>magnesium</t>
        </is>
      </c>
      <c r="C68" s="68" t="inlineStr">
        <is>
          <t>magnesium</t>
        </is>
      </c>
      <c r="D68" s="68" t="n"/>
      <c r="E68" s="68" t="n"/>
      <c r="F68" s="68" t="n">
        <v>0</v>
      </c>
      <c r="G68" s="68" t="n"/>
      <c r="H68" s="68" t="n"/>
    </row>
    <row r="69">
      <c r="A69" s="68" t="inlineStr">
        <is>
          <t>oxidative phosphorylation</t>
        </is>
      </c>
      <c r="B69" s="68" t="inlineStr">
        <is>
          <t>magnesium</t>
        </is>
      </c>
      <c r="C69" s="68" t="inlineStr">
        <is>
          <t>magnesium</t>
        </is>
      </c>
      <c r="D69" s="68" t="n"/>
      <c r="E69" s="68" t="n"/>
      <c r="F69" s="68" t="n">
        <v>0</v>
      </c>
      <c r="G69" s="68" t="n"/>
      <c r="H69" s="68" t="n"/>
    </row>
    <row r="70">
      <c r="A70" s="68" t="inlineStr">
        <is>
          <t>ATP production</t>
        </is>
      </c>
      <c r="B70" s="68" t="inlineStr">
        <is>
          <t>niacin</t>
        </is>
      </c>
      <c r="C70" s="68" t="inlineStr">
        <is>
          <t>niacin</t>
        </is>
      </c>
      <c r="D70" s="68" t="n"/>
      <c r="E70" s="68" t="n"/>
      <c r="F70" s="68" t="n">
        <v>0</v>
      </c>
      <c r="G70" s="68" t="n"/>
      <c r="H70" s="68" t="n"/>
    </row>
    <row r="71">
      <c r="A71" s="68" t="inlineStr">
        <is>
          <t>NAD/NADP-dependent redox metabolism</t>
        </is>
      </c>
      <c r="B71" s="68" t="inlineStr">
        <is>
          <t>niacin</t>
        </is>
      </c>
      <c r="C71" s="68" t="inlineStr">
        <is>
          <t>niacin</t>
        </is>
      </c>
      <c r="D71" s="68" t="n"/>
      <c r="E71" s="68" t="n"/>
      <c r="F71" s="68" t="n">
        <v>0</v>
      </c>
      <c r="G71" s="68" t="n"/>
      <c r="H71" s="68" t="n"/>
    </row>
    <row r="72">
      <c r="A72" s="68" t="inlineStr">
        <is>
          <t>tryptophan-to-niacin pathway</t>
        </is>
      </c>
      <c r="B72" s="68" t="inlineStr">
        <is>
          <t>niacin</t>
        </is>
      </c>
      <c r="C72" s="68" t="inlineStr">
        <is>
          <t>niacin</t>
        </is>
      </c>
      <c r="D72" s="68" t="n"/>
      <c r="E72" s="68" t="n"/>
      <c r="F72" s="68" t="n">
        <v>0</v>
      </c>
      <c r="G72" s="68" t="n"/>
      <c r="H72" s="68" t="n"/>
    </row>
    <row r="73">
      <c r="A73" s="68" t="inlineStr">
        <is>
          <t>FMN/FAD-dependent redox enzymes</t>
        </is>
      </c>
      <c r="B73" s="68" t="inlineStr">
        <is>
          <t>riboflavin</t>
        </is>
      </c>
      <c r="C73" s="68" t="inlineStr">
        <is>
          <t>riboflavin</t>
        </is>
      </c>
      <c r="D73" s="68" t="n"/>
      <c r="E73" s="68" t="n"/>
      <c r="F73" s="68" t="n">
        <v>0</v>
      </c>
      <c r="G73" s="68" t="n"/>
      <c r="H73" s="68" t="n"/>
    </row>
    <row r="74">
      <c r="A74" s="68" t="inlineStr">
        <is>
          <t>energy production</t>
        </is>
      </c>
      <c r="B74" s="68" t="inlineStr">
        <is>
          <t>riboflavin</t>
        </is>
      </c>
      <c r="C74" s="68" t="inlineStr">
        <is>
          <t>riboflavin</t>
        </is>
      </c>
      <c r="D74" s="68" t="n"/>
      <c r="E74" s="68" t="n"/>
      <c r="F74" s="68" t="n">
        <v>0</v>
      </c>
      <c r="G74" s="68" t="n"/>
      <c r="H74" s="68" t="n"/>
    </row>
    <row r="75">
      <c r="A75" s="68" t="inlineStr">
        <is>
          <t>tryptophan-to-niacin conversion</t>
        </is>
      </c>
      <c r="B75" s="68" t="inlineStr">
        <is>
          <t>riboflavin</t>
        </is>
      </c>
      <c r="C75" s="68" t="inlineStr">
        <is>
          <t>riboflavin</t>
        </is>
      </c>
      <c r="D75" s="68" t="n"/>
      <c r="E75" s="68" t="n"/>
      <c r="F75" s="68" t="n">
        <v>0</v>
      </c>
      <c r="G75" s="68" t="n"/>
      <c r="H75" s="68" t="n"/>
    </row>
    <row r="76">
      <c r="A76" s="68" t="inlineStr">
        <is>
          <t>vitamin B6 activation</t>
        </is>
      </c>
      <c r="B76" s="68" t="inlineStr">
        <is>
          <t>riboflavin</t>
        </is>
      </c>
      <c r="C76" s="68" t="inlineStr">
        <is>
          <t>riboflavin</t>
        </is>
      </c>
      <c r="D76" s="68" t="n"/>
      <c r="E76" s="68" t="n"/>
      <c r="F76" s="68" t="n">
        <v>0</v>
      </c>
      <c r="G76" s="68" t="n"/>
      <c r="H76" s="68" t="n"/>
    </row>
    <row r="77">
      <c r="A77" s="68" t="inlineStr">
        <is>
          <t>PLP/PMP-dependent amino-acid metabolism</t>
        </is>
      </c>
      <c r="B77" s="68" t="inlineStr">
        <is>
          <t>pyridoxine</t>
        </is>
      </c>
      <c r="C77" s="68" t="inlineStr">
        <is>
          <t>pyridoxine</t>
        </is>
      </c>
      <c r="D77" s="68" t="n"/>
      <c r="E77" s="68" t="n"/>
      <c r="F77" s="68" t="n">
        <v>0</v>
      </c>
      <c r="G77" s="68" t="n"/>
      <c r="H77" s="68" t="n"/>
    </row>
    <row r="78">
      <c r="A78" s="68" t="inlineStr">
        <is>
          <t>glycogenolysis</t>
        </is>
      </c>
      <c r="B78" s="68" t="inlineStr">
        <is>
          <t>pyridoxine</t>
        </is>
      </c>
      <c r="C78" s="68" t="inlineStr">
        <is>
          <t>pyridoxine</t>
        </is>
      </c>
      <c r="D78" s="68" t="n"/>
      <c r="E78" s="68" t="n"/>
      <c r="F78" s="68" t="n">
        <v>0</v>
      </c>
      <c r="G78" s="68" t="n"/>
      <c r="H78" s="68" t="n"/>
    </row>
    <row r="79">
      <c r="A79" s="68" t="inlineStr">
        <is>
          <t>neurotransmitter biosynthesis</t>
        </is>
      </c>
      <c r="B79" s="68" t="inlineStr">
        <is>
          <t>pyridoxine</t>
        </is>
      </c>
      <c r="C79" s="68" t="inlineStr">
        <is>
          <t>pyridoxine</t>
        </is>
      </c>
      <c r="D79" s="68" t="n"/>
      <c r="E79" s="68" t="n"/>
      <c r="F79" s="68" t="n">
        <v>0</v>
      </c>
      <c r="G79" s="68" t="n"/>
      <c r="H79" s="68" t="n"/>
    </row>
    <row r="80">
      <c r="A80" s="68" t="inlineStr">
        <is>
          <t>one-carbon metabolism</t>
        </is>
      </c>
      <c r="B80" s="68" t="inlineStr">
        <is>
          <t>pyridoxine</t>
        </is>
      </c>
      <c r="C80" s="68" t="inlineStr">
        <is>
          <t>pyridoxine</t>
        </is>
      </c>
      <c r="D80" s="68" t="n"/>
      <c r="E80" s="68" t="n"/>
      <c r="F80" s="68" t="n">
        <v>0</v>
      </c>
      <c r="G80" s="68" t="n"/>
      <c r="H80" s="68" t="n"/>
    </row>
    <row r="81">
      <c r="A81" s="68" t="inlineStr">
        <is>
          <t>Glutathione peroxidase systems</t>
        </is>
      </c>
      <c r="B81" s="68" t="inlineStr">
        <is>
          <t>selenium</t>
        </is>
      </c>
      <c r="C81" s="68" t="inlineStr">
        <is>
          <t>selenium</t>
        </is>
      </c>
      <c r="D81" s="68" t="n"/>
      <c r="E81" s="68" t="n"/>
      <c r="F81" s="68" t="n">
        <v>0</v>
      </c>
      <c r="G81" s="68" t="n"/>
      <c r="H81" s="68" t="n"/>
    </row>
    <row r="82">
      <c r="A82" s="68" t="inlineStr">
        <is>
          <t>selenoprotein P</t>
        </is>
      </c>
      <c r="B82" s="68" t="inlineStr">
        <is>
          <t>selenium</t>
        </is>
      </c>
      <c r="C82" s="68" t="inlineStr">
        <is>
          <t>selenium</t>
        </is>
      </c>
      <c r="D82" s="68" t="n"/>
      <c r="E82" s="68" t="n"/>
      <c r="F82" s="68" t="n">
        <v>0</v>
      </c>
      <c r="G82" s="68" t="n"/>
      <c r="H82" s="68" t="n"/>
    </row>
    <row r="83">
      <c r="A83" s="68" t="inlineStr">
        <is>
          <t>thioredoxin reductase systems</t>
        </is>
      </c>
      <c r="B83" s="68" t="inlineStr">
        <is>
          <t>selenium</t>
        </is>
      </c>
      <c r="C83" s="68" t="inlineStr">
        <is>
          <t>selenium</t>
        </is>
      </c>
      <c r="D83" s="68" t="n"/>
      <c r="E83" s="68" t="n"/>
      <c r="F83" s="68" t="n">
        <v>0</v>
      </c>
      <c r="G83" s="68" t="n"/>
      <c r="H83" s="68" t="n"/>
    </row>
    <row r="84">
      <c r="A84" s="68" t="inlineStr">
        <is>
          <t>thyroid hormone T4-to-T3 conversion</t>
        </is>
      </c>
      <c r="B84" s="68" t="inlineStr">
        <is>
          <t>selenium</t>
        </is>
      </c>
      <c r="C84" s="68" t="inlineStr">
        <is>
          <t>selenium</t>
        </is>
      </c>
      <c r="D84" s="68" t="n"/>
      <c r="E84" s="68" t="n"/>
      <c r="F84" s="68" t="n">
        <v>0</v>
      </c>
      <c r="G84" s="68" t="n"/>
      <c r="H84" s="68" t="n"/>
    </row>
    <row r="85">
      <c r="A85" s="68" t="inlineStr">
        <is>
          <t>GABA-A modulation</t>
        </is>
      </c>
      <c r="B85" s="68" t="inlineStr">
        <is>
          <t>ashwagandha withanolides</t>
        </is>
      </c>
      <c r="C85" s="68" t="inlineStr">
        <is>
          <t>ashwagandha (withanolides)</t>
        </is>
      </c>
      <c r="D85" s="68" t="n"/>
      <c r="E85" s="68" t="n"/>
      <c r="F85" s="68" t="n">
        <v>0</v>
      </c>
      <c r="G85" s="68" t="n"/>
      <c r="H85" s="68" t="n"/>
    </row>
    <row r="86">
      <c r="A86" s="68" t="inlineStr">
        <is>
          <t>cortisol regulation</t>
        </is>
      </c>
      <c r="B86" s="68" t="inlineStr">
        <is>
          <t>ashwagandha withanolides</t>
        </is>
      </c>
      <c r="C86" s="68" t="inlineStr">
        <is>
          <t>ashwagandha (withanolides)</t>
        </is>
      </c>
      <c r="D86" s="68" t="n"/>
      <c r="E86" s="68" t="n"/>
      <c r="F86" s="68" t="n">
        <v>0</v>
      </c>
      <c r="G86" s="68" t="n"/>
      <c r="H86" s="68" t="n"/>
    </row>
    <row r="87">
      <c r="A87" s="68" t="inlineStr">
        <is>
          <t>AMPK activation</t>
        </is>
      </c>
      <c r="B87" s="68" t="inlineStr">
        <is>
          <t>rhodiola salidroside rosavin</t>
        </is>
      </c>
      <c r="C87" s="68" t="inlineStr">
        <is>
          <t>rhodiola (salidroside/rosavin)</t>
        </is>
      </c>
      <c r="D87" s="68" t="n"/>
      <c r="E87" s="68" t="n"/>
      <c r="F87" s="68" t="n">
        <v>0</v>
      </c>
      <c r="G87" s="68" t="n"/>
      <c r="H87" s="68" t="n"/>
    </row>
    <row r="88">
      <c r="A88" s="68" t="inlineStr">
        <is>
          <t>HPA-axis modulation</t>
        </is>
      </c>
      <c r="B88" s="68" t="inlineStr">
        <is>
          <t>rhodiola salidroside rosavin</t>
        </is>
      </c>
      <c r="C88" s="68" t="inlineStr">
        <is>
          <t>rhodiola (salidroside/rosavin)</t>
        </is>
      </c>
      <c r="D88" s="68" t="n"/>
      <c r="E88" s="68" t="n"/>
      <c r="F88" s="68" t="n">
        <v>0</v>
      </c>
      <c r="G88" s="68" t="n"/>
      <c r="H88" s="68" t="n"/>
    </row>
    <row r="89">
      <c r="A89" s="68" t="inlineStr">
        <is>
          <t>PAF receptor antagonism</t>
        </is>
      </c>
      <c r="B89" s="68" t="inlineStr">
        <is>
          <t>ginkgo biloba ginkgolides</t>
        </is>
      </c>
      <c r="C89" s="68" t="inlineStr">
        <is>
          <t>ginkgo biloba (ginkgolides)</t>
        </is>
      </c>
      <c r="D89" s="68" t="n"/>
      <c r="E89" s="68" t="n"/>
      <c r="F89" s="68" t="n">
        <v>0</v>
      </c>
      <c r="G89" s="68" t="n"/>
      <c r="H89" s="68" t="n"/>
    </row>
    <row r="90">
      <c r="A90" s="68" t="inlineStr">
        <is>
          <t>GABA-A modulation</t>
        </is>
      </c>
      <c r="B90" s="68" t="inlineStr">
        <is>
          <t>kava kavalactones</t>
        </is>
      </c>
      <c r="C90" s="68" t="inlineStr">
        <is>
          <t>kava (kavalactones)</t>
        </is>
      </c>
      <c r="D90" s="68" t="n"/>
      <c r="E90" s="68" t="n"/>
      <c r="F90" s="68" t="n">
        <v>0</v>
      </c>
      <c r="G90" s="68" t="n"/>
      <c r="H90" s="68" t="n"/>
    </row>
    <row r="91">
      <c r="A91" s="68" t="inlineStr">
        <is>
          <t>GABA-A modulation</t>
        </is>
      </c>
      <c r="B91" s="68" t="inlineStr">
        <is>
          <t>valerian valerenic acid</t>
        </is>
      </c>
      <c r="C91" s="68" t="inlineStr">
        <is>
          <t>valerian (valerenic acid)</t>
        </is>
      </c>
      <c r="D91" s="68" t="n"/>
      <c r="E91" s="68" t="n"/>
      <c r="F91" s="68" t="n">
        <v>0</v>
      </c>
      <c r="G91" s="68" t="n"/>
      <c r="H91" s="68" t="n"/>
    </row>
    <row r="92">
      <c r="A92" s="68" t="inlineStr">
        <is>
          <t>COX-2 inhibition</t>
        </is>
      </c>
      <c r="B92" s="68" t="inlineStr">
        <is>
          <t>curcuminoids</t>
        </is>
      </c>
      <c r="C92" s="68" t="inlineStr">
        <is>
          <t>curcuminoids</t>
        </is>
      </c>
      <c r="D92" s="68" t="n"/>
      <c r="E92" s="68" t="n"/>
      <c r="F92" s="68" t="n">
        <v>0</v>
      </c>
      <c r="G92" s="68" t="n"/>
      <c r="H92" s="68" t="n"/>
    </row>
    <row r="93">
      <c r="A93" s="68" t="inlineStr">
        <is>
          <t>NF-kB inhibition</t>
        </is>
      </c>
      <c r="B93" s="68" t="inlineStr">
        <is>
          <t>curcuminoids</t>
        </is>
      </c>
      <c r="C93" s="68" t="inlineStr">
        <is>
          <t>curcuminoids</t>
        </is>
      </c>
      <c r="D93" s="68" t="n"/>
      <c r="E93" s="68" t="n"/>
      <c r="F93" s="68" t="n">
        <v>0</v>
      </c>
      <c r="G93" s="68" t="n"/>
      <c r="H93" s="68" t="n"/>
    </row>
    <row r="94">
      <c r="A94" s="68" t="inlineStr">
        <is>
          <t>MAPK pathway</t>
        </is>
      </c>
      <c r="B94" s="68" t="inlineStr">
        <is>
          <t>aloe-emodin</t>
        </is>
      </c>
      <c r="C94" s="68" t="inlineStr">
        <is>
          <t>aloe-emodin</t>
        </is>
      </c>
      <c r="D94" s="68" t="inlineStr">
        <is>
          <t>cassia-alata; cassia-occidentalis</t>
        </is>
      </c>
      <c r="E94" s="68" t="inlineStr">
        <is>
          <t>cassia alata; cassia occidentalis</t>
        </is>
      </c>
      <c r="F94" s="68" t="n">
        <v>2</v>
      </c>
      <c r="G94" s="68" t="inlineStr">
        <is>
          <t>multi-target signaling modulation</t>
        </is>
      </c>
      <c r="H94" s="68" t="inlineStr">
        <is>
          <t>inferred_plus_trusted_gov</t>
        </is>
      </c>
    </row>
    <row r="95">
      <c r="A95" s="68" t="inlineStr">
        <is>
          <t>NF-kB inhibition</t>
        </is>
      </c>
      <c r="B95" s="68" t="inlineStr">
        <is>
          <t>aloe-emodin</t>
        </is>
      </c>
      <c r="C95" s="68" t="inlineStr">
        <is>
          <t>aloe-emodin</t>
        </is>
      </c>
      <c r="D95" s="68" t="inlineStr">
        <is>
          <t>cassia-alata; cassia-occidentalis</t>
        </is>
      </c>
      <c r="E95" s="68" t="inlineStr">
        <is>
          <t>cassia alata; cassia occidentalis</t>
        </is>
      </c>
      <c r="F95" s="68" t="n">
        <v>2</v>
      </c>
      <c r="G95" s="68" t="inlineStr">
        <is>
          <t>multi-target signaling modulation</t>
        </is>
      </c>
      <c r="H95" s="68" t="inlineStr">
        <is>
          <t>inferred_plus_trusted_gov</t>
        </is>
      </c>
    </row>
    <row r="96">
      <c r="A96" s="68" t="inlineStr">
        <is>
          <t>general or unknown targets</t>
        </is>
      </c>
      <c r="B96" s="68" t="inlineStr">
        <is>
          <t>aloe-emodin</t>
        </is>
      </c>
      <c r="C96" s="68" t="inlineStr">
        <is>
          <t>aloe-emodin</t>
        </is>
      </c>
      <c r="D96" s="68" t="inlineStr">
        <is>
          <t>cassia-alata; cassia-occidentalis</t>
        </is>
      </c>
      <c r="E96" s="68" t="inlineStr">
        <is>
          <t>cassia alata; cassia occidentalis</t>
        </is>
      </c>
      <c r="F96" s="68" t="n">
        <v>2</v>
      </c>
      <c r="G96" s="68" t="inlineStr">
        <is>
          <t>multi-target signaling modulation</t>
        </is>
      </c>
      <c r="H96" s="68" t="inlineStr">
        <is>
          <t>inferred_plus_trusted_gov</t>
        </is>
      </c>
    </row>
    <row r="97">
      <c r="A97" s="68" t="inlineStr">
        <is>
          <t>TRPV1 activation</t>
        </is>
      </c>
      <c r="B97" s="68" t="inlineStr">
        <is>
          <t>capsaicin</t>
        </is>
      </c>
      <c r="C97" s="68" t="inlineStr">
        <is>
          <t>capsaicin</t>
        </is>
      </c>
      <c r="D97" s="68" t="inlineStr">
        <is>
          <t>capsicum-annuum</t>
        </is>
      </c>
      <c r="E97" s="68" t="inlineStr">
        <is>
          <t>capsicum annuum</t>
        </is>
      </c>
      <c r="F97" s="68" t="n">
        <v>1</v>
      </c>
      <c r="G97" s="68" t="inlineStr">
        <is>
          <t>multi-target signaling modulation</t>
        </is>
      </c>
      <c r="H97" s="68" t="inlineStr">
        <is>
          <t>trusted_gov_added</t>
        </is>
      </c>
    </row>
    <row r="98">
      <c r="A98" s="68" t="inlineStr">
        <is>
          <t>general or unknown targets</t>
        </is>
      </c>
      <c r="B98" s="68" t="inlineStr">
        <is>
          <t>capsaicin</t>
        </is>
      </c>
      <c r="C98" s="68" t="inlineStr">
        <is>
          <t>capsaicin</t>
        </is>
      </c>
      <c r="D98" s="68" t="inlineStr">
        <is>
          <t>capsicum-annuum</t>
        </is>
      </c>
      <c r="E98" s="68" t="inlineStr">
        <is>
          <t>capsicum annuum</t>
        </is>
      </c>
      <c r="F98" s="68" t="n">
        <v>1</v>
      </c>
      <c r="G98" s="68" t="inlineStr">
        <is>
          <t>multi-target signaling modulation</t>
        </is>
      </c>
      <c r="H98" s="68" t="inlineStr">
        <is>
          <t>trusted_gov_added</t>
        </is>
      </c>
    </row>
    <row r="99">
      <c r="A99" s="68" t="inlineStr">
        <is>
          <t>LOX inhibition</t>
        </is>
      </c>
      <c r="B99" s="68" t="inlineStr">
        <is>
          <t>baicalein</t>
        </is>
      </c>
      <c r="C99" s="68" t="inlineStr">
        <is>
          <t>baicalein</t>
        </is>
      </c>
      <c r="D99" s="68" t="inlineStr">
        <is>
          <t>scutellaria-baicalensis; scutellaria-lateriflora</t>
        </is>
      </c>
      <c r="E99" s="68" t="inlineStr">
        <is>
          <t>scutellaria baicalensis; scutellaria lateriflora</t>
        </is>
      </c>
      <c r="F99" s="68" t="n">
        <v>2</v>
      </c>
      <c r="G99" s="68" t="inlineStr">
        <is>
          <t>GABAergic modulation; multi-target signaling modulation</t>
        </is>
      </c>
      <c r="H99" s="68" t="inlineStr">
        <is>
          <t>inferred_plus_trusted_gov; trusted_gov_added</t>
        </is>
      </c>
    </row>
    <row r="100">
      <c r="A100" s="68" t="inlineStr">
        <is>
          <t>NF-kB inhibition</t>
        </is>
      </c>
      <c r="B100" s="68" t="inlineStr">
        <is>
          <t>baicalein</t>
        </is>
      </c>
      <c r="C100" s="68" t="inlineStr">
        <is>
          <t>baicalein</t>
        </is>
      </c>
      <c r="D100" s="68" t="inlineStr">
        <is>
          <t>scutellaria-baicalensis; scutellaria-lateriflora</t>
        </is>
      </c>
      <c r="E100" s="68" t="inlineStr">
        <is>
          <t>scutellaria baicalensis; scutellaria lateriflora</t>
        </is>
      </c>
      <c r="F100" s="68" t="n">
        <v>2</v>
      </c>
      <c r="G100" s="68" t="inlineStr">
        <is>
          <t>GABAergic modulation; multi-target signaling modulation</t>
        </is>
      </c>
      <c r="H100" s="68" t="inlineStr">
        <is>
          <t>inferred_plus_trusted_gov; trusted_gov_added</t>
        </is>
      </c>
    </row>
    <row r="101">
      <c r="A101" s="68" t="inlineStr">
        <is>
          <t>gabaergic_modulation</t>
        </is>
      </c>
      <c r="B101" s="68" t="inlineStr">
        <is>
          <t>baicalein</t>
        </is>
      </c>
      <c r="C101" s="68" t="inlineStr">
        <is>
          <t>baicalein</t>
        </is>
      </c>
      <c r="D101" s="68" t="inlineStr">
        <is>
          <t>scutellaria-baicalensis; scutellaria-lateriflora</t>
        </is>
      </c>
      <c r="E101" s="68" t="inlineStr">
        <is>
          <t>scutellaria baicalensis; scutellaria lateriflora</t>
        </is>
      </c>
      <c r="F101" s="68" t="n">
        <v>2</v>
      </c>
      <c r="G101" s="68" t="inlineStr">
        <is>
          <t>GABAergic modulation; multi-target signaling modulation</t>
        </is>
      </c>
      <c r="H101" s="68" t="inlineStr">
        <is>
          <t>inferred_plus_trusted_gov; trusted_gov_added</t>
        </is>
      </c>
    </row>
    <row r="102">
      <c r="A102" s="68" t="inlineStr">
        <is>
          <t>general or unknown targets</t>
        </is>
      </c>
      <c r="B102" s="68" t="inlineStr">
        <is>
          <t>baicalein</t>
        </is>
      </c>
      <c r="C102" s="68" t="inlineStr">
        <is>
          <t>baicalein</t>
        </is>
      </c>
      <c r="D102" s="68" t="inlineStr">
        <is>
          <t>scutellaria-baicalensis; scutellaria-lateriflora</t>
        </is>
      </c>
      <c r="E102" s="68" t="inlineStr">
        <is>
          <t>scutellaria baicalensis; scutellaria lateriflora</t>
        </is>
      </c>
      <c r="F102" s="68" t="n">
        <v>2</v>
      </c>
      <c r="G102" s="68" t="inlineStr">
        <is>
          <t>GABAergic modulation; multi-target signaling modulation</t>
        </is>
      </c>
      <c r="H102" s="68" t="inlineStr">
        <is>
          <t>inferred_plus_trusted_gov; trusted_gov_added</t>
        </is>
      </c>
    </row>
    <row r="103">
      <c r="A103" s="68" t="inlineStr">
        <is>
          <t>NF-kB modulation</t>
        </is>
      </c>
      <c r="B103" s="68" t="inlineStr">
        <is>
          <t>hesperidin</t>
        </is>
      </c>
      <c r="C103" s="68" t="inlineStr">
        <is>
          <t>hesperidin</t>
        </is>
      </c>
      <c r="D103" s="68" t="n"/>
      <c r="E103" s="68" t="n"/>
      <c r="F103" s="68" t="n">
        <v>0</v>
      </c>
      <c r="G103" s="68" t="n"/>
      <c r="H103" s="68" t="n"/>
    </row>
    <row r="104">
      <c r="A104" s="68" t="inlineStr">
        <is>
          <t>cytokine suppression</t>
        </is>
      </c>
      <c r="B104" s="68" t="inlineStr">
        <is>
          <t>hesperidin</t>
        </is>
      </c>
      <c r="C104" s="68" t="inlineStr">
        <is>
          <t>hesperidin</t>
        </is>
      </c>
      <c r="D104" s="68" t="n"/>
      <c r="E104" s="68" t="n"/>
      <c r="F104" s="68" t="n">
        <v>0</v>
      </c>
      <c r="G104" s="68" t="n"/>
      <c r="H104" s="68" t="n"/>
    </row>
    <row r="105">
      <c r="A105" s="68" t="inlineStr">
        <is>
          <t>MTF-1</t>
        </is>
      </c>
      <c r="B105" s="68" t="inlineStr">
        <is>
          <t>zinc</t>
        </is>
      </c>
      <c r="C105" s="68" t="inlineStr">
        <is>
          <t>zinc</t>
        </is>
      </c>
      <c r="D105" s="68" t="n"/>
      <c r="E105" s="68" t="n"/>
      <c r="F105" s="68" t="n">
        <v>0</v>
      </c>
      <c r="G105" s="68" t="n"/>
      <c r="H105" s="68" t="n"/>
    </row>
    <row r="106">
      <c r="A106" s="68" t="inlineStr">
        <is>
          <t>Metallothionein</t>
        </is>
      </c>
      <c r="B106" s="68" t="inlineStr">
        <is>
          <t>zinc</t>
        </is>
      </c>
      <c r="C106" s="68" t="inlineStr">
        <is>
          <t>zinc</t>
        </is>
      </c>
      <c r="D106" s="68" t="n"/>
      <c r="E106" s="68" t="n"/>
      <c r="F106" s="68" t="n">
        <v>0</v>
      </c>
      <c r="G106" s="68" t="n"/>
      <c r="H106" s="68" t="n"/>
    </row>
    <row r="107">
      <c r="A107" s="68" t="inlineStr">
        <is>
          <t>ZIP</t>
        </is>
      </c>
      <c r="B107" s="68" t="inlineStr">
        <is>
          <t>zinc</t>
        </is>
      </c>
      <c r="C107" s="68" t="inlineStr">
        <is>
          <t>zinc</t>
        </is>
      </c>
      <c r="D107" s="68" t="n"/>
      <c r="E107" s="68" t="n"/>
      <c r="F107" s="68" t="n">
        <v>0</v>
      </c>
      <c r="G107" s="68" t="n"/>
      <c r="H107" s="68" t="n"/>
    </row>
    <row r="108">
      <c r="A108" s="68" t="inlineStr">
        <is>
          <t>ZnT</t>
        </is>
      </c>
      <c r="B108" s="68" t="inlineStr">
        <is>
          <t>zinc</t>
        </is>
      </c>
      <c r="C108" s="68" t="inlineStr">
        <is>
          <t>zinc</t>
        </is>
      </c>
      <c r="D108" s="68" t="n"/>
      <c r="E108" s="68" t="n"/>
      <c r="F108" s="68" t="n">
        <v>0</v>
      </c>
      <c r="G108" s="68" t="n"/>
      <c r="H108" s="68" t="n"/>
    </row>
    <row r="109">
      <c r="A109" s="68" t="inlineStr">
        <is>
          <t>MAPK pathway inhibition</t>
        </is>
      </c>
      <c r="B109" s="68" t="inlineStr">
        <is>
          <t>luteolin</t>
        </is>
      </c>
      <c r="C109" s="68" t="inlineStr">
        <is>
          <t>luteolin</t>
        </is>
      </c>
      <c r="D109" s="68" t="inlineStr">
        <is>
          <t>lonicera-japonica</t>
        </is>
      </c>
      <c r="E109" s="68" t="inlineStr">
        <is>
          <t>lonicera japonica</t>
        </is>
      </c>
      <c r="F109" s="68" t="n">
        <v>1</v>
      </c>
      <c r="G109" s="68" t="inlineStr">
        <is>
          <t>multi-target signaling modulation</t>
        </is>
      </c>
      <c r="H109" s="68" t="inlineStr">
        <is>
          <t>inferred_plus_trusted_gov</t>
        </is>
      </c>
    </row>
    <row r="110">
      <c r="A110" s="68" t="inlineStr">
        <is>
          <t>NF-kB inhibition</t>
        </is>
      </c>
      <c r="B110" s="68" t="inlineStr">
        <is>
          <t>luteolin</t>
        </is>
      </c>
      <c r="C110" s="68" t="inlineStr">
        <is>
          <t>luteolin</t>
        </is>
      </c>
      <c r="D110" s="68" t="inlineStr">
        <is>
          <t>lonicera-japonica</t>
        </is>
      </c>
      <c r="E110" s="68" t="inlineStr">
        <is>
          <t>lonicera japonica</t>
        </is>
      </c>
      <c r="F110" s="68" t="n">
        <v>1</v>
      </c>
      <c r="G110" s="68" t="inlineStr">
        <is>
          <t>multi-target signaling modulation</t>
        </is>
      </c>
      <c r="H110" s="68" t="inlineStr">
        <is>
          <t>inferred_plus_trusted_gov</t>
        </is>
      </c>
    </row>
    <row r="111">
      <c r="A111" s="68" t="inlineStr">
        <is>
          <t>general or unknown targets</t>
        </is>
      </c>
      <c r="B111" s="68" t="inlineStr">
        <is>
          <t>luteolin</t>
        </is>
      </c>
      <c r="C111" s="68" t="inlineStr">
        <is>
          <t>luteolin</t>
        </is>
      </c>
      <c r="D111" s="68" t="inlineStr">
        <is>
          <t>lonicera-japonica</t>
        </is>
      </c>
      <c r="E111" s="68" t="inlineStr">
        <is>
          <t>lonicera japonica</t>
        </is>
      </c>
      <c r="F111" s="68" t="n">
        <v>1</v>
      </c>
      <c r="G111" s="68" t="inlineStr">
        <is>
          <t>multi-target signaling modulation</t>
        </is>
      </c>
      <c r="H111" s="68" t="inlineStr">
        <is>
          <t>inferred_plus_trusted_gov</t>
        </is>
      </c>
    </row>
    <row r="112">
      <c r="A112" s="68" t="inlineStr">
        <is>
          <t>ER modulation</t>
        </is>
      </c>
      <c r="B112" s="68" t="inlineStr">
        <is>
          <t>genistein</t>
        </is>
      </c>
      <c r="C112" s="68" t="inlineStr">
        <is>
          <t>genistein</t>
        </is>
      </c>
      <c r="D112" s="68" t="n"/>
      <c r="E112" s="68" t="n"/>
      <c r="F112" s="68" t="n">
        <v>0</v>
      </c>
      <c r="G112" s="68" t="n"/>
      <c r="H112" s="68" t="n"/>
    </row>
    <row r="113">
      <c r="A113" s="68" t="inlineStr">
        <is>
          <t>Tyrosine kinase inhibition</t>
        </is>
      </c>
      <c r="B113" s="68" t="inlineStr">
        <is>
          <t>genistein</t>
        </is>
      </c>
      <c r="C113" s="68" t="inlineStr">
        <is>
          <t>genistein</t>
        </is>
      </c>
      <c r="D113" s="68" t="n"/>
      <c r="E113" s="68" t="n"/>
      <c r="F113" s="68" t="n">
        <v>0</v>
      </c>
      <c r="G113" s="68" t="n"/>
      <c r="H113" s="68" t="n"/>
    </row>
    <row r="114">
      <c r="A114" s="68" t="inlineStr">
        <is>
          <t>Nrf2 activation</t>
        </is>
      </c>
      <c r="B114" s="68" t="inlineStr">
        <is>
          <t>sulforaphane</t>
        </is>
      </c>
      <c r="C114" s="68" t="inlineStr">
        <is>
          <t>sulforaphane</t>
        </is>
      </c>
      <c r="D114" s="68" t="n"/>
      <c r="E114" s="68" t="n"/>
      <c r="F114" s="68" t="n">
        <v>0</v>
      </c>
      <c r="G114" s="68" t="n"/>
      <c r="H114" s="68" t="n"/>
    </row>
    <row r="115">
      <c r="A115" s="68" t="inlineStr">
        <is>
          <t>phase II enzyme induction</t>
        </is>
      </c>
      <c r="B115" s="68" t="inlineStr">
        <is>
          <t>sulforaphane</t>
        </is>
      </c>
      <c r="C115" s="68" t="inlineStr">
        <is>
          <t>sulforaphane</t>
        </is>
      </c>
      <c r="D115" s="68" t="n"/>
      <c r="E115" s="68" t="n"/>
      <c r="F115" s="68" t="n">
        <v>0</v>
      </c>
      <c r="G115" s="68" t="n"/>
      <c r="H115" s="68" t="n"/>
    </row>
    <row r="116">
      <c r="A116" s="68" t="inlineStr">
        <is>
          <t>CYP3A4 inhibition</t>
        </is>
      </c>
      <c r="B116" s="68" t="inlineStr">
        <is>
          <t>piperine</t>
        </is>
      </c>
      <c r="C116" s="68" t="inlineStr">
        <is>
          <t>piperine</t>
        </is>
      </c>
      <c r="D116" s="68" t="n"/>
      <c r="E116" s="68" t="n"/>
      <c r="F116" s="68" t="n">
        <v>0</v>
      </c>
      <c r="G116" s="68" t="n"/>
      <c r="H116" s="68" t="n"/>
    </row>
    <row r="117">
      <c r="A117" s="68" t="inlineStr">
        <is>
          <t>P-gp inhibition</t>
        </is>
      </c>
      <c r="B117" s="68" t="inlineStr">
        <is>
          <t>piperine</t>
        </is>
      </c>
      <c r="C117" s="68" t="inlineStr">
        <is>
          <t>piperine</t>
        </is>
      </c>
      <c r="D117" s="68" t="n"/>
      <c r="E117" s="68" t="n"/>
      <c r="F117" s="68" t="n">
        <v>0</v>
      </c>
      <c r="G117" s="68" t="n"/>
      <c r="H117" s="68" t="n"/>
    </row>
    <row r="118">
      <c r="A118" s="68" t="inlineStr">
        <is>
          <t>NF-kB modulation</t>
        </is>
      </c>
      <c r="B118" s="68" t="inlineStr">
        <is>
          <t>ellagic acid</t>
        </is>
      </c>
      <c r="C118" s="68" t="inlineStr">
        <is>
          <t>ellagic acid</t>
        </is>
      </c>
      <c r="D118" s="68" t="inlineStr">
        <is>
          <t>punica-granatum; vachellia-nilotica</t>
        </is>
      </c>
      <c r="E118" s="68" t="inlineStr">
        <is>
          <t>acacia nilotica; punica granatum</t>
        </is>
      </c>
      <c r="F118" s="68" t="n">
        <v>2</v>
      </c>
      <c r="G118" s="68" t="inlineStr">
        <is>
          <t>multi-target signaling modulation</t>
        </is>
      </c>
      <c r="H118" s="68" t="inlineStr">
        <is>
          <t>inferred_plus_trusted_gov; trusted_gov_added</t>
        </is>
      </c>
    </row>
    <row r="119">
      <c r="A119" s="68" t="inlineStr">
        <is>
          <t>general or unknown targets</t>
        </is>
      </c>
      <c r="B119" s="68" t="inlineStr">
        <is>
          <t>ellagic acid</t>
        </is>
      </c>
      <c r="C119" s="68" t="inlineStr">
        <is>
          <t>ellagic acid</t>
        </is>
      </c>
      <c r="D119" s="68" t="inlineStr">
        <is>
          <t>punica-granatum; vachellia-nilotica</t>
        </is>
      </c>
      <c r="E119" s="68" t="inlineStr">
        <is>
          <t>acacia nilotica; punica granatum</t>
        </is>
      </c>
      <c r="F119" s="68" t="n">
        <v>2</v>
      </c>
      <c r="G119" s="68" t="inlineStr">
        <is>
          <t>multi-target signaling modulation</t>
        </is>
      </c>
      <c r="H119" s="68" t="inlineStr">
        <is>
          <t>inferred_plus_trusted_gov; trusted_gov_added</t>
        </is>
      </c>
    </row>
    <row r="120">
      <c r="A120" s="68" t="inlineStr">
        <is>
          <t>oxidative stress pathways</t>
        </is>
      </c>
      <c r="B120" s="68" t="inlineStr">
        <is>
          <t>ellagic acid</t>
        </is>
      </c>
      <c r="C120" s="68" t="inlineStr">
        <is>
          <t>ellagic acid</t>
        </is>
      </c>
      <c r="D120" s="68" t="inlineStr">
        <is>
          <t>punica-granatum; vachellia-nilotica</t>
        </is>
      </c>
      <c r="E120" s="68" t="inlineStr">
        <is>
          <t>acacia nilotica; punica granatum</t>
        </is>
      </c>
      <c r="F120" s="68" t="n">
        <v>2</v>
      </c>
      <c r="G120" s="68" t="inlineStr">
        <is>
          <t>multi-target signaling modulation</t>
        </is>
      </c>
      <c r="H120" s="68" t="inlineStr">
        <is>
          <t>inferred_plus_trusted_gov; trusted_gov_added</t>
        </is>
      </c>
    </row>
    <row r="121">
      <c r="A121" s="68" t="inlineStr">
        <is>
          <t>GABA-A receptor activation</t>
        </is>
      </c>
      <c r="B121" s="68" t="inlineStr">
        <is>
          <t>gamma-aminobutyric acid</t>
        </is>
      </c>
      <c r="C121" s="68" t="inlineStr">
        <is>
          <t>gamma-aminobutyric acid (GABA)</t>
        </is>
      </c>
      <c r="D121" s="68" t="inlineStr">
        <is>
          <t>casimiroa-edulis</t>
        </is>
      </c>
      <c r="E121" s="68" t="inlineStr">
        <is>
          <t>casimiroa edulis</t>
        </is>
      </c>
      <c r="F121" s="68" t="n">
        <v>1</v>
      </c>
      <c r="G121" s="68" t="inlineStr">
        <is>
          <t>multi-target signaling modulation</t>
        </is>
      </c>
      <c r="H121" s="68" t="inlineStr">
        <is>
          <t>trusted_gov_added</t>
        </is>
      </c>
    </row>
    <row r="122">
      <c r="A122" s="68" t="inlineStr">
        <is>
          <t>GABA-B receptor activation</t>
        </is>
      </c>
      <c r="B122" s="68" t="inlineStr">
        <is>
          <t>gamma-aminobutyric acid</t>
        </is>
      </c>
      <c r="C122" s="68" t="inlineStr">
        <is>
          <t>gamma-aminobutyric acid (GABA)</t>
        </is>
      </c>
      <c r="D122" s="68" t="inlineStr">
        <is>
          <t>casimiroa-edulis</t>
        </is>
      </c>
      <c r="E122" s="68" t="inlineStr">
        <is>
          <t>casimiroa edulis</t>
        </is>
      </c>
      <c r="F122" s="68" t="n">
        <v>1</v>
      </c>
      <c r="G122" s="68" t="inlineStr">
        <is>
          <t>multi-target signaling modulation</t>
        </is>
      </c>
      <c r="H122" s="68" t="inlineStr">
        <is>
          <t>trusted_gov_added</t>
        </is>
      </c>
    </row>
    <row r="123">
      <c r="A123" s="68" t="inlineStr">
        <is>
          <t>general or unknown targets</t>
        </is>
      </c>
      <c r="B123" s="68" t="inlineStr">
        <is>
          <t>gamma-aminobutyric acid</t>
        </is>
      </c>
      <c r="C123" s="68" t="inlineStr">
        <is>
          <t>gamma-aminobutyric acid (GABA)</t>
        </is>
      </c>
      <c r="D123" s="68" t="inlineStr">
        <is>
          <t>casimiroa-edulis</t>
        </is>
      </c>
      <c r="E123" s="68" t="inlineStr">
        <is>
          <t>casimiroa edulis</t>
        </is>
      </c>
      <c r="F123" s="68" t="n">
        <v>1</v>
      </c>
      <c r="G123" s="68" t="inlineStr">
        <is>
          <t>multi-target signaling modulation</t>
        </is>
      </c>
      <c r="H123" s="68" t="inlineStr">
        <is>
          <t>trusted_gov_added</t>
        </is>
      </c>
    </row>
    <row r="124">
      <c r="A124" s="68" t="inlineStr">
        <is>
          <t>GABA receptor modulation</t>
        </is>
      </c>
      <c r="B124" s="68" t="inlineStr">
        <is>
          <t>taurine</t>
        </is>
      </c>
      <c r="C124" s="68" t="inlineStr">
        <is>
          <t>taurine</t>
        </is>
      </c>
      <c r="D124" s="68" t="n"/>
      <c r="E124" s="68" t="n"/>
      <c r="F124" s="68" t="n">
        <v>0</v>
      </c>
      <c r="G124" s="68" t="n"/>
      <c r="H124" s="68" t="n"/>
    </row>
    <row r="125">
      <c r="A125" s="68" t="inlineStr">
        <is>
          <t>Glycine receptor modulation</t>
        </is>
      </c>
      <c r="B125" s="68" t="inlineStr">
        <is>
          <t>taurine</t>
        </is>
      </c>
      <c r="C125" s="68" t="inlineStr">
        <is>
          <t>taurine</t>
        </is>
      </c>
      <c r="D125" s="68" t="n"/>
      <c r="E125" s="68" t="n"/>
      <c r="F125" s="68" t="n">
        <v>0</v>
      </c>
      <c r="G125" s="68" t="n"/>
      <c r="H125" s="68" t="n"/>
    </row>
    <row r="126">
      <c r="A126" s="68" t="inlineStr">
        <is>
          <t>Osmoregulation pathways</t>
        </is>
      </c>
      <c r="B126" s="68" t="inlineStr">
        <is>
          <t>taurine</t>
        </is>
      </c>
      <c r="C126" s="68" t="inlineStr">
        <is>
          <t>taurine</t>
        </is>
      </c>
      <c r="D126" s="68" t="n"/>
      <c r="E126" s="68" t="n"/>
      <c r="F126" s="68" t="n">
        <v>0</v>
      </c>
      <c r="G126" s="68" t="n"/>
      <c r="H126" s="68" t="n"/>
    </row>
    <row r="127">
      <c r="A127" s="68" t="inlineStr">
        <is>
          <t>Carnitine shuttle system</t>
        </is>
      </c>
      <c r="B127" s="68" t="inlineStr">
        <is>
          <t>acetyl-l-carnitine</t>
        </is>
      </c>
      <c r="C127" s="68" t="inlineStr">
        <is>
          <t>acetyl-L-carnitine</t>
        </is>
      </c>
      <c r="D127" s="68" t="n"/>
      <c r="E127" s="68" t="n"/>
      <c r="F127" s="68" t="n">
        <v>0</v>
      </c>
      <c r="G127" s="68" t="n"/>
      <c r="H127" s="68" t="n"/>
    </row>
    <row r="128">
      <c r="A128" s="68" t="inlineStr">
        <is>
          <t>Mitochondrial beta-oxidation</t>
        </is>
      </c>
      <c r="B128" s="68" t="inlineStr">
        <is>
          <t>acetyl-l-carnitine</t>
        </is>
      </c>
      <c r="C128" s="68" t="inlineStr">
        <is>
          <t>acetyl-L-carnitine</t>
        </is>
      </c>
      <c r="D128" s="68" t="n"/>
      <c r="E128" s="68" t="n"/>
      <c r="F128" s="68" t="n">
        <v>0</v>
      </c>
      <c r="G128" s="68" t="n"/>
      <c r="H128" s="68" t="n"/>
    </row>
    <row r="129">
      <c r="A129" s="68" t="inlineStr">
        <is>
          <t>Acetylcholine synthesis pathway</t>
        </is>
      </c>
      <c r="B129" s="68" t="inlineStr">
        <is>
          <t>choline</t>
        </is>
      </c>
      <c r="C129" s="68" t="inlineStr">
        <is>
          <t>choline</t>
        </is>
      </c>
      <c r="D129" s="68" t="inlineStr">
        <is>
          <t>capsella-bursa-pastoris</t>
        </is>
      </c>
      <c r="E129" s="68" t="inlineStr">
        <is>
          <t>capsella bursa-pastoris</t>
        </is>
      </c>
      <c r="F129" s="68" t="n">
        <v>1</v>
      </c>
      <c r="G129" s="68" t="inlineStr">
        <is>
          <t>multi-target signaling modulation</t>
        </is>
      </c>
      <c r="H129" s="68" t="inlineStr">
        <is>
          <t>inferred_plus_trusted_gov</t>
        </is>
      </c>
    </row>
    <row r="130">
      <c r="A130" s="68" t="inlineStr">
        <is>
          <t>Methylation pathways</t>
        </is>
      </c>
      <c r="B130" s="68" t="inlineStr">
        <is>
          <t>choline</t>
        </is>
      </c>
      <c r="C130" s="68" t="inlineStr">
        <is>
          <t>choline</t>
        </is>
      </c>
      <c r="D130" s="68" t="inlineStr">
        <is>
          <t>capsella-bursa-pastoris</t>
        </is>
      </c>
      <c r="E130" s="68" t="inlineStr">
        <is>
          <t>capsella bursa-pastoris</t>
        </is>
      </c>
      <c r="F130" s="68" t="n">
        <v>1</v>
      </c>
      <c r="G130" s="68" t="inlineStr">
        <is>
          <t>multi-target signaling modulation</t>
        </is>
      </c>
      <c r="H130" s="68" t="inlineStr">
        <is>
          <t>inferred_plus_trusted_gov</t>
        </is>
      </c>
    </row>
    <row r="131">
      <c r="A131" s="68" t="inlineStr">
        <is>
          <t>Phospholipid metabolism</t>
        </is>
      </c>
      <c r="B131" s="68" t="inlineStr">
        <is>
          <t>choline</t>
        </is>
      </c>
      <c r="C131" s="68" t="inlineStr">
        <is>
          <t>choline</t>
        </is>
      </c>
      <c r="D131" s="68" t="inlineStr">
        <is>
          <t>capsella-bursa-pastoris</t>
        </is>
      </c>
      <c r="E131" s="68" t="inlineStr">
        <is>
          <t>capsella bursa-pastoris</t>
        </is>
      </c>
      <c r="F131" s="68" t="n">
        <v>1</v>
      </c>
      <c r="G131" s="68" t="inlineStr">
        <is>
          <t>multi-target signaling modulation</t>
        </is>
      </c>
      <c r="H131" s="68" t="inlineStr">
        <is>
          <t>inferred_plus_trusted_gov</t>
        </is>
      </c>
    </row>
    <row r="132">
      <c r="A132" s="68" t="inlineStr">
        <is>
          <t>general or unknown targets</t>
        </is>
      </c>
      <c r="B132" s="68" t="inlineStr">
        <is>
          <t>choline</t>
        </is>
      </c>
      <c r="C132" s="68" t="inlineStr">
        <is>
          <t>choline</t>
        </is>
      </c>
      <c r="D132" s="68" t="inlineStr">
        <is>
          <t>capsella-bursa-pastoris</t>
        </is>
      </c>
      <c r="E132" s="68" t="inlineStr">
        <is>
          <t>capsella bursa-pastoris</t>
        </is>
      </c>
      <c r="F132" s="68" t="n">
        <v>1</v>
      </c>
      <c r="G132" s="68" t="inlineStr">
        <is>
          <t>multi-target signaling modulation</t>
        </is>
      </c>
      <c r="H132" s="68" t="inlineStr">
        <is>
          <t>inferred_plus_trusted_gov</t>
        </is>
      </c>
    </row>
    <row r="133">
      <c r="A133" s="68" t="inlineStr">
        <is>
          <t>Inositol phosphate signaling</t>
        </is>
      </c>
      <c r="B133" s="68" t="inlineStr">
        <is>
          <t>myo-inositol</t>
        </is>
      </c>
      <c r="C133" s="68" t="inlineStr">
        <is>
          <t>myo-inositol</t>
        </is>
      </c>
      <c r="D133" s="68" t="n"/>
      <c r="E133" s="68" t="n"/>
      <c r="F133" s="68" t="n">
        <v>0</v>
      </c>
      <c r="G133" s="68" t="n"/>
      <c r="H133" s="68" t="n"/>
    </row>
    <row r="134">
      <c r="A134" s="68" t="inlineStr">
        <is>
          <t>PI3K signaling pathway</t>
        </is>
      </c>
      <c r="B134" s="68" t="inlineStr">
        <is>
          <t>myo-inositol</t>
        </is>
      </c>
      <c r="C134" s="68" t="inlineStr">
        <is>
          <t>myo-inositol</t>
        </is>
      </c>
      <c r="D134" s="68" t="n"/>
      <c r="E134" s="68" t="n"/>
      <c r="F134" s="68" t="n">
        <v>0</v>
      </c>
      <c r="G134" s="68" t="n"/>
      <c r="H134" s="68" t="n"/>
    </row>
    <row r="135">
      <c r="A135" s="68" t="inlineStr">
        <is>
          <t>Tyrosine pool replenishment</t>
        </is>
      </c>
      <c r="B135" s="68" t="inlineStr">
        <is>
          <t>n-acetyl-l-tyrosine</t>
        </is>
      </c>
      <c r="C135" s="68" t="inlineStr">
        <is>
          <t>N-acetyl-L-tyrosine</t>
        </is>
      </c>
      <c r="D135" s="68" t="n"/>
      <c r="E135" s="68" t="n"/>
      <c r="F135" s="68" t="n">
        <v>0</v>
      </c>
      <c r="G135" s="68" t="n"/>
      <c r="H135" s="68" t="n"/>
    </row>
    <row r="136">
      <c r="A136" s="68" t="inlineStr">
        <is>
          <t>catecholamine biosynthesis support</t>
        </is>
      </c>
      <c r="B136" s="68" t="inlineStr">
        <is>
          <t>n-acetyl-l-tyrosine</t>
        </is>
      </c>
      <c r="C136" s="68" t="inlineStr">
        <is>
          <t>N-acetyl-L-tyrosine</t>
        </is>
      </c>
      <c r="D136" s="68" t="n"/>
      <c r="E136" s="68" t="n"/>
      <c r="F136" s="68" t="n">
        <v>0</v>
      </c>
      <c r="G136" s="68" t="n"/>
      <c r="H136" s="68" t="n"/>
    </row>
    <row r="137">
      <c r="A137" s="68" t="inlineStr">
        <is>
          <t>thyroid hormone precursor biology</t>
        </is>
      </c>
      <c r="B137" s="68" t="inlineStr">
        <is>
          <t>n-acetyl-l-tyrosine</t>
        </is>
      </c>
      <c r="C137" s="68" t="inlineStr">
        <is>
          <t>N-acetyl-L-tyrosine</t>
        </is>
      </c>
      <c r="D137" s="68" t="n"/>
      <c r="E137" s="68" t="n"/>
      <c r="F137" s="68" t="n">
        <v>0</v>
      </c>
      <c r="G137" s="68" t="n"/>
      <c r="H137" s="68" t="n"/>
    </row>
    <row r="138">
      <c r="A138" s="68" t="inlineStr">
        <is>
          <t>Phenylalanine hydroxylase pathway</t>
        </is>
      </c>
      <c r="B138" s="68" t="inlineStr">
        <is>
          <t>l-phenylalanine</t>
        </is>
      </c>
      <c r="C138" s="68" t="inlineStr">
        <is>
          <t>L-phenylalanine</t>
        </is>
      </c>
      <c r="D138" s="68" t="n"/>
      <c r="E138" s="68" t="n"/>
      <c r="F138" s="68" t="n">
        <v>0</v>
      </c>
      <c r="G138" s="68" t="n"/>
      <c r="H138" s="68" t="n"/>
    </row>
    <row r="139">
      <c r="A139" s="68" t="inlineStr">
        <is>
          <t>catecholamine precursor biology</t>
        </is>
      </c>
      <c r="B139" s="68" t="inlineStr">
        <is>
          <t>l-phenylalanine</t>
        </is>
      </c>
      <c r="C139" s="68" t="inlineStr">
        <is>
          <t>L-phenylalanine</t>
        </is>
      </c>
      <c r="D139" s="68" t="n"/>
      <c r="E139" s="68" t="n"/>
      <c r="F139" s="68" t="n">
        <v>0</v>
      </c>
      <c r="G139" s="68" t="n"/>
      <c r="H139" s="68" t="n"/>
    </row>
    <row r="140">
      <c r="A140" s="68" t="inlineStr">
        <is>
          <t>tyrosine biosynthesis</t>
        </is>
      </c>
      <c r="B140" s="68" t="inlineStr">
        <is>
          <t>l-phenylalanine</t>
        </is>
      </c>
      <c r="C140" s="68" t="inlineStr">
        <is>
          <t>L-phenylalanine</t>
        </is>
      </c>
      <c r="D140" s="68" t="n"/>
      <c r="E140" s="68" t="n"/>
      <c r="F140" s="68" t="n">
        <v>0</v>
      </c>
      <c r="G140" s="68" t="n"/>
      <c r="H140" s="68" t="n"/>
    </row>
    <row r="141">
      <c r="A141" s="68" t="inlineStr">
        <is>
          <t>Tryptophan hydroxylase pathway</t>
        </is>
      </c>
      <c r="B141" s="68" t="inlineStr">
        <is>
          <t>l-tryptophan</t>
        </is>
      </c>
      <c r="C141" s="68" t="inlineStr">
        <is>
          <t>L-tryptophan</t>
        </is>
      </c>
      <c r="D141" s="68" t="n"/>
      <c r="E141" s="68" t="n"/>
      <c r="F141" s="68" t="n">
        <v>0</v>
      </c>
      <c r="G141" s="68" t="n"/>
      <c r="H141" s="68" t="n"/>
    </row>
    <row r="142">
      <c r="A142" s="68" t="inlineStr">
        <is>
          <t>kynurenine pathway</t>
        </is>
      </c>
      <c r="B142" s="68" t="inlineStr">
        <is>
          <t>l-tryptophan</t>
        </is>
      </c>
      <c r="C142" s="68" t="inlineStr">
        <is>
          <t>L-tryptophan</t>
        </is>
      </c>
      <c r="D142" s="68" t="n"/>
      <c r="E142" s="68" t="n"/>
      <c r="F142" s="68" t="n">
        <v>0</v>
      </c>
      <c r="G142" s="68" t="n"/>
      <c r="H142" s="68" t="n"/>
    </row>
    <row r="143">
      <c r="A143" s="68" t="inlineStr">
        <is>
          <t>serotonin biosynthesis</t>
        </is>
      </c>
      <c r="B143" s="68" t="inlineStr">
        <is>
          <t>l-tryptophan</t>
        </is>
      </c>
      <c r="C143" s="68" t="inlineStr">
        <is>
          <t>L-tryptophan</t>
        </is>
      </c>
      <c r="D143" s="68" t="n"/>
      <c r="E143" s="68" t="n"/>
      <c r="F143" s="68" t="n">
        <v>0</v>
      </c>
      <c r="G143" s="68" t="n"/>
      <c r="H143" s="68" t="n"/>
    </row>
    <row r="144">
      <c r="A144" s="68" t="inlineStr">
        <is>
          <t>Aromatic L-amino-acid decarboxylase pathway</t>
        </is>
      </c>
      <c r="B144" s="68" t="inlineStr">
        <is>
          <t>5-hydroxytryptophan</t>
        </is>
      </c>
      <c r="C144" s="68" t="inlineStr">
        <is>
          <t>5-hydroxytryptophan (5-HTP)</t>
        </is>
      </c>
      <c r="D144" s="68" t="inlineStr">
        <is>
          <t>griffonia-simplicifolia</t>
        </is>
      </c>
      <c r="E144" s="68" t="inlineStr">
        <is>
          <t>griffonia simplicifolia</t>
        </is>
      </c>
      <c r="F144" s="68" t="n">
        <v>1</v>
      </c>
      <c r="G144" s="68" t="inlineStr">
        <is>
          <t>serotonergic modulation</t>
        </is>
      </c>
      <c r="H144" s="68" t="inlineStr">
        <is>
          <t>inferred_plus_trusted_gov</t>
        </is>
      </c>
    </row>
    <row r="145">
      <c r="A145" s="68" t="inlineStr">
        <is>
          <t>HTR1A, HTR2A (serotonin receptors)</t>
        </is>
      </c>
      <c r="B145" s="68" t="inlineStr">
        <is>
          <t>5-hydroxytryptophan</t>
        </is>
      </c>
      <c r="C145" s="68" t="inlineStr">
        <is>
          <t>5-hydroxytryptophan (5-HTP)</t>
        </is>
      </c>
      <c r="D145" s="68" t="inlineStr">
        <is>
          <t>griffonia-simplicifolia</t>
        </is>
      </c>
      <c r="E145" s="68" t="inlineStr">
        <is>
          <t>griffonia simplicifolia</t>
        </is>
      </c>
      <c r="F145" s="68" t="n">
        <v>1</v>
      </c>
      <c r="G145" s="68" t="inlineStr">
        <is>
          <t>serotonergic modulation</t>
        </is>
      </c>
      <c r="H145" s="68" t="inlineStr">
        <is>
          <t>inferred_plus_trusted_gov</t>
        </is>
      </c>
    </row>
    <row r="146">
      <c r="A146" s="68" t="inlineStr">
        <is>
          <t>melatonin precursor biology</t>
        </is>
      </c>
      <c r="B146" s="68" t="inlineStr">
        <is>
          <t>5-hydroxytryptophan</t>
        </is>
      </c>
      <c r="C146" s="68" t="inlineStr">
        <is>
          <t>5-hydroxytryptophan (5-HTP)</t>
        </is>
      </c>
      <c r="D146" s="68" t="inlineStr">
        <is>
          <t>griffonia-simplicifolia</t>
        </is>
      </c>
      <c r="E146" s="68" t="inlineStr">
        <is>
          <t>griffonia simplicifolia</t>
        </is>
      </c>
      <c r="F146" s="68" t="n">
        <v>1</v>
      </c>
      <c r="G146" s="68" t="inlineStr">
        <is>
          <t>serotonergic modulation</t>
        </is>
      </c>
      <c r="H146" s="68" t="inlineStr">
        <is>
          <t>inferred_plus_trusted_gov</t>
        </is>
      </c>
    </row>
    <row r="147">
      <c r="A147" s="68" t="inlineStr">
        <is>
          <t>serotonin biosynthesis</t>
        </is>
      </c>
      <c r="B147" s="68" t="inlineStr">
        <is>
          <t>5-hydroxytryptophan</t>
        </is>
      </c>
      <c r="C147" s="68" t="inlineStr">
        <is>
          <t>5-hydroxytryptophan (5-HTP)</t>
        </is>
      </c>
      <c r="D147" s="68" t="inlineStr">
        <is>
          <t>griffonia-simplicifolia</t>
        </is>
      </c>
      <c r="E147" s="68" t="inlineStr">
        <is>
          <t>griffonia simplicifolia</t>
        </is>
      </c>
      <c r="F147" s="68" t="n">
        <v>1</v>
      </c>
      <c r="G147" s="68" t="inlineStr">
        <is>
          <t>serotonergic modulation</t>
        </is>
      </c>
      <c r="H147" s="68" t="inlineStr">
        <is>
          <t>inferred_plus_trusted_gov</t>
        </is>
      </c>
    </row>
    <row r="148">
      <c r="A148" s="68" t="inlineStr">
        <is>
          <t>Tyrosine hydroxylase pathway</t>
        </is>
      </c>
      <c r="B148" s="68" t="inlineStr">
        <is>
          <t>l-tyrosine</t>
        </is>
      </c>
      <c r="C148" s="68" t="inlineStr">
        <is>
          <t>L-tyrosine</t>
        </is>
      </c>
      <c r="D148" s="68" t="n"/>
      <c r="E148" s="68" t="n"/>
      <c r="F148" s="68" t="n">
        <v>0</v>
      </c>
      <c r="G148" s="68" t="n"/>
      <c r="H148" s="68" t="n"/>
    </row>
    <row r="149">
      <c r="A149" s="68" t="inlineStr">
        <is>
          <t>catecholamine biosynthesis</t>
        </is>
      </c>
      <c r="B149" s="68" t="inlineStr">
        <is>
          <t>l-tyrosine</t>
        </is>
      </c>
      <c r="C149" s="68" t="inlineStr">
        <is>
          <t>L-tyrosine</t>
        </is>
      </c>
      <c r="D149" s="68" t="n"/>
      <c r="E149" s="68" t="n"/>
      <c r="F149" s="68" t="n">
        <v>0</v>
      </c>
      <c r="G149" s="68" t="n"/>
      <c r="H149" s="68" t="n"/>
    </row>
    <row r="150">
      <c r="A150" s="68" t="inlineStr">
        <is>
          <t>melanin synthesis</t>
        </is>
      </c>
      <c r="B150" s="68" t="inlineStr">
        <is>
          <t>l-tyrosine</t>
        </is>
      </c>
      <c r="C150" s="68" t="inlineStr">
        <is>
          <t>L-tyrosine</t>
        </is>
      </c>
      <c r="D150" s="68" t="n"/>
      <c r="E150" s="68" t="n"/>
      <c r="F150" s="68" t="n">
        <v>0</v>
      </c>
      <c r="G150" s="68" t="n"/>
      <c r="H150" s="68" t="n"/>
    </row>
    <row r="151">
      <c r="A151" s="68" t="inlineStr">
        <is>
          <t>Kennedy pathway / phosphatidylcholine biosynthesis</t>
        </is>
      </c>
      <c r="B151" s="68" t="inlineStr">
        <is>
          <t>citicoline cdp-choline</t>
        </is>
      </c>
      <c r="C151" s="68" t="inlineStr">
        <is>
          <t>citicoline (CDP-choline)</t>
        </is>
      </c>
      <c r="D151" s="68" t="n"/>
      <c r="E151" s="68" t="n"/>
      <c r="F151" s="68" t="n">
        <v>0</v>
      </c>
      <c r="G151" s="68" t="n"/>
      <c r="H151" s="68" t="n"/>
    </row>
    <row r="152">
      <c r="A152" s="68" t="inlineStr">
        <is>
          <t>acetylcholine precursor biology</t>
        </is>
      </c>
      <c r="B152" s="68" t="inlineStr">
        <is>
          <t>citicoline cdp-choline</t>
        </is>
      </c>
      <c r="C152" s="68" t="inlineStr">
        <is>
          <t>citicoline (CDP-choline)</t>
        </is>
      </c>
      <c r="D152" s="68" t="n"/>
      <c r="E152" s="68" t="n"/>
      <c r="F152" s="68" t="n">
        <v>0</v>
      </c>
      <c r="G152" s="68" t="n"/>
      <c r="H152" s="68" t="n"/>
    </row>
    <row r="153">
      <c r="A153" s="68" t="inlineStr">
        <is>
          <t>membrane phospholipid turnover</t>
        </is>
      </c>
      <c r="B153" s="68" t="inlineStr">
        <is>
          <t>citicoline cdp-choline</t>
        </is>
      </c>
      <c r="C153" s="68" t="inlineStr">
        <is>
          <t>citicoline (CDP-choline)</t>
        </is>
      </c>
      <c r="D153" s="68" t="n"/>
      <c r="E153" s="68" t="n"/>
      <c r="F153" s="68" t="n">
        <v>0</v>
      </c>
      <c r="G153" s="68" t="n"/>
      <c r="H153" s="68" t="n"/>
    </row>
    <row r="154">
      <c r="A154" s="68" t="inlineStr">
        <is>
          <t>Acetylcholine synthesis pathway</t>
        </is>
      </c>
      <c r="B154" s="68" t="inlineStr">
        <is>
          <t>alpha-gpc l-alpha-glycerylphosphorylcholine</t>
        </is>
      </c>
      <c r="C154" s="68" t="inlineStr">
        <is>
          <t>alpha-GPC (L-alpha-glycerylphosphorylcholine)</t>
        </is>
      </c>
      <c r="D154" s="68" t="n"/>
      <c r="E154" s="68" t="n"/>
      <c r="F154" s="68" t="n">
        <v>0</v>
      </c>
      <c r="G154" s="68" t="n"/>
      <c r="H154" s="68" t="n"/>
    </row>
    <row r="155">
      <c r="A155" s="68" t="inlineStr">
        <is>
          <t>choline pool replenishment</t>
        </is>
      </c>
      <c r="B155" s="68" t="inlineStr">
        <is>
          <t>alpha-gpc l-alpha-glycerylphosphorylcholine</t>
        </is>
      </c>
      <c r="C155" s="68" t="inlineStr">
        <is>
          <t>alpha-GPC (L-alpha-glycerylphosphorylcholine)</t>
        </is>
      </c>
      <c r="D155" s="68" t="n"/>
      <c r="E155" s="68" t="n"/>
      <c r="F155" s="68" t="n">
        <v>0</v>
      </c>
      <c r="G155" s="68" t="n"/>
      <c r="H155" s="68" t="n"/>
    </row>
    <row r="156">
      <c r="A156" s="68" t="inlineStr">
        <is>
          <t>phospholipid metabolism</t>
        </is>
      </c>
      <c r="B156" s="68" t="inlineStr">
        <is>
          <t>alpha-gpc l-alpha-glycerylphosphorylcholine</t>
        </is>
      </c>
      <c r="C156" s="68" t="inlineStr">
        <is>
          <t>alpha-GPC (L-alpha-glycerylphosphorylcholine)</t>
        </is>
      </c>
      <c r="D156" s="68" t="n"/>
      <c r="E156" s="68" t="n"/>
      <c r="F156" s="68" t="n">
        <v>0</v>
      </c>
      <c r="G156" s="68" t="n"/>
      <c r="H156" s="68" t="n"/>
    </row>
    <row r="157">
      <c r="A157" s="68" t="inlineStr">
        <is>
          <t>Cell-membrane phospholipid signaling</t>
        </is>
      </c>
      <c r="B157" s="68" t="inlineStr">
        <is>
          <t>phosphatidylserine</t>
        </is>
      </c>
      <c r="C157" s="68" t="inlineStr">
        <is>
          <t>phosphatidylserine</t>
        </is>
      </c>
      <c r="D157" s="68" t="n"/>
      <c r="E157" s="68" t="n"/>
      <c r="F157" s="68" t="n">
        <v>0</v>
      </c>
      <c r="G157" s="68" t="n"/>
      <c r="H157" s="68" t="n"/>
    </row>
    <row r="158">
      <c r="A158" s="68" t="inlineStr">
        <is>
          <t>apoptotic membrane signaling</t>
        </is>
      </c>
      <c r="B158" s="68" t="inlineStr">
        <is>
          <t>phosphatidylserine</t>
        </is>
      </c>
      <c r="C158" s="68" t="inlineStr">
        <is>
          <t>phosphatidylserine</t>
        </is>
      </c>
      <c r="D158" s="68" t="n"/>
      <c r="E158" s="68" t="n"/>
      <c r="F158" s="68" t="n">
        <v>0</v>
      </c>
      <c r="G158" s="68" t="n"/>
      <c r="H158" s="68" t="n"/>
    </row>
    <row r="159">
      <c r="A159" s="68" t="inlineStr">
        <is>
          <t>cortisol/stress-response modulation</t>
        </is>
      </c>
      <c r="B159" s="68" t="inlineStr">
        <is>
          <t>phosphatidylserine</t>
        </is>
      </c>
      <c r="C159" s="68" t="inlineStr">
        <is>
          <t>phosphatidylserine</t>
        </is>
      </c>
      <c r="D159" s="68" t="n"/>
      <c r="E159" s="68" t="n"/>
      <c r="F159" s="68" t="n">
        <v>0</v>
      </c>
      <c r="G159" s="68" t="n"/>
      <c r="H159" s="68" t="n"/>
    </row>
    <row r="160">
      <c r="A160" s="68" t="inlineStr">
        <is>
          <t>Pyrimidine salvage pathway</t>
        </is>
      </c>
      <c r="B160" s="68" t="inlineStr">
        <is>
          <t>uridine monophosphate</t>
        </is>
      </c>
      <c r="C160" s="68" t="inlineStr">
        <is>
          <t>uridine monophosphate (UMP)</t>
        </is>
      </c>
      <c r="D160" s="68" t="n"/>
      <c r="E160" s="68" t="n"/>
      <c r="F160" s="68" t="n">
        <v>0</v>
      </c>
      <c r="G160" s="68" t="n"/>
      <c r="H160" s="68" t="n"/>
    </row>
    <row r="161">
      <c r="A161" s="68" t="inlineStr">
        <is>
          <t>membrane phosphatide synthesis</t>
        </is>
      </c>
      <c r="B161" s="68" t="inlineStr">
        <is>
          <t>uridine monophosphate</t>
        </is>
      </c>
      <c r="C161" s="68" t="inlineStr">
        <is>
          <t>uridine monophosphate (UMP)</t>
        </is>
      </c>
      <c r="D161" s="68" t="n"/>
      <c r="E161" s="68" t="n"/>
      <c r="F161" s="68" t="n">
        <v>0</v>
      </c>
      <c r="G161" s="68" t="n"/>
      <c r="H161" s="68" t="n"/>
    </row>
    <row r="162">
      <c r="A162" s="68" t="inlineStr">
        <is>
          <t>uridine/cytidine nucleotide metabolism</t>
        </is>
      </c>
      <c r="B162" s="68" t="inlineStr">
        <is>
          <t>uridine monophosphate</t>
        </is>
      </c>
      <c r="C162" s="68" t="inlineStr">
        <is>
          <t>uridine monophosphate (UMP)</t>
        </is>
      </c>
      <c r="D162" s="68" t="n"/>
      <c r="E162" s="68" t="n"/>
      <c r="F162" s="68" t="n">
        <v>0</v>
      </c>
      <c r="G162" s="68" t="n"/>
      <c r="H162" s="68" t="n"/>
    </row>
    <row r="163">
      <c r="A163" s="68" t="inlineStr">
        <is>
          <t>Acetylcholinesterase inhibition</t>
        </is>
      </c>
      <c r="B163" s="68" t="inlineStr">
        <is>
          <t>huperzine a</t>
        </is>
      </c>
      <c r="C163" s="68" t="inlineStr">
        <is>
          <t>huperzine A</t>
        </is>
      </c>
      <c r="D163" s="68" t="inlineStr">
        <is>
          <t>huperzia-serrata</t>
        </is>
      </c>
      <c r="E163" s="68" t="inlineStr">
        <is>
          <t>huperzia serrata</t>
        </is>
      </c>
      <c r="F163" s="68" t="n">
        <v>1</v>
      </c>
      <c r="G163" s="68" t="inlineStr">
        <is>
          <t>muscarinic receptor interaction</t>
        </is>
      </c>
      <c r="H163" s="68" t="inlineStr">
        <is>
          <t>trusted_gov_added</t>
        </is>
      </c>
    </row>
    <row r="164">
      <c r="A164" s="68" t="inlineStr">
        <is>
          <t>cholinergic_modulation</t>
        </is>
      </c>
      <c r="B164" s="68" t="inlineStr">
        <is>
          <t>huperzine a</t>
        </is>
      </c>
      <c r="C164" s="68" t="inlineStr">
        <is>
          <t>huperzine A</t>
        </is>
      </c>
      <c r="D164" s="68" t="inlineStr">
        <is>
          <t>huperzia-serrata</t>
        </is>
      </c>
      <c r="E164" s="68" t="inlineStr">
        <is>
          <t>huperzia serrata</t>
        </is>
      </c>
      <c r="F164" s="68" t="n">
        <v>1</v>
      </c>
      <c r="G164" s="68" t="inlineStr">
        <is>
          <t>muscarinic receptor interaction</t>
        </is>
      </c>
      <c r="H164" s="68" t="inlineStr">
        <is>
          <t>trusted_gov_added</t>
        </is>
      </c>
    </row>
    <row r="165">
      <c r="A165" s="68" t="inlineStr">
        <is>
          <t>synaptic acetylcholine increase</t>
        </is>
      </c>
      <c r="B165" s="68" t="inlineStr">
        <is>
          <t>huperzine a</t>
        </is>
      </c>
      <c r="C165" s="68" t="inlineStr">
        <is>
          <t>huperzine A</t>
        </is>
      </c>
      <c r="D165" s="68" t="inlineStr">
        <is>
          <t>huperzia-serrata</t>
        </is>
      </c>
      <c r="E165" s="68" t="inlineStr">
        <is>
          <t>huperzia serrata</t>
        </is>
      </c>
      <c r="F165" s="68" t="n">
        <v>1</v>
      </c>
      <c r="G165" s="68" t="inlineStr">
        <is>
          <t>muscarinic receptor interaction</t>
        </is>
      </c>
      <c r="H165" s="68" t="inlineStr">
        <is>
          <t>trusted_gov_added</t>
        </is>
      </c>
    </row>
    <row r="166">
      <c r="A166" s="68" t="inlineStr">
        <is>
          <t>serotonergic_5HT2A_agonism</t>
        </is>
      </c>
      <c r="B166" s="68" t="inlineStr">
        <is>
          <t>n-methyltryptamine</t>
        </is>
      </c>
      <c r="C166" s="68" t="inlineStr">
        <is>
          <t>n-methyltryptamine (nmt)</t>
        </is>
      </c>
      <c r="D166" s="68" t="inlineStr">
        <is>
          <t>acacia-confusa</t>
        </is>
      </c>
      <c r="E166" s="68" t="inlineStr">
        <is>
          <t>acacia confusa</t>
        </is>
      </c>
      <c r="F166" s="68" t="n">
        <v>1</v>
      </c>
      <c r="G166" s="68" t="inlineStr">
        <is>
          <t>serotonergic modulation</t>
        </is>
      </c>
      <c r="H166" s="68" t="inlineStr">
        <is>
          <t>trusted_gov_added</t>
        </is>
      </c>
    </row>
    <row r="167">
      <c r="A167" s="68" t="inlineStr">
        <is>
          <t>HTR1A, HTR2A (serotonin receptors)</t>
        </is>
      </c>
      <c r="B167" s="68" t="inlineStr">
        <is>
          <t>tryptamine</t>
        </is>
      </c>
      <c r="C167" s="68" t="inlineStr">
        <is>
          <t>tryptamine</t>
        </is>
      </c>
      <c r="D167" s="68" t="inlineStr">
        <is>
          <t>acacia-confusa; phalaris-arundinacea</t>
        </is>
      </c>
      <c r="E167" s="68" t="inlineStr">
        <is>
          <t>acacia confusa; phalaris arundinacea</t>
        </is>
      </c>
      <c r="F167" s="68" t="n">
        <v>2</v>
      </c>
      <c r="G167" s="68" t="inlineStr">
        <is>
          <t>serotonergic modulation</t>
        </is>
      </c>
      <c r="H167" s="68" t="inlineStr">
        <is>
          <t>inferred_plus_trusted_gov; trusted_gov_added</t>
        </is>
      </c>
    </row>
    <row r="168">
      <c r="A168" s="68" t="inlineStr">
        <is>
          <t>serotonergic_5HT2A_agonism</t>
        </is>
      </c>
      <c r="B168" s="68" t="inlineStr">
        <is>
          <t>tryptamine</t>
        </is>
      </c>
      <c r="C168" s="68" t="inlineStr">
        <is>
          <t>tryptamine</t>
        </is>
      </c>
      <c r="D168" s="68" t="inlineStr">
        <is>
          <t>acacia-confusa; phalaris-arundinacea</t>
        </is>
      </c>
      <c r="E168" s="68" t="inlineStr">
        <is>
          <t>acacia confusa; phalaris arundinacea</t>
        </is>
      </c>
      <c r="F168" s="68" t="n">
        <v>2</v>
      </c>
      <c r="G168" s="68" t="inlineStr">
        <is>
          <t>serotonergic modulation</t>
        </is>
      </c>
      <c r="H168" s="68" t="inlineStr">
        <is>
          <t>inferred_plus_trusted_gov; trusted_gov_added</t>
        </is>
      </c>
    </row>
    <row r="169">
      <c r="A169" s="68" t="inlineStr">
        <is>
          <t>serotonergic_5HT2A_agonism</t>
        </is>
      </c>
      <c r="B169" s="68" t="inlineStr">
        <is>
          <t>n-dimethyltryptamine</t>
        </is>
      </c>
      <c r="C169" s="68" t="inlineStr">
        <is>
          <t>n-dimethyltryptamine (dmt)</t>
        </is>
      </c>
      <c r="D169" s="68" t="inlineStr">
        <is>
          <t>acacia-confusa; acacia-maidenii; acacia-phlebophylla; diplopterys-cabrerana; psychotria-viridis; virola-calophylla; virola-elongata; virola-sebifera</t>
        </is>
      </c>
      <c r="E169" s="68" t="inlineStr">
        <is>
          <t>acacia confusa; acacia maidenii; acacia phlebophylla; chacruna; diplopterys cabrerana; psychotria viridis; virola calophylla; virola elongata; virola sebifera</t>
        </is>
      </c>
      <c r="F169" s="68" t="n">
        <v>8</v>
      </c>
      <c r="G169" s="68" t="inlineStr">
        <is>
          <t>serotonergic modulation</t>
        </is>
      </c>
      <c r="H169" s="68" t="inlineStr">
        <is>
          <t>inferred_plus_trusted_gov; trusted_gov_added</t>
        </is>
      </c>
    </row>
    <row r="170">
      <c r="A170" s="68" t="inlineStr">
        <is>
          <t>general or unknown targets</t>
        </is>
      </c>
      <c r="B170" s="68" t="inlineStr">
        <is>
          <t>gallic acid</t>
        </is>
      </c>
      <c r="C170" s="68" t="inlineStr">
        <is>
          <t>gallic acid</t>
        </is>
      </c>
      <c r="D170" s="68" t="inlineStr">
        <is>
          <t>vachellia-nilotica</t>
        </is>
      </c>
      <c r="E170" s="68" t="inlineStr">
        <is>
          <t>acacia nilotica</t>
        </is>
      </c>
      <c r="F170" s="68" t="n">
        <v>1</v>
      </c>
      <c r="G170" s="68" t="inlineStr">
        <is>
          <t>multi-target signaling modulation</t>
        </is>
      </c>
      <c r="H170" s="68" t="inlineStr">
        <is>
          <t>trusted_gov_added</t>
        </is>
      </c>
    </row>
    <row r="171">
      <c r="A171" s="68" t="inlineStr">
        <is>
          <t>general or unknown targets</t>
        </is>
      </c>
      <c r="B171" s="68" t="inlineStr">
        <is>
          <t>spilanthol</t>
        </is>
      </c>
      <c r="C171" s="68" t="inlineStr">
        <is>
          <t>spilanthol</t>
        </is>
      </c>
      <c r="D171" s="68" t="inlineStr">
        <is>
          <t>acmella-oleracea</t>
        </is>
      </c>
      <c r="E171" s="68" t="inlineStr">
        <is>
          <t>acmella oleracea; toothache plant</t>
        </is>
      </c>
      <c r="F171" s="68" t="n">
        <v>1</v>
      </c>
      <c r="G171" s="68" t="inlineStr">
        <is>
          <t>multi-target signaling modulation</t>
        </is>
      </c>
      <c r="H171" s="68" t="inlineStr">
        <is>
          <t>inferred_plus_trusted_gov; trusted_gov_added</t>
        </is>
      </c>
    </row>
    <row r="172">
      <c r="A172" s="68" t="inlineStr">
        <is>
          <t>general or unknown targets</t>
        </is>
      </c>
      <c r="B172" s="68" t="inlineStr">
        <is>
          <t>hypaconitine</t>
        </is>
      </c>
      <c r="C172" s="68" t="inlineStr">
        <is>
          <t>hypaconitine</t>
        </is>
      </c>
      <c r="D172" s="68" t="inlineStr">
        <is>
          <t>aconitum-ferox; aconitum-napellus</t>
        </is>
      </c>
      <c r="E172" s="68" t="inlineStr">
        <is>
          <t>aconitum ferox; aconitum napellus</t>
        </is>
      </c>
      <c r="F172" s="68" t="n">
        <v>2</v>
      </c>
      <c r="G172" s="68" t="inlineStr">
        <is>
          <t>multi-target signaling modulation</t>
        </is>
      </c>
      <c r="H172" s="68" t="inlineStr">
        <is>
          <t>inferred_plus_trusted_gov</t>
        </is>
      </c>
    </row>
    <row r="173">
      <c r="A173" s="68" t="inlineStr">
        <is>
          <t>general or unknown targets</t>
        </is>
      </c>
      <c r="B173" s="68" t="inlineStr">
        <is>
          <t>mesaconitine</t>
        </is>
      </c>
      <c r="C173" s="68" t="inlineStr">
        <is>
          <t>mesaconitine</t>
        </is>
      </c>
      <c r="D173" s="68" t="inlineStr">
        <is>
          <t>aconitum-ferox; aconitum-napellus</t>
        </is>
      </c>
      <c r="E173" s="68" t="inlineStr">
        <is>
          <t>aconitum ferox; aconitum napellus</t>
        </is>
      </c>
      <c r="F173" s="68" t="n">
        <v>2</v>
      </c>
      <c r="G173" s="68" t="inlineStr">
        <is>
          <t>multi-target signaling modulation</t>
        </is>
      </c>
      <c r="H173" s="68" t="inlineStr">
        <is>
          <t>inferred_plus_trusted_gov</t>
        </is>
      </c>
    </row>
    <row r="174">
      <c r="A174" s="68" t="inlineStr">
        <is>
          <t>general or unknown targets</t>
        </is>
      </c>
      <c r="B174" s="68" t="inlineStr">
        <is>
          <t>aconitine</t>
        </is>
      </c>
      <c r="C174" s="68" t="inlineStr">
        <is>
          <t>aconitine</t>
        </is>
      </c>
      <c r="D174" s="68" t="inlineStr">
        <is>
          <t>aconitum-ferox; aconitum-napellus</t>
        </is>
      </c>
      <c r="E174" s="68" t="inlineStr">
        <is>
          <t>aconitum ferox; aconitum napellus</t>
        </is>
      </c>
      <c r="F174" s="68" t="n">
        <v>2</v>
      </c>
      <c r="G174" s="68" t="inlineStr">
        <is>
          <t>multi-target signaling modulation</t>
        </is>
      </c>
      <c r="H174" s="68" t="inlineStr">
        <is>
          <t>inferred_plus_trusted_gov</t>
        </is>
      </c>
    </row>
    <row r="175">
      <c r="A175" s="68" t="inlineStr">
        <is>
          <t>general or unknown targets</t>
        </is>
      </c>
      <c r="B175" s="68" t="inlineStr">
        <is>
          <t>beta-asarone low levels</t>
        </is>
      </c>
      <c r="C175" s="68" t="inlineStr">
        <is>
          <t>beta-asarone (low levels)</t>
        </is>
      </c>
      <c r="D175" s="68" t="inlineStr">
        <is>
          <t>acorus-americanus</t>
        </is>
      </c>
      <c r="E175" s="68" t="inlineStr">
        <is>
          <t>acorus americanus</t>
        </is>
      </c>
      <c r="F175" s="68" t="n">
        <v>1</v>
      </c>
      <c r="G175" s="68" t="inlineStr">
        <is>
          <t>multi-target signaling modulation</t>
        </is>
      </c>
      <c r="H175" s="68" t="inlineStr">
        <is>
          <t>trusted_gov_added</t>
        </is>
      </c>
    </row>
    <row r="176">
      <c r="A176" s="68" t="inlineStr">
        <is>
          <t>gabaergic_modulation</t>
        </is>
      </c>
      <c r="B176" s="68" t="inlineStr">
        <is>
          <t>alpha-asarone</t>
        </is>
      </c>
      <c r="C176" s="68" t="inlineStr">
        <is>
          <t>alpha-asarone</t>
        </is>
      </c>
      <c r="D176" s="68" t="inlineStr">
        <is>
          <t>acorus-americanus; acorus-calamus; acorus-calamus-angustatus; acorus-tatarinowii</t>
        </is>
      </c>
      <c r="E176" s="68" t="inlineStr">
        <is>
          <t>acorus americanus; acorus calamus; acorus calamus var. angustatus; acorus tatarinowii</t>
        </is>
      </c>
      <c r="F176" s="68" t="n">
        <v>4</v>
      </c>
      <c r="G176" s="68" t="inlineStr">
        <is>
          <t>GABAergic modulation; multi-target signaling modulation</t>
        </is>
      </c>
      <c r="H176" s="68" t="inlineStr">
        <is>
          <t>inferred_plus_trusted_gov; trusted_gov_added</t>
        </is>
      </c>
    </row>
    <row r="177">
      <c r="A177" s="68" t="inlineStr">
        <is>
          <t>general or unknown targets</t>
        </is>
      </c>
      <c r="B177" s="68" t="inlineStr">
        <is>
          <t>alpha-asarone</t>
        </is>
      </c>
      <c r="C177" s="68" t="inlineStr">
        <is>
          <t>alpha-asarone</t>
        </is>
      </c>
      <c r="D177" s="68" t="inlineStr">
        <is>
          <t>acorus-americanus; acorus-calamus; acorus-calamus-angustatus; acorus-tatarinowii</t>
        </is>
      </c>
      <c r="E177" s="68" t="inlineStr">
        <is>
          <t>acorus americanus; acorus calamus; acorus calamus var. angustatus; acorus tatarinowii</t>
        </is>
      </c>
      <c r="F177" s="68" t="n">
        <v>4</v>
      </c>
      <c r="G177" s="68" t="inlineStr">
        <is>
          <t>GABAergic modulation; multi-target signaling modulation</t>
        </is>
      </c>
      <c r="H177" s="68" t="inlineStr">
        <is>
          <t>inferred_plus_trusted_gov; trusted_gov_added</t>
        </is>
      </c>
    </row>
    <row r="178">
      <c r="A178" s="68" t="inlineStr">
        <is>
          <t>gabaergic_modulation</t>
        </is>
      </c>
      <c r="B178" s="68" t="inlineStr">
        <is>
          <t>beta-asarone</t>
        </is>
      </c>
      <c r="C178" s="68" t="inlineStr">
        <is>
          <t>beta-asarone</t>
        </is>
      </c>
      <c r="D178" s="68" t="inlineStr">
        <is>
          <t>acorus-calamus; acorus-calamus-angustatus; acorus-tatarinowii</t>
        </is>
      </c>
      <c r="E178" s="68" t="inlineStr">
        <is>
          <t>acorus calamus; acorus calamus var. angustatus; acorus tatarinowii</t>
        </is>
      </c>
      <c r="F178" s="68" t="n">
        <v>3</v>
      </c>
      <c r="G178" s="68" t="inlineStr">
        <is>
          <t>GABAergic modulation; multi-target signaling modulation</t>
        </is>
      </c>
      <c r="H178" s="68" t="inlineStr">
        <is>
          <t>inferred_plus_trusted_gov; trusted_gov_added</t>
        </is>
      </c>
    </row>
    <row r="179">
      <c r="A179" s="68" t="inlineStr">
        <is>
          <t>general or unknown targets</t>
        </is>
      </c>
      <c r="B179" s="68" t="inlineStr">
        <is>
          <t>beta-asarone</t>
        </is>
      </c>
      <c r="C179" s="68" t="inlineStr">
        <is>
          <t>beta-asarone</t>
        </is>
      </c>
      <c r="D179" s="68" t="inlineStr">
        <is>
          <t>acorus-calamus; acorus-calamus-angustatus; acorus-tatarinowii</t>
        </is>
      </c>
      <c r="E179" s="68" t="inlineStr">
        <is>
          <t>acorus calamus; acorus calamus var. angustatus; acorus tatarinowii</t>
        </is>
      </c>
      <c r="F179" s="68" t="n">
        <v>3</v>
      </c>
      <c r="G179" s="68" t="inlineStr">
        <is>
          <t>GABAergic modulation; multi-target signaling modulation</t>
        </is>
      </c>
      <c r="H179" s="68" t="inlineStr">
        <is>
          <t>inferred_plus_trusted_gov; trusted_gov_added</t>
        </is>
      </c>
    </row>
    <row r="180">
      <c r="A180" s="68" t="inlineStr">
        <is>
          <t>general or unknown targets</t>
        </is>
      </c>
      <c r="B180" s="68" t="inlineStr">
        <is>
          <t>vasicine</t>
        </is>
      </c>
      <c r="C180" s="68" t="inlineStr">
        <is>
          <t>vasicine</t>
        </is>
      </c>
      <c r="D180" s="68" t="inlineStr">
        <is>
          <t>adhatoda-vasica</t>
        </is>
      </c>
      <c r="E180" s="68" t="inlineStr">
        <is>
          <t>adhatoda vasica</t>
        </is>
      </c>
      <c r="F180" s="68" t="n">
        <v>1</v>
      </c>
      <c r="G180" s="68" t="inlineStr">
        <is>
          <t>multi-target signaling modulation</t>
        </is>
      </c>
      <c r="H180" s="68" t="inlineStr">
        <is>
          <t>trusted_gov_added</t>
        </is>
      </c>
    </row>
    <row r="181">
      <c r="A181" s="68" t="inlineStr">
        <is>
          <t>general or unknown targets</t>
        </is>
      </c>
      <c r="B181" s="68" t="inlineStr">
        <is>
          <t>vasicinone</t>
        </is>
      </c>
      <c r="C181" s="68" t="inlineStr">
        <is>
          <t>vasicinone</t>
        </is>
      </c>
      <c r="D181" s="68" t="inlineStr">
        <is>
          <t>adhatoda-vasica; sida-cordifolia</t>
        </is>
      </c>
      <c r="E181" s="68" t="inlineStr">
        <is>
          <t>adhatoda vasica; sida cordifolia</t>
        </is>
      </c>
      <c r="F181" s="68" t="n">
        <v>2</v>
      </c>
      <c r="G181" s="68" t="inlineStr">
        <is>
          <t>multi-target signaling modulation</t>
        </is>
      </c>
      <c r="H181" s="68" t="inlineStr">
        <is>
          <t>inferred_plus_trusted_gov; trusted_gov_added</t>
        </is>
      </c>
    </row>
    <row r="182">
      <c r="A182" s="68" t="inlineStr">
        <is>
          <t>general or unknown targets</t>
        </is>
      </c>
      <c r="B182" s="68" t="inlineStr">
        <is>
          <t>skimmianine</t>
        </is>
      </c>
      <c r="C182" s="68" t="inlineStr">
        <is>
          <t>skimmianine</t>
        </is>
      </c>
      <c r="D182" s="68" t="inlineStr">
        <is>
          <t>aegle-marmelos</t>
        </is>
      </c>
      <c r="E182" s="68" t="inlineStr">
        <is>
          <t>aegle marmelos</t>
        </is>
      </c>
      <c r="F182" s="68" t="n">
        <v>1</v>
      </c>
      <c r="G182" s="68" t="inlineStr">
        <is>
          <t>multi-target signaling modulation</t>
        </is>
      </c>
      <c r="H182" s="68" t="inlineStr">
        <is>
          <t>trusted_gov_added</t>
        </is>
      </c>
    </row>
    <row r="183">
      <c r="A183" s="68" t="inlineStr">
        <is>
          <t>general or unknown targets</t>
        </is>
      </c>
      <c r="B183" s="68" t="inlineStr">
        <is>
          <t>aegeline</t>
        </is>
      </c>
      <c r="C183" s="68" t="inlineStr">
        <is>
          <t>aegeline</t>
        </is>
      </c>
      <c r="D183" s="68" t="inlineStr">
        <is>
          <t>aegle-marmelos</t>
        </is>
      </c>
      <c r="E183" s="68" t="inlineStr">
        <is>
          <t>aegle marmelos</t>
        </is>
      </c>
      <c r="F183" s="68" t="n">
        <v>1</v>
      </c>
      <c r="G183" s="68" t="inlineStr">
        <is>
          <t>multi-target signaling modulation</t>
        </is>
      </c>
      <c r="H183" s="68" t="inlineStr">
        <is>
          <t>trusted_gov_added</t>
        </is>
      </c>
    </row>
    <row r="184">
      <c r="A184" s="68" t="inlineStr">
        <is>
          <t>general or unknown targets</t>
        </is>
      </c>
      <c r="B184" s="68" t="inlineStr">
        <is>
          <t>marmelosin</t>
        </is>
      </c>
      <c r="C184" s="68" t="inlineStr">
        <is>
          <t>marmelosin</t>
        </is>
      </c>
      <c r="D184" s="68" t="inlineStr">
        <is>
          <t>aegle-marmelos</t>
        </is>
      </c>
      <c r="E184" s="68" t="inlineStr">
        <is>
          <t>aegle marmelos</t>
        </is>
      </c>
      <c r="F184" s="68" t="n">
        <v>1</v>
      </c>
      <c r="G184" s="68" t="inlineStr">
        <is>
          <t>multi-target signaling modulation</t>
        </is>
      </c>
      <c r="H184" s="68" t="inlineStr">
        <is>
          <t>trusted_gov_added</t>
        </is>
      </c>
    </row>
    <row r="185">
      <c r="A185" s="68" t="inlineStr">
        <is>
          <t>general or unknown targets</t>
        </is>
      </c>
      <c r="B185" s="68" t="inlineStr">
        <is>
          <t>unresolved herb level entry</t>
        </is>
      </c>
      <c r="C185" s="68" t="inlineStr">
        <is>
          <t>UNRESOLVED_HERB_LEVEL_ENTRY</t>
        </is>
      </c>
      <c r="D185" s="68"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E185" s="68" t="inlineStr">
        <is>
          <t>aerva lanata; albizia lebbeck; blue vervain; bobinsana; boldo; bolivian torch; brunfelsia grandiflora; byrsonima crassifolia; caapi; caesalpinia sepiaria; calliandra anomala; calliandra haematocephala; calliandra portoricensis; ceanothus integerrimus; cordyline fruticosa; desmodium gangeticum; dodonaea viscosa; erythrina vespertilio; helinus integrifolius; lobelia tupa; rhizophora mangle; rhizophora stylosa; tetrapleura tetraptera</t>
        </is>
      </c>
      <c r="F185" s="68" t="n">
        <v>23</v>
      </c>
      <c r="G185" s="68" t="inlineStr">
        <is>
          <t>COX/NF-kB inhibition; multi-target signaling modulation</t>
        </is>
      </c>
      <c r="H185" s="68" t="inlineStr">
        <is>
          <t>inferred_plus_trusted_gov; trusted_gov_added</t>
        </is>
      </c>
    </row>
    <row r="186">
      <c r="A186" s="68" t="inlineStr">
        <is>
          <t>inflammatory_pathway_modulation</t>
        </is>
      </c>
      <c r="B186" s="68" t="inlineStr">
        <is>
          <t>unresolved herb level entry</t>
        </is>
      </c>
      <c r="C186" s="68" t="inlineStr">
        <is>
          <t>UNRESOLVED_HERB_LEVEL_ENTRY</t>
        </is>
      </c>
      <c r="D186" s="68"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E186" s="68" t="inlineStr">
        <is>
          <t>aerva lanata; albizia lebbeck; blue vervain; bobinsana; boldo; bolivian torch; brunfelsia grandiflora; byrsonima crassifolia; caapi; caesalpinia sepiaria; calliandra anomala; calliandra haematocephala; calliandra portoricensis; ceanothus integerrimus; cordyline fruticosa; desmodium gangeticum; dodonaea viscosa; erythrina vespertilio; helinus integrifolius; lobelia tupa; rhizophora mangle; rhizophora stylosa; tetrapleura tetraptera</t>
        </is>
      </c>
      <c r="F186" s="68" t="n">
        <v>23</v>
      </c>
      <c r="G186" s="68" t="inlineStr">
        <is>
          <t>COX/NF-kB inhibition; multi-target signaling modulation</t>
        </is>
      </c>
      <c r="H186" s="68" t="inlineStr">
        <is>
          <t>inferred_plus_trusted_gov; trusted_gov_added</t>
        </is>
      </c>
    </row>
    <row r="187">
      <c r="A187" s="68" t="inlineStr">
        <is>
          <t>general or unknown targets</t>
        </is>
      </c>
      <c r="B187" s="68" t="inlineStr">
        <is>
          <t>aesculin</t>
        </is>
      </c>
      <c r="C187" s="68" t="inlineStr">
        <is>
          <t>aesculin</t>
        </is>
      </c>
      <c r="D187" s="68" t="inlineStr">
        <is>
          <t>aesculus-hippocastanum</t>
        </is>
      </c>
      <c r="E187" s="68" t="inlineStr">
        <is>
          <t>aesculus hippocastanum</t>
        </is>
      </c>
      <c r="F187" s="68" t="n">
        <v>1</v>
      </c>
      <c r="G187" s="68" t="inlineStr">
        <is>
          <t>multi-target signaling modulation</t>
        </is>
      </c>
      <c r="H187" s="68" t="inlineStr">
        <is>
          <t>inferred_plus_trusted_gov</t>
        </is>
      </c>
    </row>
    <row r="188">
      <c r="A188" s="68" t="inlineStr">
        <is>
          <t>general or unknown targets</t>
        </is>
      </c>
      <c r="B188" s="68" t="inlineStr">
        <is>
          <t>aescin</t>
        </is>
      </c>
      <c r="C188" s="68" t="inlineStr">
        <is>
          <t>aescin</t>
        </is>
      </c>
      <c r="D188" s="68" t="inlineStr">
        <is>
          <t>aesculus-hippocastanum</t>
        </is>
      </c>
      <c r="E188" s="68" t="inlineStr">
        <is>
          <t>aesculus hippocastanum</t>
        </is>
      </c>
      <c r="F188" s="68" t="n">
        <v>1</v>
      </c>
      <c r="G188" s="68" t="inlineStr">
        <is>
          <t>multi-target signaling modulation</t>
        </is>
      </c>
      <c r="H188" s="68" t="inlineStr">
        <is>
          <t>inferred_plus_trusted_gov</t>
        </is>
      </c>
    </row>
    <row r="189">
      <c r="A189" s="68" t="inlineStr">
        <is>
          <t>general or unknown targets</t>
        </is>
      </c>
      <c r="B189" s="68" t="inlineStr">
        <is>
          <t>fraxin</t>
        </is>
      </c>
      <c r="C189" s="68" t="inlineStr">
        <is>
          <t>fraxin</t>
        </is>
      </c>
      <c r="D189" s="68" t="inlineStr">
        <is>
          <t>aesculus-hippocastanum</t>
        </is>
      </c>
      <c r="E189" s="68" t="inlineStr">
        <is>
          <t>aesculus hippocastanum</t>
        </is>
      </c>
      <c r="F189" s="68" t="n">
        <v>1</v>
      </c>
      <c r="G189" s="68" t="inlineStr">
        <is>
          <t>multi-target signaling modulation</t>
        </is>
      </c>
      <c r="H189" s="68" t="inlineStr">
        <is>
          <t>inferred_plus_trusted_gov</t>
        </is>
      </c>
    </row>
    <row r="190">
      <c r="A190" s="68" t="inlineStr">
        <is>
          <t>endocannabinoid_modulation</t>
        </is>
      </c>
      <c r="B190" s="68" t="inlineStr">
        <is>
          <t>limonene</t>
        </is>
      </c>
      <c r="C190" s="68" t="inlineStr">
        <is>
          <t>limonene</t>
        </is>
      </c>
      <c r="D190" s="68" t="inlineStr">
        <is>
          <t>agastache-foeniculum; bursera-graveolens; cannabis-sativa; citrus-aurantium; citrus-limon; juniperus-sibirica; lippia-alba</t>
        </is>
      </c>
      <c r="E190" s="68" t="inlineStr">
        <is>
          <t>agastache foeniculum; bursera graveolens; cannabis sativa; citrus aurantium; citrus limon; juniperus sibirica; lippia alba</t>
        </is>
      </c>
      <c r="F190" s="68" t="n">
        <v>7</v>
      </c>
      <c r="G190" s="68" t="inlineStr">
        <is>
          <t>multi-target signaling modulation</t>
        </is>
      </c>
      <c r="H190" s="68" t="inlineStr">
        <is>
          <t>inferred_plus_trusted_gov; trusted_gov_added</t>
        </is>
      </c>
    </row>
    <row r="191">
      <c r="A191" s="68" t="inlineStr">
        <is>
          <t>general or unknown targets</t>
        </is>
      </c>
      <c r="B191" s="68" t="inlineStr">
        <is>
          <t>limonene</t>
        </is>
      </c>
      <c r="C191" s="68" t="inlineStr">
        <is>
          <t>limonene</t>
        </is>
      </c>
      <c r="D191" s="68" t="inlineStr">
        <is>
          <t>agastache-foeniculum; bursera-graveolens; cannabis-sativa; citrus-aurantium; citrus-limon; juniperus-sibirica; lippia-alba</t>
        </is>
      </c>
      <c r="E191" s="68" t="inlineStr">
        <is>
          <t>agastache foeniculum; bursera graveolens; cannabis sativa; citrus aurantium; citrus limon; juniperus sibirica; lippia alba</t>
        </is>
      </c>
      <c r="F191" s="68" t="n">
        <v>7</v>
      </c>
      <c r="G191" s="68" t="inlineStr">
        <is>
          <t>multi-target signaling modulation</t>
        </is>
      </c>
      <c r="H191" s="68" t="inlineStr">
        <is>
          <t>inferred_plus_trusted_gov; trusted_gov_added</t>
        </is>
      </c>
    </row>
    <row r="192">
      <c r="A192" s="68" t="inlineStr">
        <is>
          <t>general or unknown targets</t>
        </is>
      </c>
      <c r="B192" s="68" t="inlineStr">
        <is>
          <t>anethole</t>
        </is>
      </c>
      <c r="C192" s="68" t="inlineStr">
        <is>
          <t>anethole</t>
        </is>
      </c>
      <c r="D192" s="68" t="inlineStr">
        <is>
          <t>agastache-foeniculum; foeniculum-vulgare; pimpinella-anisum</t>
        </is>
      </c>
      <c r="E192" s="68" t="inlineStr">
        <is>
          <t>agastache foeniculum; foeniculum vulgare; pimpinella anisum</t>
        </is>
      </c>
      <c r="F192" s="68" t="n">
        <v>3</v>
      </c>
      <c r="G192" s="68" t="inlineStr">
        <is>
          <t>multi-target signaling modulation</t>
        </is>
      </c>
      <c r="H192" s="68" t="inlineStr">
        <is>
          <t>inferred_plus_trusted_gov</t>
        </is>
      </c>
    </row>
    <row r="193">
      <c r="A193" s="68" t="inlineStr">
        <is>
          <t>general or unknown targets</t>
        </is>
      </c>
      <c r="B193" s="68" t="inlineStr">
        <is>
          <t>estragole</t>
        </is>
      </c>
      <c r="C193" s="68" t="inlineStr">
        <is>
          <t>estragole</t>
        </is>
      </c>
      <c r="D193" s="68" t="inlineStr">
        <is>
          <t>agastache-foeniculum; tagetes-lucida</t>
        </is>
      </c>
      <c r="E193" s="68" t="inlineStr">
        <is>
          <t>agastache foeniculum; tagetes lucida</t>
        </is>
      </c>
      <c r="F193" s="68" t="n">
        <v>2</v>
      </c>
      <c r="G193" s="68" t="inlineStr">
        <is>
          <t>multi-target signaling modulation</t>
        </is>
      </c>
      <c r="H193" s="68" t="inlineStr">
        <is>
          <t>inferred_plus_trusted_gov</t>
        </is>
      </c>
    </row>
    <row r="194">
      <c r="A194" s="68" t="inlineStr">
        <is>
          <t>general or unknown targets</t>
        </is>
      </c>
      <c r="B194" s="68" t="inlineStr">
        <is>
          <t>agrimoniin</t>
        </is>
      </c>
      <c r="C194" s="68" t="inlineStr">
        <is>
          <t>agrimoniin</t>
        </is>
      </c>
      <c r="D194" s="68" t="inlineStr">
        <is>
          <t>agrimonia-eupatoria</t>
        </is>
      </c>
      <c r="E194" s="68" t="inlineStr">
        <is>
          <t>agrimonia eupatoria</t>
        </is>
      </c>
      <c r="F194" s="68" t="n">
        <v>1</v>
      </c>
      <c r="G194" s="68" t="inlineStr">
        <is>
          <t>multi-target signaling modulation</t>
        </is>
      </c>
      <c r="H194" s="68" t="inlineStr">
        <is>
          <t>inferred_plus_trusted_gov</t>
        </is>
      </c>
    </row>
    <row r="195">
      <c r="A195" s="68" t="inlineStr">
        <is>
          <t>general or unknown targets</t>
        </is>
      </c>
      <c r="B195" s="68" t="inlineStr">
        <is>
          <t>alangine</t>
        </is>
      </c>
      <c r="C195" s="68" t="inlineStr">
        <is>
          <t>alangine</t>
        </is>
      </c>
      <c r="D195" s="68" t="inlineStr">
        <is>
          <t>alangium-salvifolium</t>
        </is>
      </c>
      <c r="E195" s="68" t="inlineStr">
        <is>
          <t>alangium salvifolium</t>
        </is>
      </c>
      <c r="F195" s="68" t="n">
        <v>1</v>
      </c>
      <c r="G195" s="68" t="inlineStr">
        <is>
          <t>multi-target signaling modulation</t>
        </is>
      </c>
      <c r="H195" s="68" t="inlineStr">
        <is>
          <t>inferred_plus_trusted_gov</t>
        </is>
      </c>
    </row>
    <row r="196">
      <c r="A196" s="68" t="inlineStr">
        <is>
          <t>PTGS1, PTGS2 (COX-1, COX-2)</t>
        </is>
      </c>
      <c r="B196" s="68" t="inlineStr">
        <is>
          <t>salicylic acid</t>
        </is>
      </c>
      <c r="C196" s="68" t="inlineStr">
        <is>
          <t>salicylic acid</t>
        </is>
      </c>
      <c r="D196" s="68" t="inlineStr">
        <is>
          <t>alchemilla-vulgaris</t>
        </is>
      </c>
      <c r="E196" s="68" t="inlineStr">
        <is>
          <t>alchemilla vulgaris</t>
        </is>
      </c>
      <c r="F196" s="68" t="n">
        <v>1</v>
      </c>
      <c r="G196" s="68" t="inlineStr">
        <is>
          <t>cox inhibition</t>
        </is>
      </c>
      <c r="H196" s="68" t="inlineStr">
        <is>
          <t>inferred_plus_trusted_gov</t>
        </is>
      </c>
    </row>
    <row r="197">
      <c r="A197" s="68" t="inlineStr">
        <is>
          <t>general or unknown targets</t>
        </is>
      </c>
      <c r="B197" s="68" t="inlineStr">
        <is>
          <t>alchorneine</t>
        </is>
      </c>
      <c r="C197" s="68" t="inlineStr">
        <is>
          <t>alchorneine</t>
        </is>
      </c>
      <c r="D197" s="68" t="inlineStr">
        <is>
          <t>alchornea-floribunda</t>
        </is>
      </c>
      <c r="E197" s="68" t="inlineStr">
        <is>
          <t>alchornea floribunda</t>
        </is>
      </c>
      <c r="F197" s="68" t="n">
        <v>1</v>
      </c>
      <c r="G197" s="68" t="inlineStr">
        <is>
          <t>multi-target signaling modulation</t>
        </is>
      </c>
      <c r="H197" s="68" t="inlineStr">
        <is>
          <t>inferred_plus_trusted_gov</t>
        </is>
      </c>
    </row>
    <row r="198">
      <c r="A198" s="68" t="inlineStr">
        <is>
          <t>general or unknown targets</t>
        </is>
      </c>
      <c r="B198" s="68" t="inlineStr">
        <is>
          <t>allicin</t>
        </is>
      </c>
      <c r="C198" s="68" t="inlineStr">
        <is>
          <t>allicin</t>
        </is>
      </c>
      <c r="D198" s="68" t="inlineStr">
        <is>
          <t>allium-sativum</t>
        </is>
      </c>
      <c r="E198" s="68" t="inlineStr">
        <is>
          <t>allium sativum</t>
        </is>
      </c>
      <c r="F198" s="68" t="n">
        <v>1</v>
      </c>
      <c r="G198" s="68" t="inlineStr">
        <is>
          <t>multi-target signaling modulation</t>
        </is>
      </c>
      <c r="H198" s="68" t="inlineStr">
        <is>
          <t>inferred_plus_trusted_gov</t>
        </is>
      </c>
    </row>
    <row r="199">
      <c r="A199" s="68" t="inlineStr">
        <is>
          <t>general or unknown targets</t>
        </is>
      </c>
      <c r="B199" s="68" t="inlineStr">
        <is>
          <t>ajoene</t>
        </is>
      </c>
      <c r="C199" s="68" t="inlineStr">
        <is>
          <t>ajoene</t>
        </is>
      </c>
      <c r="D199" s="68" t="inlineStr">
        <is>
          <t>allium-sativum</t>
        </is>
      </c>
      <c r="E199" s="68" t="inlineStr">
        <is>
          <t>allium sativum</t>
        </is>
      </c>
      <c r="F199" s="68" t="n">
        <v>1</v>
      </c>
      <c r="G199" s="68" t="inlineStr">
        <is>
          <t>multi-target signaling modulation</t>
        </is>
      </c>
      <c r="H199" s="68" t="inlineStr">
        <is>
          <t>inferred_plus_trusted_gov</t>
        </is>
      </c>
    </row>
    <row r="200">
      <c r="A200" s="68" t="inlineStr">
        <is>
          <t>general or unknown targets</t>
        </is>
      </c>
      <c r="B200" s="68" t="inlineStr">
        <is>
          <t>aloin</t>
        </is>
      </c>
      <c r="C200" s="68" t="inlineStr">
        <is>
          <t>aloin</t>
        </is>
      </c>
      <c r="D200" s="68" t="inlineStr">
        <is>
          <t>aloe-vera</t>
        </is>
      </c>
      <c r="E200" s="68" t="inlineStr">
        <is>
          <t>aloe vera</t>
        </is>
      </c>
      <c r="F200" s="68" t="n">
        <v>1</v>
      </c>
      <c r="G200" s="68" t="inlineStr">
        <is>
          <t>multi-target signaling modulation</t>
        </is>
      </c>
      <c r="H200" s="68" t="inlineStr">
        <is>
          <t>inferred_plus_trusted_gov</t>
        </is>
      </c>
    </row>
    <row r="201">
      <c r="A201" s="68" t="inlineStr">
        <is>
          <t>general or unknown targets</t>
        </is>
      </c>
      <c r="B201" s="68" t="inlineStr">
        <is>
          <t>pectin</t>
        </is>
      </c>
      <c r="C201" s="68" t="inlineStr">
        <is>
          <t>pectin</t>
        </is>
      </c>
      <c r="D201" s="68" t="inlineStr">
        <is>
          <t>althaea-officinalis</t>
        </is>
      </c>
      <c r="E201" s="68" t="inlineStr">
        <is>
          <t>althaea officinalis</t>
        </is>
      </c>
      <c r="F201" s="68" t="n">
        <v>1</v>
      </c>
      <c r="G201" s="68" t="inlineStr">
        <is>
          <t>multi-target signaling modulation</t>
        </is>
      </c>
      <c r="H201" s="68" t="inlineStr">
        <is>
          <t>inferred_plus_trusted_gov</t>
        </is>
      </c>
    </row>
    <row r="202">
      <c r="A202" s="68" t="inlineStr">
        <is>
          <t>gabaergic_modulation</t>
        </is>
      </c>
      <c r="B202" s="68" t="inlineStr">
        <is>
          <t>muscimol</t>
        </is>
      </c>
      <c r="C202" s="68" t="inlineStr">
        <is>
          <t>muscimol</t>
        </is>
      </c>
      <c r="D202" s="68" t="inlineStr">
        <is>
          <t>amanita-muscaria; amanita-pantherina</t>
        </is>
      </c>
      <c r="E202" s="68" t="inlineStr">
        <is>
          <t>amanita muscaria; amanita pantherina; fly agaric</t>
        </is>
      </c>
      <c r="F202" s="68" t="n">
        <v>2</v>
      </c>
      <c r="G202" s="68" t="inlineStr">
        <is>
          <t>GABAergic modulation; multi-target signaling modulation</t>
        </is>
      </c>
      <c r="H202" s="68" t="inlineStr">
        <is>
          <t>inferred_plus_trusted_gov; trusted_gov_added</t>
        </is>
      </c>
    </row>
    <row r="203">
      <c r="A203" s="68" t="inlineStr">
        <is>
          <t>general or unknown targets</t>
        </is>
      </c>
      <c r="B203" s="68" t="inlineStr">
        <is>
          <t>muscimol</t>
        </is>
      </c>
      <c r="C203" s="68" t="inlineStr">
        <is>
          <t>muscimol</t>
        </is>
      </c>
      <c r="D203" s="68" t="inlineStr">
        <is>
          <t>amanita-muscaria; amanita-pantherina</t>
        </is>
      </c>
      <c r="E203" s="68" t="inlineStr">
        <is>
          <t>amanita muscaria; amanita pantherina; fly agaric</t>
        </is>
      </c>
      <c r="F203" s="68" t="n">
        <v>2</v>
      </c>
      <c r="G203" s="68" t="inlineStr">
        <is>
          <t>GABAergic modulation; multi-target signaling modulation</t>
        </is>
      </c>
      <c r="H203" s="68" t="inlineStr">
        <is>
          <t>inferred_plus_trusted_gov; trusted_gov_added</t>
        </is>
      </c>
    </row>
    <row r="204">
      <c r="A204" s="68" t="inlineStr">
        <is>
          <t>gabaergic_modulation</t>
        </is>
      </c>
      <c r="B204" s="68" t="inlineStr">
        <is>
          <t>ibotenic acid</t>
        </is>
      </c>
      <c r="C204" s="68" t="inlineStr">
        <is>
          <t>ibotenic acid</t>
        </is>
      </c>
      <c r="D204" s="68" t="inlineStr">
        <is>
          <t>amanita-muscaria; amanita-pantherina</t>
        </is>
      </c>
      <c r="E204" s="68" t="inlineStr">
        <is>
          <t>amanita muscaria; amanita pantherina; fly agaric</t>
        </is>
      </c>
      <c r="F204" s="68" t="n">
        <v>2</v>
      </c>
      <c r="G204" s="68" t="inlineStr">
        <is>
          <t>GABAergic modulation; multi-target signaling modulation</t>
        </is>
      </c>
      <c r="H204" s="68" t="inlineStr">
        <is>
          <t>inferred_plus_trusted_gov; trusted_gov_added</t>
        </is>
      </c>
    </row>
    <row r="205">
      <c r="A205" s="68" t="inlineStr">
        <is>
          <t>general or unknown targets</t>
        </is>
      </c>
      <c r="B205" s="68" t="inlineStr">
        <is>
          <t>ibotenic acid</t>
        </is>
      </c>
      <c r="C205" s="68" t="inlineStr">
        <is>
          <t>ibotenic acid</t>
        </is>
      </c>
      <c r="D205" s="68" t="inlineStr">
        <is>
          <t>amanita-muscaria; amanita-pantherina</t>
        </is>
      </c>
      <c r="E205" s="68" t="inlineStr">
        <is>
          <t>amanita muscaria; amanita pantherina; fly agaric</t>
        </is>
      </c>
      <c r="F205" s="68" t="n">
        <v>2</v>
      </c>
      <c r="G205" s="68" t="inlineStr">
        <is>
          <t>GABAergic modulation; multi-target signaling modulation</t>
        </is>
      </c>
      <c r="H205" s="68" t="inlineStr">
        <is>
          <t>inferred_plus_trusted_gov; trusted_gov_added</t>
        </is>
      </c>
    </row>
    <row r="206">
      <c r="A206" s="68" t="inlineStr">
        <is>
          <t>gabaergic_modulation</t>
        </is>
      </c>
      <c r="B206" s="68" t="inlineStr">
        <is>
          <t>ginsenosides including rb1</t>
        </is>
      </c>
      <c r="C206" s="68" t="inlineStr">
        <is>
          <t>ginsenosides (including rb1</t>
        </is>
      </c>
      <c r="D206" s="68" t="inlineStr">
        <is>
          <t>american-ginseng</t>
        </is>
      </c>
      <c r="E206" s="68" t="inlineStr">
        <is>
          <t>american ginseng</t>
        </is>
      </c>
      <c r="F206" s="68" t="n">
        <v>1</v>
      </c>
      <c r="G206" s="68" t="inlineStr">
        <is>
          <t>GABAergic modulation</t>
        </is>
      </c>
      <c r="H206" s="68" t="inlineStr">
        <is>
          <t>trusted_gov_added</t>
        </is>
      </c>
    </row>
    <row r="207">
      <c r="A207" s="68" t="inlineStr">
        <is>
          <t>inflammatory_pathway_modulation</t>
        </is>
      </c>
      <c r="B207" s="68" t="inlineStr">
        <is>
          <t>ginsenosides including rb1</t>
        </is>
      </c>
      <c r="C207" s="68" t="inlineStr">
        <is>
          <t>ginsenosides (including rb1</t>
        </is>
      </c>
      <c r="D207" s="68" t="inlineStr">
        <is>
          <t>american-ginseng</t>
        </is>
      </c>
      <c r="E207" s="68" t="inlineStr">
        <is>
          <t>american ginseng</t>
        </is>
      </c>
      <c r="F207" s="68" t="n">
        <v>1</v>
      </c>
      <c r="G207" s="68" t="inlineStr">
        <is>
          <t>GABAergic modulation</t>
        </is>
      </c>
      <c r="H207" s="68" t="inlineStr">
        <is>
          <t>trusted_gov_added</t>
        </is>
      </c>
    </row>
    <row r="208">
      <c r="A208" s="68" t="inlineStr">
        <is>
          <t>gabaergic_modulation</t>
        </is>
      </c>
      <c r="B208" s="68" t="inlineStr">
        <is>
          <t>rg1</t>
        </is>
      </c>
      <c r="C208" s="68" t="inlineStr">
        <is>
          <t>rg1</t>
        </is>
      </c>
      <c r="D208" s="68" t="inlineStr">
        <is>
          <t>american-ginseng</t>
        </is>
      </c>
      <c r="E208" s="68" t="inlineStr">
        <is>
          <t>american ginseng</t>
        </is>
      </c>
      <c r="F208" s="68" t="n">
        <v>1</v>
      </c>
      <c r="G208" s="68" t="inlineStr">
        <is>
          <t>GABAergic modulation</t>
        </is>
      </c>
      <c r="H208" s="68" t="inlineStr">
        <is>
          <t>trusted_gov_added</t>
        </is>
      </c>
    </row>
    <row r="209">
      <c r="A209" s="68" t="inlineStr">
        <is>
          <t>inflammatory_pathway_modulation</t>
        </is>
      </c>
      <c r="B209" s="68" t="inlineStr">
        <is>
          <t>rg1</t>
        </is>
      </c>
      <c r="C209" s="68" t="inlineStr">
        <is>
          <t>rg1</t>
        </is>
      </c>
      <c r="D209" s="68" t="inlineStr">
        <is>
          <t>american-ginseng</t>
        </is>
      </c>
      <c r="E209" s="68" t="inlineStr">
        <is>
          <t>american ginseng</t>
        </is>
      </c>
      <c r="F209" s="68" t="n">
        <v>1</v>
      </c>
      <c r="G209" s="68" t="inlineStr">
        <is>
          <t>GABAergic modulation</t>
        </is>
      </c>
      <c r="H209" s="68" t="inlineStr">
        <is>
          <t>trusted_gov_added</t>
        </is>
      </c>
    </row>
    <row r="210">
      <c r="A210" s="68" t="inlineStr">
        <is>
          <t>gabaergic_modulation</t>
        </is>
      </c>
      <c r="B210" s="68" t="inlineStr">
        <is>
          <t>rb2</t>
        </is>
      </c>
      <c r="C210" s="68" t="inlineStr">
        <is>
          <t>rb2</t>
        </is>
      </c>
      <c r="D210" s="68" t="inlineStr">
        <is>
          <t>american-ginseng</t>
        </is>
      </c>
      <c r="E210" s="68" t="inlineStr">
        <is>
          <t>american ginseng</t>
        </is>
      </c>
      <c r="F210" s="68" t="n">
        <v>1</v>
      </c>
      <c r="G210" s="68" t="inlineStr">
        <is>
          <t>GABAergic modulation</t>
        </is>
      </c>
      <c r="H210" s="68" t="inlineStr">
        <is>
          <t>trusted_gov_added</t>
        </is>
      </c>
    </row>
    <row r="211">
      <c r="A211" s="68" t="inlineStr">
        <is>
          <t>inflammatory_pathway_modulation</t>
        </is>
      </c>
      <c r="B211" s="68" t="inlineStr">
        <is>
          <t>rb2</t>
        </is>
      </c>
      <c r="C211" s="68" t="inlineStr">
        <is>
          <t>rb2</t>
        </is>
      </c>
      <c r="D211" s="68" t="inlineStr">
        <is>
          <t>american-ginseng</t>
        </is>
      </c>
      <c r="E211" s="68" t="inlineStr">
        <is>
          <t>american ginseng</t>
        </is>
      </c>
      <c r="F211" s="68" t="n">
        <v>1</v>
      </c>
      <c r="G211" s="68" t="inlineStr">
        <is>
          <t>GABAergic modulation</t>
        </is>
      </c>
      <c r="H211" s="68" t="inlineStr">
        <is>
          <t>trusted_gov_added</t>
        </is>
      </c>
    </row>
    <row r="212">
      <c r="A212" s="68" t="inlineStr">
        <is>
          <t>general or unknown targets</t>
        </is>
      </c>
      <c r="B212" s="68" t="inlineStr">
        <is>
          <t>roemerine</t>
        </is>
      </c>
      <c r="C212" s="68" t="inlineStr">
        <is>
          <t>roemerine</t>
        </is>
      </c>
      <c r="D212" s="68" t="inlineStr">
        <is>
          <t>nelumbo-lutea</t>
        </is>
      </c>
      <c r="E212" s="68" t="inlineStr">
        <is>
          <t>american yellow lotus</t>
        </is>
      </c>
      <c r="F212" s="68" t="n">
        <v>1</v>
      </c>
      <c r="G212" s="68" t="inlineStr">
        <is>
          <t>multi-target signaling modulation</t>
        </is>
      </c>
      <c r="H212" s="68" t="inlineStr">
        <is>
          <t>trusted_gov_added</t>
        </is>
      </c>
    </row>
    <row r="213">
      <c r="A213" s="68" t="inlineStr">
        <is>
          <t>general or unknown targets</t>
        </is>
      </c>
      <c r="B213" s="68" t="inlineStr">
        <is>
          <t>n-methylasimilobine</t>
        </is>
      </c>
      <c r="C213" s="68" t="inlineStr">
        <is>
          <t>n-methylasimilobine</t>
        </is>
      </c>
      <c r="D213" s="68" t="inlineStr">
        <is>
          <t>nelumbo-lutea</t>
        </is>
      </c>
      <c r="E213" s="68" t="inlineStr">
        <is>
          <t>american yellow lotus</t>
        </is>
      </c>
      <c r="F213" s="68" t="n">
        <v>1</v>
      </c>
      <c r="G213" s="68" t="inlineStr">
        <is>
          <t>multi-target signaling modulation</t>
        </is>
      </c>
      <c r="H213" s="68" t="inlineStr">
        <is>
          <t>trusted_gov_added</t>
        </is>
      </c>
    </row>
    <row r="214">
      <c r="A214" s="68" t="inlineStr">
        <is>
          <t>general or unknown targets</t>
        </is>
      </c>
      <c r="B214" s="68" t="inlineStr">
        <is>
          <t>armepavine</t>
        </is>
      </c>
      <c r="C214" s="68" t="inlineStr">
        <is>
          <t>armepavine</t>
        </is>
      </c>
      <c r="D214" s="68" t="inlineStr">
        <is>
          <t>nelumbo-lutea</t>
        </is>
      </c>
      <c r="E214" s="68" t="inlineStr">
        <is>
          <t>american yellow lotus</t>
        </is>
      </c>
      <c r="F214" s="68" t="n">
        <v>1</v>
      </c>
      <c r="G214" s="68" t="inlineStr">
        <is>
          <t>multi-target signaling modulation</t>
        </is>
      </c>
      <c r="H214" s="68" t="inlineStr">
        <is>
          <t>trusted_gov_added</t>
        </is>
      </c>
    </row>
    <row r="215">
      <c r="A215" s="68" t="inlineStr">
        <is>
          <t>general or unknown targets</t>
        </is>
      </c>
      <c r="B215" s="68" t="inlineStr">
        <is>
          <t>anonaine</t>
        </is>
      </c>
      <c r="C215" s="68" t="inlineStr">
        <is>
          <t>anonaine</t>
        </is>
      </c>
      <c r="D215" s="68" t="inlineStr">
        <is>
          <t>nelumbo-lutea</t>
        </is>
      </c>
      <c r="E215" s="68" t="inlineStr">
        <is>
          <t>american yellow lotus</t>
        </is>
      </c>
      <c r="F215" s="68" t="n">
        <v>1</v>
      </c>
      <c r="G215" s="68" t="inlineStr">
        <is>
          <t>multi-target signaling modulation</t>
        </is>
      </c>
      <c r="H215" s="68" t="inlineStr">
        <is>
          <t>trusted_gov_added</t>
        </is>
      </c>
    </row>
    <row r="216">
      <c r="A216" s="68" t="inlineStr">
        <is>
          <t>dopaminergic_modulation</t>
        </is>
      </c>
      <c r="B216" s="68" t="inlineStr">
        <is>
          <t>nuciferine</t>
        </is>
      </c>
      <c r="C216" s="68" t="inlineStr">
        <is>
          <t>nuciferine</t>
        </is>
      </c>
      <c r="D216" s="68" t="inlineStr">
        <is>
          <t>blue-lotus-nymphaea-caerulea; nelumbo-lutea; nymphaea-caerulea; nymphaea-nouchali</t>
        </is>
      </c>
      <c r="E216" s="68" t="inlineStr">
        <is>
          <t>american yellow lotus; blue lotus (nymphaea caerulea); nymphaea caerulea; nymphaea nouchali</t>
        </is>
      </c>
      <c r="F216" s="68" t="n">
        <v>4</v>
      </c>
      <c r="G216" s="68" t="inlineStr">
        <is>
          <t>multi-target signaling modulation</t>
        </is>
      </c>
      <c r="H216" s="68" t="inlineStr">
        <is>
          <t>inferred_plus_trusted_gov; trusted_gov_added</t>
        </is>
      </c>
    </row>
    <row r="217">
      <c r="A217" s="68" t="inlineStr">
        <is>
          <t>general or unknown targets</t>
        </is>
      </c>
      <c r="B217" s="68" t="inlineStr">
        <is>
          <t>nuciferine</t>
        </is>
      </c>
      <c r="C217" s="68" t="inlineStr">
        <is>
          <t>nuciferine</t>
        </is>
      </c>
      <c r="D217" s="68" t="inlineStr">
        <is>
          <t>blue-lotus-nymphaea-caerulea; nelumbo-lutea; nymphaea-caerulea; nymphaea-nouchali</t>
        </is>
      </c>
      <c r="E217" s="68" t="inlineStr">
        <is>
          <t>american yellow lotus; blue lotus (nymphaea caerulea); nymphaea caerulea; nymphaea nouchali</t>
        </is>
      </c>
      <c r="F217" s="68" t="n">
        <v>4</v>
      </c>
      <c r="G217" s="68" t="inlineStr">
        <is>
          <t>multi-target signaling modulation</t>
        </is>
      </c>
      <c r="H217" s="68" t="inlineStr">
        <is>
          <t>inferred_plus_trusted_gov; trusted_gov_added</t>
        </is>
      </c>
    </row>
    <row r="218">
      <c r="A218" s="68" t="inlineStr">
        <is>
          <t>cholinergic_modulation</t>
        </is>
      </c>
      <c r="B218" s="68" t="inlineStr">
        <is>
          <t>formononetin</t>
        </is>
      </c>
      <c r="C218" s="68" t="inlineStr">
        <is>
          <t>formononetin</t>
        </is>
      </c>
      <c r="D218" s="68" t="inlineStr">
        <is>
          <t>amorpha-fruticosa</t>
        </is>
      </c>
      <c r="E218" s="68" t="inlineStr">
        <is>
          <t>amorpha fruticosa</t>
        </is>
      </c>
      <c r="F218" s="68" t="n">
        <v>1</v>
      </c>
      <c r="G218" s="68" t="inlineStr">
        <is>
          <t>muscarinic receptor interaction</t>
        </is>
      </c>
      <c r="H218" s="68" t="inlineStr">
        <is>
          <t>trusted_gov_added</t>
        </is>
      </c>
    </row>
    <row r="219">
      <c r="A219" s="68" t="inlineStr">
        <is>
          <t>cholinergic_modulation</t>
        </is>
      </c>
      <c r="B219" s="68" t="inlineStr">
        <is>
          <t>apigenin</t>
        </is>
      </c>
      <c r="C219" s="68" t="inlineStr">
        <is>
          <t>apigenin</t>
        </is>
      </c>
      <c r="D219" s="68" t="inlineStr">
        <is>
          <t>amorpha-fruticosa; apium-graveolens; matricaria-chamomilla; turnera-diffusa</t>
        </is>
      </c>
      <c r="E219" s="68" t="inlineStr">
        <is>
          <t>amorpha fruticosa; apium graveolens; chamomile; matricaria chamomilla; turnera diffusa</t>
        </is>
      </c>
      <c r="F219" s="68" t="n">
        <v>4</v>
      </c>
      <c r="G219" s="68" t="inlineStr">
        <is>
          <t>GABAergic modulation; multi-target signaling modulation; muscarinic receptor interaction</t>
        </is>
      </c>
      <c r="H219" s="68" t="inlineStr">
        <is>
          <t>inferred_plus_trusted_gov; trusted_gov_added</t>
        </is>
      </c>
    </row>
    <row r="220">
      <c r="A220" s="68" t="inlineStr">
        <is>
          <t>gabaergic_modulation</t>
        </is>
      </c>
      <c r="B220" s="68" t="inlineStr">
        <is>
          <t>apigenin</t>
        </is>
      </c>
      <c r="C220" s="68" t="inlineStr">
        <is>
          <t>apigenin</t>
        </is>
      </c>
      <c r="D220" s="68" t="inlineStr">
        <is>
          <t>amorpha-fruticosa; apium-graveolens; matricaria-chamomilla; turnera-diffusa</t>
        </is>
      </c>
      <c r="E220" s="68" t="inlineStr">
        <is>
          <t>amorpha fruticosa; apium graveolens; chamomile; matricaria chamomilla; turnera diffusa</t>
        </is>
      </c>
      <c r="F220" s="68" t="n">
        <v>4</v>
      </c>
      <c r="G220" s="68" t="inlineStr">
        <is>
          <t>GABAergic modulation; multi-target signaling modulation; muscarinic receptor interaction</t>
        </is>
      </c>
      <c r="H220" s="68" t="inlineStr">
        <is>
          <t>inferred_plus_trusted_gov; trusted_gov_added</t>
        </is>
      </c>
    </row>
    <row r="221">
      <c r="A221" s="68" t="inlineStr">
        <is>
          <t>general or unknown targets</t>
        </is>
      </c>
      <c r="B221" s="68" t="inlineStr">
        <is>
          <t>apigenin</t>
        </is>
      </c>
      <c r="C221" s="68" t="inlineStr">
        <is>
          <t>apigenin</t>
        </is>
      </c>
      <c r="D221" s="68" t="inlineStr">
        <is>
          <t>amorpha-fruticosa; apium-graveolens; matricaria-chamomilla; turnera-diffusa</t>
        </is>
      </c>
      <c r="E221" s="68" t="inlineStr">
        <is>
          <t>amorpha fruticosa; apium graveolens; chamomile; matricaria chamomilla; turnera diffusa</t>
        </is>
      </c>
      <c r="F221" s="68" t="n">
        <v>4</v>
      </c>
      <c r="G221" s="68" t="inlineStr">
        <is>
          <t>GABAergic modulation; multi-target signaling modulation; muscarinic receptor interaction</t>
        </is>
      </c>
      <c r="H221" s="68" t="inlineStr">
        <is>
          <t>inferred_plus_trusted_gov; trusted_gov_added</t>
        </is>
      </c>
    </row>
    <row r="222">
      <c r="A222" s="68" t="inlineStr">
        <is>
          <t>inflammatory_pathway_modulation</t>
        </is>
      </c>
      <c r="B222" s="68" t="inlineStr">
        <is>
          <t>apigenin</t>
        </is>
      </c>
      <c r="C222" s="68" t="inlineStr">
        <is>
          <t>apigenin</t>
        </is>
      </c>
      <c r="D222" s="68" t="inlineStr">
        <is>
          <t>amorpha-fruticosa; apium-graveolens; matricaria-chamomilla; turnera-diffusa</t>
        </is>
      </c>
      <c r="E222" s="68" t="inlineStr">
        <is>
          <t>amorpha fruticosa; apium graveolens; chamomile; matricaria chamomilla; turnera diffusa</t>
        </is>
      </c>
      <c r="F222" s="68" t="n">
        <v>4</v>
      </c>
      <c r="G222" s="68" t="inlineStr">
        <is>
          <t>GABAergic modulation; multi-target signaling modulation; muscarinic receptor interaction</t>
        </is>
      </c>
      <c r="H222" s="68" t="inlineStr">
        <is>
          <t>inferred_plus_trusted_gov; trusted_gov_added</t>
        </is>
      </c>
    </row>
    <row r="223">
      <c r="A223" s="68" t="inlineStr">
        <is>
          <t>cholinergic_modulation</t>
        </is>
      </c>
      <c r="B223" s="68" t="inlineStr">
        <is>
          <t>tephrosin</t>
        </is>
      </c>
      <c r="C223" s="68" t="inlineStr">
        <is>
          <t>tephrosin</t>
        </is>
      </c>
      <c r="D223" s="68" t="inlineStr">
        <is>
          <t>amorpha-fruticosa</t>
        </is>
      </c>
      <c r="E223" s="68" t="inlineStr">
        <is>
          <t>amorpha fruticosa</t>
        </is>
      </c>
      <c r="F223" s="68" t="n">
        <v>1</v>
      </c>
      <c r="G223" s="68" t="inlineStr">
        <is>
          <t>muscarinic receptor interaction</t>
        </is>
      </c>
      <c r="H223" s="68" t="inlineStr">
        <is>
          <t>trusted_gov_added</t>
        </is>
      </c>
    </row>
    <row r="224">
      <c r="A224" s="68" t="inlineStr">
        <is>
          <t>cholinergic_modulation</t>
        </is>
      </c>
      <c r="B224" s="68" t="inlineStr">
        <is>
          <t>rutin</t>
        </is>
      </c>
      <c r="C224" s="68" t="inlineStr">
        <is>
          <t>rutin</t>
        </is>
      </c>
      <c r="D224" s="68" t="inlineStr">
        <is>
          <t>amorpha-fruticosa; ruta-chalepensis</t>
        </is>
      </c>
      <c r="E224" s="68" t="inlineStr">
        <is>
          <t>amorpha fruticosa; ruta chalepensis</t>
        </is>
      </c>
      <c r="F224" s="68" t="n">
        <v>2</v>
      </c>
      <c r="G224" s="68" t="inlineStr">
        <is>
          <t>multi-target signaling modulation; muscarinic receptor interaction</t>
        </is>
      </c>
      <c r="H224" s="68" t="inlineStr">
        <is>
          <t>inferred_plus_trusted_gov; trusted_gov_added</t>
        </is>
      </c>
    </row>
    <row r="225">
      <c r="A225" s="68" t="inlineStr">
        <is>
          <t>general or unknown targets</t>
        </is>
      </c>
      <c r="B225" s="68" t="inlineStr">
        <is>
          <t>rutin</t>
        </is>
      </c>
      <c r="C225" s="68" t="inlineStr">
        <is>
          <t>rutin</t>
        </is>
      </c>
      <c r="D225" s="68" t="inlineStr">
        <is>
          <t>amorpha-fruticosa; ruta-chalepensis</t>
        </is>
      </c>
      <c r="E225" s="68" t="inlineStr">
        <is>
          <t>amorpha fruticosa; ruta chalepensis</t>
        </is>
      </c>
      <c r="F225" s="68" t="n">
        <v>2</v>
      </c>
      <c r="G225" s="68" t="inlineStr">
        <is>
          <t>multi-target signaling modulation; muscarinic receptor interaction</t>
        </is>
      </c>
      <c r="H225" s="68" t="inlineStr">
        <is>
          <t>inferred_plus_trusted_gov; trusted_gov_added</t>
        </is>
      </c>
    </row>
    <row r="226">
      <c r="A226" s="68" t="inlineStr">
        <is>
          <t>cholinergic_modulation</t>
        </is>
      </c>
      <c r="B226" s="68" t="inlineStr">
        <is>
          <t>vitexin</t>
        </is>
      </c>
      <c r="C226" s="68" t="inlineStr">
        <is>
          <t>vitexin</t>
        </is>
      </c>
      <c r="D226" s="68" t="inlineStr">
        <is>
          <t>amorpha-fruticosa; passiflora-incarnata</t>
        </is>
      </c>
      <c r="E226" s="68" t="inlineStr">
        <is>
          <t>amorpha fruticosa; passionflower</t>
        </is>
      </c>
      <c r="F226" s="68" t="n">
        <v>2</v>
      </c>
      <c r="G226" s="68" t="inlineStr">
        <is>
          <t>multi-target signaling modulation; muscarinic receptor interaction</t>
        </is>
      </c>
      <c r="H226" s="68" t="inlineStr">
        <is>
          <t>trusted_gov_added</t>
        </is>
      </c>
    </row>
    <row r="227">
      <c r="A227" s="68" t="inlineStr">
        <is>
          <t>gabaergic_modulation</t>
        </is>
      </c>
      <c r="B227" s="68" t="inlineStr">
        <is>
          <t>vitexin</t>
        </is>
      </c>
      <c r="C227" s="68" t="inlineStr">
        <is>
          <t>vitexin</t>
        </is>
      </c>
      <c r="D227" s="68" t="inlineStr">
        <is>
          <t>amorpha-fruticosa; passiflora-incarnata</t>
        </is>
      </c>
      <c r="E227" s="68" t="inlineStr">
        <is>
          <t>amorpha fruticosa; passionflower</t>
        </is>
      </c>
      <c r="F227" s="68" t="n">
        <v>2</v>
      </c>
      <c r="G227" s="68" t="inlineStr">
        <is>
          <t>multi-target signaling modulation; muscarinic receptor interaction</t>
        </is>
      </c>
      <c r="H227" s="68" t="inlineStr">
        <is>
          <t>trusted_gov_added</t>
        </is>
      </c>
    </row>
    <row r="228">
      <c r="A228" s="68" t="inlineStr">
        <is>
          <t>monoamine_oxidase_inhibition</t>
        </is>
      </c>
      <c r="B228" s="68" t="inlineStr">
        <is>
          <t>vitexin</t>
        </is>
      </c>
      <c r="C228" s="68" t="inlineStr">
        <is>
          <t>vitexin</t>
        </is>
      </c>
      <c r="D228" s="68" t="inlineStr">
        <is>
          <t>amorpha-fruticosa; passiflora-incarnata</t>
        </is>
      </c>
      <c r="E228" s="68" t="inlineStr">
        <is>
          <t>amorpha fruticosa; passionflower</t>
        </is>
      </c>
      <c r="F228" s="68" t="n">
        <v>2</v>
      </c>
      <c r="G228" s="68" t="inlineStr">
        <is>
          <t>multi-target signaling modulation; muscarinic receptor interaction</t>
        </is>
      </c>
      <c r="H228" s="68" t="inlineStr">
        <is>
          <t>trusted_gov_added</t>
        </is>
      </c>
    </row>
    <row r="229">
      <c r="A229" s="68" t="inlineStr">
        <is>
          <t>cholinergic_modulation</t>
        </is>
      </c>
      <c r="B229" s="68" t="inlineStr">
        <is>
          <t>chrysoeriol</t>
        </is>
      </c>
      <c r="C229" s="68" t="inlineStr">
        <is>
          <t>chrysoeriol</t>
        </is>
      </c>
      <c r="D229" s="68" t="inlineStr">
        <is>
          <t>amorpha-fruticosa</t>
        </is>
      </c>
      <c r="E229" s="68" t="inlineStr">
        <is>
          <t>amorpha fruticosa</t>
        </is>
      </c>
      <c r="F229" s="68" t="n">
        <v>1</v>
      </c>
      <c r="G229" s="68" t="inlineStr">
        <is>
          <t>muscarinic receptor interaction</t>
        </is>
      </c>
      <c r="H229" s="68" t="inlineStr">
        <is>
          <t>trusted_gov_added</t>
        </is>
      </c>
    </row>
    <row r="230">
      <c r="A230" s="68" t="inlineStr">
        <is>
          <t>general or unknown targets</t>
        </is>
      </c>
      <c r="B230" s="68" t="inlineStr">
        <is>
          <t>cardanol</t>
        </is>
      </c>
      <c r="C230" s="68" t="inlineStr">
        <is>
          <t>cardanol</t>
        </is>
      </c>
      <c r="D230" s="68" t="inlineStr">
        <is>
          <t>anacardium-occidentale</t>
        </is>
      </c>
      <c r="E230" s="68" t="inlineStr">
        <is>
          <t>anacardium occidentale</t>
        </is>
      </c>
      <c r="F230" s="68" t="n">
        <v>1</v>
      </c>
      <c r="G230" s="68" t="inlineStr">
        <is>
          <t>multi-target signaling modulation</t>
        </is>
      </c>
      <c r="H230" s="68" t="inlineStr">
        <is>
          <t>inferred_plus_trusted_gov</t>
        </is>
      </c>
    </row>
    <row r="231">
      <c r="A231" s="68" t="inlineStr">
        <is>
          <t>general or unknown targets</t>
        </is>
      </c>
      <c r="B231" s="68" t="inlineStr">
        <is>
          <t>cardol</t>
        </is>
      </c>
      <c r="C231" s="68" t="inlineStr">
        <is>
          <t>cardol</t>
        </is>
      </c>
      <c r="D231" s="68" t="inlineStr">
        <is>
          <t>anacardium-occidentale</t>
        </is>
      </c>
      <c r="E231" s="68" t="inlineStr">
        <is>
          <t>anacardium occidentale</t>
        </is>
      </c>
      <c r="F231" s="68" t="n">
        <v>1</v>
      </c>
      <c r="G231" s="68" t="inlineStr">
        <is>
          <t>multi-target signaling modulation</t>
        </is>
      </c>
      <c r="H231" s="68" t="inlineStr">
        <is>
          <t>inferred_plus_trusted_gov</t>
        </is>
      </c>
    </row>
    <row r="232">
      <c r="A232" s="68" t="inlineStr">
        <is>
          <t>serotonergic_5HT2A_agonism</t>
        </is>
      </c>
      <c r="B232" s="68" t="inlineStr">
        <is>
          <t>bufotenin</t>
        </is>
      </c>
      <c r="C232" s="68" t="inlineStr">
        <is>
          <t>bufotenin</t>
        </is>
      </c>
      <c r="D232" s="68" t="inlineStr">
        <is>
          <t>anadenanthera-colubrina; anadenanthera-colubrina-ceb-l; anadenanthera-peregrina; piptadenia-peregrina</t>
        </is>
      </c>
      <c r="E232" s="68" t="inlineStr">
        <is>
          <t>anadenanthera colubrina; anadenanthera colubrina (cebíl); anadenanthera peregrina; piptadenia peregrina</t>
        </is>
      </c>
      <c r="F232" s="68" t="n">
        <v>4</v>
      </c>
      <c r="G232" s="68" t="inlineStr">
        <is>
          <t>serotonin receptor interaction</t>
        </is>
      </c>
      <c r="H232" s="68" t="inlineStr">
        <is>
          <t>inferred_plus_trusted_gov; trusted_gov_added</t>
        </is>
      </c>
    </row>
    <row r="233">
      <c r="A233" s="68" t="inlineStr">
        <is>
          <t>serotonergic_5HT2A_agonism</t>
        </is>
      </c>
      <c r="B233" s="68" t="inlineStr">
        <is>
          <t>5-meo-dmt</t>
        </is>
      </c>
      <c r="C233" s="68" t="inlineStr">
        <is>
          <t>5-meo-dmt</t>
        </is>
      </c>
      <c r="D233" s="68" t="inlineStr">
        <is>
          <t>anadenanthera-colubrina; anadenanthera-colubrina-ceb-l; anadenanthera-peregrina; piptadenia-peregrina; virola-calophylla; virola-elongata; virola-sebifera; virola-spp.</t>
        </is>
      </c>
      <c r="E233" s="68" t="inlineStr">
        <is>
          <t>anadenanthera colubrina; anadenanthera colubrina (cebíl); anadenanthera peregrina; piptadenia peregrina; virola calophylla; virola elongata; virola sebifera; virola spp.</t>
        </is>
      </c>
      <c r="F233" s="68" t="n">
        <v>8</v>
      </c>
      <c r="G233" s="68" t="inlineStr">
        <is>
          <t>serotonin receptor interaction</t>
        </is>
      </c>
      <c r="H233" s="68" t="inlineStr">
        <is>
          <t>inferred_plus_trusted_gov; trusted_gov_added</t>
        </is>
      </c>
    </row>
    <row r="234">
      <c r="A234" s="68" t="inlineStr">
        <is>
          <t>serotonergic_5HT2A_agonism</t>
        </is>
      </c>
      <c r="B234" s="68" t="inlineStr">
        <is>
          <t>dmt</t>
        </is>
      </c>
      <c r="C234" s="68" t="inlineStr">
        <is>
          <t>dmt</t>
        </is>
      </c>
      <c r="D234" s="68" t="inlineStr">
        <is>
          <t>anadenanthera-colubrina; anadenanthera-colubrina-ceb-l; anadenanthera-peregrina; piptadenia-peregrina; virola-spp.</t>
        </is>
      </c>
      <c r="E234" s="68" t="inlineStr">
        <is>
          <t>anadenanthera colubrina; anadenanthera colubrina (cebíl); anadenanthera peregrina; piptadenia peregrina; virola spp.</t>
        </is>
      </c>
      <c r="F234" s="68" t="n">
        <v>5</v>
      </c>
      <c r="G234" s="68" t="inlineStr">
        <is>
          <t>serotonin receptor interaction</t>
        </is>
      </c>
      <c r="H234" s="68" t="inlineStr">
        <is>
          <t>inferred_plus_trusted_gov; trusted_gov_added</t>
        </is>
      </c>
    </row>
    <row r="235">
      <c r="A235" s="68" t="inlineStr">
        <is>
          <t>general or unknown targets</t>
        </is>
      </c>
      <c r="B235" s="68" t="inlineStr">
        <is>
          <t>timosaponin aiii</t>
        </is>
      </c>
      <c r="C235" s="68" t="inlineStr">
        <is>
          <t>timosaponin aiii</t>
        </is>
      </c>
      <c r="D235" s="68" t="inlineStr">
        <is>
          <t>anemarrhena-asphodeloides</t>
        </is>
      </c>
      <c r="E235" s="68" t="inlineStr">
        <is>
          <t>anemarrhena asphodeloides</t>
        </is>
      </c>
      <c r="F235" s="68" t="n">
        <v>1</v>
      </c>
      <c r="G235" s="68" t="inlineStr">
        <is>
          <t>multi-target signaling modulation</t>
        </is>
      </c>
      <c r="H235" s="68" t="inlineStr">
        <is>
          <t>inferred_plus_trusted_gov</t>
        </is>
      </c>
    </row>
    <row r="236">
      <c r="A236" s="68" t="inlineStr">
        <is>
          <t>general or unknown targets</t>
        </is>
      </c>
      <c r="B236" s="68" t="inlineStr">
        <is>
          <t>mangiferin</t>
        </is>
      </c>
      <c r="C236" s="68" t="inlineStr">
        <is>
          <t>mangiferin</t>
        </is>
      </c>
      <c r="D236" s="68" t="inlineStr">
        <is>
          <t>anemarrhena-asphodeloides; salacia-reticulata</t>
        </is>
      </c>
      <c r="E236" s="68" t="inlineStr">
        <is>
          <t>anemarrhena asphodeloides; salacia reticulata</t>
        </is>
      </c>
      <c r="F236" s="68" t="n">
        <v>2</v>
      </c>
      <c r="G236" s="68" t="inlineStr">
        <is>
          <t>multi-target signaling modulation</t>
        </is>
      </c>
      <c r="H236" s="68" t="inlineStr">
        <is>
          <t>inferred_plus_trusted_gov</t>
        </is>
      </c>
    </row>
    <row r="237">
      <c r="A237" s="68" t="inlineStr">
        <is>
          <t>general or unknown targets</t>
        </is>
      </c>
      <c r="B237" s="68" t="inlineStr">
        <is>
          <t>ligustilide</t>
        </is>
      </c>
      <c r="C237" s="68" t="inlineStr">
        <is>
          <t>ligustilide</t>
        </is>
      </c>
      <c r="D237" s="68" t="inlineStr">
        <is>
          <t>angelica-sinensis; ligusticum-chuanxiong</t>
        </is>
      </c>
      <c r="E237" s="68" t="inlineStr">
        <is>
          <t>angelica sinensis; ligusticum chuanxiong</t>
        </is>
      </c>
      <c r="F237" s="68" t="n">
        <v>2</v>
      </c>
      <c r="G237" s="68" t="inlineStr">
        <is>
          <t>multi-target signaling modulation</t>
        </is>
      </c>
      <c r="H237" s="68" t="inlineStr">
        <is>
          <t>inferred_plus_trusted_gov</t>
        </is>
      </c>
    </row>
    <row r="238">
      <c r="A238" s="68" t="inlineStr">
        <is>
          <t>general or unknown targets</t>
        </is>
      </c>
      <c r="B238" s="68" t="inlineStr">
        <is>
          <t>ferulic acid</t>
        </is>
      </c>
      <c r="C238" s="68" t="inlineStr">
        <is>
          <t>ferulic acid</t>
        </is>
      </c>
      <c r="D238" s="68" t="inlineStr">
        <is>
          <t>angelica-sinensis; ferula-assa-foetida; ligusticum-chuanxiong</t>
        </is>
      </c>
      <c r="E238" s="68" t="inlineStr">
        <is>
          <t>angelica sinensis; ferula assa-foetida; ligusticum chuanxiong</t>
        </is>
      </c>
      <c r="F238" s="68" t="n">
        <v>3</v>
      </c>
      <c r="G238" s="68" t="inlineStr">
        <is>
          <t>multi-target signaling modulation</t>
        </is>
      </c>
      <c r="H238" s="68" t="inlineStr">
        <is>
          <t>inferred_plus_trusted_gov</t>
        </is>
      </c>
    </row>
    <row r="239">
      <c r="A239" s="68" t="inlineStr">
        <is>
          <t>general or unknown targets</t>
        </is>
      </c>
      <c r="B239" s="68" t="inlineStr">
        <is>
          <t>anisomelic acid</t>
        </is>
      </c>
      <c r="C239" s="68" t="inlineStr">
        <is>
          <t>anisomelic acid</t>
        </is>
      </c>
      <c r="D239" s="68" t="inlineStr">
        <is>
          <t>anisomeles-indica</t>
        </is>
      </c>
      <c r="E239" s="68" t="inlineStr">
        <is>
          <t>anisomeles indica</t>
        </is>
      </c>
      <c r="F239" s="68" t="n">
        <v>1</v>
      </c>
      <c r="G239" s="68" t="inlineStr">
        <is>
          <t>multi-target signaling modulation</t>
        </is>
      </c>
      <c r="H239" s="68" t="inlineStr">
        <is>
          <t>inferred_plus_trusted_gov</t>
        </is>
      </c>
    </row>
    <row r="240">
      <c r="A240" s="68" t="inlineStr">
        <is>
          <t>general or unknown targets</t>
        </is>
      </c>
      <c r="B240" s="68" t="inlineStr">
        <is>
          <t>annonacin</t>
        </is>
      </c>
      <c r="C240" s="68" t="inlineStr">
        <is>
          <t>annonacin</t>
        </is>
      </c>
      <c r="D240" s="68" t="inlineStr">
        <is>
          <t>annona-muricata</t>
        </is>
      </c>
      <c r="E240" s="68" t="inlineStr">
        <is>
          <t>annona muricata</t>
        </is>
      </c>
      <c r="F240" s="68" t="n">
        <v>1</v>
      </c>
      <c r="G240" s="68" t="inlineStr">
        <is>
          <t>multi-target signaling modulation</t>
        </is>
      </c>
      <c r="H240" s="68" t="inlineStr">
        <is>
          <t>inferred_plus_trusted_gov</t>
        </is>
      </c>
    </row>
    <row r="241">
      <c r="A241" s="68" t="inlineStr">
        <is>
          <t>general or unknown targets</t>
        </is>
      </c>
      <c r="B241" s="68" t="inlineStr">
        <is>
          <t>inulin</t>
        </is>
      </c>
      <c r="C241" s="68" t="inlineStr">
        <is>
          <t>inulin</t>
        </is>
      </c>
      <c r="D241" s="68" t="inlineStr">
        <is>
          <t>arctium-lappa; inula-helenium; taraxacum-officinale</t>
        </is>
      </c>
      <c r="E241" s="68" t="inlineStr">
        <is>
          <t>arctium lappa; inula helenium; taraxacum officinale</t>
        </is>
      </c>
      <c r="F241" s="68" t="n">
        <v>3</v>
      </c>
      <c r="G241" s="68" t="inlineStr">
        <is>
          <t>multi-target signaling modulation</t>
        </is>
      </c>
      <c r="H241" s="68" t="inlineStr">
        <is>
          <t>inferred_plus_trusted_gov</t>
        </is>
      </c>
    </row>
    <row r="242">
      <c r="A242" s="68" t="inlineStr">
        <is>
          <t>general or unknown targets</t>
        </is>
      </c>
      <c r="B242" s="68" t="inlineStr">
        <is>
          <t>arctiin</t>
        </is>
      </c>
      <c r="C242" s="68" t="inlineStr">
        <is>
          <t>arctiin</t>
        </is>
      </c>
      <c r="D242" s="68" t="inlineStr">
        <is>
          <t>arctium-lappa</t>
        </is>
      </c>
      <c r="E242" s="68" t="inlineStr">
        <is>
          <t>arctium lappa</t>
        </is>
      </c>
      <c r="F242" s="68" t="n">
        <v>1</v>
      </c>
      <c r="G242" s="68" t="inlineStr">
        <is>
          <t>multi-target signaling modulation</t>
        </is>
      </c>
      <c r="H242" s="68" t="inlineStr">
        <is>
          <t>inferred_plus_trusted_gov</t>
        </is>
      </c>
    </row>
    <row r="243">
      <c r="A243" s="68" t="inlineStr">
        <is>
          <t>general or unknown targets</t>
        </is>
      </c>
      <c r="B243" s="68" t="inlineStr">
        <is>
          <t>arecoline</t>
        </is>
      </c>
      <c r="C243" s="68" t="inlineStr">
        <is>
          <t>arecoline</t>
        </is>
      </c>
      <c r="D243" s="68" t="inlineStr">
        <is>
          <t>areca-catechu</t>
        </is>
      </c>
      <c r="E243" s="68" t="inlineStr">
        <is>
          <t>areca catechu</t>
        </is>
      </c>
      <c r="F243" s="68" t="n">
        <v>1</v>
      </c>
      <c r="G243" s="68" t="inlineStr">
        <is>
          <t>multi-target signaling modulation</t>
        </is>
      </c>
      <c r="H243" s="68" t="inlineStr">
        <is>
          <t>inferred_plus_trusted_gov</t>
        </is>
      </c>
    </row>
    <row r="244">
      <c r="A244" s="68" t="inlineStr">
        <is>
          <t>general or unknown targets</t>
        </is>
      </c>
      <c r="B244" s="68" t="inlineStr">
        <is>
          <t>arecaidine</t>
        </is>
      </c>
      <c r="C244" s="68" t="inlineStr">
        <is>
          <t>arecaidine</t>
        </is>
      </c>
      <c r="D244" s="68" t="inlineStr">
        <is>
          <t>areca-catechu</t>
        </is>
      </c>
      <c r="E244" s="68" t="inlineStr">
        <is>
          <t>areca catechu</t>
        </is>
      </c>
      <c r="F244" s="68" t="n">
        <v>1</v>
      </c>
      <c r="G244" s="68" t="inlineStr">
        <is>
          <t>multi-target signaling modulation</t>
        </is>
      </c>
      <c r="H244" s="68" t="inlineStr">
        <is>
          <t>inferred_plus_trusted_gov</t>
        </is>
      </c>
    </row>
    <row r="245">
      <c r="A245" s="68" t="inlineStr">
        <is>
          <t>general or unknown targets</t>
        </is>
      </c>
      <c r="B245" s="68" t="inlineStr">
        <is>
          <t>guvacoline</t>
        </is>
      </c>
      <c r="C245" s="68" t="inlineStr">
        <is>
          <t>guvacoline</t>
        </is>
      </c>
      <c r="D245" s="68" t="inlineStr">
        <is>
          <t>areca-catechu</t>
        </is>
      </c>
      <c r="E245" s="68" t="inlineStr">
        <is>
          <t>areca catechu</t>
        </is>
      </c>
      <c r="F245" s="68" t="n">
        <v>1</v>
      </c>
      <c r="G245" s="68" t="inlineStr">
        <is>
          <t>multi-target signaling modulation</t>
        </is>
      </c>
      <c r="H245" s="68" t="inlineStr">
        <is>
          <t>inferred_plus_trusted_gov</t>
        </is>
      </c>
    </row>
    <row r="246">
      <c r="A246" s="68" t="inlineStr">
        <is>
          <t>general or unknown targets</t>
        </is>
      </c>
      <c r="B246" s="68" t="inlineStr">
        <is>
          <t>guvacine</t>
        </is>
      </c>
      <c r="C246" s="68" t="inlineStr">
        <is>
          <t>guvacine</t>
        </is>
      </c>
      <c r="D246" s="68" t="inlineStr">
        <is>
          <t>areca-catechu</t>
        </is>
      </c>
      <c r="E246" s="68" t="inlineStr">
        <is>
          <t>areca catechu</t>
        </is>
      </c>
      <c r="F246" s="68" t="n">
        <v>1</v>
      </c>
      <c r="G246" s="68" t="inlineStr">
        <is>
          <t>multi-target signaling modulation</t>
        </is>
      </c>
      <c r="H246" s="68" t="inlineStr">
        <is>
          <t>inferred_plus_trusted_gov</t>
        </is>
      </c>
    </row>
    <row r="247">
      <c r="A247" s="68" t="inlineStr">
        <is>
          <t>general or unknown targets</t>
        </is>
      </c>
      <c r="B247" s="68" t="inlineStr">
        <is>
          <t>oxyberberine</t>
        </is>
      </c>
      <c r="C247" s="68" t="inlineStr">
        <is>
          <t>oxyberberine</t>
        </is>
      </c>
      <c r="D247" s="68" t="inlineStr">
        <is>
          <t>argemone-mexicana</t>
        </is>
      </c>
      <c r="E247" s="68" t="inlineStr">
        <is>
          <t>argemone mexicana</t>
        </is>
      </c>
      <c r="F247" s="68" t="n">
        <v>1</v>
      </c>
      <c r="G247" s="68" t="inlineStr">
        <is>
          <t>multi-target signaling modulation</t>
        </is>
      </c>
      <c r="H247" s="68" t="inlineStr">
        <is>
          <t>trusted_gov_added</t>
        </is>
      </c>
    </row>
    <row r="248">
      <c r="A248" s="68" t="inlineStr">
        <is>
          <t>general or unknown targets</t>
        </is>
      </c>
      <c r="B248" s="68" t="inlineStr">
        <is>
          <t>columbamine</t>
        </is>
      </c>
      <c r="C248" s="68" t="inlineStr">
        <is>
          <t>columbamine</t>
        </is>
      </c>
      <c r="D248" s="68" t="inlineStr">
        <is>
          <t>argemone-mexicana</t>
        </is>
      </c>
      <c r="E248" s="68" t="inlineStr">
        <is>
          <t>argemone mexicana</t>
        </is>
      </c>
      <c r="F248" s="68" t="n">
        <v>1</v>
      </c>
      <c r="G248" s="68" t="inlineStr">
        <is>
          <t>multi-target signaling modulation</t>
        </is>
      </c>
      <c r="H248" s="68" t="inlineStr">
        <is>
          <t>trusted_gov_added</t>
        </is>
      </c>
    </row>
    <row r="249">
      <c r="A249" s="68" t="inlineStr">
        <is>
          <t>general or unknown targets</t>
        </is>
      </c>
      <c r="B249" s="68" t="inlineStr">
        <is>
          <t>jatrorrhizine</t>
        </is>
      </c>
      <c r="C249" s="68" t="inlineStr">
        <is>
          <t>jatrorrhizine</t>
        </is>
      </c>
      <c r="D249" s="68" t="inlineStr">
        <is>
          <t>argemone-mexicana; phellodendron-amurense</t>
        </is>
      </c>
      <c r="E249" s="68" t="inlineStr">
        <is>
          <t>argemone mexicana; phellodendron amurense</t>
        </is>
      </c>
      <c r="F249" s="68" t="n">
        <v>2</v>
      </c>
      <c r="G249" s="68" t="inlineStr">
        <is>
          <t>multi-target signaling modulation</t>
        </is>
      </c>
      <c r="H249" s="68" t="inlineStr">
        <is>
          <t>inferred_plus_trusted_gov; trusted_gov_added</t>
        </is>
      </c>
    </row>
    <row r="250">
      <c r="A250" s="68" t="inlineStr">
        <is>
          <t>general or unknown targets</t>
        </is>
      </c>
      <c r="B250" s="68" t="inlineStr">
        <is>
          <t>dehydrocorydalmine</t>
        </is>
      </c>
      <c r="C250" s="68" t="inlineStr">
        <is>
          <t>dehydrocorydalmine</t>
        </is>
      </c>
      <c r="D250" s="68" t="inlineStr">
        <is>
          <t>argemone-mexicana</t>
        </is>
      </c>
      <c r="E250" s="68" t="inlineStr">
        <is>
          <t>argemone mexicana</t>
        </is>
      </c>
      <c r="F250" s="68" t="n">
        <v>1</v>
      </c>
      <c r="G250" s="68" t="inlineStr">
        <is>
          <t>multi-target signaling modulation</t>
        </is>
      </c>
      <c r="H250" s="68" t="inlineStr">
        <is>
          <t>trusted_gov_added</t>
        </is>
      </c>
    </row>
    <row r="251">
      <c r="A251" s="68" t="inlineStr">
        <is>
          <t>general or unknown targets</t>
        </is>
      </c>
      <c r="B251" s="68" t="inlineStr">
        <is>
          <t>quercitrin</t>
        </is>
      </c>
      <c r="C251" s="68" t="inlineStr">
        <is>
          <t>quercitrin</t>
        </is>
      </c>
      <c r="D251" s="68" t="inlineStr">
        <is>
          <t>argemone-mexicana</t>
        </is>
      </c>
      <c r="E251" s="68" t="inlineStr">
        <is>
          <t>argemone mexicana</t>
        </is>
      </c>
      <c r="F251" s="68" t="n">
        <v>1</v>
      </c>
      <c r="G251" s="68" t="inlineStr">
        <is>
          <t>multi-target signaling modulation</t>
        </is>
      </c>
      <c r="H251" s="68" t="inlineStr">
        <is>
          <t>trusted_gov_added</t>
        </is>
      </c>
    </row>
    <row r="252">
      <c r="A252" s="68" t="inlineStr">
        <is>
          <t>general or unknown targets</t>
        </is>
      </c>
      <c r="B252" s="68" t="inlineStr">
        <is>
          <t>lsa</t>
        </is>
      </c>
      <c r="C252" s="68" t="inlineStr">
        <is>
          <t>lsa</t>
        </is>
      </c>
      <c r="D252" s="68" t="inlineStr">
        <is>
          <t>argyreia-nervosa</t>
        </is>
      </c>
      <c r="E252" s="68" t="inlineStr">
        <is>
          <t>argyreia nervosa</t>
        </is>
      </c>
      <c r="F252" s="68" t="n">
        <v>1</v>
      </c>
      <c r="G252" s="68" t="inlineStr">
        <is>
          <t>multi-target signaling modulation</t>
        </is>
      </c>
      <c r="H252" s="68" t="inlineStr">
        <is>
          <t>trusted_gov_added</t>
        </is>
      </c>
    </row>
    <row r="253">
      <c r="A253" s="68" t="inlineStr">
        <is>
          <t>general or unknown targets</t>
        </is>
      </c>
      <c r="B253" s="68" t="inlineStr">
        <is>
          <t>allyl isothiocyanate</t>
        </is>
      </c>
      <c r="C253" s="68" t="inlineStr">
        <is>
          <t>allyl isothiocyanate</t>
        </is>
      </c>
      <c r="D253" s="68" t="inlineStr">
        <is>
          <t>armoracia-rusticana</t>
        </is>
      </c>
      <c r="E253" s="68" t="inlineStr">
        <is>
          <t>armoracia rusticana</t>
        </is>
      </c>
      <c r="F253" s="68" t="n">
        <v>1</v>
      </c>
      <c r="G253" s="68" t="inlineStr">
        <is>
          <t>multi-target signaling modulation</t>
        </is>
      </c>
      <c r="H253" s="68" t="inlineStr">
        <is>
          <t>inferred_plus_trusted_gov</t>
        </is>
      </c>
    </row>
    <row r="254">
      <c r="A254" s="68" t="inlineStr">
        <is>
          <t>general or unknown targets</t>
        </is>
      </c>
      <c r="B254" s="68" t="inlineStr">
        <is>
          <t>sinigrin</t>
        </is>
      </c>
      <c r="C254" s="68" t="inlineStr">
        <is>
          <t>sinigrin</t>
        </is>
      </c>
      <c r="D254" s="68" t="inlineStr">
        <is>
          <t>armoracia-rusticana</t>
        </is>
      </c>
      <c r="E254" s="68" t="inlineStr">
        <is>
          <t>armoracia rusticana</t>
        </is>
      </c>
      <c r="F254" s="68" t="n">
        <v>1</v>
      </c>
      <c r="G254" s="68" t="inlineStr">
        <is>
          <t>multi-target signaling modulation</t>
        </is>
      </c>
      <c r="H254" s="68" t="inlineStr">
        <is>
          <t>inferred_plus_trusted_gov</t>
        </is>
      </c>
    </row>
    <row r="255">
      <c r="A255" s="68" t="inlineStr">
        <is>
          <t>general or unknown targets</t>
        </is>
      </c>
      <c r="B255" s="68" t="inlineStr">
        <is>
          <t>helenalin</t>
        </is>
      </c>
      <c r="C255" s="68" t="inlineStr">
        <is>
          <t>helenalin</t>
        </is>
      </c>
      <c r="D255" s="68" t="inlineStr">
        <is>
          <t>arnica-montana</t>
        </is>
      </c>
      <c r="E255" s="68" t="inlineStr">
        <is>
          <t>arnica montana</t>
        </is>
      </c>
      <c r="F255" s="68" t="n">
        <v>1</v>
      </c>
      <c r="G255" s="68" t="inlineStr">
        <is>
          <t>multi-target signaling modulation</t>
        </is>
      </c>
      <c r="H255" s="68" t="inlineStr">
        <is>
          <t>inferred_plus_trusted_gov</t>
        </is>
      </c>
    </row>
    <row r="256">
      <c r="A256" s="68" t="inlineStr">
        <is>
          <t>general or unknown targets</t>
        </is>
      </c>
      <c r="B256" s="68" t="inlineStr">
        <is>
          <t>dihydrohelenalin</t>
        </is>
      </c>
      <c r="C256" s="68" t="inlineStr">
        <is>
          <t>dihydrohelenalin</t>
        </is>
      </c>
      <c r="D256" s="68" t="inlineStr">
        <is>
          <t>arnica-montana</t>
        </is>
      </c>
      <c r="E256" s="68" t="inlineStr">
        <is>
          <t>arnica montana</t>
        </is>
      </c>
      <c r="F256" s="68" t="n">
        <v>1</v>
      </c>
      <c r="G256" s="68" t="inlineStr">
        <is>
          <t>multi-target signaling modulation</t>
        </is>
      </c>
      <c r="H256" s="68" t="inlineStr">
        <is>
          <t>inferred_plus_trusted_gov</t>
        </is>
      </c>
    </row>
    <row r="257">
      <c r="A257" s="68" t="inlineStr">
        <is>
          <t>gabaergic_modulation</t>
        </is>
      </c>
      <c r="B257" s="68" t="inlineStr">
        <is>
          <t>alpha-thujone</t>
        </is>
      </c>
      <c r="C257" s="68" t="inlineStr">
        <is>
          <t>alpha-thujone</t>
        </is>
      </c>
      <c r="D257" s="68" t="inlineStr">
        <is>
          <t>artemisia-absinthium</t>
        </is>
      </c>
      <c r="E257" s="68" t="inlineStr">
        <is>
          <t>artemisia absinthium</t>
        </is>
      </c>
      <c r="F257" s="68" t="n">
        <v>1</v>
      </c>
      <c r="G257" s="68" t="inlineStr">
        <is>
          <t>GABAergic modulation</t>
        </is>
      </c>
      <c r="H257" s="68" t="inlineStr">
        <is>
          <t>trusted_gov_added</t>
        </is>
      </c>
    </row>
    <row r="258">
      <c r="A258" s="68" t="inlineStr">
        <is>
          <t>gabaergic_modulation</t>
        </is>
      </c>
      <c r="B258" s="68" t="inlineStr">
        <is>
          <t>absinthin</t>
        </is>
      </c>
      <c r="C258" s="68" t="inlineStr">
        <is>
          <t>absinthin</t>
        </is>
      </c>
      <c r="D258" s="68" t="inlineStr">
        <is>
          <t>artemisia-absinthium</t>
        </is>
      </c>
      <c r="E258" s="68" t="inlineStr">
        <is>
          <t>artemisia absinthium</t>
        </is>
      </c>
      <c r="F258" s="68" t="n">
        <v>1</v>
      </c>
      <c r="G258" s="68" t="inlineStr">
        <is>
          <t>GABAergic modulation</t>
        </is>
      </c>
      <c r="H258" s="68" t="inlineStr">
        <is>
          <t>trusted_gov_added</t>
        </is>
      </c>
    </row>
    <row r="259">
      <c r="A259" s="68" t="inlineStr">
        <is>
          <t>gabaergic_modulation</t>
        </is>
      </c>
      <c r="B259" s="68" t="inlineStr">
        <is>
          <t>beta-thujone</t>
        </is>
      </c>
      <c r="C259" s="68" t="inlineStr">
        <is>
          <t>beta-thujone</t>
        </is>
      </c>
      <c r="D259" s="68" t="inlineStr">
        <is>
          <t>artemisia-absinthium</t>
        </is>
      </c>
      <c r="E259" s="68" t="inlineStr">
        <is>
          <t>artemisia absinthium</t>
        </is>
      </c>
      <c r="F259" s="68" t="n">
        <v>1</v>
      </c>
      <c r="G259" s="68" t="inlineStr">
        <is>
          <t>GABAergic modulation</t>
        </is>
      </c>
      <c r="H259" s="68" t="inlineStr">
        <is>
          <t>trusted_gov_added</t>
        </is>
      </c>
    </row>
    <row r="260">
      <c r="A260" s="68" t="inlineStr">
        <is>
          <t>general or unknown targets</t>
        </is>
      </c>
      <c r="B260" s="68" t="inlineStr">
        <is>
          <t>artemisinin</t>
        </is>
      </c>
      <c r="C260" s="68" t="inlineStr">
        <is>
          <t>artemisinin</t>
        </is>
      </c>
      <c r="D260" s="68" t="inlineStr">
        <is>
          <t>artemisia-annua</t>
        </is>
      </c>
      <c r="E260" s="68" t="inlineStr">
        <is>
          <t>artemisia annua</t>
        </is>
      </c>
      <c r="F260" s="68" t="n">
        <v>1</v>
      </c>
      <c r="G260" s="68" t="inlineStr">
        <is>
          <t>multi-target signaling modulation</t>
        </is>
      </c>
      <c r="H260" s="68" t="inlineStr">
        <is>
          <t>inferred_plus_trusted_gov</t>
        </is>
      </c>
    </row>
    <row r="261">
      <c r="A261" s="68" t="inlineStr">
        <is>
          <t>general or unknown targets</t>
        </is>
      </c>
      <c r="B261" s="68" t="inlineStr">
        <is>
          <t>8-cineole</t>
        </is>
      </c>
      <c r="C261" s="68" t="inlineStr">
        <is>
          <t>8-cineole</t>
        </is>
      </c>
      <c r="D261" s="68" t="inlineStr">
        <is>
          <t>artemisia-herba-alba; nepeta-cataria</t>
        </is>
      </c>
      <c r="E261" s="68" t="inlineStr">
        <is>
          <t>artemisia herba-alba; catnip</t>
        </is>
      </c>
      <c r="F261" s="68" t="n">
        <v>2</v>
      </c>
      <c r="G261" s="68" t="inlineStr">
        <is>
          <t>multi-target signaling modulation</t>
        </is>
      </c>
      <c r="H261" s="68" t="inlineStr">
        <is>
          <t>inferred_plus_trusted_gov; trusted_gov_added</t>
        </is>
      </c>
    </row>
    <row r="262">
      <c r="A262" s="68" t="inlineStr">
        <is>
          <t>general or unknown targets</t>
        </is>
      </c>
      <c r="B262" s="68" t="inlineStr">
        <is>
          <t>camphor</t>
        </is>
      </c>
      <c r="C262" s="68" t="inlineStr">
        <is>
          <t>camphor</t>
        </is>
      </c>
      <c r="D262" s="68" t="inlineStr">
        <is>
          <t>artemisia-herba-alba; artemisia-judaica; artemisia-vulgaris</t>
        </is>
      </c>
      <c r="E262" s="68" t="inlineStr">
        <is>
          <t>artemisia herba-alba; artemisia judaica; artemisia vulgaris</t>
        </is>
      </c>
      <c r="F262" s="68" t="n">
        <v>3</v>
      </c>
      <c r="G262" s="68" t="inlineStr">
        <is>
          <t>multi-target signaling modulation</t>
        </is>
      </c>
      <c r="H262" s="68" t="inlineStr">
        <is>
          <t>inferred_plus_trusted_gov</t>
        </is>
      </c>
    </row>
    <row r="263">
      <c r="A263" s="68" t="inlineStr">
        <is>
          <t>general or unknown targets</t>
        </is>
      </c>
      <c r="B263" s="68" t="inlineStr">
        <is>
          <t>thujone</t>
        </is>
      </c>
      <c r="C263" s="68" t="inlineStr">
        <is>
          <t>thujone</t>
        </is>
      </c>
      <c r="D263" s="68" t="inlineStr">
        <is>
          <t>artemisia-herba-alba; artemisia-judaica; salvia-officinalis</t>
        </is>
      </c>
      <c r="E263" s="68" t="inlineStr">
        <is>
          <t>artemisia herba-alba; artemisia judaica; salvia officinalis</t>
        </is>
      </c>
      <c r="F263" s="68" t="n">
        <v>3</v>
      </c>
      <c r="G263" s="68" t="inlineStr">
        <is>
          <t>multi-target signaling modulation</t>
        </is>
      </c>
      <c r="H263" s="68" t="inlineStr">
        <is>
          <t>inferred_plus_trusted_gov</t>
        </is>
      </c>
    </row>
    <row r="264">
      <c r="A264" s="68" t="inlineStr">
        <is>
          <t>general or unknown targets</t>
        </is>
      </c>
      <c r="B264" s="68" t="inlineStr">
        <is>
          <t>cineole</t>
        </is>
      </c>
      <c r="C264" s="68" t="inlineStr">
        <is>
          <t>cineole</t>
        </is>
      </c>
      <c r="D264" s="68" t="inlineStr">
        <is>
          <t>artemisia-judaica; artemisia-vulgaris; laurus-nobilis; melaleuca-alternifolia; rosmarinus-officinalis; salvia-officinalis</t>
        </is>
      </c>
      <c r="E264" s="68" t="inlineStr">
        <is>
          <t>artemisia judaica; artemisia vulgaris; laurus nobilis; melaleuca alternifolia; rosmarinus officinalis; salvia officinalis</t>
        </is>
      </c>
      <c r="F264" s="68" t="n">
        <v>6</v>
      </c>
      <c r="G264" s="68" t="inlineStr">
        <is>
          <t>multi-target signaling modulation</t>
        </is>
      </c>
      <c r="H264" s="68" t="inlineStr">
        <is>
          <t>inferred_plus_trusted_gov</t>
        </is>
      </c>
    </row>
    <row r="265">
      <c r="A265" s="68" t="inlineStr">
        <is>
          <t>general or unknown targets</t>
        </is>
      </c>
      <c r="B265" s="68" t="inlineStr">
        <is>
          <t>asclepiadin</t>
        </is>
      </c>
      <c r="C265" s="68" t="inlineStr">
        <is>
          <t>asclepiadin</t>
        </is>
      </c>
      <c r="D265" s="68" t="inlineStr">
        <is>
          <t>asclepias-tuberosa</t>
        </is>
      </c>
      <c r="E265" s="68" t="inlineStr">
        <is>
          <t>asclepias tuberosa</t>
        </is>
      </c>
      <c r="F265" s="68" t="n">
        <v>1</v>
      </c>
      <c r="G265" s="68" t="inlineStr">
        <is>
          <t>multi-target signaling modulation</t>
        </is>
      </c>
      <c r="H265" s="68" t="inlineStr">
        <is>
          <t>inferred_plus_trusted_gov</t>
        </is>
      </c>
    </row>
    <row r="266">
      <c r="A266" s="68" t="inlineStr">
        <is>
          <t>gabaergic_modulation</t>
        </is>
      </c>
      <c r="B266" s="68" t="inlineStr">
        <is>
          <t>withanolides withaferin a</t>
        </is>
      </c>
      <c r="C266" s="68" t="inlineStr">
        <is>
          <t>withanolides (withaferin a</t>
        </is>
      </c>
      <c r="D266" s="68" t="inlineStr">
        <is>
          <t>withania-somnifera; withania-somnifera-ashwagandha</t>
        </is>
      </c>
      <c r="E266" s="68" t="inlineStr">
        <is>
          <t>ashwagandha; withania somnifera (ashwagandha)</t>
        </is>
      </c>
      <c r="F266" s="68" t="n">
        <v>2</v>
      </c>
      <c r="G266" s="68" t="inlineStr">
        <is>
          <t>COX/NF-kB inhibition; GABAergic modulation</t>
        </is>
      </c>
      <c r="H266" s="68" t="inlineStr">
        <is>
          <t>trusted_gov_added</t>
        </is>
      </c>
    </row>
    <row r="267">
      <c r="A267" s="68" t="inlineStr">
        <is>
          <t>inflammatory_pathway_modulation</t>
        </is>
      </c>
      <c r="B267" s="68" t="inlineStr">
        <is>
          <t>withanolides withaferin a</t>
        </is>
      </c>
      <c r="C267" s="68" t="inlineStr">
        <is>
          <t>withanolides (withaferin a</t>
        </is>
      </c>
      <c r="D267" s="68" t="inlineStr">
        <is>
          <t>withania-somnifera; withania-somnifera-ashwagandha</t>
        </is>
      </c>
      <c r="E267" s="68" t="inlineStr">
        <is>
          <t>ashwagandha; withania somnifera (ashwagandha)</t>
        </is>
      </c>
      <c r="F267" s="68" t="n">
        <v>2</v>
      </c>
      <c r="G267" s="68" t="inlineStr">
        <is>
          <t>COX/NF-kB inhibition; GABAergic modulation</t>
        </is>
      </c>
      <c r="H267" s="68" t="inlineStr">
        <is>
          <t>trusted_gov_added</t>
        </is>
      </c>
    </row>
    <row r="268">
      <c r="A268" s="68" t="inlineStr">
        <is>
          <t>gabaergic_modulation</t>
        </is>
      </c>
      <c r="B268" s="68" t="inlineStr">
        <is>
          <t>withanolide d</t>
        </is>
      </c>
      <c r="C268" s="68" t="inlineStr">
        <is>
          <t>withanolide d</t>
        </is>
      </c>
      <c r="D268" s="68" t="inlineStr">
        <is>
          <t>withania-somnifera; withania-somnifera-ashwagandha</t>
        </is>
      </c>
      <c r="E268" s="68" t="inlineStr">
        <is>
          <t>ashwagandha; withania somnifera (ashwagandha)</t>
        </is>
      </c>
      <c r="F268" s="68" t="n">
        <v>2</v>
      </c>
      <c r="G268" s="68" t="inlineStr">
        <is>
          <t>COX/NF-kB inhibition; GABAergic modulation</t>
        </is>
      </c>
      <c r="H268" s="68" t="inlineStr">
        <is>
          <t>trusted_gov_added</t>
        </is>
      </c>
    </row>
    <row r="269">
      <c r="A269" s="68" t="inlineStr">
        <is>
          <t>inflammatory_pathway_modulation</t>
        </is>
      </c>
      <c r="B269" s="68" t="inlineStr">
        <is>
          <t>withanolide d</t>
        </is>
      </c>
      <c r="C269" s="68" t="inlineStr">
        <is>
          <t>withanolide d</t>
        </is>
      </c>
      <c r="D269" s="68" t="inlineStr">
        <is>
          <t>withania-somnifera; withania-somnifera-ashwagandha</t>
        </is>
      </c>
      <c r="E269" s="68" t="inlineStr">
        <is>
          <t>ashwagandha; withania somnifera (ashwagandha)</t>
        </is>
      </c>
      <c r="F269" s="68" t="n">
        <v>2</v>
      </c>
      <c r="G269" s="68" t="inlineStr">
        <is>
          <t>COX/NF-kB inhibition; GABAergic modulation</t>
        </is>
      </c>
      <c r="H269" s="68" t="inlineStr">
        <is>
          <t>trusted_gov_added</t>
        </is>
      </c>
    </row>
    <row r="270">
      <c r="A270" s="68" t="inlineStr">
        <is>
          <t>general or unknown targets</t>
        </is>
      </c>
      <c r="B270" s="68" t="inlineStr">
        <is>
          <t>quebrachine</t>
        </is>
      </c>
      <c r="C270" s="68" t="inlineStr">
        <is>
          <t>quebrachine</t>
        </is>
      </c>
      <c r="D270" s="68" t="inlineStr">
        <is>
          <t>aspidosperma-quebracho-blanco</t>
        </is>
      </c>
      <c r="E270" s="68" t="inlineStr">
        <is>
          <t>aspidosperma quebracho-blanco</t>
        </is>
      </c>
      <c r="F270" s="68" t="n">
        <v>1</v>
      </c>
      <c r="G270" s="68" t="inlineStr">
        <is>
          <t>multi-target signaling modulation</t>
        </is>
      </c>
      <c r="H270" s="68" t="inlineStr">
        <is>
          <t>inferred_plus_trusted_gov</t>
        </is>
      </c>
    </row>
    <row r="271">
      <c r="A271" s="68" t="inlineStr">
        <is>
          <t>general or unknown targets</t>
        </is>
      </c>
      <c r="B271" s="68" t="inlineStr">
        <is>
          <t>aspidospermine</t>
        </is>
      </c>
      <c r="C271" s="68" t="inlineStr">
        <is>
          <t>aspidospermine</t>
        </is>
      </c>
      <c r="D271" s="68" t="inlineStr">
        <is>
          <t>aspidosperma-quebracho-blanco</t>
        </is>
      </c>
      <c r="E271" s="68" t="inlineStr">
        <is>
          <t>aspidosperma quebracho-blanco</t>
        </is>
      </c>
      <c r="F271" s="68" t="n">
        <v>1</v>
      </c>
      <c r="G271" s="68" t="inlineStr">
        <is>
          <t>multi-target signaling modulation</t>
        </is>
      </c>
      <c r="H271" s="68" t="inlineStr">
        <is>
          <t>inferred_plus_trusted_gov</t>
        </is>
      </c>
    </row>
    <row r="272">
      <c r="A272" s="68" t="inlineStr">
        <is>
          <t>general or unknown targets</t>
        </is>
      </c>
      <c r="B272" s="68" t="inlineStr">
        <is>
          <t>astragaloside iv</t>
        </is>
      </c>
      <c r="C272" s="68" t="inlineStr">
        <is>
          <t>astragaloside iv</t>
        </is>
      </c>
      <c r="D272" s="68" t="inlineStr">
        <is>
          <t>astragalus-membranaceus</t>
        </is>
      </c>
      <c r="E272" s="68" t="inlineStr">
        <is>
          <t>astragalus membranaceus</t>
        </is>
      </c>
      <c r="F272" s="68" t="n">
        <v>1</v>
      </c>
      <c r="G272" s="68" t="inlineStr">
        <is>
          <t>multi-target signaling modulation</t>
        </is>
      </c>
      <c r="H272" s="68" t="inlineStr">
        <is>
          <t>inferred_plus_trusted_gov</t>
        </is>
      </c>
    </row>
    <row r="273">
      <c r="A273" s="68" t="inlineStr">
        <is>
          <t>general or unknown targets</t>
        </is>
      </c>
      <c r="B273" s="68" t="inlineStr">
        <is>
          <t>atractylenolide iii</t>
        </is>
      </c>
      <c r="C273" s="68" t="inlineStr">
        <is>
          <t>atractylenolide iii</t>
        </is>
      </c>
      <c r="D273" s="68" t="inlineStr">
        <is>
          <t>atractylodes-macrocephala</t>
        </is>
      </c>
      <c r="E273" s="68" t="inlineStr">
        <is>
          <t>atractylodes macrocephala</t>
        </is>
      </c>
      <c r="F273" s="68" t="n">
        <v>1</v>
      </c>
      <c r="G273" s="68" t="inlineStr">
        <is>
          <t>multi-target signaling modulation</t>
        </is>
      </c>
      <c r="H273" s="68" t="inlineStr">
        <is>
          <t>inferred_plus_trusted_gov</t>
        </is>
      </c>
    </row>
    <row r="274">
      <c r="A274" s="68" t="inlineStr">
        <is>
          <t>general or unknown targets</t>
        </is>
      </c>
      <c r="B274" s="68" t="inlineStr">
        <is>
          <t>atractylenolide ii</t>
        </is>
      </c>
      <c r="C274" s="68" t="inlineStr">
        <is>
          <t>atractylenolide ii</t>
        </is>
      </c>
      <c r="D274" s="68" t="inlineStr">
        <is>
          <t>atractylodes-macrocephala</t>
        </is>
      </c>
      <c r="E274" s="68" t="inlineStr">
        <is>
          <t>atractylodes macrocephala</t>
        </is>
      </c>
      <c r="F274" s="68" t="n">
        <v>1</v>
      </c>
      <c r="G274" s="68" t="inlineStr">
        <is>
          <t>multi-target signaling modulation</t>
        </is>
      </c>
      <c r="H274" s="68" t="inlineStr">
        <is>
          <t>inferred_plus_trusted_gov</t>
        </is>
      </c>
    </row>
    <row r="275">
      <c r="A275" s="68" t="inlineStr">
        <is>
          <t>general or unknown targets</t>
        </is>
      </c>
      <c r="B275" s="68" t="inlineStr">
        <is>
          <t>atractylon</t>
        </is>
      </c>
      <c r="C275" s="68" t="inlineStr">
        <is>
          <t>atractylon</t>
        </is>
      </c>
      <c r="D275" s="68" t="inlineStr">
        <is>
          <t>atractylodes-macrocephala</t>
        </is>
      </c>
      <c r="E275" s="68" t="inlineStr">
        <is>
          <t>atractylodes macrocephala</t>
        </is>
      </c>
      <c r="F275" s="68" t="n">
        <v>1</v>
      </c>
      <c r="G275" s="68" t="inlineStr">
        <is>
          <t>multi-target signaling modulation</t>
        </is>
      </c>
      <c r="H275" s="68" t="inlineStr">
        <is>
          <t>inferred_plus_trusted_gov</t>
        </is>
      </c>
    </row>
    <row r="276">
      <c r="A276" s="68" t="inlineStr">
        <is>
          <t>general or unknown targets</t>
        </is>
      </c>
      <c r="B276" s="68" t="inlineStr">
        <is>
          <t>atractylenolide i</t>
        </is>
      </c>
      <c r="C276" s="68" t="inlineStr">
        <is>
          <t>atractylenolide i</t>
        </is>
      </c>
      <c r="D276" s="68" t="inlineStr">
        <is>
          <t>atractylodes-macrocephala</t>
        </is>
      </c>
      <c r="E276" s="68" t="inlineStr">
        <is>
          <t>atractylodes macrocephala</t>
        </is>
      </c>
      <c r="F276" s="68" t="n">
        <v>1</v>
      </c>
      <c r="G276" s="68" t="inlineStr">
        <is>
          <t>multi-target signaling modulation</t>
        </is>
      </c>
      <c r="H276" s="68" t="inlineStr">
        <is>
          <t>inferred_plus_trusted_gov</t>
        </is>
      </c>
    </row>
    <row r="277">
      <c r="A277" s="68" t="inlineStr">
        <is>
          <t>CHRM1, CHRM2 (muscarinic receptors)</t>
        </is>
      </c>
      <c r="B277" s="68" t="inlineStr">
        <is>
          <t>hyoscyamine</t>
        </is>
      </c>
      <c r="C277" s="68" t="inlineStr">
        <is>
          <t>hyoscyamine</t>
        </is>
      </c>
      <c r="D277" s="68" t="inlineStr">
        <is>
          <t>atropa-belladonna; brugmansia; brugmansia-sanguinea; brugmansia-suaveolens; datura-ferox; datura-wrightii; duboisia-myoporoides; hyoscyamus-niger; mandragora-officinarum; scopolia-carniolica; solandra-maxima</t>
        </is>
      </c>
      <c r="E277" s="68" t="inlineStr">
        <is>
          <t>atropa belladonna; brugmansia; brugmansia sanguinea; brugmansia suaveolens; datura ferox; datura wrightii; duboisia myoporoides; european mandrake; hyoscyamus niger; mandrake; scopolia carniolica; solandra maxima</t>
        </is>
      </c>
      <c r="F277" s="68" t="n">
        <v>11</v>
      </c>
      <c r="G277" s="68" t="inlineStr">
        <is>
          <t>muscarinic receptor interaction</t>
        </is>
      </c>
      <c r="H277" s="68" t="inlineStr">
        <is>
          <t>citation_or_url_present; inferred_plus_trusted_gov; trusted_gov_added</t>
        </is>
      </c>
    </row>
    <row r="278">
      <c r="A278" s="68" t="inlineStr">
        <is>
          <t>cholinergic_modulation</t>
        </is>
      </c>
      <c r="B278" s="68" t="inlineStr">
        <is>
          <t>hyoscyamine</t>
        </is>
      </c>
      <c r="C278" s="68" t="inlineStr">
        <is>
          <t>hyoscyamine</t>
        </is>
      </c>
      <c r="D278" s="68" t="inlineStr">
        <is>
          <t>atropa-belladonna; brugmansia; brugmansia-sanguinea; brugmansia-suaveolens; datura-ferox; datura-wrightii; duboisia-myoporoides; hyoscyamus-niger; mandragora-officinarum; scopolia-carniolica; solandra-maxima</t>
        </is>
      </c>
      <c r="E278" s="68" t="inlineStr">
        <is>
          <t>atropa belladonna; brugmansia; brugmansia sanguinea; brugmansia suaveolens; datura ferox; datura wrightii; duboisia myoporoides; european mandrake; hyoscyamus niger; mandrake; scopolia carniolica; solandra maxima</t>
        </is>
      </c>
      <c r="F278" s="68" t="n">
        <v>11</v>
      </c>
      <c r="G278" s="68" t="inlineStr">
        <is>
          <t>muscarinic receptor interaction</t>
        </is>
      </c>
      <c r="H278" s="68" t="inlineStr">
        <is>
          <t>citation_or_url_present; inferred_plus_trusted_gov; trusted_gov_added</t>
        </is>
      </c>
    </row>
    <row r="279">
      <c r="A279" s="68" t="inlineStr">
        <is>
          <t>CHRM1, CHRM2 (muscarinic receptors)</t>
        </is>
      </c>
      <c r="B279" s="68" t="inlineStr">
        <is>
          <t>scopolamine</t>
        </is>
      </c>
      <c r="C279" s="68" t="inlineStr">
        <is>
          <t>scopolamine</t>
        </is>
      </c>
      <c r="D279" s="68" t="inlineStr">
        <is>
          <t>atropa-belladonna; brugmansia; brugmansia-sanguinea; brugmansia-suaveolens; datura-ferox; datura-stramonium; datura-wrightii; duboisia-myoporoides; hyoscyamus-niger; mandragora-officinarum; scopolia-carniolica; solandra-maxima</t>
        </is>
      </c>
      <c r="E279" s="68" t="inlineStr">
        <is>
          <t>atropa belladonna; brugmansia; brugmansia sanguinea; brugmansia suaveolens; datura ferox; datura stramonium; datura wrightii; duboisia myoporoides; european mandrake; hyoscyamus niger; mandrake; scopolia carniolica; solandra maxima</t>
        </is>
      </c>
      <c r="F279" s="68" t="n">
        <v>12</v>
      </c>
      <c r="G279" s="68" t="inlineStr">
        <is>
          <t>muscarinic receptor interaction</t>
        </is>
      </c>
      <c r="H279" s="68" t="inlineStr">
        <is>
          <t>citation_or_url_present; inferred_plus_trusted_gov; trusted_gov_added</t>
        </is>
      </c>
    </row>
    <row r="280">
      <c r="A280" s="68" t="inlineStr">
        <is>
          <t>cholinergic_modulation</t>
        </is>
      </c>
      <c r="B280" s="68" t="inlineStr">
        <is>
          <t>scopolamine</t>
        </is>
      </c>
      <c r="C280" s="68" t="inlineStr">
        <is>
          <t>scopolamine</t>
        </is>
      </c>
      <c r="D280" s="68" t="inlineStr">
        <is>
          <t>atropa-belladonna; brugmansia; brugmansia-sanguinea; brugmansia-suaveolens; datura-ferox; datura-stramonium; datura-wrightii; duboisia-myoporoides; hyoscyamus-niger; mandragora-officinarum; scopolia-carniolica; solandra-maxima</t>
        </is>
      </c>
      <c r="E280" s="68" t="inlineStr">
        <is>
          <t>atropa belladonna; brugmansia; brugmansia sanguinea; brugmansia suaveolens; datura ferox; datura stramonium; datura wrightii; duboisia myoporoides; european mandrake; hyoscyamus niger; mandrake; scopolia carniolica; solandra maxima</t>
        </is>
      </c>
      <c r="F280" s="68" t="n">
        <v>12</v>
      </c>
      <c r="G280" s="68" t="inlineStr">
        <is>
          <t>muscarinic receptor interaction</t>
        </is>
      </c>
      <c r="H280" s="68" t="inlineStr">
        <is>
          <t>citation_or_url_present; inferred_plus_trusted_gov; trusted_gov_added</t>
        </is>
      </c>
    </row>
    <row r="281">
      <c r="A281" s="68" t="inlineStr">
        <is>
          <t>CHRM1, CHRM2 (muscarinic receptors)</t>
        </is>
      </c>
      <c r="B281" s="68" t="inlineStr">
        <is>
          <t>atropine</t>
        </is>
      </c>
      <c r="C281" s="68" t="inlineStr">
        <is>
          <t>atropine</t>
        </is>
      </c>
      <c r="D281" s="68" t="inlineStr">
        <is>
          <t>atropa-belladonna; brugmansia; brugmansia-sanguinea; brugmansia-suaveolens; datura-ferox; datura-stramonium; datura-wrightii; mandragora-officinarum; solandra-maxima</t>
        </is>
      </c>
      <c r="E281" s="68" t="inlineStr">
        <is>
          <t>atropa belladonna; brugmansia; brugmansia sanguinea; brugmansia suaveolens; datura ferox; datura stramonium; datura wrightii; european mandrake; mandrake; solandra maxima</t>
        </is>
      </c>
      <c r="F281" s="68" t="n">
        <v>9</v>
      </c>
      <c r="G281" s="68" t="inlineStr">
        <is>
          <t>muscarinic receptor interaction</t>
        </is>
      </c>
      <c r="H281" s="68" t="inlineStr">
        <is>
          <t>inferred_plus_trusted_gov; trusted_gov_added</t>
        </is>
      </c>
    </row>
    <row r="282">
      <c r="A282" s="68" t="inlineStr">
        <is>
          <t>cholinergic_modulation</t>
        </is>
      </c>
      <c r="B282" s="68" t="inlineStr">
        <is>
          <t>atropine</t>
        </is>
      </c>
      <c r="C282" s="68" t="inlineStr">
        <is>
          <t>atropine</t>
        </is>
      </c>
      <c r="D282" s="68" t="inlineStr">
        <is>
          <t>atropa-belladonna; brugmansia; brugmansia-sanguinea; brugmansia-suaveolens; datura-ferox; datura-stramonium; datura-wrightii; mandragora-officinarum; solandra-maxima</t>
        </is>
      </c>
      <c r="E282" s="68" t="inlineStr">
        <is>
          <t>atropa belladonna; brugmansia; brugmansia sanguinea; brugmansia suaveolens; datura ferox; datura stramonium; datura wrightii; european mandrake; mandrake; solandra maxima</t>
        </is>
      </c>
      <c r="F282" s="68" t="n">
        <v>9</v>
      </c>
      <c r="G282" s="68" t="inlineStr">
        <is>
          <t>muscarinic receptor interaction</t>
        </is>
      </c>
      <c r="H282" s="68" t="inlineStr">
        <is>
          <t>inferred_plus_trusted_gov; trusted_gov_added</t>
        </is>
      </c>
    </row>
    <row r="283">
      <c r="A283" s="68" t="inlineStr">
        <is>
          <t>general or unknown targets</t>
        </is>
      </c>
      <c r="B283" s="68" t="inlineStr">
        <is>
          <t>nimbin</t>
        </is>
      </c>
      <c r="C283" s="68" t="inlineStr">
        <is>
          <t>nimbin</t>
        </is>
      </c>
      <c r="D283" s="68" t="inlineStr">
        <is>
          <t>azadirachta-indica</t>
        </is>
      </c>
      <c r="E283" s="68" t="inlineStr">
        <is>
          <t>azadirachta indica</t>
        </is>
      </c>
      <c r="F283" s="68" t="n">
        <v>1</v>
      </c>
      <c r="G283" s="68" t="inlineStr">
        <is>
          <t>multi-target signaling modulation</t>
        </is>
      </c>
      <c r="H283" s="68" t="inlineStr">
        <is>
          <t>inferred_plus_trusted_gov</t>
        </is>
      </c>
    </row>
    <row r="284">
      <c r="A284" s="68" t="inlineStr">
        <is>
          <t>general or unknown targets</t>
        </is>
      </c>
      <c r="B284" s="68" t="inlineStr">
        <is>
          <t>azadirachtin</t>
        </is>
      </c>
      <c r="C284" s="68" t="inlineStr">
        <is>
          <t>azadirachtin</t>
        </is>
      </c>
      <c r="D284" s="68" t="inlineStr">
        <is>
          <t>azadirachta-indica</t>
        </is>
      </c>
      <c r="E284" s="68" t="inlineStr">
        <is>
          <t>azadirachta indica</t>
        </is>
      </c>
      <c r="F284" s="68" t="n">
        <v>1</v>
      </c>
      <c r="G284" s="68" t="inlineStr">
        <is>
          <t>multi-target signaling modulation</t>
        </is>
      </c>
      <c r="H284" s="68" t="inlineStr">
        <is>
          <t>inferred_plus_trusted_gov</t>
        </is>
      </c>
    </row>
    <row r="285">
      <c r="A285" s="68" t="inlineStr">
        <is>
          <t>general or unknown targets</t>
        </is>
      </c>
      <c r="B285" s="68" t="inlineStr">
        <is>
          <t>harmaline</t>
        </is>
      </c>
      <c r="C285" s="68" t="inlineStr">
        <is>
          <t>harmaline</t>
        </is>
      </c>
      <c r="D285" s="68" t="inlineStr">
        <is>
          <t>banisteriopsis-caapi; peganum-harmala</t>
        </is>
      </c>
      <c r="E285" s="68" t="inlineStr">
        <is>
          <t>banisteriopsis caapi; peganum harmala</t>
        </is>
      </c>
      <c r="F285" s="68" t="n">
        <v>2</v>
      </c>
      <c r="G285" s="68" t="inlineStr">
        <is>
          <t>multi-target signaling modulation</t>
        </is>
      </c>
      <c r="H285" s="68" t="inlineStr">
        <is>
          <t>inferred_plus_trusted_gov; trusted_gov_added</t>
        </is>
      </c>
    </row>
    <row r="286">
      <c r="A286" s="68" t="inlineStr">
        <is>
          <t>monoamine_oxidase_inhibition</t>
        </is>
      </c>
      <c r="B286" s="68" t="inlineStr">
        <is>
          <t>harmaline</t>
        </is>
      </c>
      <c r="C286" s="68" t="inlineStr">
        <is>
          <t>harmaline</t>
        </is>
      </c>
      <c r="D286" s="68" t="inlineStr">
        <is>
          <t>banisteriopsis-caapi; peganum-harmala</t>
        </is>
      </c>
      <c r="E286" s="68" t="inlineStr">
        <is>
          <t>banisteriopsis caapi; peganum harmala</t>
        </is>
      </c>
      <c r="F286" s="68" t="n">
        <v>2</v>
      </c>
      <c r="G286" s="68" t="inlineStr">
        <is>
          <t>multi-target signaling modulation</t>
        </is>
      </c>
      <c r="H286" s="68" t="inlineStr">
        <is>
          <t>inferred_plus_trusted_gov; trusted_gov_added</t>
        </is>
      </c>
    </row>
    <row r="287">
      <c r="A287" s="68" t="inlineStr">
        <is>
          <t>serotonergic_5HT2A_agonism</t>
        </is>
      </c>
      <c r="B287" s="68" t="inlineStr">
        <is>
          <t>harmaline</t>
        </is>
      </c>
      <c r="C287" s="68" t="inlineStr">
        <is>
          <t>harmaline</t>
        </is>
      </c>
      <c r="D287" s="68" t="inlineStr">
        <is>
          <t>banisteriopsis-caapi; peganum-harmala</t>
        </is>
      </c>
      <c r="E287" s="68" t="inlineStr">
        <is>
          <t>banisteriopsis caapi; peganum harmala</t>
        </is>
      </c>
      <c r="F287" s="68" t="n">
        <v>2</v>
      </c>
      <c r="G287" s="68" t="inlineStr">
        <is>
          <t>multi-target signaling modulation</t>
        </is>
      </c>
      <c r="H287" s="68" t="inlineStr">
        <is>
          <t>inferred_plus_trusted_gov; trusted_gov_added</t>
        </is>
      </c>
    </row>
    <row r="288">
      <c r="A288" s="68" t="inlineStr">
        <is>
          <t>general or unknown targets</t>
        </is>
      </c>
      <c r="B288" s="68" t="inlineStr">
        <is>
          <t>harmine</t>
        </is>
      </c>
      <c r="C288" s="68" t="inlineStr">
        <is>
          <t>harmine</t>
        </is>
      </c>
      <c r="D288" s="68" t="inlineStr">
        <is>
          <t>banisteriopsis-caapi; peganum-harmala</t>
        </is>
      </c>
      <c r="E288" s="68" t="inlineStr">
        <is>
          <t>banisteriopsis caapi; peganum harmala</t>
        </is>
      </c>
      <c r="F288" s="68" t="n">
        <v>2</v>
      </c>
      <c r="G288" s="68" t="inlineStr">
        <is>
          <t>multi-target signaling modulation</t>
        </is>
      </c>
      <c r="H288" s="68" t="inlineStr">
        <is>
          <t>inferred_plus_trusted_gov; trusted_gov_added</t>
        </is>
      </c>
    </row>
    <row r="289">
      <c r="A289" s="68" t="inlineStr">
        <is>
          <t>monoamine_oxidase_inhibition</t>
        </is>
      </c>
      <c r="B289" s="68" t="inlineStr">
        <is>
          <t>harmine</t>
        </is>
      </c>
      <c r="C289" s="68" t="inlineStr">
        <is>
          <t>harmine</t>
        </is>
      </c>
      <c r="D289" s="68" t="inlineStr">
        <is>
          <t>banisteriopsis-caapi; peganum-harmala</t>
        </is>
      </c>
      <c r="E289" s="68" t="inlineStr">
        <is>
          <t>banisteriopsis caapi; peganum harmala</t>
        </is>
      </c>
      <c r="F289" s="68" t="n">
        <v>2</v>
      </c>
      <c r="G289" s="68" t="inlineStr">
        <is>
          <t>multi-target signaling modulation</t>
        </is>
      </c>
      <c r="H289" s="68" t="inlineStr">
        <is>
          <t>inferred_plus_trusted_gov; trusted_gov_added</t>
        </is>
      </c>
    </row>
    <row r="290">
      <c r="A290" s="68" t="inlineStr">
        <is>
          <t>serotonergic_5HT2A_agonism</t>
        </is>
      </c>
      <c r="B290" s="68" t="inlineStr">
        <is>
          <t>harmine</t>
        </is>
      </c>
      <c r="C290" s="68" t="inlineStr">
        <is>
          <t>harmine</t>
        </is>
      </c>
      <c r="D290" s="68" t="inlineStr">
        <is>
          <t>banisteriopsis-caapi; peganum-harmala</t>
        </is>
      </c>
      <c r="E290" s="68" t="inlineStr">
        <is>
          <t>banisteriopsis caapi; peganum harmala</t>
        </is>
      </c>
      <c r="F290" s="68" t="n">
        <v>2</v>
      </c>
      <c r="G290" s="68" t="inlineStr">
        <is>
          <t>multi-target signaling modulation</t>
        </is>
      </c>
      <c r="H290" s="68" t="inlineStr">
        <is>
          <t>inferred_plus_trusted_gov; trusted_gov_added</t>
        </is>
      </c>
    </row>
    <row r="291">
      <c r="A291" s="68" t="inlineStr">
        <is>
          <t>monoamine_oxidase_inhibition</t>
        </is>
      </c>
      <c r="B291" s="68" t="inlineStr">
        <is>
          <t>tetrahydroharmine</t>
        </is>
      </c>
      <c r="C291" s="68" t="inlineStr">
        <is>
          <t>tetrahydroharmine</t>
        </is>
      </c>
      <c r="D291" s="68" t="inlineStr">
        <is>
          <t>banisteriopsis-caapi</t>
        </is>
      </c>
      <c r="E291" s="68" t="inlineStr">
        <is>
          <t>banisteriopsis caapi</t>
        </is>
      </c>
      <c r="F291" s="68" t="n">
        <v>1</v>
      </c>
      <c r="G291" s="68" t="inlineStr">
        <is>
          <t>multi-target signaling modulation</t>
        </is>
      </c>
      <c r="H291" s="68" t="inlineStr">
        <is>
          <t>trusted_gov_added</t>
        </is>
      </c>
    </row>
    <row r="292">
      <c r="A292" s="68" t="inlineStr">
        <is>
          <t>serotonergic_5HT2A_agonism</t>
        </is>
      </c>
      <c r="B292" s="68" t="inlineStr">
        <is>
          <t>tetrahydroharmine</t>
        </is>
      </c>
      <c r="C292" s="68" t="inlineStr">
        <is>
          <t>tetrahydroharmine</t>
        </is>
      </c>
      <c r="D292" s="68" t="inlineStr">
        <is>
          <t>banisteriopsis-caapi</t>
        </is>
      </c>
      <c r="E292" s="68" t="inlineStr">
        <is>
          <t>banisteriopsis caapi</t>
        </is>
      </c>
      <c r="F292" s="68" t="n">
        <v>1</v>
      </c>
      <c r="G292" s="68" t="inlineStr">
        <is>
          <t>multi-target signaling modulation</t>
        </is>
      </c>
      <c r="H292" s="68" t="inlineStr">
        <is>
          <t>trusted_gov_added</t>
        </is>
      </c>
    </row>
    <row r="293">
      <c r="A293" s="68" t="inlineStr">
        <is>
          <t>general or unknown targets</t>
        </is>
      </c>
      <c r="B293" s="68" t="inlineStr">
        <is>
          <t>oxyacanthine</t>
        </is>
      </c>
      <c r="C293" s="68" t="inlineStr">
        <is>
          <t>oxyacanthine</t>
        </is>
      </c>
      <c r="D293" s="68" t="inlineStr">
        <is>
          <t>berberis-vulgaris</t>
        </is>
      </c>
      <c r="E293" s="68" t="inlineStr">
        <is>
          <t>berberis vulgaris</t>
        </is>
      </c>
      <c r="F293" s="68" t="n">
        <v>1</v>
      </c>
      <c r="G293" s="68" t="inlineStr">
        <is>
          <t>multi-target signaling modulation</t>
        </is>
      </c>
      <c r="H293" s="68" t="inlineStr">
        <is>
          <t>inferred_plus_trusted_gov</t>
        </is>
      </c>
    </row>
    <row r="294">
      <c r="A294" s="68" t="inlineStr">
        <is>
          <t>general or unknown targets</t>
        </is>
      </c>
      <c r="B294" s="68" t="inlineStr">
        <is>
          <t>berbamine</t>
        </is>
      </c>
      <c r="C294" s="68" t="inlineStr">
        <is>
          <t>berbamine</t>
        </is>
      </c>
      <c r="D294" s="68" t="inlineStr">
        <is>
          <t>berberis-vulgaris</t>
        </is>
      </c>
      <c r="E294" s="68" t="inlineStr">
        <is>
          <t>berberis vulgaris</t>
        </is>
      </c>
      <c r="F294" s="68" t="n">
        <v>1</v>
      </c>
      <c r="G294" s="68" t="inlineStr">
        <is>
          <t>multi-target signaling modulation</t>
        </is>
      </c>
      <c r="H294" s="68" t="inlineStr">
        <is>
          <t>inferred_plus_trusted_gov</t>
        </is>
      </c>
    </row>
    <row r="295">
      <c r="A295" s="68" t="inlineStr">
        <is>
          <t>dopaminergic_modulation</t>
        </is>
      </c>
      <c r="B295" s="68" t="inlineStr">
        <is>
          <t>apomorphine</t>
        </is>
      </c>
      <c r="C295" s="68" t="inlineStr">
        <is>
          <t>apomorphine</t>
        </is>
      </c>
      <c r="D295" s="68" t="inlineStr">
        <is>
          <t>blue-lotus-nymphaea-caerulea</t>
        </is>
      </c>
      <c r="E295" s="68" t="inlineStr">
        <is>
          <t>blue lotus (nymphaea caerulea)</t>
        </is>
      </c>
      <c r="F295" s="68" t="n">
        <v>1</v>
      </c>
      <c r="G295" s="68" t="inlineStr">
        <is>
          <t>multi-target signaling modulation</t>
        </is>
      </c>
      <c r="H295" s="68" t="inlineStr">
        <is>
          <t>trusted_gov_added</t>
        </is>
      </c>
    </row>
    <row r="296">
      <c r="A296" s="68" t="inlineStr">
        <is>
          <t>general or unknown targets</t>
        </is>
      </c>
      <c r="B296" s="68" t="inlineStr">
        <is>
          <t>punarnavine</t>
        </is>
      </c>
      <c r="C296" s="68" t="inlineStr">
        <is>
          <t>punarnavine</t>
        </is>
      </c>
      <c r="D296" s="68" t="inlineStr">
        <is>
          <t>boerhavia-diffusa</t>
        </is>
      </c>
      <c r="E296" s="68" t="inlineStr">
        <is>
          <t>boerhavia diffusa</t>
        </is>
      </c>
      <c r="F296" s="68" t="n">
        <v>1</v>
      </c>
      <c r="G296" s="68" t="inlineStr">
        <is>
          <t>multi-target signaling modulation</t>
        </is>
      </c>
      <c r="H296" s="68" t="inlineStr">
        <is>
          <t>inferred_plus_trusted_gov</t>
        </is>
      </c>
    </row>
    <row r="297">
      <c r="A297" s="68" t="inlineStr">
        <is>
          <t>general or unknown targets</t>
        </is>
      </c>
      <c r="B297" s="68" t="inlineStr">
        <is>
          <t>pinostrobin</t>
        </is>
      </c>
      <c r="C297" s="68" t="inlineStr">
        <is>
          <t>pinostrobin</t>
        </is>
      </c>
      <c r="D297" s="68" t="inlineStr">
        <is>
          <t>boesenbergia-rotunda</t>
        </is>
      </c>
      <c r="E297" s="68" t="inlineStr">
        <is>
          <t>boesenbergia rotunda</t>
        </is>
      </c>
      <c r="F297" s="68" t="n">
        <v>1</v>
      </c>
      <c r="G297" s="68" t="inlineStr">
        <is>
          <t>multi-target signaling modulation</t>
        </is>
      </c>
      <c r="H297" s="68" t="inlineStr">
        <is>
          <t>inferred_plus_trusted_gov</t>
        </is>
      </c>
    </row>
    <row r="298">
      <c r="A298" s="68" t="inlineStr">
        <is>
          <t>general or unknown targets</t>
        </is>
      </c>
      <c r="B298" s="68" t="inlineStr">
        <is>
          <t>pinocembrin</t>
        </is>
      </c>
      <c r="C298" s="68" t="inlineStr">
        <is>
          <t>pinocembrin</t>
        </is>
      </c>
      <c r="D298" s="68" t="inlineStr">
        <is>
          <t>boesenbergia-rotunda</t>
        </is>
      </c>
      <c r="E298" s="68" t="inlineStr">
        <is>
          <t>boesenbergia rotunda</t>
        </is>
      </c>
      <c r="F298" s="68" t="n">
        <v>1</v>
      </c>
      <c r="G298" s="68" t="inlineStr">
        <is>
          <t>multi-target signaling modulation</t>
        </is>
      </c>
      <c r="H298" s="68" t="inlineStr">
        <is>
          <t>inferred_plus_trusted_gov</t>
        </is>
      </c>
    </row>
    <row r="299">
      <c r="A299" s="68" t="inlineStr">
        <is>
          <t>general or unknown targets</t>
        </is>
      </c>
      <c r="B299" s="68" t="inlineStr">
        <is>
          <t>panduratin a</t>
        </is>
      </c>
      <c r="C299" s="68" t="inlineStr">
        <is>
          <t>panduratin a</t>
        </is>
      </c>
      <c r="D299" s="68" t="inlineStr">
        <is>
          <t>boesenbergia-rotunda</t>
        </is>
      </c>
      <c r="E299" s="68" t="inlineStr">
        <is>
          <t>boesenbergia rotunda</t>
        </is>
      </c>
      <c r="F299" s="68" t="n">
        <v>1</v>
      </c>
      <c r="G299" s="68" t="inlineStr">
        <is>
          <t>multi-target signaling modulation</t>
        </is>
      </c>
      <c r="H299" s="68" t="inlineStr">
        <is>
          <t>inferred_plus_trusted_gov</t>
        </is>
      </c>
    </row>
    <row r="300">
      <c r="A300" s="68" t="inlineStr">
        <is>
          <t>general or unknown targets</t>
        </is>
      </c>
      <c r="B300" s="68" t="inlineStr">
        <is>
          <t>buphanidrine</t>
        </is>
      </c>
      <c r="C300" s="68" t="inlineStr">
        <is>
          <t>buphanidrine</t>
        </is>
      </c>
      <c r="D300" s="68" t="inlineStr">
        <is>
          <t>boophone-disticha</t>
        </is>
      </c>
      <c r="E300" s="68" t="inlineStr">
        <is>
          <t>boophone disticha</t>
        </is>
      </c>
      <c r="F300" s="68" t="n">
        <v>1</v>
      </c>
      <c r="G300" s="68" t="inlineStr">
        <is>
          <t>multi-target signaling modulation</t>
        </is>
      </c>
      <c r="H300" s="68" t="inlineStr">
        <is>
          <t>inferred_plus_trusted_gov</t>
        </is>
      </c>
    </row>
    <row r="301">
      <c r="A301" s="68" t="inlineStr">
        <is>
          <t>general or unknown targets</t>
        </is>
      </c>
      <c r="B301" s="68" t="inlineStr">
        <is>
          <t>lycorine</t>
        </is>
      </c>
      <c r="C301" s="68" t="inlineStr">
        <is>
          <t>lycorine</t>
        </is>
      </c>
      <c r="D301" s="68" t="inlineStr">
        <is>
          <t>boophone-disticha</t>
        </is>
      </c>
      <c r="E301" s="68" t="inlineStr">
        <is>
          <t>boophone disticha</t>
        </is>
      </c>
      <c r="F301" s="68" t="n">
        <v>1</v>
      </c>
      <c r="G301" s="68" t="inlineStr">
        <is>
          <t>multi-target signaling modulation</t>
        </is>
      </c>
      <c r="H301" s="68" t="inlineStr">
        <is>
          <t>inferred_plus_trusted_gov</t>
        </is>
      </c>
    </row>
    <row r="302">
      <c r="A302" s="68" t="inlineStr">
        <is>
          <t>PPARA, PPARG</t>
        </is>
      </c>
      <c r="B302" s="68" t="inlineStr">
        <is>
          <t>gamma-linolenic acid</t>
        </is>
      </c>
      <c r="C302" s="68" t="inlineStr">
        <is>
          <t>gamma-linolenic acid</t>
        </is>
      </c>
      <c r="D302" s="68" t="inlineStr">
        <is>
          <t>borago-officinalis; oenothera-biennis</t>
        </is>
      </c>
      <c r="E302" s="68" t="inlineStr">
        <is>
          <t>borago officinalis; oenothera biennis</t>
        </is>
      </c>
      <c r="F302" s="68" t="n">
        <v>2</v>
      </c>
      <c r="G302" s="68" t="inlineStr">
        <is>
          <t>ppar activation</t>
        </is>
      </c>
      <c r="H302" s="68" t="inlineStr">
        <is>
          <t>inferred_plus_trusted_gov</t>
        </is>
      </c>
    </row>
    <row r="303">
      <c r="A303" s="68" t="inlineStr">
        <is>
          <t>general or unknown targets</t>
        </is>
      </c>
      <c r="B303" s="68" t="inlineStr">
        <is>
          <t>beta-boswellic acid</t>
        </is>
      </c>
      <c r="C303" s="68" t="inlineStr">
        <is>
          <t>beta-boswellic acid</t>
        </is>
      </c>
      <c r="D303" s="68" t="inlineStr">
        <is>
          <t>boswellia-sacra; frankincense-boswellia</t>
        </is>
      </c>
      <c r="E303" s="68" t="inlineStr">
        <is>
          <t>boswellia sacra; frankincense (boswellia)</t>
        </is>
      </c>
      <c r="F303" s="68" t="n">
        <v>2</v>
      </c>
      <c r="G303" s="68" t="inlineStr">
        <is>
          <t>multi-target signaling modulation</t>
        </is>
      </c>
      <c r="H303" s="68" t="inlineStr">
        <is>
          <t>inferred_plus_trusted_gov; trusted_gov_added</t>
        </is>
      </c>
    </row>
    <row r="304">
      <c r="A304" s="68" t="inlineStr">
        <is>
          <t>general or unknown targets</t>
        </is>
      </c>
      <c r="B304" s="68" t="inlineStr">
        <is>
          <t>akba</t>
        </is>
      </c>
      <c r="C304" s="68" t="inlineStr">
        <is>
          <t>akba</t>
        </is>
      </c>
      <c r="D304" s="68" t="inlineStr">
        <is>
          <t>boswellia-sacra</t>
        </is>
      </c>
      <c r="E304" s="68" t="inlineStr">
        <is>
          <t>boswellia sacra</t>
        </is>
      </c>
      <c r="F304" s="68" t="n">
        <v>1</v>
      </c>
      <c r="G304" s="68" t="inlineStr">
        <is>
          <t>multi-target signaling modulation</t>
        </is>
      </c>
      <c r="H304" s="68" t="inlineStr">
        <is>
          <t>inferred_plus_trusted_gov</t>
        </is>
      </c>
    </row>
    <row r="305">
      <c r="A305" s="68" t="inlineStr">
        <is>
          <t>general or unknown targets</t>
        </is>
      </c>
      <c r="B305" s="68" t="inlineStr">
        <is>
          <t>brunfelsamidine</t>
        </is>
      </c>
      <c r="C305" s="68" t="inlineStr">
        <is>
          <t>brunfelsamidine</t>
        </is>
      </c>
      <c r="D305" s="68" t="inlineStr">
        <is>
          <t>brunfelsia-americana</t>
        </is>
      </c>
      <c r="E305" s="68" t="inlineStr">
        <is>
          <t>brunfelsia americana</t>
        </is>
      </c>
      <c r="F305" s="68" t="n">
        <v>1</v>
      </c>
      <c r="G305" s="68" t="inlineStr">
        <is>
          <t>multi-target signaling modulation</t>
        </is>
      </c>
      <c r="H305" s="68" t="inlineStr">
        <is>
          <t>inferred_plus_trusted_gov</t>
        </is>
      </c>
    </row>
    <row r="306">
      <c r="A306" s="68" t="inlineStr">
        <is>
          <t>general or unknown targets</t>
        </is>
      </c>
      <c r="B306" s="68" t="inlineStr">
        <is>
          <t>bryonin</t>
        </is>
      </c>
      <c r="C306" s="68" t="inlineStr">
        <is>
          <t>bryonin</t>
        </is>
      </c>
      <c r="D306" s="68" t="inlineStr">
        <is>
          <t>bryonia-alba</t>
        </is>
      </c>
      <c r="E306" s="68" t="inlineStr">
        <is>
          <t>bryonia alba</t>
        </is>
      </c>
      <c r="F306" s="68" t="n">
        <v>1</v>
      </c>
      <c r="G306" s="68" t="inlineStr">
        <is>
          <t>multi-target signaling modulation</t>
        </is>
      </c>
      <c r="H306" s="68" t="inlineStr">
        <is>
          <t>inferred_plus_trusted_gov</t>
        </is>
      </c>
    </row>
    <row r="307">
      <c r="A307" s="68" t="inlineStr">
        <is>
          <t>general or unknown targets</t>
        </is>
      </c>
      <c r="B307" s="68" t="inlineStr">
        <is>
          <t>alpha-terpineol</t>
        </is>
      </c>
      <c r="C307" s="68" t="inlineStr">
        <is>
          <t>α-terpineol</t>
        </is>
      </c>
      <c r="D307" s="68" t="inlineStr">
        <is>
          <t>bursera-graveolens</t>
        </is>
      </c>
      <c r="E307" s="68" t="inlineStr">
        <is>
          <t>bursera graveolens</t>
        </is>
      </c>
      <c r="F307" s="68" t="n">
        <v>1</v>
      </c>
      <c r="G307" s="68" t="inlineStr">
        <is>
          <t>multi-target signaling modulation</t>
        </is>
      </c>
      <c r="H307" s="68" t="inlineStr">
        <is>
          <t>inferred_plus_trusted_gov</t>
        </is>
      </c>
    </row>
    <row r="308">
      <c r="A308" s="68" t="inlineStr">
        <is>
          <t>general or unknown targets</t>
        </is>
      </c>
      <c r="B308" s="68" t="inlineStr">
        <is>
          <t>carvone</t>
        </is>
      </c>
      <c r="C308" s="68" t="inlineStr">
        <is>
          <t>carvone</t>
        </is>
      </c>
      <c r="D308" s="68" t="inlineStr">
        <is>
          <t>bursera-graveolens; lippia-alba</t>
        </is>
      </c>
      <c r="E308" s="68" t="inlineStr">
        <is>
          <t>bursera graveolens; lippia alba</t>
        </is>
      </c>
      <c r="F308" s="68" t="n">
        <v>2</v>
      </c>
      <c r="G308" s="68" t="inlineStr">
        <is>
          <t>multi-target signaling modulation</t>
        </is>
      </c>
      <c r="H308" s="68" t="inlineStr">
        <is>
          <t>inferred_plus_trusted_gov</t>
        </is>
      </c>
    </row>
    <row r="309">
      <c r="A309" s="68" t="inlineStr">
        <is>
          <t>general or unknown targets</t>
        </is>
      </c>
      <c r="B309" s="68" t="inlineStr">
        <is>
          <t>bonducin</t>
        </is>
      </c>
      <c r="C309" s="68" t="inlineStr">
        <is>
          <t>bonducin</t>
        </is>
      </c>
      <c r="D309" s="68" t="inlineStr">
        <is>
          <t>caesalpinia-bonduc</t>
        </is>
      </c>
      <c r="E309" s="68" t="inlineStr">
        <is>
          <t>caesalpinia bonduc</t>
        </is>
      </c>
      <c r="F309" s="68" t="n">
        <v>1</v>
      </c>
      <c r="G309" s="68" t="inlineStr">
        <is>
          <t>multi-target signaling modulation</t>
        </is>
      </c>
      <c r="H309" s="68" t="inlineStr">
        <is>
          <t>inferred_plus_trusted_gov</t>
        </is>
      </c>
    </row>
    <row r="310">
      <c r="A310" s="68" t="inlineStr">
        <is>
          <t>general or unknown targets</t>
        </is>
      </c>
      <c r="B310" s="68" t="inlineStr">
        <is>
          <t>uscharin</t>
        </is>
      </c>
      <c r="C310" s="68" t="inlineStr">
        <is>
          <t>uscharin</t>
        </is>
      </c>
      <c r="D310" s="68" t="inlineStr">
        <is>
          <t>calotropis-procera</t>
        </is>
      </c>
      <c r="E310" s="68" t="inlineStr">
        <is>
          <t>calotropis procera</t>
        </is>
      </c>
      <c r="F310" s="68" t="n">
        <v>1</v>
      </c>
      <c r="G310" s="68" t="inlineStr">
        <is>
          <t>multi-target signaling modulation</t>
        </is>
      </c>
      <c r="H310" s="68" t="inlineStr">
        <is>
          <t>inferred_plus_trusted_gov</t>
        </is>
      </c>
    </row>
    <row r="311">
      <c r="A311" s="68" t="inlineStr">
        <is>
          <t>general or unknown targets</t>
        </is>
      </c>
      <c r="B311" s="68" t="inlineStr">
        <is>
          <t>calotropin</t>
        </is>
      </c>
      <c r="C311" s="68" t="inlineStr">
        <is>
          <t>calotropin</t>
        </is>
      </c>
      <c r="D311" s="68" t="inlineStr">
        <is>
          <t>calotropis-procera</t>
        </is>
      </c>
      <c r="E311" s="68" t="inlineStr">
        <is>
          <t>calotropis procera</t>
        </is>
      </c>
      <c r="F311" s="68" t="n">
        <v>1</v>
      </c>
      <c r="G311" s="68" t="inlineStr">
        <is>
          <t>multi-target signaling modulation</t>
        </is>
      </c>
      <c r="H311" s="68" t="inlineStr">
        <is>
          <t>inferred_plus_trusted_gov</t>
        </is>
      </c>
    </row>
    <row r="312">
      <c r="A312" s="68" t="inlineStr">
        <is>
          <t>adenosine_antagonism</t>
        </is>
      </c>
      <c r="B312" s="68" t="inlineStr">
        <is>
          <t>theanine</t>
        </is>
      </c>
      <c r="C312" s="68" t="inlineStr">
        <is>
          <t>theanine</t>
        </is>
      </c>
      <c r="D312" s="68" t="inlineStr">
        <is>
          <t>camellia-sinensis</t>
        </is>
      </c>
      <c r="E312" s="68" t="inlineStr">
        <is>
          <t>camellia sinensis</t>
        </is>
      </c>
      <c r="F312" s="68" t="n">
        <v>1</v>
      </c>
      <c r="G312" s="68" t="inlineStr">
        <is>
          <t>adenosine receptor antagonism</t>
        </is>
      </c>
      <c r="H312" s="68" t="inlineStr">
        <is>
          <t>trusted_gov_added</t>
        </is>
      </c>
    </row>
    <row r="313">
      <c r="A313" s="68" t="inlineStr">
        <is>
          <t>ADORA1, ADORA2A (adenosine receptors)</t>
        </is>
      </c>
      <c r="B313" s="68" t="inlineStr">
        <is>
          <t>caffeine</t>
        </is>
      </c>
      <c r="C313" s="68" t="inlineStr">
        <is>
          <t>caffeine</t>
        </is>
      </c>
      <c r="D313" s="68" t="inlineStr">
        <is>
          <t>camellia-sinensis; coffea-arabica; coffee; guarana; ilex-guayusa; ilex-paraguariensis; paullinia-cupana; paullinia-pinnata; theobroma-bicolor; theobroma-cacao</t>
        </is>
      </c>
      <c r="E313" s="68" t="inlineStr">
        <is>
          <t>camellia sinensis; coffea arabica; coffee; guarana; ilex guayusa; ilex paraguariensis; paullinia cupana; paullinia pinnata; theobroma bicolor; theobroma cacao; yerba mate</t>
        </is>
      </c>
      <c r="F313" s="68" t="n">
        <v>10</v>
      </c>
      <c r="G313" s="68" t="inlineStr">
        <is>
          <t>adenosine receptor antagonism</t>
        </is>
      </c>
      <c r="H313" s="68" t="inlineStr">
        <is>
          <t>inferred_plus_trusted_gov; trusted_gov_added</t>
        </is>
      </c>
    </row>
    <row r="314">
      <c r="A314" s="68" t="inlineStr">
        <is>
          <t>adenosine_antagonism</t>
        </is>
      </c>
      <c r="B314" s="68" t="inlineStr">
        <is>
          <t>caffeine</t>
        </is>
      </c>
      <c r="C314" s="68" t="inlineStr">
        <is>
          <t>caffeine</t>
        </is>
      </c>
      <c r="D314" s="68" t="inlineStr">
        <is>
          <t>camellia-sinensis; coffea-arabica; coffee; guarana; ilex-guayusa; ilex-paraguariensis; paullinia-cupana; paullinia-pinnata; theobroma-bicolor; theobroma-cacao</t>
        </is>
      </c>
      <c r="E314" s="68" t="inlineStr">
        <is>
          <t>camellia sinensis; coffea arabica; coffee; guarana; ilex guayusa; ilex paraguariensis; paullinia cupana; paullinia pinnata; theobroma bicolor; theobroma cacao; yerba mate</t>
        </is>
      </c>
      <c r="F314" s="68" t="n">
        <v>10</v>
      </c>
      <c r="G314" s="68" t="inlineStr">
        <is>
          <t>adenosine receptor antagonism</t>
        </is>
      </c>
      <c r="H314" s="68" t="inlineStr">
        <is>
          <t>inferred_plus_trusted_gov; trusted_gov_added</t>
        </is>
      </c>
    </row>
    <row r="315">
      <c r="A315" s="68" t="inlineStr">
        <is>
          <t>dopaminergic_modulation</t>
        </is>
      </c>
      <c r="B315" s="68" t="inlineStr">
        <is>
          <t>caffeine</t>
        </is>
      </c>
      <c r="C315" s="68" t="inlineStr">
        <is>
          <t>caffeine</t>
        </is>
      </c>
      <c r="D315" s="68" t="inlineStr">
        <is>
          <t>camellia-sinensis; coffea-arabica; coffee; guarana; ilex-guayusa; ilex-paraguariensis; paullinia-cupana; paullinia-pinnata; theobroma-bicolor; theobroma-cacao</t>
        </is>
      </c>
      <c r="E315" s="68" t="inlineStr">
        <is>
          <t>camellia sinensis; coffea arabica; coffee; guarana; ilex guayusa; ilex paraguariensis; paullinia cupana; paullinia pinnata; theobroma bicolor; theobroma cacao; yerba mate</t>
        </is>
      </c>
      <c r="F315" s="68" t="n">
        <v>10</v>
      </c>
      <c r="G315" s="68" t="inlineStr">
        <is>
          <t>adenosine receptor antagonism</t>
        </is>
      </c>
      <c r="H315" s="68" t="inlineStr">
        <is>
          <t>inferred_plus_trusted_gov; trusted_gov_added</t>
        </is>
      </c>
    </row>
    <row r="316">
      <c r="A316" s="68" t="inlineStr">
        <is>
          <t>adenosine_antagonism</t>
        </is>
      </c>
      <c r="B316" s="68" t="inlineStr">
        <is>
          <t>catechins</t>
        </is>
      </c>
      <c r="C316" s="68" t="inlineStr">
        <is>
          <t>catechins (egcg)</t>
        </is>
      </c>
      <c r="D316" s="68" t="inlineStr">
        <is>
          <t>camellia-sinensis</t>
        </is>
      </c>
      <c r="E316" s="68" t="inlineStr">
        <is>
          <t>camellia sinensis</t>
        </is>
      </c>
      <c r="F316" s="68" t="n">
        <v>1</v>
      </c>
      <c r="G316" s="68" t="inlineStr">
        <is>
          <t>adenosine receptor antagonism</t>
        </is>
      </c>
      <c r="H316" s="68" t="inlineStr">
        <is>
          <t>trusted_gov_added</t>
        </is>
      </c>
    </row>
    <row r="317">
      <c r="A317" s="68" t="inlineStr">
        <is>
          <t>endocannabinoid_modulation</t>
        </is>
      </c>
      <c r="B317" s="68" t="inlineStr">
        <is>
          <t>cbd</t>
        </is>
      </c>
      <c r="C317" s="68" t="inlineStr">
        <is>
          <t>cbd</t>
        </is>
      </c>
      <c r="D317" s="68" t="inlineStr">
        <is>
          <t>cannabis-indica; cannabis-ruderalis; cannabis-sativa; cannabis-sativa-african-varieties</t>
        </is>
      </c>
      <c r="E317" s="68" t="inlineStr">
        <is>
          <t>cannabis indica; cannabis ruderalis; cannabis sativa; cannabis sativa (african varieties)</t>
        </is>
      </c>
      <c r="F317" s="68" t="n">
        <v>4</v>
      </c>
      <c r="G317" s="68" t="inlineStr">
        <is>
          <t>multi-target signaling modulation</t>
        </is>
      </c>
      <c r="H317" s="68" t="inlineStr">
        <is>
          <t>inferred_plus_trusted_gov; trusted_gov_added</t>
        </is>
      </c>
    </row>
    <row r="318">
      <c r="A318" s="68" t="inlineStr">
        <is>
          <t>endocannabinoid_modulation</t>
        </is>
      </c>
      <c r="B318" s="68" t="inlineStr">
        <is>
          <t>thc</t>
        </is>
      </c>
      <c r="C318" s="68" t="inlineStr">
        <is>
          <t>thc</t>
        </is>
      </c>
      <c r="D318" s="68" t="inlineStr">
        <is>
          <t>cannabis-indica; cannabis-ruderalis; cannabis-sativa; cannabis-sativa-african-varieties</t>
        </is>
      </c>
      <c r="E318" s="68" t="inlineStr">
        <is>
          <t>cannabis indica; cannabis ruderalis; cannabis sativa; cannabis sativa (african varieties)</t>
        </is>
      </c>
      <c r="F318" s="68" t="n">
        <v>4</v>
      </c>
      <c r="G318" s="68" t="inlineStr">
        <is>
          <t>multi-target signaling modulation</t>
        </is>
      </c>
      <c r="H318" s="68" t="inlineStr">
        <is>
          <t>inferred_plus_trusted_gov; trusted_gov_added</t>
        </is>
      </c>
    </row>
    <row r="319">
      <c r="A319" s="68" t="inlineStr">
        <is>
          <t>endocannabinoid_modulation</t>
        </is>
      </c>
      <c r="B319" s="68" t="inlineStr">
        <is>
          <t>pinene</t>
        </is>
      </c>
      <c r="C319" s="68" t="inlineStr">
        <is>
          <t>pinene</t>
        </is>
      </c>
      <c r="D319" s="68" t="inlineStr">
        <is>
          <t>cannabis-sativa</t>
        </is>
      </c>
      <c r="E319" s="68" t="inlineStr">
        <is>
          <t>cannabis sativa</t>
        </is>
      </c>
      <c r="F319" s="68" t="n">
        <v>1</v>
      </c>
      <c r="G319" s="68" t="inlineStr">
        <is>
          <t>multi-target signaling modulation</t>
        </is>
      </c>
      <c r="H319" s="68" t="inlineStr">
        <is>
          <t>trusted_gov_added</t>
        </is>
      </c>
    </row>
    <row r="320">
      <c r="A320" s="68" t="inlineStr">
        <is>
          <t>general or unknown targets</t>
        </is>
      </c>
      <c r="B320" s="68" t="inlineStr">
        <is>
          <t>capsorubin</t>
        </is>
      </c>
      <c r="C320" s="68" t="inlineStr">
        <is>
          <t>capsorubin</t>
        </is>
      </c>
      <c r="D320" s="68" t="inlineStr">
        <is>
          <t>capsicum-annuum</t>
        </is>
      </c>
      <c r="E320" s="68" t="inlineStr">
        <is>
          <t>capsicum annuum</t>
        </is>
      </c>
      <c r="F320" s="68" t="n">
        <v>1</v>
      </c>
      <c r="G320" s="68" t="inlineStr">
        <is>
          <t>multi-target signaling modulation</t>
        </is>
      </c>
      <c r="H320" s="68" t="inlineStr">
        <is>
          <t>trusted_gov_added</t>
        </is>
      </c>
    </row>
    <row r="321">
      <c r="A321" s="68" t="inlineStr">
        <is>
          <t>general or unknown targets</t>
        </is>
      </c>
      <c r="B321" s="68" t="inlineStr">
        <is>
          <t>dihydrocapsaicin</t>
        </is>
      </c>
      <c r="C321" s="68" t="inlineStr">
        <is>
          <t>dihydrocapsaicin</t>
        </is>
      </c>
      <c r="D321" s="68" t="inlineStr">
        <is>
          <t>capsicum-annuum</t>
        </is>
      </c>
      <c r="E321" s="68" t="inlineStr">
        <is>
          <t>capsicum annuum</t>
        </is>
      </c>
      <c r="F321" s="68" t="n">
        <v>1</v>
      </c>
      <c r="G321" s="68" t="inlineStr">
        <is>
          <t>multi-target signaling modulation</t>
        </is>
      </c>
      <c r="H321" s="68" t="inlineStr">
        <is>
          <t>trusted_gov_added</t>
        </is>
      </c>
    </row>
    <row r="322">
      <c r="A322" s="68" t="inlineStr">
        <is>
          <t>general or unknown targets</t>
        </is>
      </c>
      <c r="B322" s="68" t="inlineStr">
        <is>
          <t>capsanthin</t>
        </is>
      </c>
      <c r="C322" s="68" t="inlineStr">
        <is>
          <t>capsanthin</t>
        </is>
      </c>
      <c r="D322" s="68" t="inlineStr">
        <is>
          <t>capsicum-annuum</t>
        </is>
      </c>
      <c r="E322" s="68" t="inlineStr">
        <is>
          <t>capsicum annuum</t>
        </is>
      </c>
      <c r="F322" s="68" t="n">
        <v>1</v>
      </c>
      <c r="G322" s="68" t="inlineStr">
        <is>
          <t>multi-target signaling modulation</t>
        </is>
      </c>
      <c r="H322" s="68" t="inlineStr">
        <is>
          <t>trusted_gov_added</t>
        </is>
      </c>
    </row>
    <row r="323">
      <c r="A323" s="68" t="inlineStr">
        <is>
          <t>general or unknown targets</t>
        </is>
      </c>
      <c r="B323" s="68" t="inlineStr">
        <is>
          <t>nordihydrocapsaicin</t>
        </is>
      </c>
      <c r="C323" s="68" t="inlineStr">
        <is>
          <t>nordihydrocapsaicin</t>
        </is>
      </c>
      <c r="D323" s="68" t="inlineStr">
        <is>
          <t>capsicum-annuum</t>
        </is>
      </c>
      <c r="E323" s="68" t="inlineStr">
        <is>
          <t>capsicum annuum</t>
        </is>
      </c>
      <c r="F323" s="68" t="n">
        <v>1</v>
      </c>
      <c r="G323" s="68" t="inlineStr">
        <is>
          <t>multi-target signaling modulation</t>
        </is>
      </c>
      <c r="H323" s="68" t="inlineStr">
        <is>
          <t>trusted_gov_added</t>
        </is>
      </c>
    </row>
    <row r="324">
      <c r="A324" s="68" t="inlineStr">
        <is>
          <t>general or unknown targets</t>
        </is>
      </c>
      <c r="B324" s="68" t="inlineStr">
        <is>
          <t>carpaine</t>
        </is>
      </c>
      <c r="C324" s="68" t="inlineStr">
        <is>
          <t>carpaine</t>
        </is>
      </c>
      <c r="D324" s="68" t="inlineStr">
        <is>
          <t>carica-papaya</t>
        </is>
      </c>
      <c r="E324" s="68" t="inlineStr">
        <is>
          <t>carica papaya</t>
        </is>
      </c>
      <c r="F324" s="68" t="n">
        <v>1</v>
      </c>
      <c r="G324" s="68" t="inlineStr">
        <is>
          <t>multi-target signaling modulation</t>
        </is>
      </c>
      <c r="H324" s="68" t="inlineStr">
        <is>
          <t>trusted_gov_added</t>
        </is>
      </c>
    </row>
    <row r="325">
      <c r="A325" s="68" t="inlineStr">
        <is>
          <t>general or unknown targets</t>
        </is>
      </c>
      <c r="B325" s="68" t="inlineStr">
        <is>
          <t>papain</t>
        </is>
      </c>
      <c r="C325" s="68" t="inlineStr">
        <is>
          <t>papain</t>
        </is>
      </c>
      <c r="D325" s="68" t="inlineStr">
        <is>
          <t>carica-papaya</t>
        </is>
      </c>
      <c r="E325" s="68" t="inlineStr">
        <is>
          <t>carica papaya</t>
        </is>
      </c>
      <c r="F325" s="68" t="n">
        <v>1</v>
      </c>
      <c r="G325" s="68" t="inlineStr">
        <is>
          <t>multi-target signaling modulation</t>
        </is>
      </c>
      <c r="H325" s="68" t="inlineStr">
        <is>
          <t>trusted_gov_added</t>
        </is>
      </c>
    </row>
    <row r="326">
      <c r="A326" s="68" t="inlineStr">
        <is>
          <t>general or unknown targets</t>
        </is>
      </c>
      <c r="B326" s="68" t="inlineStr">
        <is>
          <t>benzyl isothiocyanate</t>
        </is>
      </c>
      <c r="C326" s="68" t="inlineStr">
        <is>
          <t>benzyl isothiocyanate</t>
        </is>
      </c>
      <c r="D326" s="68" t="inlineStr">
        <is>
          <t>carica-papaya; tropaeolum-majus</t>
        </is>
      </c>
      <c r="E326" s="68" t="inlineStr">
        <is>
          <t>carica papaya; tropaeolum majus</t>
        </is>
      </c>
      <c r="F326" s="68" t="n">
        <v>2</v>
      </c>
      <c r="G326" s="68" t="inlineStr">
        <is>
          <t>multi-target signaling modulation</t>
        </is>
      </c>
      <c r="H326" s="68" t="inlineStr">
        <is>
          <t>trusted_gov_added</t>
        </is>
      </c>
    </row>
    <row r="327">
      <c r="A327" s="68" t="inlineStr">
        <is>
          <t>general or unknown targets</t>
        </is>
      </c>
      <c r="B327" s="68" t="inlineStr">
        <is>
          <t>chymopapain</t>
        </is>
      </c>
      <c r="C327" s="68" t="inlineStr">
        <is>
          <t>chymopapain</t>
        </is>
      </c>
      <c r="D327" s="68" t="inlineStr">
        <is>
          <t>carica-papaya</t>
        </is>
      </c>
      <c r="E327" s="68" t="inlineStr">
        <is>
          <t>carica papaya</t>
        </is>
      </c>
      <c r="F327" s="68" t="n">
        <v>1</v>
      </c>
      <c r="G327" s="68" t="inlineStr">
        <is>
          <t>multi-target signaling modulation</t>
        </is>
      </c>
      <c r="H327" s="68" t="inlineStr">
        <is>
          <t>trusted_gov_added</t>
        </is>
      </c>
    </row>
    <row r="328">
      <c r="A328" s="68" t="inlineStr">
        <is>
          <t>general or unknown targets</t>
        </is>
      </c>
      <c r="B328" s="68" t="inlineStr">
        <is>
          <t>gelsemine</t>
        </is>
      </c>
      <c r="C328" s="68" t="inlineStr">
        <is>
          <t>gelsemine</t>
        </is>
      </c>
      <c r="D328" s="68" t="inlineStr">
        <is>
          <t>carolina-jessamine</t>
        </is>
      </c>
      <c r="E328" s="68" t="inlineStr">
        <is>
          <t>carolina jessamine</t>
        </is>
      </c>
      <c r="F328" s="68" t="n">
        <v>1</v>
      </c>
      <c r="G328" s="68" t="inlineStr">
        <is>
          <t>multi-target signaling modulation</t>
        </is>
      </c>
      <c r="H328" s="68" t="inlineStr">
        <is>
          <t>trusted_gov_added</t>
        </is>
      </c>
    </row>
    <row r="329">
      <c r="A329" s="68" t="inlineStr">
        <is>
          <t>general or unknown targets</t>
        </is>
      </c>
      <c r="B329" s="68" t="inlineStr">
        <is>
          <t>gelseminine</t>
        </is>
      </c>
      <c r="C329" s="68" t="inlineStr">
        <is>
          <t>gelseminine</t>
        </is>
      </c>
      <c r="D329" s="68" t="inlineStr">
        <is>
          <t>carolina-jessamine</t>
        </is>
      </c>
      <c r="E329" s="68" t="inlineStr">
        <is>
          <t>carolina jessamine</t>
        </is>
      </c>
      <c r="F329" s="68" t="n">
        <v>1</v>
      </c>
      <c r="G329" s="68" t="inlineStr">
        <is>
          <t>multi-target signaling modulation</t>
        </is>
      </c>
      <c r="H329" s="68" t="inlineStr">
        <is>
          <t>trusted_gov_added</t>
        </is>
      </c>
    </row>
    <row r="330">
      <c r="A330" s="68" t="inlineStr">
        <is>
          <t>general or unknown targets</t>
        </is>
      </c>
      <c r="B330" s="68" t="inlineStr">
        <is>
          <t>gelsemicine</t>
        </is>
      </c>
      <c r="C330" s="68" t="inlineStr">
        <is>
          <t>gelsemicine</t>
        </is>
      </c>
      <c r="D330" s="68" t="inlineStr">
        <is>
          <t>carolina-jessamine</t>
        </is>
      </c>
      <c r="E330" s="68" t="inlineStr">
        <is>
          <t>carolina jessamine</t>
        </is>
      </c>
      <c r="F330" s="68" t="n">
        <v>1</v>
      </c>
      <c r="G330" s="68" t="inlineStr">
        <is>
          <t>multi-target signaling modulation</t>
        </is>
      </c>
      <c r="H330" s="68" t="inlineStr">
        <is>
          <t>trusted_gov_added</t>
        </is>
      </c>
    </row>
    <row r="331">
      <c r="A331" s="68" t="inlineStr">
        <is>
          <t>general or unknown targets</t>
        </is>
      </c>
      <c r="B331" s="68" t="inlineStr">
        <is>
          <t>sempervirine</t>
        </is>
      </c>
      <c r="C331" s="68" t="inlineStr">
        <is>
          <t>sempervirine</t>
        </is>
      </c>
      <c r="D331" s="68" t="inlineStr">
        <is>
          <t>carolina-jessamine</t>
        </is>
      </c>
      <c r="E331" s="68" t="inlineStr">
        <is>
          <t>carolina jessamine</t>
        </is>
      </c>
      <c r="F331" s="68" t="n">
        <v>1</v>
      </c>
      <c r="G331" s="68" t="inlineStr">
        <is>
          <t>multi-target signaling modulation</t>
        </is>
      </c>
      <c r="H331" s="68" t="inlineStr">
        <is>
          <t>trusted_gov_added</t>
        </is>
      </c>
    </row>
    <row r="332">
      <c r="A332" s="68" t="inlineStr">
        <is>
          <t>general or unknown targets</t>
        </is>
      </c>
      <c r="B332" s="68" t="inlineStr">
        <is>
          <t>gelseverine</t>
        </is>
      </c>
      <c r="C332" s="68" t="inlineStr">
        <is>
          <t>gelseverine</t>
        </is>
      </c>
      <c r="D332" s="68" t="inlineStr">
        <is>
          <t>carolina-jessamine</t>
        </is>
      </c>
      <c r="E332" s="68" t="inlineStr">
        <is>
          <t>carolina jessamine</t>
        </is>
      </c>
      <c r="F332" s="68" t="n">
        <v>1</v>
      </c>
      <c r="G332" s="68" t="inlineStr">
        <is>
          <t>multi-target signaling modulation</t>
        </is>
      </c>
      <c r="H332" s="68" t="inlineStr">
        <is>
          <t>trusted_gov_added</t>
        </is>
      </c>
    </row>
    <row r="333">
      <c r="A333" s="68" t="inlineStr">
        <is>
          <t>general or unknown targets</t>
        </is>
      </c>
      <c r="B333" s="68" t="inlineStr">
        <is>
          <t>gelsedine</t>
        </is>
      </c>
      <c r="C333" s="68" t="inlineStr">
        <is>
          <t>gelsedine</t>
        </is>
      </c>
      <c r="D333" s="68" t="inlineStr">
        <is>
          <t>carolina-jessamine</t>
        </is>
      </c>
      <c r="E333" s="68" t="inlineStr">
        <is>
          <t>carolina jessamine</t>
        </is>
      </c>
      <c r="F333" s="68" t="n">
        <v>1</v>
      </c>
      <c r="G333" s="68" t="inlineStr">
        <is>
          <t>multi-target signaling modulation</t>
        </is>
      </c>
      <c r="H333" s="68" t="inlineStr">
        <is>
          <t>trusted_gov_added</t>
        </is>
      </c>
    </row>
    <row r="334">
      <c r="A334" s="68" t="inlineStr">
        <is>
          <t>general or unknown targets</t>
        </is>
      </c>
      <c r="B334" s="68" t="inlineStr">
        <is>
          <t>imperatorin</t>
        </is>
      </c>
      <c r="C334" s="68" t="inlineStr">
        <is>
          <t>imperatorin</t>
        </is>
      </c>
      <c r="D334" s="68" t="inlineStr">
        <is>
          <t>casimiroa-edulis</t>
        </is>
      </c>
      <c r="E334" s="68" t="inlineStr">
        <is>
          <t>casimiroa edulis</t>
        </is>
      </c>
      <c r="F334" s="68" t="n">
        <v>1</v>
      </c>
      <c r="G334" s="68" t="inlineStr">
        <is>
          <t>multi-target signaling modulation</t>
        </is>
      </c>
      <c r="H334" s="68" t="inlineStr">
        <is>
          <t>trusted_gov_added</t>
        </is>
      </c>
    </row>
    <row r="335">
      <c r="A335" s="68" t="inlineStr">
        <is>
          <t>general or unknown targets</t>
        </is>
      </c>
      <c r="B335" s="68" t="inlineStr">
        <is>
          <t>casimiroedine</t>
        </is>
      </c>
      <c r="C335" s="68" t="inlineStr">
        <is>
          <t>casimiroedine</t>
        </is>
      </c>
      <c r="D335" s="68" t="inlineStr">
        <is>
          <t>casimiroa-edulis</t>
        </is>
      </c>
      <c r="E335" s="68" t="inlineStr">
        <is>
          <t>casimiroa edulis</t>
        </is>
      </c>
      <c r="F335" s="68" t="n">
        <v>1</v>
      </c>
      <c r="G335" s="68" t="inlineStr">
        <is>
          <t>multi-target signaling modulation</t>
        </is>
      </c>
      <c r="H335" s="68" t="inlineStr">
        <is>
          <t>trusted_gov_added</t>
        </is>
      </c>
    </row>
    <row r="336">
      <c r="A336" s="68" t="inlineStr">
        <is>
          <t>general or unknown targets</t>
        </is>
      </c>
      <c r="B336" s="68" t="inlineStr">
        <is>
          <t>esculetin</t>
        </is>
      </c>
      <c r="C336" s="68" t="inlineStr">
        <is>
          <t>esculetin</t>
        </is>
      </c>
      <c r="D336" s="68" t="inlineStr">
        <is>
          <t>casimiroa-edulis</t>
        </is>
      </c>
      <c r="E336" s="68" t="inlineStr">
        <is>
          <t>casimiroa edulis</t>
        </is>
      </c>
      <c r="F336" s="68" t="n">
        <v>1</v>
      </c>
      <c r="G336" s="68" t="inlineStr">
        <is>
          <t>multi-target signaling modulation</t>
        </is>
      </c>
      <c r="H336" s="68" t="inlineStr">
        <is>
          <t>trusted_gov_added</t>
        </is>
      </c>
    </row>
    <row r="337">
      <c r="A337" s="68" t="inlineStr">
        <is>
          <t>general or unknown targets</t>
        </is>
      </c>
      <c r="B337" s="68" t="inlineStr">
        <is>
          <t>umbelliferone</t>
        </is>
      </c>
      <c r="C337" s="68" t="inlineStr">
        <is>
          <t>umbelliferone</t>
        </is>
      </c>
      <c r="D337" s="68" t="inlineStr">
        <is>
          <t>casimiroa-edulis</t>
        </is>
      </c>
      <c r="E337" s="68" t="inlineStr">
        <is>
          <t>casimiroa edulis</t>
        </is>
      </c>
      <c r="F337" s="68" t="n">
        <v>1</v>
      </c>
      <c r="G337" s="68" t="inlineStr">
        <is>
          <t>multi-target signaling modulation</t>
        </is>
      </c>
      <c r="H337" s="68" t="inlineStr">
        <is>
          <t>trusted_gov_added</t>
        </is>
      </c>
    </row>
    <row r="338">
      <c r="A338" s="68" t="inlineStr">
        <is>
          <t>general or unknown targets</t>
        </is>
      </c>
      <c r="B338" s="68" t="inlineStr">
        <is>
          <t>n-dimethylhistamine</t>
        </is>
      </c>
      <c r="C338" s="68" t="inlineStr">
        <is>
          <t>n-dimethylhistamine</t>
        </is>
      </c>
      <c r="D338" s="68" t="inlineStr">
        <is>
          <t>casimiroa-edulis</t>
        </is>
      </c>
      <c r="E338" s="68" t="inlineStr">
        <is>
          <t>casimiroa edulis</t>
        </is>
      </c>
      <c r="F338" s="68" t="n">
        <v>1</v>
      </c>
      <c r="G338" s="68" t="inlineStr">
        <is>
          <t>multi-target signaling modulation</t>
        </is>
      </c>
      <c r="H338" s="68" t="inlineStr">
        <is>
          <t>trusted_gov_added</t>
        </is>
      </c>
    </row>
    <row r="339">
      <c r="A339" s="68" t="inlineStr">
        <is>
          <t>general or unknown targets</t>
        </is>
      </c>
      <c r="B339" s="68" t="inlineStr">
        <is>
          <t>xanthotoxol</t>
        </is>
      </c>
      <c r="C339" s="68" t="inlineStr">
        <is>
          <t>xanthotoxol</t>
        </is>
      </c>
      <c r="D339" s="68" t="inlineStr">
        <is>
          <t>casimiroa-edulis</t>
        </is>
      </c>
      <c r="E339" s="68" t="inlineStr">
        <is>
          <t>casimiroa edulis</t>
        </is>
      </c>
      <c r="F339" s="68" t="n">
        <v>1</v>
      </c>
      <c r="G339" s="68" t="inlineStr">
        <is>
          <t>multi-target signaling modulation</t>
        </is>
      </c>
      <c r="H339" s="68" t="inlineStr">
        <is>
          <t>trusted_gov_added</t>
        </is>
      </c>
    </row>
    <row r="340">
      <c r="A340" s="68" t="inlineStr">
        <is>
          <t>general or unknown targets</t>
        </is>
      </c>
      <c r="B340" s="68" t="inlineStr">
        <is>
          <t>n-monomethylhistamine</t>
        </is>
      </c>
      <c r="C340" s="68" t="inlineStr">
        <is>
          <t>n-monomethylhistamine</t>
        </is>
      </c>
      <c r="D340" s="68" t="inlineStr">
        <is>
          <t>casimiroa-edulis</t>
        </is>
      </c>
      <c r="E340" s="68" t="inlineStr">
        <is>
          <t>casimiroa edulis</t>
        </is>
      </c>
      <c r="F340" s="68" t="n">
        <v>1</v>
      </c>
      <c r="G340" s="68" t="inlineStr">
        <is>
          <t>multi-target signaling modulation</t>
        </is>
      </c>
      <c r="H340" s="68" t="inlineStr">
        <is>
          <t>trusted_gov_added</t>
        </is>
      </c>
    </row>
    <row r="341">
      <c r="A341" s="68" t="inlineStr">
        <is>
          <t>general or unknown targets</t>
        </is>
      </c>
      <c r="B341" s="68" t="inlineStr">
        <is>
          <t>chrysophanol</t>
        </is>
      </c>
      <c r="C341" s="68" t="inlineStr">
        <is>
          <t>chrysophanol</t>
        </is>
      </c>
      <c r="D341" s="68" t="inlineStr">
        <is>
          <t>cassia-alata; rheum-palmatum</t>
        </is>
      </c>
      <c r="E341" s="68" t="inlineStr">
        <is>
          <t>cassia alata; rheum palmatum</t>
        </is>
      </c>
      <c r="F341" s="68" t="n">
        <v>2</v>
      </c>
      <c r="G341" s="68" t="inlineStr">
        <is>
          <t>multi-target signaling modulation</t>
        </is>
      </c>
      <c r="H341" s="68" t="inlineStr">
        <is>
          <t>inferred_plus_trusted_gov</t>
        </is>
      </c>
    </row>
    <row r="342">
      <c r="A342" s="68" t="inlineStr">
        <is>
          <t>dopaminergic_modulation</t>
        </is>
      </c>
      <c r="B342" s="68" t="inlineStr">
        <is>
          <t>cathinone</t>
        </is>
      </c>
      <c r="C342" s="68" t="inlineStr">
        <is>
          <t>cathinone</t>
        </is>
      </c>
      <c r="D342" s="68" t="inlineStr">
        <is>
          <t>catha-edulis</t>
        </is>
      </c>
      <c r="E342" s="68" t="inlineStr">
        <is>
          <t>catha edulis</t>
        </is>
      </c>
      <c r="F342" s="68" t="n">
        <v>1</v>
      </c>
      <c r="G342" s="68" t="inlineStr">
        <is>
          <t>multi-target signaling modulation</t>
        </is>
      </c>
      <c r="H342" s="68" t="inlineStr">
        <is>
          <t>trusted_gov_added</t>
        </is>
      </c>
    </row>
    <row r="343">
      <c r="A343" s="68" t="inlineStr">
        <is>
          <t>dopaminergic_modulation</t>
        </is>
      </c>
      <c r="B343" s="68" t="inlineStr">
        <is>
          <t>norephedrine</t>
        </is>
      </c>
      <c r="C343" s="68" t="inlineStr">
        <is>
          <t>norephedrine</t>
        </is>
      </c>
      <c r="D343" s="68" t="inlineStr">
        <is>
          <t>catha-edulis</t>
        </is>
      </c>
      <c r="E343" s="68" t="inlineStr">
        <is>
          <t>catha edulis</t>
        </is>
      </c>
      <c r="F343" s="68" t="n">
        <v>1</v>
      </c>
      <c r="G343" s="68" t="inlineStr">
        <is>
          <t>multi-target signaling modulation</t>
        </is>
      </c>
      <c r="H343" s="68" t="inlineStr">
        <is>
          <t>trusted_gov_added</t>
        </is>
      </c>
    </row>
    <row r="344">
      <c r="A344" s="68" t="inlineStr">
        <is>
          <t>dopaminergic_modulation</t>
        </is>
      </c>
      <c r="B344" s="68" t="inlineStr">
        <is>
          <t>cathine</t>
        </is>
      </c>
      <c r="C344" s="68" t="inlineStr">
        <is>
          <t>cathine</t>
        </is>
      </c>
      <c r="D344" s="68" t="inlineStr">
        <is>
          <t>catha-edulis</t>
        </is>
      </c>
      <c r="E344" s="68" t="inlineStr">
        <is>
          <t>catha edulis</t>
        </is>
      </c>
      <c r="F344" s="68" t="n">
        <v>1</v>
      </c>
      <c r="G344" s="68" t="inlineStr">
        <is>
          <t>multi-target signaling modulation</t>
        </is>
      </c>
      <c r="H344" s="68" t="inlineStr">
        <is>
          <t>trusted_gov_added</t>
        </is>
      </c>
    </row>
    <row r="345">
      <c r="A345" s="68" t="inlineStr">
        <is>
          <t>general or unknown targets</t>
        </is>
      </c>
      <c r="B345" s="68" t="inlineStr">
        <is>
          <t>beta-caryophyllene</t>
        </is>
      </c>
      <c r="C345" s="68" t="inlineStr">
        <is>
          <t>beta-caryophyllene</t>
        </is>
      </c>
      <c r="D345" s="68" t="inlineStr">
        <is>
          <t>copaifera-officinalis; nepeta-cataria; syzygium-aromaticum</t>
        </is>
      </c>
      <c r="E345" s="68" t="inlineStr">
        <is>
          <t>catnip; copaifera officinalis; syzygium aromaticum</t>
        </is>
      </c>
      <c r="F345" s="68" t="n">
        <v>3</v>
      </c>
      <c r="G345" s="68" t="inlineStr">
        <is>
          <t>multi-target signaling modulation</t>
        </is>
      </c>
      <c r="H345" s="68" t="inlineStr">
        <is>
          <t>inferred_plus_trusted_gov; trusted_gov_added</t>
        </is>
      </c>
    </row>
    <row r="346">
      <c r="A346" s="68" t="inlineStr">
        <is>
          <t>gabaergic_modulation</t>
        </is>
      </c>
      <c r="B346" s="68" t="inlineStr">
        <is>
          <t>rosmarinic acid</t>
        </is>
      </c>
      <c r="C346" s="68" t="inlineStr">
        <is>
          <t>rosmarinic acid</t>
        </is>
      </c>
      <c r="D346" s="68" t="inlineStr">
        <is>
          <t>dracocephalum-moldavica; glechoma-hederacea; melissa-officinalis; melissa-officinalis-lemon-balm; mentha-piperita; nepeta-cataria; ocimum-sanctum; prunella-vulgaris; rosmarinus-officinalis; salvia-officinalis; symphytum-officinale; tulsi</t>
        </is>
      </c>
      <c r="E346" s="68" t="inlineStr">
        <is>
          <t>catnip; dracocephalum moldavica; glechoma hederacea; holy basil; lemon balm; melissa officinalis; melissa officinalis (lemon balm); ocimum sanctum; peppermint; prunella vulgaris; rosmarinus officinalis; salvia officinalis; symphytum officinale; tulsi</t>
        </is>
      </c>
      <c r="F346" s="68" t="n">
        <v>12</v>
      </c>
      <c r="G346" s="68" t="inlineStr">
        <is>
          <t>COX/NF-kB inhibition; GABAergic modulation; multi-target signaling modulation</t>
        </is>
      </c>
      <c r="H346" s="68" t="inlineStr">
        <is>
          <t>inferred_plus_trusted_gov; trusted_gov_added</t>
        </is>
      </c>
    </row>
    <row r="347">
      <c r="A347" s="68" t="inlineStr">
        <is>
          <t>general or unknown targets</t>
        </is>
      </c>
      <c r="B347" s="68" t="inlineStr">
        <is>
          <t>rosmarinic acid</t>
        </is>
      </c>
      <c r="C347" s="68" t="inlineStr">
        <is>
          <t>rosmarinic acid</t>
        </is>
      </c>
      <c r="D347" s="68" t="inlineStr">
        <is>
          <t>dracocephalum-moldavica; glechoma-hederacea; melissa-officinalis; melissa-officinalis-lemon-balm; mentha-piperita; nepeta-cataria; ocimum-sanctum; prunella-vulgaris; rosmarinus-officinalis; salvia-officinalis; symphytum-officinale; tulsi</t>
        </is>
      </c>
      <c r="E347" s="68" t="inlineStr">
        <is>
          <t>catnip; dracocephalum moldavica; glechoma hederacea; holy basil; lemon balm; melissa officinalis; melissa officinalis (lemon balm); ocimum sanctum; peppermint; prunella vulgaris; rosmarinus officinalis; salvia officinalis; symphytum officinale; tulsi</t>
        </is>
      </c>
      <c r="F347" s="68" t="n">
        <v>12</v>
      </c>
      <c r="G347" s="68" t="inlineStr">
        <is>
          <t>COX/NF-kB inhibition; GABAergic modulation; multi-target signaling modulation</t>
        </is>
      </c>
      <c r="H347" s="68" t="inlineStr">
        <is>
          <t>inferred_plus_trusted_gov; trusted_gov_added</t>
        </is>
      </c>
    </row>
    <row r="348">
      <c r="A348" s="68" t="inlineStr">
        <is>
          <t>inflammatory_pathway_modulation</t>
        </is>
      </c>
      <c r="B348" s="68" t="inlineStr">
        <is>
          <t>rosmarinic acid</t>
        </is>
      </c>
      <c r="C348" s="68" t="inlineStr">
        <is>
          <t>rosmarinic acid</t>
        </is>
      </c>
      <c r="D348" s="68" t="inlineStr">
        <is>
          <t>dracocephalum-moldavica; glechoma-hederacea; melissa-officinalis; melissa-officinalis-lemon-balm; mentha-piperita; nepeta-cataria; ocimum-sanctum; prunella-vulgaris; rosmarinus-officinalis; salvia-officinalis; symphytum-officinale; tulsi</t>
        </is>
      </c>
      <c r="E348" s="68" t="inlineStr">
        <is>
          <t>catnip; dracocephalum moldavica; glechoma hederacea; holy basil; lemon balm; melissa officinalis; melissa officinalis (lemon balm); ocimum sanctum; peppermint; prunella vulgaris; rosmarinus officinalis; salvia officinalis; symphytum officinale; tulsi</t>
        </is>
      </c>
      <c r="F348" s="68" t="n">
        <v>12</v>
      </c>
      <c r="G348" s="68" t="inlineStr">
        <is>
          <t>COX/NF-kB inhibition; GABAergic modulation; multi-target signaling modulation</t>
        </is>
      </c>
      <c r="H348" s="68" t="inlineStr">
        <is>
          <t>inferred_plus_trusted_gov; trusted_gov_added</t>
        </is>
      </c>
    </row>
    <row r="349">
      <c r="A349" s="68" t="inlineStr">
        <is>
          <t>endocannabinoid_modulation</t>
        </is>
      </c>
      <c r="B349" s="68" t="inlineStr">
        <is>
          <t>cannabidiol</t>
        </is>
      </c>
      <c r="C349" s="68" t="inlineStr">
        <is>
          <t>cannabidiol</t>
        </is>
      </c>
      <c r="D349" s="68" t="inlineStr">
        <is>
          <t>cbd</t>
        </is>
      </c>
      <c r="E349" s="68" t="inlineStr">
        <is>
          <t>cbd</t>
        </is>
      </c>
      <c r="F349" s="68" t="n">
        <v>1</v>
      </c>
      <c r="G349" s="68" t="inlineStr">
        <is>
          <t>multi-target signaling modulation</t>
        </is>
      </c>
      <c r="H349" s="68" t="inlineStr">
        <is>
          <t>trusted_gov_added</t>
        </is>
      </c>
    </row>
    <row r="350">
      <c r="A350" s="68" t="inlineStr">
        <is>
          <t>general or unknown targets</t>
        </is>
      </c>
      <c r="B350" s="68" t="inlineStr">
        <is>
          <t>chlorogenic acid</t>
        </is>
      </c>
      <c r="C350" s="68" t="inlineStr">
        <is>
          <t>chlorogenic acid</t>
        </is>
      </c>
      <c r="D350" s="68" t="inlineStr">
        <is>
          <t>cecropia-peltata; lonicera-japonica; moringa-oleifera</t>
        </is>
      </c>
      <c r="E350" s="68" t="inlineStr">
        <is>
          <t>cecropia peltata; lonicera japonica; moringa oleifera</t>
        </is>
      </c>
      <c r="F350" s="68" t="n">
        <v>3</v>
      </c>
      <c r="G350" s="68" t="inlineStr">
        <is>
          <t>multi-target signaling modulation</t>
        </is>
      </c>
      <c r="H350" s="68" t="inlineStr">
        <is>
          <t>inferred_plus_trusted_gov</t>
        </is>
      </c>
    </row>
    <row r="351">
      <c r="A351" s="68" t="inlineStr">
        <is>
          <t>general or unknown targets</t>
        </is>
      </c>
      <c r="B351" s="68" t="inlineStr">
        <is>
          <t>beta-amyrin</t>
        </is>
      </c>
      <c r="C351" s="68" t="inlineStr">
        <is>
          <t>beta-amyrin</t>
        </is>
      </c>
      <c r="D351" s="68" t="inlineStr">
        <is>
          <t>celastrus-paniculatus; celastrus-paniculatus-intellect-tree</t>
        </is>
      </c>
      <c r="E351" s="68" t="inlineStr">
        <is>
          <t>celastrus paniculatus; celastrus paniculatus (intellect tree)</t>
        </is>
      </c>
      <c r="F351" s="68" t="n">
        <v>2</v>
      </c>
      <c r="G351" s="68" t="inlineStr">
        <is>
          <t>multi-target signaling modulation</t>
        </is>
      </c>
      <c r="H351" s="68" t="inlineStr">
        <is>
          <t>trusted_gov_added</t>
        </is>
      </c>
    </row>
    <row r="352">
      <c r="A352" s="68" t="inlineStr">
        <is>
          <t>general or unknown targets</t>
        </is>
      </c>
      <c r="B352" s="68" t="inlineStr">
        <is>
          <t>celastrine</t>
        </is>
      </c>
      <c r="C352" s="68" t="inlineStr">
        <is>
          <t>celastrine</t>
        </is>
      </c>
      <c r="D352" s="68" t="inlineStr">
        <is>
          <t>celastrus-paniculatus; celastrus-paniculatus-intellect-tree</t>
        </is>
      </c>
      <c r="E352" s="68" t="inlineStr">
        <is>
          <t>celastrus paniculatus; celastrus paniculatus (intellect tree)</t>
        </is>
      </c>
      <c r="F352" s="68" t="n">
        <v>2</v>
      </c>
      <c r="G352" s="68" t="inlineStr">
        <is>
          <t>multi-target signaling modulation</t>
        </is>
      </c>
      <c r="H352" s="68" t="inlineStr">
        <is>
          <t>trusted_gov_added</t>
        </is>
      </c>
    </row>
    <row r="353">
      <c r="A353" s="68" t="inlineStr">
        <is>
          <t>general or unknown targets</t>
        </is>
      </c>
      <c r="B353" s="68" t="inlineStr">
        <is>
          <t>lupeol</t>
        </is>
      </c>
      <c r="C353" s="68" t="inlineStr">
        <is>
          <t>lupeol</t>
        </is>
      </c>
      <c r="D353" s="68" t="inlineStr">
        <is>
          <t>celastrus-paniculatus; celastrus-paniculatus-intellect-tree</t>
        </is>
      </c>
      <c r="E353" s="68" t="inlineStr">
        <is>
          <t>celastrus paniculatus; celastrus paniculatus (intellect tree)</t>
        </is>
      </c>
      <c r="F353" s="68" t="n">
        <v>2</v>
      </c>
      <c r="G353" s="68" t="inlineStr">
        <is>
          <t>multi-target signaling modulation</t>
        </is>
      </c>
      <c r="H353" s="68" t="inlineStr">
        <is>
          <t>trusted_gov_added</t>
        </is>
      </c>
    </row>
    <row r="354">
      <c r="A354" s="68" t="inlineStr">
        <is>
          <t>general or unknown targets</t>
        </is>
      </c>
      <c r="B354" s="68" t="inlineStr">
        <is>
          <t>celapanin</t>
        </is>
      </c>
      <c r="C354" s="68" t="inlineStr">
        <is>
          <t>celapanin</t>
        </is>
      </c>
      <c r="D354" s="68" t="inlineStr">
        <is>
          <t>celastrus-paniculatus; celastrus-paniculatus-intellect-tree</t>
        </is>
      </c>
      <c r="E354" s="68" t="inlineStr">
        <is>
          <t>celastrus paniculatus; celastrus paniculatus (intellect tree)</t>
        </is>
      </c>
      <c r="F354" s="68" t="n">
        <v>2</v>
      </c>
      <c r="G354" s="68" t="inlineStr">
        <is>
          <t>multi-target signaling modulation</t>
        </is>
      </c>
      <c r="H354" s="68" t="inlineStr">
        <is>
          <t>trusted_gov_added</t>
        </is>
      </c>
    </row>
    <row r="355">
      <c r="A355" s="68" t="inlineStr">
        <is>
          <t>general or unknown targets</t>
        </is>
      </c>
      <c r="B355" s="68" t="inlineStr">
        <is>
          <t>celapagin</t>
        </is>
      </c>
      <c r="C355" s="68" t="inlineStr">
        <is>
          <t>celapagin</t>
        </is>
      </c>
      <c r="D355" s="68" t="inlineStr">
        <is>
          <t>celastrus-paniculatus; celastrus-paniculatus-intellect-tree</t>
        </is>
      </c>
      <c r="E355" s="68" t="inlineStr">
        <is>
          <t>celastrus paniculatus; celastrus paniculatus (intellect tree)</t>
        </is>
      </c>
      <c r="F355" s="68" t="n">
        <v>2</v>
      </c>
      <c r="G355" s="68" t="inlineStr">
        <is>
          <t>multi-target signaling modulation</t>
        </is>
      </c>
      <c r="H355" s="68" t="inlineStr">
        <is>
          <t>trusted_gov_added</t>
        </is>
      </c>
    </row>
    <row r="356">
      <c r="A356" s="68" t="inlineStr">
        <is>
          <t>general or unknown targets</t>
        </is>
      </c>
      <c r="B356" s="68" t="inlineStr">
        <is>
          <t>paniculatin</t>
        </is>
      </c>
      <c r="C356" s="68" t="inlineStr">
        <is>
          <t>paniculatin</t>
        </is>
      </c>
      <c r="D356" s="68" t="inlineStr">
        <is>
          <t>celastrus-paniculatus; celastrus-paniculatus-intellect-tree</t>
        </is>
      </c>
      <c r="E356" s="68" t="inlineStr">
        <is>
          <t>celastrus paniculatus; celastrus paniculatus (intellect tree)</t>
        </is>
      </c>
      <c r="F356" s="68" t="n">
        <v>2</v>
      </c>
      <c r="G356" s="68" t="inlineStr">
        <is>
          <t>multi-target signaling modulation</t>
        </is>
      </c>
      <c r="H356" s="68" t="inlineStr">
        <is>
          <t>trusted_gov_added</t>
        </is>
      </c>
    </row>
    <row r="357">
      <c r="A357" s="68" t="inlineStr">
        <is>
          <t>general or unknown targets</t>
        </is>
      </c>
      <c r="B357" s="68" t="inlineStr">
        <is>
          <t>pristimerin</t>
        </is>
      </c>
      <c r="C357" s="68" t="inlineStr">
        <is>
          <t>pristimerin</t>
        </is>
      </c>
      <c r="D357" s="68" t="inlineStr">
        <is>
          <t>celastrus-paniculatus; celastrus-paniculatus-intellect-tree</t>
        </is>
      </c>
      <c r="E357" s="68" t="inlineStr">
        <is>
          <t>celastrus paniculatus; celastrus paniculatus (intellect tree)</t>
        </is>
      </c>
      <c r="F357" s="68" t="n">
        <v>2</v>
      </c>
      <c r="G357" s="68" t="inlineStr">
        <is>
          <t>multi-target signaling modulation</t>
        </is>
      </c>
      <c r="H357" s="68" t="inlineStr">
        <is>
          <t>trusted_gov_added</t>
        </is>
      </c>
    </row>
    <row r="358">
      <c r="A358" s="68" t="inlineStr">
        <is>
          <t>general or unknown targets</t>
        </is>
      </c>
      <c r="B358" s="68" t="inlineStr">
        <is>
          <t>gentiopicroside</t>
        </is>
      </c>
      <c r="C358" s="68" t="inlineStr">
        <is>
          <t>gentiopicroside</t>
        </is>
      </c>
      <c r="D358" s="68" t="inlineStr">
        <is>
          <t>centaurium-erythraea; gentiana-lutea</t>
        </is>
      </c>
      <c r="E358" s="68" t="inlineStr">
        <is>
          <t>centaurium erythraea; gentiana lutea</t>
        </is>
      </c>
      <c r="F358" s="68" t="n">
        <v>2</v>
      </c>
      <c r="G358" s="68" t="inlineStr">
        <is>
          <t>multi-target signaling modulation</t>
        </is>
      </c>
      <c r="H358" s="68" t="inlineStr">
        <is>
          <t>inferred_plus_trusted_gov</t>
        </is>
      </c>
    </row>
    <row r="359">
      <c r="A359" s="68" t="inlineStr">
        <is>
          <t>general or unknown targets</t>
        </is>
      </c>
      <c r="B359" s="68" t="inlineStr">
        <is>
          <t>swertiamarin</t>
        </is>
      </c>
      <c r="C359" s="68" t="inlineStr">
        <is>
          <t>swertiamarin</t>
        </is>
      </c>
      <c r="D359" s="68" t="inlineStr">
        <is>
          <t>centaurium-erythraea</t>
        </is>
      </c>
      <c r="E359" s="68" t="inlineStr">
        <is>
          <t>centaurium erythraea</t>
        </is>
      </c>
      <c r="F359" s="68" t="n">
        <v>1</v>
      </c>
      <c r="G359" s="68" t="inlineStr">
        <is>
          <t>multi-target signaling modulation</t>
        </is>
      </c>
      <c r="H359" s="68" t="inlineStr">
        <is>
          <t>inferred_plus_trusted_gov</t>
        </is>
      </c>
    </row>
    <row r="360">
      <c r="A360" s="68" t="inlineStr">
        <is>
          <t>general or unknown targets</t>
        </is>
      </c>
      <c r="B360" s="68" t="inlineStr">
        <is>
          <t>madecassoside</t>
        </is>
      </c>
      <c r="C360" s="68" t="inlineStr">
        <is>
          <t>madecassoside</t>
        </is>
      </c>
      <c r="D360" s="68" t="inlineStr">
        <is>
          <t>centella-asiatica; gotu-kola</t>
        </is>
      </c>
      <c r="E360" s="68" t="inlineStr">
        <is>
          <t>centella asiatica; gotu kola</t>
        </is>
      </c>
      <c r="F360" s="68" t="n">
        <v>2</v>
      </c>
      <c r="G360" s="68" t="inlineStr">
        <is>
          <t>COX/NF-kB inhibition; multi-target signaling modulation</t>
        </is>
      </c>
      <c r="H360" s="68" t="inlineStr">
        <is>
          <t>inferred_plus_trusted_gov; trusted_gov_added</t>
        </is>
      </c>
    </row>
    <row r="361">
      <c r="A361" s="68" t="inlineStr">
        <is>
          <t>inflammatory_pathway_modulation</t>
        </is>
      </c>
      <c r="B361" s="68" t="inlineStr">
        <is>
          <t>madecassoside</t>
        </is>
      </c>
      <c r="C361" s="68" t="inlineStr">
        <is>
          <t>madecassoside</t>
        </is>
      </c>
      <c r="D361" s="68" t="inlineStr">
        <is>
          <t>centella-asiatica; gotu-kola</t>
        </is>
      </c>
      <c r="E361" s="68" t="inlineStr">
        <is>
          <t>centella asiatica; gotu kola</t>
        </is>
      </c>
      <c r="F361" s="68" t="n">
        <v>2</v>
      </c>
      <c r="G361" s="68" t="inlineStr">
        <is>
          <t>COX/NF-kB inhibition; multi-target signaling modulation</t>
        </is>
      </c>
      <c r="H361" s="68" t="inlineStr">
        <is>
          <t>inferred_plus_trusted_gov; trusted_gov_added</t>
        </is>
      </c>
    </row>
    <row r="362">
      <c r="A362" s="68" t="inlineStr">
        <is>
          <t>general or unknown targets</t>
        </is>
      </c>
      <c r="B362" s="68" t="inlineStr">
        <is>
          <t>asiatic acid</t>
        </is>
      </c>
      <c r="C362" s="68" t="inlineStr">
        <is>
          <t>asiatic acid</t>
        </is>
      </c>
      <c r="D362" s="68" t="inlineStr">
        <is>
          <t>centella-asiatica; gotu-kola</t>
        </is>
      </c>
      <c r="E362" s="68" t="inlineStr">
        <is>
          <t>centella asiatica; gotu kola</t>
        </is>
      </c>
      <c r="F362" s="68" t="n">
        <v>2</v>
      </c>
      <c r="G362" s="68" t="inlineStr">
        <is>
          <t>COX/NF-kB inhibition; multi-target signaling modulation</t>
        </is>
      </c>
      <c r="H362" s="68" t="inlineStr">
        <is>
          <t>inferred_plus_trusted_gov; trusted_gov_added</t>
        </is>
      </c>
    </row>
    <row r="363">
      <c r="A363" s="68" t="inlineStr">
        <is>
          <t>inflammatory_pathway_modulation</t>
        </is>
      </c>
      <c r="B363" s="68" t="inlineStr">
        <is>
          <t>asiatic acid</t>
        </is>
      </c>
      <c r="C363" s="68" t="inlineStr">
        <is>
          <t>asiatic acid</t>
        </is>
      </c>
      <c r="D363" s="68" t="inlineStr">
        <is>
          <t>centella-asiatica; gotu-kola</t>
        </is>
      </c>
      <c r="E363" s="68" t="inlineStr">
        <is>
          <t>centella asiatica; gotu kola</t>
        </is>
      </c>
      <c r="F363" s="68" t="n">
        <v>2</v>
      </c>
      <c r="G363" s="68" t="inlineStr">
        <is>
          <t>COX/NF-kB inhibition; multi-target signaling modulation</t>
        </is>
      </c>
      <c r="H363" s="68" t="inlineStr">
        <is>
          <t>inferred_plus_trusted_gov; trusted_gov_added</t>
        </is>
      </c>
    </row>
    <row r="364">
      <c r="A364" s="68" t="inlineStr">
        <is>
          <t>general or unknown targets</t>
        </is>
      </c>
      <c r="B364" s="68" t="inlineStr">
        <is>
          <t>asiaticoside</t>
        </is>
      </c>
      <c r="C364" s="68" t="inlineStr">
        <is>
          <t>asiaticoside</t>
        </is>
      </c>
      <c r="D364" s="68" t="inlineStr">
        <is>
          <t>centella-asiatica; gotu-kola</t>
        </is>
      </c>
      <c r="E364" s="68" t="inlineStr">
        <is>
          <t>centella asiatica; gotu kola</t>
        </is>
      </c>
      <c r="F364" s="68" t="n">
        <v>2</v>
      </c>
      <c r="G364" s="68" t="inlineStr">
        <is>
          <t>COX/NF-kB inhibition; multi-target signaling modulation</t>
        </is>
      </c>
      <c r="H364" s="68" t="inlineStr">
        <is>
          <t>inferred_plus_trusted_gov; trusted_gov_added</t>
        </is>
      </c>
    </row>
    <row r="365">
      <c r="A365" s="68" t="inlineStr">
        <is>
          <t>inflammatory_pathway_modulation</t>
        </is>
      </c>
      <c r="B365" s="68" t="inlineStr">
        <is>
          <t>asiaticoside</t>
        </is>
      </c>
      <c r="C365" s="68" t="inlineStr">
        <is>
          <t>asiaticoside</t>
        </is>
      </c>
      <c r="D365" s="68" t="inlineStr">
        <is>
          <t>centella-asiatica; gotu-kola</t>
        </is>
      </c>
      <c r="E365" s="68" t="inlineStr">
        <is>
          <t>centella asiatica; gotu kola</t>
        </is>
      </c>
      <c r="F365" s="68" t="n">
        <v>2</v>
      </c>
      <c r="G365" s="68" t="inlineStr">
        <is>
          <t>COX/NF-kB inhibition; multi-target signaling modulation</t>
        </is>
      </c>
      <c r="H365" s="68" t="inlineStr">
        <is>
          <t>inferred_plus_trusted_gov; trusted_gov_added</t>
        </is>
      </c>
    </row>
    <row r="366">
      <c r="A366" s="68" t="inlineStr">
        <is>
          <t>general or unknown targets</t>
        </is>
      </c>
      <c r="B366" s="68" t="inlineStr">
        <is>
          <t>emetine</t>
        </is>
      </c>
      <c r="C366" s="68" t="inlineStr">
        <is>
          <t>emetine</t>
        </is>
      </c>
      <c r="D366" s="68" t="inlineStr">
        <is>
          <t>cephaelis-ipecacuanha</t>
        </is>
      </c>
      <c r="E366" s="68" t="inlineStr">
        <is>
          <t>cephaelis ipecacuanha</t>
        </is>
      </c>
      <c r="F366" s="68" t="n">
        <v>1</v>
      </c>
      <c r="G366" s="68" t="inlineStr">
        <is>
          <t>multi-target signaling modulation</t>
        </is>
      </c>
      <c r="H366" s="68" t="inlineStr">
        <is>
          <t>inferred_plus_trusted_gov</t>
        </is>
      </c>
    </row>
    <row r="367">
      <c r="A367" s="68" t="inlineStr">
        <is>
          <t>general or unknown targets</t>
        </is>
      </c>
      <c r="B367" s="68" t="inlineStr">
        <is>
          <t>cephaeline</t>
        </is>
      </c>
      <c r="C367" s="68" t="inlineStr">
        <is>
          <t>cephaeline</t>
        </is>
      </c>
      <c r="D367" s="68" t="inlineStr">
        <is>
          <t>cephaelis-ipecacuanha</t>
        </is>
      </c>
      <c r="E367" s="68" t="inlineStr">
        <is>
          <t>cephaelis ipecacuanha</t>
        </is>
      </c>
      <c r="F367" s="68" t="n">
        <v>1</v>
      </c>
      <c r="G367" s="68" t="inlineStr">
        <is>
          <t>multi-target signaling modulation</t>
        </is>
      </c>
      <c r="H367" s="68" t="inlineStr">
        <is>
          <t>inferred_plus_trusted_gov</t>
        </is>
      </c>
    </row>
    <row r="368">
      <c r="A368" s="68" t="inlineStr">
        <is>
          <t>general or unknown targets</t>
        </is>
      </c>
      <c r="B368" s="68" t="inlineStr">
        <is>
          <t>inotodiol</t>
        </is>
      </c>
      <c r="C368" s="68" t="inlineStr">
        <is>
          <t>inotodiol</t>
        </is>
      </c>
      <c r="D368" s="68" t="inlineStr">
        <is>
          <t>inonotus-obliquus</t>
        </is>
      </c>
      <c r="E368" s="68" t="inlineStr">
        <is>
          <t>chaga (inonotus obliquus)</t>
        </is>
      </c>
      <c r="F368" s="68" t="n">
        <v>1</v>
      </c>
      <c r="G368" s="68" t="inlineStr">
        <is>
          <t>multi-target signaling modulation</t>
        </is>
      </c>
      <c r="H368" s="68" t="inlineStr">
        <is>
          <t>inferred_plus_trusted_gov</t>
        </is>
      </c>
    </row>
    <row r="369">
      <c r="A369" s="68" t="inlineStr">
        <is>
          <t>general or unknown targets</t>
        </is>
      </c>
      <c r="B369" s="68" t="inlineStr">
        <is>
          <t>betulinic acid</t>
        </is>
      </c>
      <c r="C369" s="68" t="inlineStr">
        <is>
          <t>betulinic acid</t>
        </is>
      </c>
      <c r="D369" s="68" t="inlineStr">
        <is>
          <t>inonotus-obliquus</t>
        </is>
      </c>
      <c r="E369" s="68" t="inlineStr">
        <is>
          <t>chaga (inonotus obliquus)</t>
        </is>
      </c>
      <c r="F369" s="68" t="n">
        <v>1</v>
      </c>
      <c r="G369" s="68" t="inlineStr">
        <is>
          <t>multi-target signaling modulation</t>
        </is>
      </c>
      <c r="H369" s="68" t="inlineStr">
        <is>
          <t>inferred_plus_trusted_gov</t>
        </is>
      </c>
    </row>
    <row r="370">
      <c r="A370" s="68" t="inlineStr">
        <is>
          <t>gabaergic_modulation</t>
        </is>
      </c>
      <c r="B370" s="68" t="inlineStr">
        <is>
          <t>alpha-bisabolol</t>
        </is>
      </c>
      <c r="C370" s="68" t="inlineStr">
        <is>
          <t>alpha-bisabolol</t>
        </is>
      </c>
      <c r="D370" s="68" t="inlineStr">
        <is>
          <t>matricaria-chamomilla</t>
        </is>
      </c>
      <c r="E370" s="68" t="inlineStr">
        <is>
          <t>chamomile</t>
        </is>
      </c>
      <c r="F370" s="68" t="n">
        <v>1</v>
      </c>
      <c r="G370" s="68" t="inlineStr">
        <is>
          <t>GABAergic modulation</t>
        </is>
      </c>
      <c r="H370" s="68" t="inlineStr">
        <is>
          <t>trusted_gov_added</t>
        </is>
      </c>
    </row>
    <row r="371">
      <c r="A371" s="68" t="inlineStr">
        <is>
          <t>inflammatory_pathway_modulation</t>
        </is>
      </c>
      <c r="B371" s="68" t="inlineStr">
        <is>
          <t>alpha-bisabolol</t>
        </is>
      </c>
      <c r="C371" s="68" t="inlineStr">
        <is>
          <t>alpha-bisabolol</t>
        </is>
      </c>
      <c r="D371" s="68" t="inlineStr">
        <is>
          <t>matricaria-chamomilla</t>
        </is>
      </c>
      <c r="E371" s="68" t="inlineStr">
        <is>
          <t>chamomile</t>
        </is>
      </c>
      <c r="F371" s="68" t="n">
        <v>1</v>
      </c>
      <c r="G371" s="68" t="inlineStr">
        <is>
          <t>GABAergic modulation</t>
        </is>
      </c>
      <c r="H371" s="68" t="inlineStr">
        <is>
          <t>trusted_gov_added</t>
        </is>
      </c>
    </row>
    <row r="372">
      <c r="A372" s="68" t="inlineStr">
        <is>
          <t>gabaergic_modulation</t>
        </is>
      </c>
      <c r="B372" s="68" t="inlineStr">
        <is>
          <t>chamazulene</t>
        </is>
      </c>
      <c r="C372" s="68" t="inlineStr">
        <is>
          <t>chamazulene</t>
        </is>
      </c>
      <c r="D372" s="68" t="inlineStr">
        <is>
          <t>matricaria-chamomilla</t>
        </is>
      </c>
      <c r="E372" s="68" t="inlineStr">
        <is>
          <t>chamomile; matricaria chamomilla</t>
        </is>
      </c>
      <c r="F372" s="68" t="n">
        <v>1</v>
      </c>
      <c r="G372" s="68" t="inlineStr">
        <is>
          <t>GABAergic modulation; multi-target signaling modulation</t>
        </is>
      </c>
      <c r="H372" s="68" t="inlineStr">
        <is>
          <t>inferred_plus_trusted_gov; trusted_gov_added</t>
        </is>
      </c>
    </row>
    <row r="373">
      <c r="A373" s="68" t="inlineStr">
        <is>
          <t>general or unknown targets</t>
        </is>
      </c>
      <c r="B373" s="68" t="inlineStr">
        <is>
          <t>chamazulene</t>
        </is>
      </c>
      <c r="C373" s="68" t="inlineStr">
        <is>
          <t>chamazulene</t>
        </is>
      </c>
      <c r="D373" s="68" t="inlineStr">
        <is>
          <t>matricaria-chamomilla</t>
        </is>
      </c>
      <c r="E373" s="68" t="inlineStr">
        <is>
          <t>chamomile; matricaria chamomilla</t>
        </is>
      </c>
      <c r="F373" s="68" t="n">
        <v>1</v>
      </c>
      <c r="G373" s="68" t="inlineStr">
        <is>
          <t>GABAergic modulation; multi-target signaling modulation</t>
        </is>
      </c>
      <c r="H373" s="68" t="inlineStr">
        <is>
          <t>inferred_plus_trusted_gov; trusted_gov_added</t>
        </is>
      </c>
    </row>
    <row r="374">
      <c r="A374" s="68" t="inlineStr">
        <is>
          <t>inflammatory_pathway_modulation</t>
        </is>
      </c>
      <c r="B374" s="68" t="inlineStr">
        <is>
          <t>chamazulene</t>
        </is>
      </c>
      <c r="C374" s="68" t="inlineStr">
        <is>
          <t>chamazulene</t>
        </is>
      </c>
      <c r="D374" s="68" t="inlineStr">
        <is>
          <t>matricaria-chamomilla</t>
        </is>
      </c>
      <c r="E374" s="68" t="inlineStr">
        <is>
          <t>chamomile; matricaria chamomilla</t>
        </is>
      </c>
      <c r="F374" s="68" t="n">
        <v>1</v>
      </c>
      <c r="G374" s="68" t="inlineStr">
        <is>
          <t>GABAergic modulation; multi-target signaling modulation</t>
        </is>
      </c>
      <c r="H374" s="68" t="inlineStr">
        <is>
          <t>inferred_plus_trusted_gov; trusted_gov_added</t>
        </is>
      </c>
    </row>
    <row r="375">
      <c r="A375" s="68" t="inlineStr">
        <is>
          <t>general or unknown targets</t>
        </is>
      </c>
      <c r="B375" s="68" t="inlineStr">
        <is>
          <t>chelidonine</t>
        </is>
      </c>
      <c r="C375" s="68" t="inlineStr">
        <is>
          <t>chelidonine</t>
        </is>
      </c>
      <c r="D375" s="68" t="inlineStr">
        <is>
          <t>chelidonium-majus</t>
        </is>
      </c>
      <c r="E375" s="68" t="inlineStr">
        <is>
          <t>chelidonium majus</t>
        </is>
      </c>
      <c r="F375" s="68" t="n">
        <v>1</v>
      </c>
      <c r="G375" s="68" t="inlineStr">
        <is>
          <t>multi-target signaling modulation</t>
        </is>
      </c>
      <c r="H375" s="68" t="inlineStr">
        <is>
          <t>inferred_plus_trusted_gov</t>
        </is>
      </c>
    </row>
    <row r="376">
      <c r="A376" s="68" t="inlineStr">
        <is>
          <t>PTGS1, PTGS2 (COX-1, COX-2)</t>
        </is>
      </c>
      <c r="B376" s="68" t="inlineStr">
        <is>
          <t>methyl salicylate</t>
        </is>
      </c>
      <c r="C376" s="68" t="inlineStr">
        <is>
          <t>methyl salicylate</t>
        </is>
      </c>
      <c r="D376" s="68" t="inlineStr">
        <is>
          <t>chimaphila-umbellata; viola-odorata</t>
        </is>
      </c>
      <c r="E376" s="68" t="inlineStr">
        <is>
          <t>chimaphila umbellata; viola odorata</t>
        </is>
      </c>
      <c r="F376" s="68" t="n">
        <v>2</v>
      </c>
      <c r="G376" s="68" t="inlineStr">
        <is>
          <t>cox inhibition</t>
        </is>
      </c>
      <c r="H376" s="68" t="inlineStr">
        <is>
          <t>inferred_plus_trusted_gov</t>
        </is>
      </c>
    </row>
    <row r="377">
      <c r="A377" s="68" t="inlineStr">
        <is>
          <t>gabaergic_modulation</t>
        </is>
      </c>
      <c r="B377" s="68" t="inlineStr">
        <is>
          <t>arbutin</t>
        </is>
      </c>
      <c r="C377" s="68" t="inlineStr">
        <is>
          <t>arbutin</t>
        </is>
      </c>
      <c r="D377" s="68" t="inlineStr">
        <is>
          <t>chimaphila-umbellata; turnera-diffusa</t>
        </is>
      </c>
      <c r="E377" s="68" t="inlineStr">
        <is>
          <t>chimaphila umbellata; turnera diffusa</t>
        </is>
      </c>
      <c r="F377" s="68" t="n">
        <v>2</v>
      </c>
      <c r="G377" s="68" t="inlineStr">
        <is>
          <t>GABAergic modulation; multi-target signaling modulation</t>
        </is>
      </c>
      <c r="H377" s="68" t="inlineStr">
        <is>
          <t>inferred_plus_trusted_gov; trusted_gov_added</t>
        </is>
      </c>
    </row>
    <row r="378">
      <c r="A378" s="68" t="inlineStr">
        <is>
          <t>general or unknown targets</t>
        </is>
      </c>
      <c r="B378" s="68" t="inlineStr">
        <is>
          <t>arbutin</t>
        </is>
      </c>
      <c r="C378" s="68" t="inlineStr">
        <is>
          <t>arbutin</t>
        </is>
      </c>
      <c r="D378" s="68" t="inlineStr">
        <is>
          <t>chimaphila-umbellata; turnera-diffusa</t>
        </is>
      </c>
      <c r="E378" s="68" t="inlineStr">
        <is>
          <t>chimaphila umbellata; turnera diffusa</t>
        </is>
      </c>
      <c r="F378" s="68" t="n">
        <v>2</v>
      </c>
      <c r="G378" s="68" t="inlineStr">
        <is>
          <t>GABAergic modulation; multi-target signaling modulation</t>
        </is>
      </c>
      <c r="H378" s="68" t="inlineStr">
        <is>
          <t>inferred_plus_trusted_gov; trusted_gov_added</t>
        </is>
      </c>
    </row>
    <row r="379">
      <c r="A379" s="68" t="inlineStr">
        <is>
          <t>general or unknown targets</t>
        </is>
      </c>
      <c r="B379" s="68" t="inlineStr">
        <is>
          <t>cinnamaldehyde</t>
        </is>
      </c>
      <c r="C379" s="68" t="inlineStr">
        <is>
          <t>cinnamaldehyde</t>
        </is>
      </c>
      <c r="D379" s="68" t="inlineStr">
        <is>
          <t>cinnamomum-verum</t>
        </is>
      </c>
      <c r="E379" s="68" t="inlineStr">
        <is>
          <t>cinnamomum verum</t>
        </is>
      </c>
      <c r="F379" s="68" t="n">
        <v>1</v>
      </c>
      <c r="G379" s="68" t="inlineStr">
        <is>
          <t>multi-target signaling modulation</t>
        </is>
      </c>
      <c r="H379" s="68" t="inlineStr">
        <is>
          <t>inferred_plus_trusted_gov</t>
        </is>
      </c>
    </row>
    <row r="380">
      <c r="A380" s="68" t="inlineStr">
        <is>
          <t>general or unknown targets</t>
        </is>
      </c>
      <c r="B380" s="68" t="inlineStr">
        <is>
          <t>synephrine</t>
        </is>
      </c>
      <c r="C380" s="68" t="inlineStr">
        <is>
          <t>synephrine</t>
        </is>
      </c>
      <c r="D380" s="68" t="inlineStr">
        <is>
          <t>citrus-aurantium</t>
        </is>
      </c>
      <c r="E380" s="68" t="inlineStr">
        <is>
          <t>citrus aurantium</t>
        </is>
      </c>
      <c r="F380" s="68" t="n">
        <v>1</v>
      </c>
      <c r="G380" s="68" t="inlineStr">
        <is>
          <t>multi-target signaling modulation</t>
        </is>
      </c>
      <c r="H380" s="68" t="inlineStr">
        <is>
          <t>inferred_plus_trusted_gov</t>
        </is>
      </c>
    </row>
    <row r="381">
      <c r="A381" s="68" t="inlineStr">
        <is>
          <t>general or unknown targets</t>
        </is>
      </c>
      <c r="B381" s="68" t="inlineStr">
        <is>
          <t>citric acid</t>
        </is>
      </c>
      <c r="C381" s="68" t="inlineStr">
        <is>
          <t>citric acid</t>
        </is>
      </c>
      <c r="D381" s="68" t="inlineStr">
        <is>
          <t>citrus-limon</t>
        </is>
      </c>
      <c r="E381" s="68" t="inlineStr">
        <is>
          <t>citrus limon</t>
        </is>
      </c>
      <c r="F381" s="68" t="n">
        <v>1</v>
      </c>
      <c r="G381" s="68" t="inlineStr">
        <is>
          <t>multi-target signaling modulation</t>
        </is>
      </c>
      <c r="H381" s="68" t="inlineStr">
        <is>
          <t>inferred_plus_trusted_gov</t>
        </is>
      </c>
    </row>
    <row r="382">
      <c r="A382" s="68" t="inlineStr">
        <is>
          <t>general or unknown targets</t>
        </is>
      </c>
      <c r="B382" s="68" t="inlineStr">
        <is>
          <t>protoanemonin</t>
        </is>
      </c>
      <c r="C382" s="68" t="inlineStr">
        <is>
          <t>protoanemonin</t>
        </is>
      </c>
      <c r="D382" s="68" t="inlineStr">
        <is>
          <t>clematis-vitalba</t>
        </is>
      </c>
      <c r="E382" s="68" t="inlineStr">
        <is>
          <t>clematis vitalba</t>
        </is>
      </c>
      <c r="F382" s="68" t="n">
        <v>1</v>
      </c>
      <c r="G382" s="68" t="inlineStr">
        <is>
          <t>multi-target signaling modulation</t>
        </is>
      </c>
      <c r="H382" s="68" t="inlineStr">
        <is>
          <t>inferred_plus_trusted_gov</t>
        </is>
      </c>
    </row>
    <row r="383">
      <c r="A383" s="68" t="inlineStr">
        <is>
          <t>general or unknown targets</t>
        </is>
      </c>
      <c r="B383" s="68" t="inlineStr">
        <is>
          <t>osthole</t>
        </is>
      </c>
      <c r="C383" s="68" t="inlineStr">
        <is>
          <t>osthole</t>
        </is>
      </c>
      <c r="D383" s="68" t="inlineStr">
        <is>
          <t>cnidium-monnieri</t>
        </is>
      </c>
      <c r="E383" s="68" t="inlineStr">
        <is>
          <t>cnidium monnieri</t>
        </is>
      </c>
      <c r="F383" s="68" t="n">
        <v>1</v>
      </c>
      <c r="G383" s="68" t="inlineStr">
        <is>
          <t>multi-target signaling modulation</t>
        </is>
      </c>
      <c r="H383" s="68" t="inlineStr">
        <is>
          <t>inferred_plus_trusted_gov</t>
        </is>
      </c>
    </row>
    <row r="384">
      <c r="A384" s="68" t="inlineStr">
        <is>
          <t>dopaminergic_modulation</t>
        </is>
      </c>
      <c r="B384" s="68" t="inlineStr">
        <is>
          <t>cis-cinnamoylcocaine</t>
        </is>
      </c>
      <c r="C384" s="68" t="inlineStr">
        <is>
          <t>cis-cinnamoylcocaine</t>
        </is>
      </c>
      <c r="D384" s="68" t="inlineStr">
        <is>
          <t>coca; coca-leaf</t>
        </is>
      </c>
      <c r="E384" s="68" t="inlineStr">
        <is>
          <t>coca; coca leaf</t>
        </is>
      </c>
      <c r="F384" s="68" t="n">
        <v>2</v>
      </c>
      <c r="G384" s="68" t="inlineStr">
        <is>
          <t>multi-target signaling modulation</t>
        </is>
      </c>
      <c r="H384" s="68" t="inlineStr">
        <is>
          <t>trusted_gov_added</t>
        </is>
      </c>
    </row>
    <row r="385">
      <c r="A385" s="68" t="inlineStr">
        <is>
          <t>dopaminergic_modulation</t>
        </is>
      </c>
      <c r="B385" s="68" t="inlineStr">
        <is>
          <t>tropacocaine</t>
        </is>
      </c>
      <c r="C385" s="68" t="inlineStr">
        <is>
          <t>tropacocaine</t>
        </is>
      </c>
      <c r="D385" s="68" t="inlineStr">
        <is>
          <t>coca; coca-leaf; erythroxylum-coca; erythroxylum-novogranatense</t>
        </is>
      </c>
      <c r="E385" s="68" t="inlineStr">
        <is>
          <t>coca; coca leaf; erythroxylum coca; erythroxylum novogranatense</t>
        </is>
      </c>
      <c r="F385" s="68" t="n">
        <v>4</v>
      </c>
      <c r="G385" s="68" t="inlineStr">
        <is>
          <t>multi-target signaling modulation</t>
        </is>
      </c>
      <c r="H385" s="68" t="inlineStr">
        <is>
          <t>inferred_plus_trusted_gov; trusted_gov_added</t>
        </is>
      </c>
    </row>
    <row r="386">
      <c r="A386" s="68" t="inlineStr">
        <is>
          <t>general or unknown targets</t>
        </is>
      </c>
      <c r="B386" s="68" t="inlineStr">
        <is>
          <t>tropacocaine</t>
        </is>
      </c>
      <c r="C386" s="68" t="inlineStr">
        <is>
          <t>tropacocaine</t>
        </is>
      </c>
      <c r="D386" s="68" t="inlineStr">
        <is>
          <t>coca; coca-leaf; erythroxylum-coca; erythroxylum-novogranatense</t>
        </is>
      </c>
      <c r="E386" s="68" t="inlineStr">
        <is>
          <t>coca; coca leaf; erythroxylum coca; erythroxylum novogranatense</t>
        </is>
      </c>
      <c r="F386" s="68" t="n">
        <v>4</v>
      </c>
      <c r="G386" s="68" t="inlineStr">
        <is>
          <t>multi-target signaling modulation</t>
        </is>
      </c>
      <c r="H386" s="68" t="inlineStr">
        <is>
          <t>inferred_plus_trusted_gov; trusted_gov_added</t>
        </is>
      </c>
    </row>
    <row r="387">
      <c r="A387" s="68" t="inlineStr">
        <is>
          <t>dopaminergic_modulation</t>
        </is>
      </c>
      <c r="B387" s="68" t="inlineStr">
        <is>
          <t>cuscohygrine</t>
        </is>
      </c>
      <c r="C387" s="68" t="inlineStr">
        <is>
          <t>cuscohygrine</t>
        </is>
      </c>
      <c r="D387" s="68" t="inlineStr">
        <is>
          <t>coca; coca-leaf</t>
        </is>
      </c>
      <c r="E387" s="68" t="inlineStr">
        <is>
          <t>coca; coca leaf</t>
        </is>
      </c>
      <c r="F387" s="68" t="n">
        <v>2</v>
      </c>
      <c r="G387" s="68" t="inlineStr">
        <is>
          <t>multi-target signaling modulation</t>
        </is>
      </c>
      <c r="H387" s="68" t="inlineStr">
        <is>
          <t>trusted_gov_added</t>
        </is>
      </c>
    </row>
    <row r="388">
      <c r="A388" s="68" t="inlineStr">
        <is>
          <t>dopaminergic_modulation</t>
        </is>
      </c>
      <c r="B388" s="68" t="inlineStr">
        <is>
          <t>cocaine</t>
        </is>
      </c>
      <c r="C388" s="68" t="inlineStr">
        <is>
          <t>cocaine</t>
        </is>
      </c>
      <c r="D388" s="68" t="inlineStr">
        <is>
          <t>coca; coca-leaf; erythroxylum-coca; erythroxylum-novogranatense</t>
        </is>
      </c>
      <c r="E388" s="68" t="inlineStr">
        <is>
          <t>coca; coca leaf; erythroxylum coca; erythroxylum novogranatense</t>
        </is>
      </c>
      <c r="F388" s="68" t="n">
        <v>4</v>
      </c>
      <c r="G388" s="68" t="inlineStr">
        <is>
          <t>multi-target signaling modulation</t>
        </is>
      </c>
      <c r="H388" s="68" t="inlineStr">
        <is>
          <t>inferred_plus_trusted_gov; trusted_gov_added</t>
        </is>
      </c>
    </row>
    <row r="389">
      <c r="A389" s="68" t="inlineStr">
        <is>
          <t>general or unknown targets</t>
        </is>
      </c>
      <c r="B389" s="68" t="inlineStr">
        <is>
          <t>cocaine</t>
        </is>
      </c>
      <c r="C389" s="68" t="inlineStr">
        <is>
          <t>cocaine</t>
        </is>
      </c>
      <c r="D389" s="68" t="inlineStr">
        <is>
          <t>coca; coca-leaf; erythroxylum-coca; erythroxylum-novogranatense</t>
        </is>
      </c>
      <c r="E389" s="68" t="inlineStr">
        <is>
          <t>coca; coca leaf; erythroxylum coca; erythroxylum novogranatense</t>
        </is>
      </c>
      <c r="F389" s="68" t="n">
        <v>4</v>
      </c>
      <c r="G389" s="68" t="inlineStr">
        <is>
          <t>multi-target signaling modulation</t>
        </is>
      </c>
      <c r="H389" s="68" t="inlineStr">
        <is>
          <t>inferred_plus_trusted_gov; trusted_gov_added</t>
        </is>
      </c>
    </row>
    <row r="390">
      <c r="A390" s="68" t="inlineStr">
        <is>
          <t>dopaminergic_modulation</t>
        </is>
      </c>
      <c r="B390" s="68" t="inlineStr">
        <is>
          <t>trans-cinnamoylcocaine</t>
        </is>
      </c>
      <c r="C390" s="68" t="inlineStr">
        <is>
          <t>trans-cinnamoylcocaine</t>
        </is>
      </c>
      <c r="D390" s="68" t="inlineStr">
        <is>
          <t>coca; coca-leaf</t>
        </is>
      </c>
      <c r="E390" s="68" t="inlineStr">
        <is>
          <t>coca; coca leaf</t>
        </is>
      </c>
      <c r="F390" s="68" t="n">
        <v>2</v>
      </c>
      <c r="G390" s="68" t="inlineStr">
        <is>
          <t>multi-target signaling modulation</t>
        </is>
      </c>
      <c r="H390" s="68" t="inlineStr">
        <is>
          <t>trusted_gov_added</t>
        </is>
      </c>
    </row>
    <row r="391">
      <c r="A391" s="68" t="inlineStr">
        <is>
          <t>adenosine_antagonism</t>
        </is>
      </c>
      <c r="B391" s="68" t="inlineStr">
        <is>
          <t>trigonelline</t>
        </is>
      </c>
      <c r="C391" s="68" t="inlineStr">
        <is>
          <t>trigonelline</t>
        </is>
      </c>
      <c r="D391" s="68" t="inlineStr">
        <is>
          <t>coffea-arabica; coffee</t>
        </is>
      </c>
      <c r="E391" s="68" t="inlineStr">
        <is>
          <t>coffea arabica; coffee</t>
        </is>
      </c>
      <c r="F391" s="68" t="n">
        <v>2</v>
      </c>
      <c r="G391" s="68" t="inlineStr">
        <is>
          <t>adenosine receptor antagonism</t>
        </is>
      </c>
      <c r="H391" s="68" t="inlineStr">
        <is>
          <t>inferred_plus_trusted_gov; trusted_gov_added</t>
        </is>
      </c>
    </row>
    <row r="392">
      <c r="A392" s="68" t="inlineStr">
        <is>
          <t>adenosine_antagonism</t>
        </is>
      </c>
      <c r="B392" s="68" t="inlineStr">
        <is>
          <t>cafestol</t>
        </is>
      </c>
      <c r="C392" s="68" t="inlineStr">
        <is>
          <t>cafestol</t>
        </is>
      </c>
      <c r="D392" s="68" t="inlineStr">
        <is>
          <t>coffee</t>
        </is>
      </c>
      <c r="E392" s="68" t="inlineStr">
        <is>
          <t>coffee</t>
        </is>
      </c>
      <c r="F392" s="68" t="n">
        <v>1</v>
      </c>
      <c r="G392" s="68" t="inlineStr">
        <is>
          <t>adenosine receptor antagonism</t>
        </is>
      </c>
      <c r="H392" s="68" t="inlineStr">
        <is>
          <t>trusted_gov_added</t>
        </is>
      </c>
    </row>
    <row r="393">
      <c r="A393" s="68" t="inlineStr">
        <is>
          <t>adenosine_antagonism</t>
        </is>
      </c>
      <c r="B393" s="68" t="inlineStr">
        <is>
          <t>kahweol</t>
        </is>
      </c>
      <c r="C393" s="68" t="inlineStr">
        <is>
          <t>kahweol</t>
        </is>
      </c>
      <c r="D393" s="68" t="inlineStr">
        <is>
          <t>coffee</t>
        </is>
      </c>
      <c r="E393" s="68" t="inlineStr">
        <is>
          <t>coffee</t>
        </is>
      </c>
      <c r="F393" s="68" t="n">
        <v>1</v>
      </c>
      <c r="G393" s="68" t="inlineStr">
        <is>
          <t>adenosine receptor antagonism</t>
        </is>
      </c>
      <c r="H393" s="68" t="inlineStr">
        <is>
          <t>trusted_gov_added</t>
        </is>
      </c>
    </row>
    <row r="394">
      <c r="A394" s="68" t="inlineStr">
        <is>
          <t>general or unknown targets</t>
        </is>
      </c>
      <c r="B394" s="68" t="inlineStr">
        <is>
          <t>coniine</t>
        </is>
      </c>
      <c r="C394" s="68" t="inlineStr">
        <is>
          <t>coniine</t>
        </is>
      </c>
      <c r="D394" s="68" t="inlineStr">
        <is>
          <t>conium-maculatum</t>
        </is>
      </c>
      <c r="E394" s="68" t="inlineStr">
        <is>
          <t>conium maculatum</t>
        </is>
      </c>
      <c r="F394" s="68" t="n">
        <v>1</v>
      </c>
      <c r="G394" s="68" t="inlineStr">
        <is>
          <t>multi-target signaling modulation</t>
        </is>
      </c>
      <c r="H394" s="68" t="inlineStr">
        <is>
          <t>inferred_plus_trusted_gov</t>
        </is>
      </c>
    </row>
    <row r="395">
      <c r="A395" s="68" t="inlineStr">
        <is>
          <t>general or unknown targets</t>
        </is>
      </c>
      <c r="B395" s="68" t="inlineStr">
        <is>
          <t>conhydrine</t>
        </is>
      </c>
      <c r="C395" s="68" t="inlineStr">
        <is>
          <t>conhydrine</t>
        </is>
      </c>
      <c r="D395" s="68" t="inlineStr">
        <is>
          <t>conium-maculatum</t>
        </is>
      </c>
      <c r="E395" s="68" t="inlineStr">
        <is>
          <t>conium maculatum</t>
        </is>
      </c>
      <c r="F395" s="68" t="n">
        <v>1</v>
      </c>
      <c r="G395" s="68" t="inlineStr">
        <is>
          <t>multi-target signaling modulation</t>
        </is>
      </c>
      <c r="H395" s="68" t="inlineStr">
        <is>
          <t>inferred_plus_trusted_gov</t>
        </is>
      </c>
    </row>
    <row r="396">
      <c r="A396" s="68" t="inlineStr">
        <is>
          <t>general or unknown targets</t>
        </is>
      </c>
      <c r="B396" s="68" t="inlineStr">
        <is>
          <t>convallatoxin</t>
        </is>
      </c>
      <c r="C396" s="68" t="inlineStr">
        <is>
          <t>convallatoxin</t>
        </is>
      </c>
      <c r="D396" s="68" t="inlineStr">
        <is>
          <t>convallaria-majalis</t>
        </is>
      </c>
      <c r="E396" s="68" t="inlineStr">
        <is>
          <t>convallaria majalis</t>
        </is>
      </c>
      <c r="F396" s="68" t="n">
        <v>1</v>
      </c>
      <c r="G396" s="68" t="inlineStr">
        <is>
          <t>multi-target signaling modulation</t>
        </is>
      </c>
      <c r="H396" s="68" t="inlineStr">
        <is>
          <t>inferred_plus_trusted_gov</t>
        </is>
      </c>
    </row>
    <row r="397">
      <c r="A397" s="68" t="inlineStr">
        <is>
          <t>general or unknown targets</t>
        </is>
      </c>
      <c r="B397" s="68" t="inlineStr">
        <is>
          <t>convalloside cardiac glycosides</t>
        </is>
      </c>
      <c r="C397" s="68" t="inlineStr">
        <is>
          <t>convalloside (cardiac glycosides)</t>
        </is>
      </c>
      <c r="D397" s="68" t="inlineStr">
        <is>
          <t>convallaria-majalis</t>
        </is>
      </c>
      <c r="E397" s="68" t="inlineStr">
        <is>
          <t>convallaria majalis</t>
        </is>
      </c>
      <c r="F397" s="68" t="n">
        <v>1</v>
      </c>
      <c r="G397" s="68" t="inlineStr">
        <is>
          <t>multi-target signaling modulation</t>
        </is>
      </c>
      <c r="H397" s="68" t="inlineStr">
        <is>
          <t>inferred_plus_trusted_gov</t>
        </is>
      </c>
    </row>
    <row r="398">
      <c r="A398" s="68" t="inlineStr">
        <is>
          <t>general or unknown targets</t>
        </is>
      </c>
      <c r="B398" s="68" t="inlineStr">
        <is>
          <t>copalic acid</t>
        </is>
      </c>
      <c r="C398" s="68" t="inlineStr">
        <is>
          <t>copalic acid</t>
        </is>
      </c>
      <c r="D398" s="68" t="inlineStr">
        <is>
          <t>copaifera-officinalis</t>
        </is>
      </c>
      <c r="E398" s="68" t="inlineStr">
        <is>
          <t>copaifera officinalis</t>
        </is>
      </c>
      <c r="F398" s="68" t="n">
        <v>1</v>
      </c>
      <c r="G398" s="68" t="inlineStr">
        <is>
          <t>multi-target signaling modulation</t>
        </is>
      </c>
      <c r="H398" s="68" t="inlineStr">
        <is>
          <t>inferred_plus_trusted_gov</t>
        </is>
      </c>
    </row>
    <row r="399">
      <c r="A399" s="68" t="inlineStr">
        <is>
          <t>general or unknown targets</t>
        </is>
      </c>
      <c r="B399" s="68" t="inlineStr">
        <is>
          <t>palmatine</t>
        </is>
      </c>
      <c r="C399" s="68" t="inlineStr">
        <is>
          <t>palmatine</t>
        </is>
      </c>
      <c r="D399" s="68" t="inlineStr">
        <is>
          <t>coptis-chinensis; phellodendron-amurense</t>
        </is>
      </c>
      <c r="E399" s="68" t="inlineStr">
        <is>
          <t>coptis chinensis; phellodendron amurense</t>
        </is>
      </c>
      <c r="F399" s="68" t="n">
        <v>2</v>
      </c>
      <c r="G399" s="68" t="inlineStr">
        <is>
          <t>multi-target signaling modulation</t>
        </is>
      </c>
      <c r="H399" s="68" t="inlineStr">
        <is>
          <t>inferred_plus_trusted_gov</t>
        </is>
      </c>
    </row>
    <row r="400">
      <c r="A400" s="68" t="inlineStr">
        <is>
          <t>general or unknown targets</t>
        </is>
      </c>
      <c r="B400" s="68" t="inlineStr">
        <is>
          <t>coptisine</t>
        </is>
      </c>
      <c r="C400" s="68" t="inlineStr">
        <is>
          <t>coptisine</t>
        </is>
      </c>
      <c r="D400" s="68" t="inlineStr">
        <is>
          <t>coptis-chinensis</t>
        </is>
      </c>
      <c r="E400" s="68" t="inlineStr">
        <is>
          <t>coptis chinensis</t>
        </is>
      </c>
      <c r="F400" s="68" t="n">
        <v>1</v>
      </c>
      <c r="G400" s="68" t="inlineStr">
        <is>
          <t>multi-target signaling modulation</t>
        </is>
      </c>
      <c r="H400" s="68" t="inlineStr">
        <is>
          <t>inferred_plus_trusted_gov</t>
        </is>
      </c>
    </row>
    <row r="401">
      <c r="A401" s="68" t="inlineStr">
        <is>
          <t>adenosine_antagonism</t>
        </is>
      </c>
      <c r="B401" s="68" t="inlineStr">
        <is>
          <t>adenosine</t>
        </is>
      </c>
      <c r="C401" s="68" t="inlineStr">
        <is>
          <t>adenosine</t>
        </is>
      </c>
      <c r="D401" s="68" t="inlineStr">
        <is>
          <t>cordyceps-sinensis</t>
        </is>
      </c>
      <c r="E401" s="68" t="inlineStr">
        <is>
          <t>cordyceps sinensis</t>
        </is>
      </c>
      <c r="F401" s="68" t="n">
        <v>1</v>
      </c>
      <c r="G401" s="68" t="inlineStr">
        <is>
          <t>adenosine receptor antagonism</t>
        </is>
      </c>
      <c r="H401" s="68" t="inlineStr">
        <is>
          <t>inferred_plus_trusted_gov</t>
        </is>
      </c>
    </row>
    <row r="402">
      <c r="A402" s="68" t="inlineStr">
        <is>
          <t>adenosine_antagonism</t>
        </is>
      </c>
      <c r="B402" s="68" t="inlineStr">
        <is>
          <t>cordycepin</t>
        </is>
      </c>
      <c r="C402" s="68" t="inlineStr">
        <is>
          <t>cordycepin</t>
        </is>
      </c>
      <c r="D402" s="68" t="inlineStr">
        <is>
          <t>cordyceps-sinensis</t>
        </is>
      </c>
      <c r="E402" s="68" t="inlineStr">
        <is>
          <t>cordyceps sinensis</t>
        </is>
      </c>
      <c r="F402" s="68" t="n">
        <v>1</v>
      </c>
      <c r="G402" s="68" t="inlineStr">
        <is>
          <t>adenosine receptor antagonism</t>
        </is>
      </c>
      <c r="H402" s="68" t="inlineStr">
        <is>
          <t>inferred_plus_trusted_gov</t>
        </is>
      </c>
    </row>
    <row r="403">
      <c r="A403" s="68" t="inlineStr">
        <is>
          <t>general or unknown targets</t>
        </is>
      </c>
      <c r="B403" s="68" t="inlineStr">
        <is>
          <t>morroniside</t>
        </is>
      </c>
      <c r="C403" s="68" t="inlineStr">
        <is>
          <t>morroniside</t>
        </is>
      </c>
      <c r="D403" s="68" t="inlineStr">
        <is>
          <t>cornus-officinalis</t>
        </is>
      </c>
      <c r="E403" s="68" t="inlineStr">
        <is>
          <t>cornus officinalis</t>
        </is>
      </c>
      <c r="F403" s="68" t="n">
        <v>1</v>
      </c>
      <c r="G403" s="68" t="inlineStr">
        <is>
          <t>multi-target signaling modulation</t>
        </is>
      </c>
      <c r="H403" s="68" t="inlineStr">
        <is>
          <t>inferred_plus_trusted_gov</t>
        </is>
      </c>
    </row>
    <row r="404">
      <c r="A404" s="68" t="inlineStr">
        <is>
          <t>general or unknown targets</t>
        </is>
      </c>
      <c r="B404" s="68" t="inlineStr">
        <is>
          <t>loganin</t>
        </is>
      </c>
      <c r="C404" s="68" t="inlineStr">
        <is>
          <t>loganin</t>
        </is>
      </c>
      <c r="D404" s="68" t="inlineStr">
        <is>
          <t>cornus-officinalis</t>
        </is>
      </c>
      <c r="E404" s="68" t="inlineStr">
        <is>
          <t>cornus officinalis</t>
        </is>
      </c>
      <c r="F404" s="68" t="n">
        <v>1</v>
      </c>
      <c r="G404" s="68" t="inlineStr">
        <is>
          <t>multi-target signaling modulation</t>
        </is>
      </c>
      <c r="H404" s="68" t="inlineStr">
        <is>
          <t>inferred_plus_trusted_gov</t>
        </is>
      </c>
    </row>
    <row r="405">
      <c r="A405" s="68" t="inlineStr">
        <is>
          <t>general or unknown targets</t>
        </is>
      </c>
      <c r="B405" s="68" t="inlineStr">
        <is>
          <t>bulbocapnine</t>
        </is>
      </c>
      <c r="C405" s="68" t="inlineStr">
        <is>
          <t>bulbocapnine</t>
        </is>
      </c>
      <c r="D405" s="68" t="inlineStr">
        <is>
          <t>corydalis-cava</t>
        </is>
      </c>
      <c r="E405" s="68" t="inlineStr">
        <is>
          <t>corydalis cava</t>
        </is>
      </c>
      <c r="F405" s="68" t="n">
        <v>1</v>
      </c>
      <c r="G405" s="68" t="inlineStr">
        <is>
          <t>multi-target signaling modulation</t>
        </is>
      </c>
      <c r="H405" s="68" t="inlineStr">
        <is>
          <t>inferred_plus_trusted_gov</t>
        </is>
      </c>
    </row>
    <row r="406">
      <c r="A406" s="68" t="inlineStr">
        <is>
          <t>general or unknown targets</t>
        </is>
      </c>
      <c r="B406" s="68" t="inlineStr">
        <is>
          <t>protopine</t>
        </is>
      </c>
      <c r="C406" s="68" t="inlineStr">
        <is>
          <t>protopine</t>
        </is>
      </c>
      <c r="D406" s="68" t="inlineStr">
        <is>
          <t>corydalis-cava</t>
        </is>
      </c>
      <c r="E406" s="68" t="inlineStr">
        <is>
          <t>corydalis cava</t>
        </is>
      </c>
      <c r="F406" s="68" t="n">
        <v>1</v>
      </c>
      <c r="G406" s="68" t="inlineStr">
        <is>
          <t>multi-target signaling modulation</t>
        </is>
      </c>
      <c r="H406" s="68" t="inlineStr">
        <is>
          <t>inferred_plus_trusted_gov</t>
        </is>
      </c>
    </row>
    <row r="407">
      <c r="A407" s="68" t="inlineStr">
        <is>
          <t>dopaminergic_modulation</t>
        </is>
      </c>
      <c r="B407" s="68" t="inlineStr">
        <is>
          <t>corydaline</t>
        </is>
      </c>
      <c r="C407" s="68" t="inlineStr">
        <is>
          <t>corydaline</t>
        </is>
      </c>
      <c r="D407" s="68" t="inlineStr">
        <is>
          <t>corydalis-cava; corydalis-yanhusuo</t>
        </is>
      </c>
      <c r="E407" s="68" t="inlineStr">
        <is>
          <t>corydalis cava; corydalis yanhusuo</t>
        </is>
      </c>
      <c r="F407" s="68" t="n">
        <v>2</v>
      </c>
      <c r="G407" s="68" t="inlineStr">
        <is>
          <t>multi-target signaling modulation</t>
        </is>
      </c>
      <c r="H407" s="68" t="inlineStr">
        <is>
          <t>inferred_plus_trusted_gov; trusted_gov_added</t>
        </is>
      </c>
    </row>
    <row r="408">
      <c r="A408" s="68" t="inlineStr">
        <is>
          <t>general or unknown targets</t>
        </is>
      </c>
      <c r="B408" s="68" t="inlineStr">
        <is>
          <t>corydaline</t>
        </is>
      </c>
      <c r="C408" s="68" t="inlineStr">
        <is>
          <t>corydaline</t>
        </is>
      </c>
      <c r="D408" s="68" t="inlineStr">
        <is>
          <t>corydalis-cava; corydalis-yanhusuo</t>
        </is>
      </c>
      <c r="E408" s="68" t="inlineStr">
        <is>
          <t>corydalis cava; corydalis yanhusuo</t>
        </is>
      </c>
      <c r="F408" s="68" t="n">
        <v>2</v>
      </c>
      <c r="G408" s="68" t="inlineStr">
        <is>
          <t>multi-target signaling modulation</t>
        </is>
      </c>
      <c r="H408" s="68" t="inlineStr">
        <is>
          <t>inferred_plus_trusted_gov; trusted_gov_added</t>
        </is>
      </c>
    </row>
    <row r="409">
      <c r="A409" s="68" t="inlineStr">
        <is>
          <t>dopaminergic_modulation</t>
        </is>
      </c>
      <c r="B409" s="68" t="inlineStr">
        <is>
          <t>isocorypalmine</t>
        </is>
      </c>
      <c r="C409" s="68" t="inlineStr">
        <is>
          <t>isocorypalmine</t>
        </is>
      </c>
      <c r="D409" s="68" t="inlineStr">
        <is>
          <t>corydalis-yanhusuo</t>
        </is>
      </c>
      <c r="E409" s="68" t="inlineStr">
        <is>
          <t>corydalis yanhusuo</t>
        </is>
      </c>
      <c r="F409" s="68" t="n">
        <v>1</v>
      </c>
      <c r="G409" s="68" t="inlineStr">
        <is>
          <t>multi-target signaling modulation</t>
        </is>
      </c>
      <c r="H409" s="68" t="inlineStr">
        <is>
          <t>trusted_gov_added</t>
        </is>
      </c>
    </row>
    <row r="410">
      <c r="A410" s="68" t="inlineStr">
        <is>
          <t>dopaminergic_modulation</t>
        </is>
      </c>
      <c r="B410" s="68" t="inlineStr">
        <is>
          <t>dehydrocorybulbine</t>
        </is>
      </c>
      <c r="C410" s="68" t="inlineStr">
        <is>
          <t>dehydrocorybulbine</t>
        </is>
      </c>
      <c r="D410" s="68" t="inlineStr">
        <is>
          <t>corydalis-yanhusuo</t>
        </is>
      </c>
      <c r="E410" s="68" t="inlineStr">
        <is>
          <t>corydalis yanhusuo</t>
        </is>
      </c>
      <c r="F410" s="68" t="n">
        <v>1</v>
      </c>
      <c r="G410" s="68" t="inlineStr">
        <is>
          <t>multi-target signaling modulation</t>
        </is>
      </c>
      <c r="H410" s="68" t="inlineStr">
        <is>
          <t>trusted_gov_added</t>
        </is>
      </c>
    </row>
    <row r="411">
      <c r="A411" s="68" t="inlineStr">
        <is>
          <t>dopaminergic_modulation</t>
        </is>
      </c>
      <c r="B411" s="68" t="inlineStr">
        <is>
          <t>tetrahydropalmatine</t>
        </is>
      </c>
      <c r="C411" s="68" t="inlineStr">
        <is>
          <t>tetrahydropalmatine</t>
        </is>
      </c>
      <c r="D411" s="68" t="inlineStr">
        <is>
          <t>corydalis-yanhusuo</t>
        </is>
      </c>
      <c r="E411" s="68" t="inlineStr">
        <is>
          <t>corydalis yanhusuo</t>
        </is>
      </c>
      <c r="F411" s="68" t="n">
        <v>1</v>
      </c>
      <c r="G411" s="68" t="inlineStr">
        <is>
          <t>multi-target signaling modulation</t>
        </is>
      </c>
      <c r="H411" s="68" t="inlineStr">
        <is>
          <t>trusted_gov_added</t>
        </is>
      </c>
    </row>
    <row r="412">
      <c r="A412" s="68" t="inlineStr">
        <is>
          <t>general or unknown targets</t>
        </is>
      </c>
      <c r="B412" s="68" t="inlineStr">
        <is>
          <t>picrocrocin</t>
        </is>
      </c>
      <c r="C412" s="68" t="inlineStr">
        <is>
          <t>picrocrocin</t>
        </is>
      </c>
      <c r="D412" s="68" t="inlineStr">
        <is>
          <t>crocus-sativus</t>
        </is>
      </c>
      <c r="E412" s="68" t="inlineStr">
        <is>
          <t>crocus sativus</t>
        </is>
      </c>
      <c r="F412" s="68" t="n">
        <v>1</v>
      </c>
      <c r="G412" s="68" t="inlineStr">
        <is>
          <t>multi-target signaling modulation</t>
        </is>
      </c>
      <c r="H412" s="68" t="inlineStr">
        <is>
          <t>trusted_gov_added</t>
        </is>
      </c>
    </row>
    <row r="413">
      <c r="A413" s="68" t="inlineStr">
        <is>
          <t>general or unknown targets</t>
        </is>
      </c>
      <c r="B413" s="68" t="inlineStr">
        <is>
          <t>crocin</t>
        </is>
      </c>
      <c r="C413" s="68" t="inlineStr">
        <is>
          <t>crocin</t>
        </is>
      </c>
      <c r="D413" s="68" t="inlineStr">
        <is>
          <t>crocus-sativus; gardenia-jasminoides</t>
        </is>
      </c>
      <c r="E413" s="68" t="inlineStr">
        <is>
          <t>crocus sativus; gardenia jasminoides</t>
        </is>
      </c>
      <c r="F413" s="68" t="n">
        <v>2</v>
      </c>
      <c r="G413" s="68" t="inlineStr">
        <is>
          <t>multi-target signaling modulation</t>
        </is>
      </c>
      <c r="H413" s="68" t="inlineStr">
        <is>
          <t>inferred_plus_trusted_gov; trusted_gov_added</t>
        </is>
      </c>
    </row>
    <row r="414">
      <c r="A414" s="68" t="inlineStr">
        <is>
          <t>general or unknown targets</t>
        </is>
      </c>
      <c r="B414" s="68" t="inlineStr">
        <is>
          <t>safranal</t>
        </is>
      </c>
      <c r="C414" s="68" t="inlineStr">
        <is>
          <t>safranal</t>
        </is>
      </c>
      <c r="D414" s="68" t="inlineStr">
        <is>
          <t>crocus-sativus</t>
        </is>
      </c>
      <c r="E414" s="68" t="inlineStr">
        <is>
          <t>crocus sativus</t>
        </is>
      </c>
      <c r="F414" s="68" t="n">
        <v>1</v>
      </c>
      <c r="G414" s="68" t="inlineStr">
        <is>
          <t>multi-target signaling modulation</t>
        </is>
      </c>
      <c r="H414" s="68" t="inlineStr">
        <is>
          <t>trusted_gov_added</t>
        </is>
      </c>
    </row>
    <row r="415">
      <c r="A415" s="68" t="inlineStr">
        <is>
          <t>general or unknown targets</t>
        </is>
      </c>
      <c r="B415" s="68" t="inlineStr">
        <is>
          <t>crocetin</t>
        </is>
      </c>
      <c r="C415" s="68" t="inlineStr">
        <is>
          <t>crocetin</t>
        </is>
      </c>
      <c r="D415" s="68" t="inlineStr">
        <is>
          <t>crocus-sativus</t>
        </is>
      </c>
      <c r="E415" s="68" t="inlineStr">
        <is>
          <t>crocus sativus</t>
        </is>
      </c>
      <c r="F415" s="68" t="n">
        <v>1</v>
      </c>
      <c r="G415" s="68" t="inlineStr">
        <is>
          <t>multi-target signaling modulation</t>
        </is>
      </c>
      <c r="H415" s="68" t="inlineStr">
        <is>
          <t>trusted_gov_added</t>
        </is>
      </c>
    </row>
    <row r="416">
      <c r="A416" s="68" t="inlineStr">
        <is>
          <t>general or unknown targets</t>
        </is>
      </c>
      <c r="B416" s="68" t="inlineStr">
        <is>
          <t>taspine</t>
        </is>
      </c>
      <c r="C416" s="68" t="inlineStr">
        <is>
          <t>taspine</t>
        </is>
      </c>
      <c r="D416" s="68" t="inlineStr">
        <is>
          <t>croton-lechleri</t>
        </is>
      </c>
      <c r="E416" s="68" t="inlineStr">
        <is>
          <t>croton lechleri</t>
        </is>
      </c>
      <c r="F416" s="68" t="n">
        <v>1</v>
      </c>
      <c r="G416" s="68" t="inlineStr">
        <is>
          <t>multi-target signaling modulation</t>
        </is>
      </c>
      <c r="H416" s="68" t="inlineStr">
        <is>
          <t>inferred_plus_trusted_gov</t>
        </is>
      </c>
    </row>
    <row r="417">
      <c r="A417" s="68" t="inlineStr">
        <is>
          <t>general or unknown targets</t>
        </is>
      </c>
      <c r="B417" s="68" t="inlineStr">
        <is>
          <t>turmerone</t>
        </is>
      </c>
      <c r="C417" s="68" t="inlineStr">
        <is>
          <t>turmerone</t>
        </is>
      </c>
      <c r="D417" s="68" t="inlineStr">
        <is>
          <t>curcuma-longa</t>
        </is>
      </c>
      <c r="E417" s="68" t="inlineStr">
        <is>
          <t>curcuma longa</t>
        </is>
      </c>
      <c r="F417" s="68" t="n">
        <v>1</v>
      </c>
      <c r="G417" s="68" t="inlineStr">
        <is>
          <t>multi-target signaling modulation</t>
        </is>
      </c>
      <c r="H417" s="68" t="inlineStr">
        <is>
          <t>inferred_plus_trusted_gov</t>
        </is>
      </c>
    </row>
    <row r="418">
      <c r="A418" s="68" t="inlineStr">
        <is>
          <t>general or unknown targets</t>
        </is>
      </c>
      <c r="B418" s="68" t="inlineStr">
        <is>
          <t>geraniol</t>
        </is>
      </c>
      <c r="C418" s="68" t="inlineStr">
        <is>
          <t>geraniol</t>
        </is>
      </c>
      <c r="D418" s="68" t="inlineStr">
        <is>
          <t>cymbopogon-citratus</t>
        </is>
      </c>
      <c r="E418" s="68" t="inlineStr">
        <is>
          <t>cymbopogon citratus</t>
        </is>
      </c>
      <c r="F418" s="68" t="n">
        <v>1</v>
      </c>
      <c r="G418" s="68" t="inlineStr">
        <is>
          <t>multi-target signaling modulation</t>
        </is>
      </c>
      <c r="H418" s="68" t="inlineStr">
        <is>
          <t>inferred_plus_trusted_gov</t>
        </is>
      </c>
    </row>
    <row r="419">
      <c r="A419" s="68" t="inlineStr">
        <is>
          <t>general or unknown targets</t>
        </is>
      </c>
      <c r="B419" s="68" t="inlineStr">
        <is>
          <t>cynarin</t>
        </is>
      </c>
      <c r="C419" s="68" t="inlineStr">
        <is>
          <t>cynarin</t>
        </is>
      </c>
      <c r="D419" s="68" t="inlineStr">
        <is>
          <t>cynara-scolymus</t>
        </is>
      </c>
      <c r="E419" s="68" t="inlineStr">
        <is>
          <t>cynara scolymus</t>
        </is>
      </c>
      <c r="F419" s="68" t="n">
        <v>1</v>
      </c>
      <c r="G419" s="68" t="inlineStr">
        <is>
          <t>multi-target signaling modulation</t>
        </is>
      </c>
      <c r="H419" s="68" t="inlineStr">
        <is>
          <t>inferred_plus_trusted_gov</t>
        </is>
      </c>
    </row>
    <row r="420">
      <c r="A420" s="68" t="inlineStr">
        <is>
          <t>general or unknown targets</t>
        </is>
      </c>
      <c r="B420" s="68" t="inlineStr">
        <is>
          <t>cyperene</t>
        </is>
      </c>
      <c r="C420" s="68" t="inlineStr">
        <is>
          <t>cyperene</t>
        </is>
      </c>
      <c r="D420" s="68" t="inlineStr">
        <is>
          <t>cyperus-rotundus</t>
        </is>
      </c>
      <c r="E420" s="68" t="inlineStr">
        <is>
          <t>cyperus rotundus</t>
        </is>
      </c>
      <c r="F420" s="68" t="n">
        <v>1</v>
      </c>
      <c r="G420" s="68" t="inlineStr">
        <is>
          <t>multi-target signaling modulation</t>
        </is>
      </c>
      <c r="H420" s="68" t="inlineStr">
        <is>
          <t>inferred_plus_trusted_gov</t>
        </is>
      </c>
    </row>
    <row r="421">
      <c r="A421" s="68" t="inlineStr">
        <is>
          <t>general or unknown targets</t>
        </is>
      </c>
      <c r="B421" s="68" t="inlineStr">
        <is>
          <t>dendrobine</t>
        </is>
      </c>
      <c r="C421" s="68" t="inlineStr">
        <is>
          <t>dendrobine</t>
        </is>
      </c>
      <c r="D421" s="68" t="inlineStr">
        <is>
          <t>dendrobium-nobile</t>
        </is>
      </c>
      <c r="E421" s="68" t="inlineStr">
        <is>
          <t>dendrobium nobile</t>
        </is>
      </c>
      <c r="F421" s="68" t="n">
        <v>1</v>
      </c>
      <c r="G421" s="68" t="inlineStr">
        <is>
          <t>multi-target signaling modulation</t>
        </is>
      </c>
      <c r="H421" s="68" t="inlineStr">
        <is>
          <t>inferred_plus_trusted_gov</t>
        </is>
      </c>
    </row>
    <row r="422">
      <c r="A422" s="68" t="inlineStr">
        <is>
          <t>general or unknown targets</t>
        </is>
      </c>
      <c r="B422" s="68" t="inlineStr">
        <is>
          <t>isofebrifugine</t>
        </is>
      </c>
      <c r="C422" s="68" t="inlineStr">
        <is>
          <t>isofebrifugine</t>
        </is>
      </c>
      <c r="D422" s="68" t="inlineStr">
        <is>
          <t>dichroa-febrifuga</t>
        </is>
      </c>
      <c r="E422" s="68" t="inlineStr">
        <is>
          <t>dichroa febrifuga</t>
        </is>
      </c>
      <c r="F422" s="68" t="n">
        <v>1</v>
      </c>
      <c r="G422" s="68" t="inlineStr">
        <is>
          <t>multi-target signaling modulation</t>
        </is>
      </c>
      <c r="H422" s="68" t="inlineStr">
        <is>
          <t>inferred_plus_trusted_gov</t>
        </is>
      </c>
    </row>
    <row r="423">
      <c r="A423" s="68" t="inlineStr">
        <is>
          <t>general or unknown targets</t>
        </is>
      </c>
      <c r="B423" s="68" t="inlineStr">
        <is>
          <t>febrifugine</t>
        </is>
      </c>
      <c r="C423" s="68" t="inlineStr">
        <is>
          <t>febrifugine</t>
        </is>
      </c>
      <c r="D423" s="68" t="inlineStr">
        <is>
          <t>dichroa-febrifuga</t>
        </is>
      </c>
      <c r="E423" s="68" t="inlineStr">
        <is>
          <t>dichroa febrifuga</t>
        </is>
      </c>
      <c r="F423" s="68" t="n">
        <v>1</v>
      </c>
      <c r="G423" s="68" t="inlineStr">
        <is>
          <t>multi-target signaling modulation</t>
        </is>
      </c>
      <c r="H423" s="68" t="inlineStr">
        <is>
          <t>inferred_plus_trusted_gov</t>
        </is>
      </c>
    </row>
    <row r="424">
      <c r="A424" s="68" t="inlineStr">
        <is>
          <t>general or unknown targets</t>
        </is>
      </c>
      <c r="B424" s="68" t="inlineStr">
        <is>
          <t>neral</t>
        </is>
      </c>
      <c r="C424" s="68" t="inlineStr">
        <is>
          <t>neral</t>
        </is>
      </c>
      <c r="D424" s="68" t="inlineStr">
        <is>
          <t>dracocephalum-moldavica</t>
        </is>
      </c>
      <c r="E424" s="68" t="inlineStr">
        <is>
          <t>dracocephalum moldavica</t>
        </is>
      </c>
      <c r="F424" s="68" t="n">
        <v>1</v>
      </c>
      <c r="G424" s="68" t="inlineStr">
        <is>
          <t>multi-target signaling modulation</t>
        </is>
      </c>
      <c r="H424" s="68" t="inlineStr">
        <is>
          <t>inferred_plus_trusted_gov</t>
        </is>
      </c>
    </row>
    <row r="425">
      <c r="A425" s="68" t="inlineStr">
        <is>
          <t>general or unknown targets</t>
        </is>
      </c>
      <c r="B425" s="68" t="inlineStr">
        <is>
          <t>geranial</t>
        </is>
      </c>
      <c r="C425" s="68" t="inlineStr">
        <is>
          <t>geranial</t>
        </is>
      </c>
      <c r="D425" s="68" t="inlineStr">
        <is>
          <t>dracocephalum-moldavica</t>
        </is>
      </c>
      <c r="E425" s="68" t="inlineStr">
        <is>
          <t>dracocephalum moldavica</t>
        </is>
      </c>
      <c r="F425" s="68" t="n">
        <v>1</v>
      </c>
      <c r="G425" s="68" t="inlineStr">
        <is>
          <t>multi-target signaling modulation</t>
        </is>
      </c>
      <c r="H425" s="68" t="inlineStr">
        <is>
          <t>inferred_plus_trusted_gov</t>
        </is>
      </c>
    </row>
    <row r="426">
      <c r="A426" s="68" t="inlineStr">
        <is>
          <t>general or unknown targets</t>
        </is>
      </c>
      <c r="B426" s="68" t="inlineStr">
        <is>
          <t>ecliptine</t>
        </is>
      </c>
      <c r="C426" s="68" t="inlineStr">
        <is>
          <t>ecliptine</t>
        </is>
      </c>
      <c r="D426" s="68" t="inlineStr">
        <is>
          <t>eclipta-prostrata</t>
        </is>
      </c>
      <c r="E426" s="68" t="inlineStr">
        <is>
          <t>eclipta prostrata</t>
        </is>
      </c>
      <c r="F426" s="68" t="n">
        <v>1</v>
      </c>
      <c r="G426" s="68" t="inlineStr">
        <is>
          <t>multi-target signaling modulation</t>
        </is>
      </c>
      <c r="H426" s="68" t="inlineStr">
        <is>
          <t>inferred_plus_trusted_gov</t>
        </is>
      </c>
    </row>
    <row r="427">
      <c r="A427" s="68" t="inlineStr">
        <is>
          <t>general or unknown targets</t>
        </is>
      </c>
      <c r="B427" s="68" t="inlineStr">
        <is>
          <t>lycopene</t>
        </is>
      </c>
      <c r="C427" s="68" t="inlineStr">
        <is>
          <t>lycopene</t>
        </is>
      </c>
      <c r="D427" s="68" t="inlineStr">
        <is>
          <t>elaeagnus-umbellata</t>
        </is>
      </c>
      <c r="E427" s="68" t="inlineStr">
        <is>
          <t>elaeagnus umbellata</t>
        </is>
      </c>
      <c r="F427" s="68" t="n">
        <v>1</v>
      </c>
      <c r="G427" s="68" t="inlineStr">
        <is>
          <t>multi-target signaling modulation</t>
        </is>
      </c>
      <c r="H427" s="68" t="inlineStr">
        <is>
          <t>inferred_plus_trusted_gov</t>
        </is>
      </c>
    </row>
    <row r="428">
      <c r="A428" s="68" t="inlineStr">
        <is>
          <t>dopaminergic_modulation</t>
        </is>
      </c>
      <c r="B428" s="68" t="inlineStr">
        <is>
          <t>pseudoephedrine</t>
        </is>
      </c>
      <c r="C428" s="68" t="inlineStr">
        <is>
          <t>pseudoephedrine</t>
        </is>
      </c>
      <c r="D428" s="68" t="inlineStr">
        <is>
          <t>ephedra; ephedra-sinica</t>
        </is>
      </c>
      <c r="E428" s="68" t="inlineStr">
        <is>
          <t>ephedra; ephedra sinica</t>
        </is>
      </c>
      <c r="F428" s="68" t="n">
        <v>2</v>
      </c>
      <c r="G428" s="68" t="inlineStr">
        <is>
          <t>multi-target signaling modulation</t>
        </is>
      </c>
      <c r="H428" s="68" t="inlineStr">
        <is>
          <t>inferred_plus_trusted_gov; trusted_gov_added</t>
        </is>
      </c>
    </row>
    <row r="429">
      <c r="A429" s="68" t="inlineStr">
        <is>
          <t>general or unknown targets</t>
        </is>
      </c>
      <c r="B429" s="68" t="inlineStr">
        <is>
          <t>pseudoephedrine</t>
        </is>
      </c>
      <c r="C429" s="68" t="inlineStr">
        <is>
          <t>pseudoephedrine</t>
        </is>
      </c>
      <c r="D429" s="68" t="inlineStr">
        <is>
          <t>ephedra; ephedra-sinica</t>
        </is>
      </c>
      <c r="E429" s="68" t="inlineStr">
        <is>
          <t>ephedra; ephedra sinica</t>
        </is>
      </c>
      <c r="F429" s="68" t="n">
        <v>2</v>
      </c>
      <c r="G429" s="68" t="inlineStr">
        <is>
          <t>multi-target signaling modulation</t>
        </is>
      </c>
      <c r="H429" s="68" t="inlineStr">
        <is>
          <t>inferred_plus_trusted_gov; trusted_gov_added</t>
        </is>
      </c>
    </row>
    <row r="430">
      <c r="A430" s="68" t="inlineStr">
        <is>
          <t>dopaminergic_modulation</t>
        </is>
      </c>
      <c r="B430" s="68" t="inlineStr">
        <is>
          <t>ephedrine</t>
        </is>
      </c>
      <c r="C430" s="68" t="inlineStr">
        <is>
          <t>ephedrine</t>
        </is>
      </c>
      <c r="D430" s="68" t="inlineStr">
        <is>
          <t>ephedra; ephedra-sinica</t>
        </is>
      </c>
      <c r="E430" s="68" t="inlineStr">
        <is>
          <t>ephedra; ephedra sinica</t>
        </is>
      </c>
      <c r="F430" s="68" t="n">
        <v>2</v>
      </c>
      <c r="G430" s="68" t="inlineStr">
        <is>
          <t>multi-target signaling modulation</t>
        </is>
      </c>
      <c r="H430" s="68" t="inlineStr">
        <is>
          <t>inferred_plus_trusted_gov; trusted_gov_added</t>
        </is>
      </c>
    </row>
    <row r="431">
      <c r="A431" s="68" t="inlineStr">
        <is>
          <t>general or unknown targets</t>
        </is>
      </c>
      <c r="B431" s="68" t="inlineStr">
        <is>
          <t>ephedrine</t>
        </is>
      </c>
      <c r="C431" s="68" t="inlineStr">
        <is>
          <t>ephedrine</t>
        </is>
      </c>
      <c r="D431" s="68" t="inlineStr">
        <is>
          <t>ephedra; ephedra-sinica</t>
        </is>
      </c>
      <c r="E431" s="68" t="inlineStr">
        <is>
          <t>ephedra; ephedra sinica</t>
        </is>
      </c>
      <c r="F431" s="68" t="n">
        <v>2</v>
      </c>
      <c r="G431" s="68" t="inlineStr">
        <is>
          <t>multi-target signaling modulation</t>
        </is>
      </c>
      <c r="H431" s="68" t="inlineStr">
        <is>
          <t>inferred_plus_trusted_gov; trusted_gov_added</t>
        </is>
      </c>
    </row>
    <row r="432">
      <c r="A432" s="68" t="inlineStr">
        <is>
          <t>general or unknown targets</t>
        </is>
      </c>
      <c r="B432" s="68" t="inlineStr">
        <is>
          <t>silica</t>
        </is>
      </c>
      <c r="C432" s="68" t="inlineStr">
        <is>
          <t>silica</t>
        </is>
      </c>
      <c r="D432" s="68" t="inlineStr">
        <is>
          <t>equisetum-arvense</t>
        </is>
      </c>
      <c r="E432" s="68" t="inlineStr">
        <is>
          <t>equisetum arvense</t>
        </is>
      </c>
      <c r="F432" s="68" t="n">
        <v>1</v>
      </c>
      <c r="G432" s="68" t="inlineStr">
        <is>
          <t>multi-target signaling modulation</t>
        </is>
      </c>
      <c r="H432" s="68" t="inlineStr">
        <is>
          <t>inferred_plus_trusted_gov</t>
        </is>
      </c>
    </row>
    <row r="433">
      <c r="A433" s="68" t="inlineStr">
        <is>
          <t>general or unknown targets</t>
        </is>
      </c>
      <c r="B433" s="68" t="inlineStr">
        <is>
          <t>eryngial</t>
        </is>
      </c>
      <c r="C433" s="68" t="inlineStr">
        <is>
          <t>eryngial</t>
        </is>
      </c>
      <c r="D433" s="68" t="inlineStr">
        <is>
          <t>eryngium-foetidum</t>
        </is>
      </c>
      <c r="E433" s="68" t="inlineStr">
        <is>
          <t>eryngium foetidum</t>
        </is>
      </c>
      <c r="F433" s="68" t="n">
        <v>1</v>
      </c>
      <c r="G433" s="68" t="inlineStr">
        <is>
          <t>multi-target signaling modulation</t>
        </is>
      </c>
      <c r="H433" s="68" t="inlineStr">
        <is>
          <t>inferred_plus_trusted_gov</t>
        </is>
      </c>
    </row>
    <row r="434">
      <c r="A434" s="68" t="inlineStr">
        <is>
          <t>dopaminergic_modulation</t>
        </is>
      </c>
      <c r="B434" s="68" t="inlineStr">
        <is>
          <t>cinnamoylcocaine</t>
        </is>
      </c>
      <c r="C434" s="68" t="inlineStr">
        <is>
          <t>cinnamoylcocaine</t>
        </is>
      </c>
      <c r="D434" s="68" t="inlineStr">
        <is>
          <t>erythroxylum-coca; erythroxylum-novogranatense</t>
        </is>
      </c>
      <c r="E434" s="68" t="inlineStr">
        <is>
          <t>erythroxylum coca; erythroxylum novogranatense</t>
        </is>
      </c>
      <c r="F434" s="68" t="n">
        <v>2</v>
      </c>
      <c r="G434" s="68" t="inlineStr">
        <is>
          <t>multi-target signaling modulation</t>
        </is>
      </c>
      <c r="H434" s="68" t="inlineStr">
        <is>
          <t>inferred_plus_trusted_gov; trusted_gov_added</t>
        </is>
      </c>
    </row>
    <row r="435">
      <c r="A435" s="68" t="inlineStr">
        <is>
          <t>general or unknown targets</t>
        </is>
      </c>
      <c r="B435" s="68" t="inlineStr">
        <is>
          <t>cinnamoylcocaine</t>
        </is>
      </c>
      <c r="C435" s="68" t="inlineStr">
        <is>
          <t>cinnamoylcocaine</t>
        </is>
      </c>
      <c r="D435" s="68" t="inlineStr">
        <is>
          <t>erythroxylum-coca; erythroxylum-novogranatense</t>
        </is>
      </c>
      <c r="E435" s="68" t="inlineStr">
        <is>
          <t>erythroxylum coca; erythroxylum novogranatense</t>
        </is>
      </c>
      <c r="F435" s="68" t="n">
        <v>2</v>
      </c>
      <c r="G435" s="68" t="inlineStr">
        <is>
          <t>multi-target signaling modulation</t>
        </is>
      </c>
      <c r="H435" s="68" t="inlineStr">
        <is>
          <t>inferred_plus_trusted_gov; trusted_gov_added</t>
        </is>
      </c>
    </row>
    <row r="436">
      <c r="A436" s="68" t="inlineStr">
        <is>
          <t>general or unknown targets</t>
        </is>
      </c>
      <c r="B436" s="68" t="inlineStr">
        <is>
          <t>eucalyptol cineole</t>
        </is>
      </c>
      <c r="C436" s="68" t="inlineStr">
        <is>
          <t>eucalyptol (cineole)</t>
        </is>
      </c>
      <c r="D436" s="68" t="inlineStr">
        <is>
          <t>eucalyptus-globulus</t>
        </is>
      </c>
      <c r="E436" s="68" t="inlineStr">
        <is>
          <t>eucalyptus globulus</t>
        </is>
      </c>
      <c r="F436" s="68" t="n">
        <v>1</v>
      </c>
      <c r="G436" s="68" t="inlineStr">
        <is>
          <t>multi-target signaling modulation</t>
        </is>
      </c>
      <c r="H436" s="68" t="inlineStr">
        <is>
          <t>inferred_plus_trusted_gov</t>
        </is>
      </c>
    </row>
    <row r="437">
      <c r="A437" s="68" t="inlineStr">
        <is>
          <t>general or unknown targets</t>
        </is>
      </c>
      <c r="B437" s="68" t="inlineStr">
        <is>
          <t>ferulenol</t>
        </is>
      </c>
      <c r="C437" s="68" t="inlineStr">
        <is>
          <t>ferulenol</t>
        </is>
      </c>
      <c r="D437" s="68" t="inlineStr">
        <is>
          <t>ferula-communis</t>
        </is>
      </c>
      <c r="E437" s="68" t="inlineStr">
        <is>
          <t>ferula communis</t>
        </is>
      </c>
      <c r="F437" s="68" t="n">
        <v>1</v>
      </c>
      <c r="G437" s="68" t="inlineStr">
        <is>
          <t>multi-target signaling modulation</t>
        </is>
      </c>
      <c r="H437" s="68" t="inlineStr">
        <is>
          <t>inferred_plus_trusted_gov</t>
        </is>
      </c>
    </row>
    <row r="438">
      <c r="A438" s="68" t="inlineStr">
        <is>
          <t>general or unknown targets</t>
        </is>
      </c>
      <c r="B438" s="68" t="inlineStr">
        <is>
          <t>fenchone</t>
        </is>
      </c>
      <c r="C438" s="68" t="inlineStr">
        <is>
          <t>fenchone</t>
        </is>
      </c>
      <c r="D438" s="68" t="inlineStr">
        <is>
          <t>foeniculum-vulgare</t>
        </is>
      </c>
      <c r="E438" s="68" t="inlineStr">
        <is>
          <t>foeniculum vulgare</t>
        </is>
      </c>
      <c r="F438" s="68" t="n">
        <v>1</v>
      </c>
      <c r="G438" s="68" t="inlineStr">
        <is>
          <t>multi-target signaling modulation</t>
        </is>
      </c>
      <c r="H438" s="68" t="inlineStr">
        <is>
          <t>inferred_plus_trusted_gov</t>
        </is>
      </c>
    </row>
    <row r="439">
      <c r="A439" s="68" t="inlineStr">
        <is>
          <t>general or unknown targets</t>
        </is>
      </c>
      <c r="B439" s="68" t="inlineStr">
        <is>
          <t>gitoxin</t>
        </is>
      </c>
      <c r="C439" s="68" t="inlineStr">
        <is>
          <t>gitoxin</t>
        </is>
      </c>
      <c r="D439" s="68" t="inlineStr">
        <is>
          <t>foxglove</t>
        </is>
      </c>
      <c r="E439" s="68" t="inlineStr">
        <is>
          <t>foxglove</t>
        </is>
      </c>
      <c r="F439" s="68" t="n">
        <v>1</v>
      </c>
      <c r="G439" s="68" t="inlineStr">
        <is>
          <t>multi-target signaling modulation</t>
        </is>
      </c>
      <c r="H439" s="68" t="inlineStr">
        <is>
          <t>trusted_gov_added</t>
        </is>
      </c>
    </row>
    <row r="440">
      <c r="A440" s="68" t="inlineStr">
        <is>
          <t>general or unknown targets</t>
        </is>
      </c>
      <c r="B440" s="68" t="inlineStr">
        <is>
          <t>digitoxin</t>
        </is>
      </c>
      <c r="C440" s="68" t="inlineStr">
        <is>
          <t>digitoxin</t>
        </is>
      </c>
      <c r="D440" s="68" t="inlineStr">
        <is>
          <t>foxglove</t>
        </is>
      </c>
      <c r="E440" s="68" t="inlineStr">
        <is>
          <t>foxglove</t>
        </is>
      </c>
      <c r="F440" s="68" t="n">
        <v>1</v>
      </c>
      <c r="G440" s="68" t="inlineStr">
        <is>
          <t>multi-target signaling modulation</t>
        </is>
      </c>
      <c r="H440" s="68" t="inlineStr">
        <is>
          <t>trusted_gov_added</t>
        </is>
      </c>
    </row>
    <row r="441">
      <c r="A441" s="68" t="inlineStr">
        <is>
          <t>general or unknown targets</t>
        </is>
      </c>
      <c r="B441" s="68" t="inlineStr">
        <is>
          <t>digoxin</t>
        </is>
      </c>
      <c r="C441" s="68" t="inlineStr">
        <is>
          <t>digoxin</t>
        </is>
      </c>
      <c r="D441" s="68" t="inlineStr">
        <is>
          <t>foxglove</t>
        </is>
      </c>
      <c r="E441" s="68" t="inlineStr">
        <is>
          <t>foxglove</t>
        </is>
      </c>
      <c r="F441" s="68" t="n">
        <v>1</v>
      </c>
      <c r="G441" s="68" t="inlineStr">
        <is>
          <t>multi-target signaling modulation</t>
        </is>
      </c>
      <c r="H441" s="68" t="inlineStr">
        <is>
          <t>trusted_gov_added</t>
        </is>
      </c>
    </row>
    <row r="442">
      <c r="A442" s="68" t="inlineStr">
        <is>
          <t>general or unknown targets</t>
        </is>
      </c>
      <c r="B442" s="68" t="inlineStr">
        <is>
          <t>acetyl-beta-boswellic acid</t>
        </is>
      </c>
      <c r="C442" s="68" t="inlineStr">
        <is>
          <t>acetyl-beta-boswellic acid</t>
        </is>
      </c>
      <c r="D442" s="68" t="inlineStr">
        <is>
          <t>frankincense-boswellia</t>
        </is>
      </c>
      <c r="E442" s="68" t="inlineStr">
        <is>
          <t>frankincense (boswellia)</t>
        </is>
      </c>
      <c r="F442" s="68" t="n">
        <v>1</v>
      </c>
      <c r="G442" s="68" t="inlineStr">
        <is>
          <t>multi-target signaling modulation</t>
        </is>
      </c>
      <c r="H442" s="68" t="inlineStr">
        <is>
          <t>trusted_gov_added</t>
        </is>
      </c>
    </row>
    <row r="443">
      <c r="A443" s="68" t="inlineStr">
        <is>
          <t>general or unknown targets</t>
        </is>
      </c>
      <c r="B443" s="68" t="inlineStr">
        <is>
          <t>acetyl-11-keto-beta-boswellic acid</t>
        </is>
      </c>
      <c r="C443" s="68" t="inlineStr">
        <is>
          <t>acetyl-11-keto-beta-boswellic acid (akba)</t>
        </is>
      </c>
      <c r="D443" s="68" t="inlineStr">
        <is>
          <t>frankincense-boswellia</t>
        </is>
      </c>
      <c r="E443" s="68" t="inlineStr">
        <is>
          <t>frankincense (boswellia)</t>
        </is>
      </c>
      <c r="F443" s="68" t="n">
        <v>1</v>
      </c>
      <c r="G443" s="68" t="inlineStr">
        <is>
          <t>multi-target signaling modulation</t>
        </is>
      </c>
      <c r="H443" s="68" t="inlineStr">
        <is>
          <t>trusted_gov_added</t>
        </is>
      </c>
    </row>
    <row r="444">
      <c r="A444" s="68" t="inlineStr">
        <is>
          <t>general or unknown targets</t>
        </is>
      </c>
      <c r="B444" s="68" t="inlineStr">
        <is>
          <t>11-keto-beta-boswellic acid</t>
        </is>
      </c>
      <c r="C444" s="68" t="inlineStr">
        <is>
          <t>11-keto-beta-boswellic acid</t>
        </is>
      </c>
      <c r="D444" s="68" t="inlineStr">
        <is>
          <t>frankincense-boswellia</t>
        </is>
      </c>
      <c r="E444" s="68" t="inlineStr">
        <is>
          <t>frankincense (boswellia)</t>
        </is>
      </c>
      <c r="F444" s="68" t="n">
        <v>1</v>
      </c>
      <c r="G444" s="68" t="inlineStr">
        <is>
          <t>multi-target signaling modulation</t>
        </is>
      </c>
      <c r="H444" s="68" t="inlineStr">
        <is>
          <t>trusted_gov_added</t>
        </is>
      </c>
    </row>
    <row r="445">
      <c r="A445" s="68" t="inlineStr">
        <is>
          <t>general or unknown targets</t>
        </is>
      </c>
      <c r="B445" s="68" t="inlineStr">
        <is>
          <t>iodine</t>
        </is>
      </c>
      <c r="C445" s="68" t="inlineStr">
        <is>
          <t>iodine</t>
        </is>
      </c>
      <c r="D445" s="68" t="inlineStr">
        <is>
          <t>fucus-vesiculosus; laminaria-digitata</t>
        </is>
      </c>
      <c r="E445" s="68" t="inlineStr">
        <is>
          <t>fucus vesiculosus; laminaria digitata</t>
        </is>
      </c>
      <c r="F445" s="68" t="n">
        <v>2</v>
      </c>
      <c r="G445" s="68" t="inlineStr">
        <is>
          <t>multi-target signaling modulation</t>
        </is>
      </c>
      <c r="H445" s="68" t="inlineStr">
        <is>
          <t>inferred_plus_trusted_gov</t>
        </is>
      </c>
    </row>
    <row r="446">
      <c r="A446" s="68" t="inlineStr">
        <is>
          <t>general or unknown targets</t>
        </is>
      </c>
      <c r="B446" s="68" t="inlineStr">
        <is>
          <t>fucoidan</t>
        </is>
      </c>
      <c r="C446" s="68" t="inlineStr">
        <is>
          <t>fucoidan</t>
        </is>
      </c>
      <c r="D446" s="68" t="inlineStr">
        <is>
          <t>fucus-vesiculosus; laminaria-digitata</t>
        </is>
      </c>
      <c r="E446" s="68" t="inlineStr">
        <is>
          <t>fucus vesiculosus; laminaria digitata</t>
        </is>
      </c>
      <c r="F446" s="68" t="n">
        <v>2</v>
      </c>
      <c r="G446" s="68" t="inlineStr">
        <is>
          <t>multi-target signaling modulation</t>
        </is>
      </c>
      <c r="H446" s="68" t="inlineStr">
        <is>
          <t>inferred_plus_trusted_gov</t>
        </is>
      </c>
    </row>
    <row r="447">
      <c r="A447" s="68" t="inlineStr">
        <is>
          <t>general or unknown targets</t>
        </is>
      </c>
      <c r="B447" s="68" t="inlineStr">
        <is>
          <t>asperuloside</t>
        </is>
      </c>
      <c r="C447" s="68" t="inlineStr">
        <is>
          <t>asperuloside</t>
        </is>
      </c>
      <c r="D447" s="68" t="inlineStr">
        <is>
          <t>galium-aparine</t>
        </is>
      </c>
      <c r="E447" s="68" t="inlineStr">
        <is>
          <t>galium aparine</t>
        </is>
      </c>
      <c r="F447" s="68" t="n">
        <v>1</v>
      </c>
      <c r="G447" s="68" t="inlineStr">
        <is>
          <t>multi-target signaling modulation</t>
        </is>
      </c>
      <c r="H447" s="68" t="inlineStr">
        <is>
          <t>inferred_plus_trusted_gov</t>
        </is>
      </c>
    </row>
    <row r="448">
      <c r="A448" s="68" t="inlineStr">
        <is>
          <t>general or unknown targets</t>
        </is>
      </c>
      <c r="B448" s="68" t="inlineStr">
        <is>
          <t>hydroxycitric acid</t>
        </is>
      </c>
      <c r="C448" s="68" t="inlineStr">
        <is>
          <t>hydroxycitric acid (hca)</t>
        </is>
      </c>
      <c r="D448" s="68" t="inlineStr">
        <is>
          <t>garcinia-cambogia</t>
        </is>
      </c>
      <c r="E448" s="68" t="inlineStr">
        <is>
          <t>garcinia cambogia</t>
        </is>
      </c>
      <c r="F448" s="68" t="n">
        <v>1</v>
      </c>
      <c r="G448" s="68" t="inlineStr">
        <is>
          <t>multi-target signaling modulation</t>
        </is>
      </c>
      <c r="H448" s="68" t="inlineStr">
        <is>
          <t>inferred_plus_trusted_gov</t>
        </is>
      </c>
    </row>
    <row r="449">
      <c r="A449" s="68" t="inlineStr">
        <is>
          <t>general or unknown targets</t>
        </is>
      </c>
      <c r="B449" s="68" t="inlineStr">
        <is>
          <t>geniposide</t>
        </is>
      </c>
      <c r="C449" s="68" t="inlineStr">
        <is>
          <t>geniposide</t>
        </is>
      </c>
      <c r="D449" s="68" t="inlineStr">
        <is>
          <t>gardenia-jasminoides</t>
        </is>
      </c>
      <c r="E449" s="68" t="inlineStr">
        <is>
          <t>gardenia jasminoides</t>
        </is>
      </c>
      <c r="F449" s="68" t="n">
        <v>1</v>
      </c>
      <c r="G449" s="68" t="inlineStr">
        <is>
          <t>multi-target signaling modulation</t>
        </is>
      </c>
      <c r="H449" s="68" t="inlineStr">
        <is>
          <t>inferred_plus_trusted_gov</t>
        </is>
      </c>
    </row>
    <row r="450">
      <c r="A450" s="68" t="inlineStr">
        <is>
          <t>general or unknown targets</t>
        </is>
      </c>
      <c r="B450" s="68" t="inlineStr">
        <is>
          <t>amarogentin</t>
        </is>
      </c>
      <c r="C450" s="68" t="inlineStr">
        <is>
          <t>amarogentin</t>
        </is>
      </c>
      <c r="D450" s="68" t="inlineStr">
        <is>
          <t>gentiana-lutea</t>
        </is>
      </c>
      <c r="E450" s="68" t="inlineStr">
        <is>
          <t>gentiana lutea</t>
        </is>
      </c>
      <c r="F450" s="68" t="n">
        <v>1</v>
      </c>
      <c r="G450" s="68" t="inlineStr">
        <is>
          <t>multi-target signaling modulation</t>
        </is>
      </c>
      <c r="H450" s="68" t="inlineStr">
        <is>
          <t>inferred_plus_trusted_gov</t>
        </is>
      </c>
    </row>
    <row r="451">
      <c r="A451" s="68" t="inlineStr">
        <is>
          <t>general or unknown targets</t>
        </is>
      </c>
      <c r="B451" s="68" t="inlineStr">
        <is>
          <t>geraniin</t>
        </is>
      </c>
      <c r="C451" s="68" t="inlineStr">
        <is>
          <t>geraniin</t>
        </is>
      </c>
      <c r="D451" s="68" t="inlineStr">
        <is>
          <t>geranium-robertianum</t>
        </is>
      </c>
      <c r="E451" s="68" t="inlineStr">
        <is>
          <t>geranium robertianum</t>
        </is>
      </c>
      <c r="F451" s="68" t="n">
        <v>1</v>
      </c>
      <c r="G451" s="68" t="inlineStr">
        <is>
          <t>multi-target signaling modulation</t>
        </is>
      </c>
      <c r="H451" s="68" t="inlineStr">
        <is>
          <t>inferred_plus_trusted_gov</t>
        </is>
      </c>
    </row>
    <row r="452">
      <c r="A452" s="68" t="inlineStr">
        <is>
          <t>inflammatory_pathway_modulation</t>
        </is>
      </c>
      <c r="B452" s="68" t="inlineStr">
        <is>
          <t>6-gingerol</t>
        </is>
      </c>
      <c r="C452" s="68" t="inlineStr">
        <is>
          <t>6-gingerol</t>
        </is>
      </c>
      <c r="D452" s="68" t="inlineStr">
        <is>
          <t>zingiber-officinale</t>
        </is>
      </c>
      <c r="E452" s="68" t="inlineStr">
        <is>
          <t>ginger</t>
        </is>
      </c>
      <c r="F452" s="68" t="n">
        <v>1</v>
      </c>
      <c r="G452" s="68" t="inlineStr">
        <is>
          <t>COX/NF-kB inhibition</t>
        </is>
      </c>
      <c r="H452" s="68" t="inlineStr">
        <is>
          <t>trusted_gov_added</t>
        </is>
      </c>
    </row>
    <row r="453">
      <c r="A453" s="68" t="inlineStr">
        <is>
          <t>inflammatory_pathway_modulation</t>
        </is>
      </c>
      <c r="B453" s="68" t="inlineStr">
        <is>
          <t>zingerone</t>
        </is>
      </c>
      <c r="C453" s="68" t="inlineStr">
        <is>
          <t>zingerone</t>
        </is>
      </c>
      <c r="D453" s="68" t="inlineStr">
        <is>
          <t>zingiber-officinale</t>
        </is>
      </c>
      <c r="E453" s="68" t="inlineStr">
        <is>
          <t>ginger</t>
        </is>
      </c>
      <c r="F453" s="68" t="n">
        <v>1</v>
      </c>
      <c r="G453" s="68" t="inlineStr">
        <is>
          <t>COX/NF-kB inhibition</t>
        </is>
      </c>
      <c r="H453" s="68" t="inlineStr">
        <is>
          <t>trusted_gov_added</t>
        </is>
      </c>
    </row>
    <row r="454">
      <c r="A454" s="68" t="inlineStr">
        <is>
          <t>gabaergic_modulation</t>
        </is>
      </c>
      <c r="B454" s="68" t="inlineStr">
        <is>
          <t>bilobalide</t>
        </is>
      </c>
      <c r="C454" s="68" t="inlineStr">
        <is>
          <t>bilobalide</t>
        </is>
      </c>
      <c r="D454" s="68" t="inlineStr">
        <is>
          <t>ginkgo-biloba</t>
        </is>
      </c>
      <c r="E454" s="68" t="inlineStr">
        <is>
          <t>ginkgo biloba</t>
        </is>
      </c>
      <c r="F454" s="68" t="n">
        <v>1</v>
      </c>
      <c r="G454" s="68" t="inlineStr">
        <is>
          <t>GABAergic modulation</t>
        </is>
      </c>
      <c r="H454" s="68" t="inlineStr">
        <is>
          <t>trusted_gov_added</t>
        </is>
      </c>
    </row>
    <row r="455">
      <c r="A455" s="68" t="inlineStr">
        <is>
          <t>general or unknown targets</t>
        </is>
      </c>
      <c r="B455" s="68" t="inlineStr">
        <is>
          <t>glycyrrhizin</t>
        </is>
      </c>
      <c r="C455" s="68" t="inlineStr">
        <is>
          <t>glycyrrhizin</t>
        </is>
      </c>
      <c r="D455" s="68" t="inlineStr">
        <is>
          <t>glycyrrhiza-glabra</t>
        </is>
      </c>
      <c r="E455" s="68" t="inlineStr">
        <is>
          <t>glycyrrhiza glabra</t>
        </is>
      </c>
      <c r="F455" s="68" t="n">
        <v>1</v>
      </c>
      <c r="G455" s="68" t="inlineStr">
        <is>
          <t>multi-target signaling modulation</t>
        </is>
      </c>
      <c r="H455" s="68" t="inlineStr">
        <is>
          <t>inferred_plus_trusted_gov</t>
        </is>
      </c>
    </row>
    <row r="456">
      <c r="A456" s="68" t="inlineStr">
        <is>
          <t>inflammatory_pathway_modulation</t>
        </is>
      </c>
      <c r="B456" s="68" t="inlineStr">
        <is>
          <t>madecassic acid</t>
        </is>
      </c>
      <c r="C456" s="68" t="inlineStr">
        <is>
          <t>madecassic acid</t>
        </is>
      </c>
      <c r="D456" s="68" t="inlineStr">
        <is>
          <t>gotu-kola</t>
        </is>
      </c>
      <c r="E456" s="68" t="inlineStr">
        <is>
          <t>gotu kola</t>
        </is>
      </c>
      <c r="F456" s="68" t="n">
        <v>1</v>
      </c>
      <c r="G456" s="68" t="inlineStr">
        <is>
          <t>COX/NF-kB inhibition</t>
        </is>
      </c>
      <c r="H456" s="68" t="inlineStr">
        <is>
          <t>inferred_plus_trusted_gov</t>
        </is>
      </c>
    </row>
    <row r="457">
      <c r="A457" s="68" t="inlineStr">
        <is>
          <t>general or unknown targets</t>
        </is>
      </c>
      <c r="B457" s="68" t="inlineStr">
        <is>
          <t>grindelic acid</t>
        </is>
      </c>
      <c r="C457" s="68" t="inlineStr">
        <is>
          <t>grindelic acid</t>
        </is>
      </c>
      <c r="D457" s="68" t="inlineStr">
        <is>
          <t>grindelia-robusta</t>
        </is>
      </c>
      <c r="E457" s="68" t="inlineStr">
        <is>
          <t>grindelia robusta</t>
        </is>
      </c>
      <c r="F457" s="68" t="n">
        <v>1</v>
      </c>
      <c r="G457" s="68" t="inlineStr">
        <is>
          <t>multi-target signaling modulation</t>
        </is>
      </c>
      <c r="H457" s="68" t="inlineStr">
        <is>
          <t>inferred_plus_trusted_gov</t>
        </is>
      </c>
    </row>
    <row r="458">
      <c r="A458" s="68" t="inlineStr">
        <is>
          <t>adenosine_antagonism</t>
        </is>
      </c>
      <c r="B458" s="68" t="inlineStr">
        <is>
          <t>theophylline</t>
        </is>
      </c>
      <c r="C458" s="68" t="inlineStr">
        <is>
          <t>theophylline</t>
        </is>
      </c>
      <c r="D458" s="68" t="inlineStr">
        <is>
          <t>guarana</t>
        </is>
      </c>
      <c r="E458" s="68" t="inlineStr">
        <is>
          <t>guarana</t>
        </is>
      </c>
      <c r="F458" s="68" t="n">
        <v>1</v>
      </c>
      <c r="G458" s="68" t="inlineStr">
        <is>
          <t>adenosine receptor antagonism</t>
        </is>
      </c>
      <c r="H458" s="68" t="inlineStr">
        <is>
          <t>trusted_gov_added</t>
        </is>
      </c>
    </row>
    <row r="459">
      <c r="A459" s="68" t="inlineStr">
        <is>
          <t>ADORA1, ADORA2A (adenosine receptors)</t>
        </is>
      </c>
      <c r="B459" s="68" t="inlineStr">
        <is>
          <t>theobromine</t>
        </is>
      </c>
      <c r="C459" s="68" t="inlineStr">
        <is>
          <t>theobromine</t>
        </is>
      </c>
      <c r="D459" s="68" t="inlineStr">
        <is>
          <t>guarana; ilex-guayusa; ilex-paraguariensis; paullinia-cupana; theobroma-bicolor; theobroma-cacao</t>
        </is>
      </c>
      <c r="E459" s="68" t="inlineStr">
        <is>
          <t>guarana; ilex guayusa; ilex paraguariensis; paullinia cupana; theobroma bicolor; theobroma cacao; yerba mate</t>
        </is>
      </c>
      <c r="F459" s="68" t="n">
        <v>6</v>
      </c>
      <c r="G459" s="68" t="inlineStr">
        <is>
          <t>adenosine receptor antagonism; multi-target signaling modulation</t>
        </is>
      </c>
      <c r="H459" s="68" t="inlineStr">
        <is>
          <t>inferred_plus_trusted_gov; trusted_gov_added</t>
        </is>
      </c>
    </row>
    <row r="460">
      <c r="A460" s="68" t="inlineStr">
        <is>
          <t>adenosine_antagonism</t>
        </is>
      </c>
      <c r="B460" s="68" t="inlineStr">
        <is>
          <t>theobromine</t>
        </is>
      </c>
      <c r="C460" s="68" t="inlineStr">
        <is>
          <t>theobromine</t>
        </is>
      </c>
      <c r="D460" s="68" t="inlineStr">
        <is>
          <t>guarana; ilex-guayusa; ilex-paraguariensis; paullinia-cupana; theobroma-bicolor; theobroma-cacao</t>
        </is>
      </c>
      <c r="E460" s="68" t="inlineStr">
        <is>
          <t>guarana; ilex guayusa; ilex paraguariensis; paullinia cupana; theobroma bicolor; theobroma cacao; yerba mate</t>
        </is>
      </c>
      <c r="F460" s="68" t="n">
        <v>6</v>
      </c>
      <c r="G460" s="68" t="inlineStr">
        <is>
          <t>adenosine receptor antagonism; multi-target signaling modulation</t>
        </is>
      </c>
      <c r="H460" s="68" t="inlineStr">
        <is>
          <t>inferred_plus_trusted_gov; trusted_gov_added</t>
        </is>
      </c>
    </row>
    <row r="461">
      <c r="A461" s="68" t="inlineStr">
        <is>
          <t>dopaminergic_modulation</t>
        </is>
      </c>
      <c r="B461" s="68" t="inlineStr">
        <is>
          <t>theobromine</t>
        </is>
      </c>
      <c r="C461" s="68" t="inlineStr">
        <is>
          <t>theobromine</t>
        </is>
      </c>
      <c r="D461" s="68" t="inlineStr">
        <is>
          <t>guarana; ilex-guayusa; ilex-paraguariensis; paullinia-cupana; theobroma-bicolor; theobroma-cacao</t>
        </is>
      </c>
      <c r="E461" s="68" t="inlineStr">
        <is>
          <t>guarana; ilex guayusa; ilex paraguariensis; paullinia cupana; theobroma bicolor; theobroma cacao; yerba mate</t>
        </is>
      </c>
      <c r="F461" s="68" t="n">
        <v>6</v>
      </c>
      <c r="G461" s="68" t="inlineStr">
        <is>
          <t>adenosine receptor antagonism; multi-target signaling modulation</t>
        </is>
      </c>
      <c r="H461" s="68" t="inlineStr">
        <is>
          <t>inferred_plus_trusted_gov; trusted_gov_added</t>
        </is>
      </c>
    </row>
    <row r="462">
      <c r="A462" s="68" t="inlineStr">
        <is>
          <t>general or unknown targets</t>
        </is>
      </c>
      <c r="B462" s="68" t="inlineStr">
        <is>
          <t>gurmarin</t>
        </is>
      </c>
      <c r="C462" s="68" t="inlineStr">
        <is>
          <t>gurmarin</t>
        </is>
      </c>
      <c r="D462" s="68" t="inlineStr">
        <is>
          <t>gymnema-sylvestre</t>
        </is>
      </c>
      <c r="E462" s="68" t="inlineStr">
        <is>
          <t>gymnema sylvestre</t>
        </is>
      </c>
      <c r="F462" s="68" t="n">
        <v>1</v>
      </c>
      <c r="G462" s="68" t="inlineStr">
        <is>
          <t>multi-target signaling modulation</t>
        </is>
      </c>
      <c r="H462" s="68" t="inlineStr">
        <is>
          <t>trusted_gov_added</t>
        </is>
      </c>
    </row>
    <row r="463">
      <c r="A463" s="68" t="inlineStr">
        <is>
          <t>general or unknown targets</t>
        </is>
      </c>
      <c r="B463" s="68" t="inlineStr">
        <is>
          <t>gypenosides dammarane-type saponins</t>
        </is>
      </c>
      <c r="C463" s="68" t="inlineStr">
        <is>
          <t>gypenosides (dammarane-type saponins)</t>
        </is>
      </c>
      <c r="D463" s="68" t="inlineStr">
        <is>
          <t>gynostemma-pentaphyllum</t>
        </is>
      </c>
      <c r="E463" s="68" t="inlineStr">
        <is>
          <t>gynostemma pentaphyllum</t>
        </is>
      </c>
      <c r="F463" s="68" t="n">
        <v>1</v>
      </c>
      <c r="G463" s="68" t="inlineStr">
        <is>
          <t>multi-target signaling modulation</t>
        </is>
      </c>
      <c r="H463" s="68" t="inlineStr">
        <is>
          <t>trusted_gov_added</t>
        </is>
      </c>
    </row>
    <row r="464">
      <c r="A464" s="68" t="inlineStr">
        <is>
          <t>general or unknown targets</t>
        </is>
      </c>
      <c r="B464" s="68" t="inlineStr">
        <is>
          <t>harpagoside</t>
        </is>
      </c>
      <c r="C464" s="68" t="inlineStr">
        <is>
          <t>harpagoside</t>
        </is>
      </c>
      <c r="D464" s="68" t="inlineStr">
        <is>
          <t>harpagophytum-procumbens</t>
        </is>
      </c>
      <c r="E464" s="68" t="inlineStr">
        <is>
          <t>harpagophytum procumbens</t>
        </is>
      </c>
      <c r="F464" s="68" t="n">
        <v>1</v>
      </c>
      <c r="G464" s="68" t="inlineStr">
        <is>
          <t>multi-target signaling modulation</t>
        </is>
      </c>
      <c r="H464" s="68" t="inlineStr">
        <is>
          <t>inferred_plus_trusted_gov</t>
        </is>
      </c>
    </row>
    <row r="465">
      <c r="A465" s="68" t="inlineStr">
        <is>
          <t>general or unknown targets</t>
        </is>
      </c>
      <c r="B465" s="68" t="inlineStr">
        <is>
          <t>saponins hederacoside</t>
        </is>
      </c>
      <c r="C465" s="68" t="inlineStr">
        <is>
          <t>saponins (hederacoside)</t>
        </is>
      </c>
      <c r="D465" s="68" t="inlineStr">
        <is>
          <t>hedera-helix</t>
        </is>
      </c>
      <c r="E465" s="68" t="inlineStr">
        <is>
          <t>hedera helix</t>
        </is>
      </c>
      <c r="F465" s="68" t="n">
        <v>1</v>
      </c>
      <c r="G465" s="68" t="inlineStr">
        <is>
          <t>multi-target signaling modulation</t>
        </is>
      </c>
      <c r="H465" s="68" t="inlineStr">
        <is>
          <t>inferred_plus_trusted_gov</t>
        </is>
      </c>
    </row>
    <row r="466">
      <c r="A466" s="68" t="inlineStr">
        <is>
          <t>general or unknown targets</t>
        </is>
      </c>
      <c r="B466" s="68" t="inlineStr">
        <is>
          <t>cryogenine vertine</t>
        </is>
      </c>
      <c r="C466" s="68" t="inlineStr">
        <is>
          <t>cryogenine (vertine)</t>
        </is>
      </c>
      <c r="D466" s="68" t="inlineStr">
        <is>
          <t>heimia; heimia-salicifolia-sinicuichi; sinicuichi</t>
        </is>
      </c>
      <c r="E466" s="68" t="inlineStr">
        <is>
          <t>heimia; heimia salicifolia (sinicuichi); sinicuichi</t>
        </is>
      </c>
      <c r="F466" s="68" t="n">
        <v>3</v>
      </c>
      <c r="G466" s="68" t="inlineStr">
        <is>
          <t>multi-target signaling modulation</t>
        </is>
      </c>
      <c r="H466" s="68" t="inlineStr">
        <is>
          <t>inferred_plus_trusted_gov; trusted_gov_added</t>
        </is>
      </c>
    </row>
    <row r="467">
      <c r="A467" s="68" t="inlineStr">
        <is>
          <t>inflammatory_pathway_modulation</t>
        </is>
      </c>
      <c r="B467" s="68" t="inlineStr">
        <is>
          <t>cryogenine vertine</t>
        </is>
      </c>
      <c r="C467" s="68" t="inlineStr">
        <is>
          <t>cryogenine (vertine)</t>
        </is>
      </c>
      <c r="D467" s="68" t="inlineStr">
        <is>
          <t>heimia; heimia-salicifolia-sinicuichi; sinicuichi</t>
        </is>
      </c>
      <c r="E467" s="68" t="inlineStr">
        <is>
          <t>heimia; heimia salicifolia (sinicuichi); sinicuichi</t>
        </is>
      </c>
      <c r="F467" s="68" t="n">
        <v>3</v>
      </c>
      <c r="G467" s="68" t="inlineStr">
        <is>
          <t>multi-target signaling modulation</t>
        </is>
      </c>
      <c r="H467" s="68" t="inlineStr">
        <is>
          <t>inferred_plus_trusted_gov; trusted_gov_added</t>
        </is>
      </c>
    </row>
    <row r="468">
      <c r="A468" s="68" t="inlineStr">
        <is>
          <t>general or unknown targets</t>
        </is>
      </c>
      <c r="B468" s="68" t="inlineStr">
        <is>
          <t>lythrine</t>
        </is>
      </c>
      <c r="C468" s="68" t="inlineStr">
        <is>
          <t>lythrine</t>
        </is>
      </c>
      <c r="D468" s="68" t="inlineStr">
        <is>
          <t>heimia</t>
        </is>
      </c>
      <c r="E468" s="68" t="inlineStr">
        <is>
          <t>heimia</t>
        </is>
      </c>
      <c r="F468" s="68" t="n">
        <v>1</v>
      </c>
      <c r="G468" s="68" t="inlineStr">
        <is>
          <t>multi-target signaling modulation</t>
        </is>
      </c>
      <c r="H468" s="68" t="inlineStr">
        <is>
          <t>inferred_plus_trusted_gov</t>
        </is>
      </c>
    </row>
    <row r="469">
      <c r="A469" s="68" t="inlineStr">
        <is>
          <t>general or unknown targets</t>
        </is>
      </c>
      <c r="B469" s="68" t="inlineStr">
        <is>
          <t>nesodine</t>
        </is>
      </c>
      <c r="C469" s="68" t="inlineStr">
        <is>
          <t>nesodine</t>
        </is>
      </c>
      <c r="D469" s="68" t="inlineStr">
        <is>
          <t>heimia</t>
        </is>
      </c>
      <c r="E469" s="68" t="inlineStr">
        <is>
          <t>heimia</t>
        </is>
      </c>
      <c r="F469" s="68" t="n">
        <v>1</v>
      </c>
      <c r="G469" s="68" t="inlineStr">
        <is>
          <t>multi-target signaling modulation</t>
        </is>
      </c>
      <c r="H469" s="68" t="inlineStr">
        <is>
          <t>inferred_plus_trusted_gov</t>
        </is>
      </c>
    </row>
    <row r="470">
      <c r="A470" s="68" t="inlineStr">
        <is>
          <t>general or unknown targets</t>
        </is>
      </c>
      <c r="B470" s="68" t="inlineStr">
        <is>
          <t>hibiscus acid</t>
        </is>
      </c>
      <c r="C470" s="68" t="inlineStr">
        <is>
          <t>hibiscus acid</t>
        </is>
      </c>
      <c r="D470" s="68" t="inlineStr">
        <is>
          <t>hibiscus-sabdariffa</t>
        </is>
      </c>
      <c r="E470" s="68" t="inlineStr">
        <is>
          <t>hibiscus sabdariffa</t>
        </is>
      </c>
      <c r="F470" s="68" t="n">
        <v>1</v>
      </c>
      <c r="G470" s="68" t="inlineStr">
        <is>
          <t>multi-target signaling modulation</t>
        </is>
      </c>
      <c r="H470" s="68" t="inlineStr">
        <is>
          <t>trusted_gov_added</t>
        </is>
      </c>
    </row>
    <row r="471">
      <c r="A471" s="68" t="inlineStr">
        <is>
          <t>general or unknown targets</t>
        </is>
      </c>
      <c r="B471" s="68" t="inlineStr">
        <is>
          <t>anthocyanins delphinidin</t>
        </is>
      </c>
      <c r="C471" s="68" t="inlineStr">
        <is>
          <t>anthocyanins (delphinidin</t>
        </is>
      </c>
      <c r="D471" s="68" t="inlineStr">
        <is>
          <t>hibiscus-sabdariffa</t>
        </is>
      </c>
      <c r="E471" s="68" t="inlineStr">
        <is>
          <t>hibiscus sabdariffa</t>
        </is>
      </c>
      <c r="F471" s="68" t="n">
        <v>1</v>
      </c>
      <c r="G471" s="68" t="inlineStr">
        <is>
          <t>multi-target signaling modulation</t>
        </is>
      </c>
      <c r="H471" s="68" t="inlineStr">
        <is>
          <t>trusted_gov_added</t>
        </is>
      </c>
    </row>
    <row r="472">
      <c r="A472" s="68" t="inlineStr">
        <is>
          <t>general or unknown targets</t>
        </is>
      </c>
      <c r="B472" s="68" t="inlineStr">
        <is>
          <t>cyanidin</t>
        </is>
      </c>
      <c r="C472" s="68" t="inlineStr">
        <is>
          <t>cyanidin</t>
        </is>
      </c>
      <c r="D472" s="68" t="inlineStr">
        <is>
          <t>hibiscus-sabdariffa</t>
        </is>
      </c>
      <c r="E472" s="68" t="inlineStr">
        <is>
          <t>hibiscus sabdariffa</t>
        </is>
      </c>
      <c r="F472" s="68" t="n">
        <v>1</v>
      </c>
      <c r="G472" s="68" t="inlineStr">
        <is>
          <t>multi-target signaling modulation</t>
        </is>
      </c>
      <c r="H472" s="68" t="inlineStr">
        <is>
          <t>trusted_gov_added</t>
        </is>
      </c>
    </row>
    <row r="473">
      <c r="A473" s="68" t="inlineStr">
        <is>
          <t>general or unknown targets</t>
        </is>
      </c>
      <c r="B473" s="68" t="inlineStr">
        <is>
          <t>ursolic acid</t>
        </is>
      </c>
      <c r="C473" s="68" t="inlineStr">
        <is>
          <t>ursolic acid</t>
        </is>
      </c>
      <c r="D473" s="68" t="inlineStr">
        <is>
          <t>ocimum-sanctum; tulsi</t>
        </is>
      </c>
      <c r="E473" s="68" t="inlineStr">
        <is>
          <t>holy basil; ocimum sanctum; tulsi</t>
        </is>
      </c>
      <c r="F473" s="68" t="n">
        <v>2</v>
      </c>
      <c r="G473" s="68" t="inlineStr">
        <is>
          <t>COX/NF-kB inhibition; multi-target signaling modulation</t>
        </is>
      </c>
      <c r="H473" s="68" t="inlineStr">
        <is>
          <t>inferred_plus_trusted_gov; trusted_gov_added</t>
        </is>
      </c>
    </row>
    <row r="474">
      <c r="A474" s="68" t="inlineStr">
        <is>
          <t>inflammatory_pathway_modulation</t>
        </is>
      </c>
      <c r="B474" s="68" t="inlineStr">
        <is>
          <t>ursolic acid</t>
        </is>
      </c>
      <c r="C474" s="68" t="inlineStr">
        <is>
          <t>ursolic acid</t>
        </is>
      </c>
      <c r="D474" s="68" t="inlineStr">
        <is>
          <t>ocimum-sanctum; tulsi</t>
        </is>
      </c>
      <c r="E474" s="68" t="inlineStr">
        <is>
          <t>holy basil; ocimum sanctum; tulsi</t>
        </is>
      </c>
      <c r="F474" s="68" t="n">
        <v>2</v>
      </c>
      <c r="G474" s="68" t="inlineStr">
        <is>
          <t>COX/NF-kB inhibition; multi-target signaling modulation</t>
        </is>
      </c>
      <c r="H474" s="68" t="inlineStr">
        <is>
          <t>inferred_plus_trusted_gov; trusted_gov_added</t>
        </is>
      </c>
    </row>
    <row r="475">
      <c r="A475" s="68" t="inlineStr">
        <is>
          <t>general or unknown targets</t>
        </is>
      </c>
      <c r="B475" s="68" t="inlineStr">
        <is>
          <t>humulone</t>
        </is>
      </c>
      <c r="C475" s="68" t="inlineStr">
        <is>
          <t>humulone</t>
        </is>
      </c>
      <c r="D475" s="68" t="inlineStr">
        <is>
          <t>humulus-lupulus</t>
        </is>
      </c>
      <c r="E475" s="68" t="inlineStr">
        <is>
          <t>humulus lupulus</t>
        </is>
      </c>
      <c r="F475" s="68" t="n">
        <v>1</v>
      </c>
      <c r="G475" s="68" t="inlineStr">
        <is>
          <t>multi-target signaling modulation</t>
        </is>
      </c>
      <c r="H475" s="68" t="inlineStr">
        <is>
          <t>inferred_plus_trusted_gov</t>
        </is>
      </c>
    </row>
    <row r="476">
      <c r="A476" s="68" t="inlineStr">
        <is>
          <t>general or unknown targets</t>
        </is>
      </c>
      <c r="B476" s="68" t="inlineStr">
        <is>
          <t>lupulone</t>
        </is>
      </c>
      <c r="C476" s="68" t="inlineStr">
        <is>
          <t>lupulone</t>
        </is>
      </c>
      <c r="D476" s="68" t="inlineStr">
        <is>
          <t>humulus-lupulus</t>
        </is>
      </c>
      <c r="E476" s="68" t="inlineStr">
        <is>
          <t>humulus lupulus</t>
        </is>
      </c>
      <c r="F476" s="68" t="n">
        <v>1</v>
      </c>
      <c r="G476" s="68" t="inlineStr">
        <is>
          <t>multi-target signaling modulation</t>
        </is>
      </c>
      <c r="H476" s="68" t="inlineStr">
        <is>
          <t>inferred_plus_trusted_gov</t>
        </is>
      </c>
    </row>
    <row r="477">
      <c r="A477" s="68" t="inlineStr">
        <is>
          <t>general or unknown targets</t>
        </is>
      </c>
      <c r="B477" s="68" t="inlineStr">
        <is>
          <t>xanthohumol</t>
        </is>
      </c>
      <c r="C477" s="68" t="inlineStr">
        <is>
          <t>xanthohumol</t>
        </is>
      </c>
      <c r="D477" s="68" t="inlineStr">
        <is>
          <t>humulus-lupulus</t>
        </is>
      </c>
      <c r="E477" s="68" t="inlineStr">
        <is>
          <t>humulus lupulus</t>
        </is>
      </c>
      <c r="F477" s="68" t="n">
        <v>1</v>
      </c>
      <c r="G477" s="68" t="inlineStr">
        <is>
          <t>multi-target signaling modulation</t>
        </is>
      </c>
      <c r="H477" s="68" t="inlineStr">
        <is>
          <t>inferred_plus_trusted_gov</t>
        </is>
      </c>
    </row>
    <row r="478">
      <c r="A478" s="68" t="inlineStr">
        <is>
          <t>general or unknown targets</t>
        </is>
      </c>
      <c r="B478" s="68" t="inlineStr">
        <is>
          <t>hydrastine</t>
        </is>
      </c>
      <c r="C478" s="68" t="inlineStr">
        <is>
          <t>hydrastine</t>
        </is>
      </c>
      <c r="D478" s="68" t="inlineStr">
        <is>
          <t>hydrastis-canadensis</t>
        </is>
      </c>
      <c r="E478" s="68" t="inlineStr">
        <is>
          <t>hydrastis canadensis</t>
        </is>
      </c>
      <c r="F478" s="68" t="n">
        <v>1</v>
      </c>
      <c r="G478" s="68" t="inlineStr">
        <is>
          <t>multi-target signaling modulation</t>
        </is>
      </c>
      <c r="H478" s="68" t="inlineStr">
        <is>
          <t>inferred_plus_trusted_gov</t>
        </is>
      </c>
    </row>
    <row r="479">
      <c r="A479" s="68" t="inlineStr">
        <is>
          <t>general or unknown targets</t>
        </is>
      </c>
      <c r="B479" s="68" t="inlineStr">
        <is>
          <t>hyperforin</t>
        </is>
      </c>
      <c r="C479" s="68" t="inlineStr">
        <is>
          <t>hyperforin</t>
        </is>
      </c>
      <c r="D479" s="68" t="inlineStr">
        <is>
          <t>hypericum-perforatum</t>
        </is>
      </c>
      <c r="E479" s="68" t="inlineStr">
        <is>
          <t>hypericum perforatum</t>
        </is>
      </c>
      <c r="F479" s="68" t="n">
        <v>1</v>
      </c>
      <c r="G479" s="68" t="inlineStr">
        <is>
          <t>multi-target signaling modulation</t>
        </is>
      </c>
      <c r="H479" s="68" t="inlineStr">
        <is>
          <t>trusted_gov_added</t>
        </is>
      </c>
    </row>
    <row r="480">
      <c r="A480" s="68" t="inlineStr">
        <is>
          <t>general or unknown targets</t>
        </is>
      </c>
      <c r="B480" s="68" t="inlineStr">
        <is>
          <t>hypericin</t>
        </is>
      </c>
      <c r="C480" s="68" t="inlineStr">
        <is>
          <t>hypericin</t>
        </is>
      </c>
      <c r="D480" s="68" t="inlineStr">
        <is>
          <t>hypericum-perforatum</t>
        </is>
      </c>
      <c r="E480" s="68" t="inlineStr">
        <is>
          <t>hypericum perforatum</t>
        </is>
      </c>
      <c r="F480" s="68" t="n">
        <v>1</v>
      </c>
      <c r="G480" s="68" t="inlineStr">
        <is>
          <t>multi-target signaling modulation</t>
        </is>
      </c>
      <c r="H480" s="68" t="inlineStr">
        <is>
          <t>trusted_gov_added</t>
        </is>
      </c>
    </row>
    <row r="481">
      <c r="A481" s="68" t="inlineStr">
        <is>
          <t>general or unknown targets</t>
        </is>
      </c>
      <c r="B481" s="68" t="inlineStr">
        <is>
          <t>ibogaine</t>
        </is>
      </c>
      <c r="C481" s="68" t="inlineStr">
        <is>
          <t>ibogaine</t>
        </is>
      </c>
      <c r="D481" s="68" t="inlineStr">
        <is>
          <t>iboga; tabernanthe-iboga</t>
        </is>
      </c>
      <c r="E481" s="68" t="inlineStr">
        <is>
          <t>iboga; tabernanthe iboga</t>
        </is>
      </c>
      <c r="F481" s="68" t="n">
        <v>2</v>
      </c>
      <c r="G481" s="68" t="inlineStr">
        <is>
          <t>multi-target signaling modulation</t>
        </is>
      </c>
      <c r="H481" s="68" t="inlineStr">
        <is>
          <t>inferred_plus_trusted_gov; trusted_gov_added</t>
        </is>
      </c>
    </row>
    <row r="482">
      <c r="A482" s="68" t="inlineStr">
        <is>
          <t>general or unknown targets</t>
        </is>
      </c>
      <c r="B482" s="68" t="inlineStr">
        <is>
          <t>ergine</t>
        </is>
      </c>
      <c r="C482" s="68" t="inlineStr">
        <is>
          <t>ergine (lsa)</t>
        </is>
      </c>
      <c r="D482" s="68" t="inlineStr">
        <is>
          <t>ipomoea-tricolor; turbina-corymbosa</t>
        </is>
      </c>
      <c r="E482" s="68" t="inlineStr">
        <is>
          <t>ipomoea tricolor; turbina corymbosa</t>
        </is>
      </c>
      <c r="F482" s="68" t="n">
        <v>2</v>
      </c>
      <c r="G482" s="68" t="inlineStr">
        <is>
          <t>multi-target signaling modulation</t>
        </is>
      </c>
      <c r="H482" s="68" t="inlineStr">
        <is>
          <t>inferred_plus_trusted_gov</t>
        </is>
      </c>
    </row>
    <row r="483">
      <c r="A483" s="68" t="inlineStr">
        <is>
          <t>general or unknown targets</t>
        </is>
      </c>
      <c r="B483" s="68" t="inlineStr">
        <is>
          <t>isoergine</t>
        </is>
      </c>
      <c r="C483" s="68" t="inlineStr">
        <is>
          <t>isoergine</t>
        </is>
      </c>
      <c r="D483" s="68" t="inlineStr">
        <is>
          <t>ipomoea-tricolor; turbina-corymbosa</t>
        </is>
      </c>
      <c r="E483" s="68" t="inlineStr">
        <is>
          <t>ipomoea tricolor; turbina corymbosa</t>
        </is>
      </c>
      <c r="F483" s="68" t="n">
        <v>2</v>
      </c>
      <c r="G483" s="68" t="inlineStr">
        <is>
          <t>multi-target signaling modulation</t>
        </is>
      </c>
      <c r="H483" s="68" t="inlineStr">
        <is>
          <t>inferred_plus_trusted_gov</t>
        </is>
      </c>
    </row>
    <row r="484">
      <c r="A484" s="68" t="inlineStr">
        <is>
          <t>general or unknown targets</t>
        </is>
      </c>
      <c r="B484" s="68" t="inlineStr">
        <is>
          <t>iridin</t>
        </is>
      </c>
      <c r="C484" s="68" t="inlineStr">
        <is>
          <t>iridin</t>
        </is>
      </c>
      <c r="D484" s="68" t="inlineStr">
        <is>
          <t>iris-germanica</t>
        </is>
      </c>
      <c r="E484" s="68" t="inlineStr">
        <is>
          <t>iris germanica</t>
        </is>
      </c>
      <c r="F484" s="68" t="n">
        <v>1</v>
      </c>
      <c r="G484" s="68" t="inlineStr">
        <is>
          <t>multi-target signaling modulation</t>
        </is>
      </c>
      <c r="H484" s="68" t="inlineStr">
        <is>
          <t>inferred_plus_trusted_gov</t>
        </is>
      </c>
    </row>
    <row r="485">
      <c r="A485" s="68" t="inlineStr">
        <is>
          <t>general or unknown targets</t>
        </is>
      </c>
      <c r="B485" s="68" t="inlineStr">
        <is>
          <t>juglone</t>
        </is>
      </c>
      <c r="C485" s="68" t="inlineStr">
        <is>
          <t>juglone</t>
        </is>
      </c>
      <c r="D485" s="68" t="inlineStr">
        <is>
          <t>juglans-nigra</t>
        </is>
      </c>
      <c r="E485" s="68" t="inlineStr">
        <is>
          <t>juglans nigra</t>
        </is>
      </c>
      <c r="F485" s="68" t="n">
        <v>1</v>
      </c>
      <c r="G485" s="68" t="inlineStr">
        <is>
          <t>multi-target signaling modulation</t>
        </is>
      </c>
      <c r="H485" s="68" t="inlineStr">
        <is>
          <t>inferred_plus_trusted_gov</t>
        </is>
      </c>
    </row>
    <row r="486">
      <c r="A486" s="68" t="inlineStr">
        <is>
          <t>general or unknown targets</t>
        </is>
      </c>
      <c r="B486" s="68" t="inlineStr">
        <is>
          <t>alpha-pinene</t>
        </is>
      </c>
      <c r="C486" s="68" t="inlineStr">
        <is>
          <t>alpha-pinene</t>
        </is>
      </c>
      <c r="D486" s="68" t="inlineStr">
        <is>
          <t>juniperus-sibirica</t>
        </is>
      </c>
      <c r="E486" s="68" t="inlineStr">
        <is>
          <t>juniperus sibirica</t>
        </is>
      </c>
      <c r="F486" s="68" t="n">
        <v>1</v>
      </c>
      <c r="G486" s="68" t="inlineStr">
        <is>
          <t>multi-target signaling modulation</t>
        </is>
      </c>
      <c r="H486" s="68" t="inlineStr">
        <is>
          <t>inferred_plus_trusted_gov</t>
        </is>
      </c>
    </row>
    <row r="487">
      <c r="A487" s="68" t="inlineStr">
        <is>
          <t>general or unknown targets</t>
        </is>
      </c>
      <c r="B487" s="68" t="inlineStr">
        <is>
          <t>ethyl cinnamate</t>
        </is>
      </c>
      <c r="C487" s="68" t="inlineStr">
        <is>
          <t>ethyl cinnamate</t>
        </is>
      </c>
      <c r="D487" s="68" t="inlineStr">
        <is>
          <t>kaempferia-galanga</t>
        </is>
      </c>
      <c r="E487" s="68" t="inlineStr">
        <is>
          <t>kaempferia galanga</t>
        </is>
      </c>
      <c r="F487" s="68" t="n">
        <v>1</v>
      </c>
      <c r="G487" s="68" t="inlineStr">
        <is>
          <t>multi-target signaling modulation</t>
        </is>
      </c>
      <c r="H487" s="68" t="inlineStr">
        <is>
          <t>inferred_plus_trusted_gov</t>
        </is>
      </c>
    </row>
    <row r="488">
      <c r="A488" s="68" t="inlineStr">
        <is>
          <t>general or unknown targets</t>
        </is>
      </c>
      <c r="B488" s="68" t="inlineStr">
        <is>
          <t>kaempferol</t>
        </is>
      </c>
      <c r="C488" s="68" t="inlineStr">
        <is>
          <t>kaempferol</t>
        </is>
      </c>
      <c r="D488" s="68" t="inlineStr">
        <is>
          <t>kaempferia-galanga</t>
        </is>
      </c>
      <c r="E488" s="68" t="inlineStr">
        <is>
          <t>kaempferia galanga</t>
        </is>
      </c>
      <c r="F488" s="68" t="n">
        <v>1</v>
      </c>
      <c r="G488" s="68" t="inlineStr">
        <is>
          <t>multi-target signaling modulation</t>
        </is>
      </c>
      <c r="H488" s="68" t="inlineStr">
        <is>
          <t>inferred_plus_trusted_gov</t>
        </is>
      </c>
    </row>
    <row r="489">
      <c r="A489" s="68" t="inlineStr">
        <is>
          <t>dopaminergic_modulation</t>
        </is>
      </c>
      <c r="B489" s="68" t="inlineStr">
        <is>
          <t>kavain</t>
        </is>
      </c>
      <c r="C489" s="68" t="inlineStr">
        <is>
          <t>kavain</t>
        </is>
      </c>
      <c r="D489" s="68" t="inlineStr">
        <is>
          <t>kava; piper-methysticum</t>
        </is>
      </c>
      <c r="E489" s="68" t="inlineStr">
        <is>
          <t>kava; piper methysticum</t>
        </is>
      </c>
      <c r="F489" s="68" t="n">
        <v>2</v>
      </c>
      <c r="G489" s="68" t="inlineStr">
        <is>
          <t>GABAergic modulation; multi-target signaling modulation</t>
        </is>
      </c>
      <c r="H489" s="68" t="inlineStr">
        <is>
          <t>trusted_gov_added</t>
        </is>
      </c>
    </row>
    <row r="490">
      <c r="A490" s="68" t="inlineStr">
        <is>
          <t>gabaergic_modulation</t>
        </is>
      </c>
      <c r="B490" s="68" t="inlineStr">
        <is>
          <t>kavain</t>
        </is>
      </c>
      <c r="C490" s="68" t="inlineStr">
        <is>
          <t>kavain</t>
        </is>
      </c>
      <c r="D490" s="68" t="inlineStr">
        <is>
          <t>kava; piper-methysticum</t>
        </is>
      </c>
      <c r="E490" s="68" t="inlineStr">
        <is>
          <t>kava; piper methysticum</t>
        </is>
      </c>
      <c r="F490" s="68" t="n">
        <v>2</v>
      </c>
      <c r="G490" s="68" t="inlineStr">
        <is>
          <t>GABAergic modulation; multi-target signaling modulation</t>
        </is>
      </c>
      <c r="H490" s="68" t="inlineStr">
        <is>
          <t>trusted_gov_added</t>
        </is>
      </c>
    </row>
    <row r="491">
      <c r="A491" s="68" t="inlineStr">
        <is>
          <t>dopaminergic_modulation</t>
        </is>
      </c>
      <c r="B491" s="68" t="inlineStr">
        <is>
          <t>dihydrokavain</t>
        </is>
      </c>
      <c r="C491" s="68" t="inlineStr">
        <is>
          <t>dihydrokavain</t>
        </is>
      </c>
      <c r="D491" s="68" t="inlineStr">
        <is>
          <t>kava; piper-methysticum</t>
        </is>
      </c>
      <c r="E491" s="68" t="inlineStr">
        <is>
          <t>kava; piper methysticum</t>
        </is>
      </c>
      <c r="F491" s="68" t="n">
        <v>2</v>
      </c>
      <c r="G491" s="68" t="inlineStr">
        <is>
          <t>GABAergic modulation; multi-target signaling modulation</t>
        </is>
      </c>
      <c r="H491" s="68" t="inlineStr">
        <is>
          <t>trusted_gov_added</t>
        </is>
      </c>
    </row>
    <row r="492">
      <c r="A492" s="68" t="inlineStr">
        <is>
          <t>gabaergic_modulation</t>
        </is>
      </c>
      <c r="B492" s="68" t="inlineStr">
        <is>
          <t>dihydrokavain</t>
        </is>
      </c>
      <c r="C492" s="68" t="inlineStr">
        <is>
          <t>dihydrokavain</t>
        </is>
      </c>
      <c r="D492" s="68" t="inlineStr">
        <is>
          <t>kava; piper-methysticum</t>
        </is>
      </c>
      <c r="E492" s="68" t="inlineStr">
        <is>
          <t>kava; piper methysticum</t>
        </is>
      </c>
      <c r="F492" s="68" t="n">
        <v>2</v>
      </c>
      <c r="G492" s="68" t="inlineStr">
        <is>
          <t>GABAergic modulation; multi-target signaling modulation</t>
        </is>
      </c>
      <c r="H492" s="68" t="inlineStr">
        <is>
          <t>trusted_gov_added</t>
        </is>
      </c>
    </row>
    <row r="493">
      <c r="A493" s="68" t="inlineStr">
        <is>
          <t>dopaminergic_modulation</t>
        </is>
      </c>
      <c r="B493" s="68" t="inlineStr">
        <is>
          <t>yangonin</t>
        </is>
      </c>
      <c r="C493" s="68" t="inlineStr">
        <is>
          <t>yangonin</t>
        </is>
      </c>
      <c r="D493" s="68" t="inlineStr">
        <is>
          <t>kava; piper-methysticum</t>
        </is>
      </c>
      <c r="E493" s="68" t="inlineStr">
        <is>
          <t>kava; piper methysticum</t>
        </is>
      </c>
      <c r="F493" s="68" t="n">
        <v>2</v>
      </c>
      <c r="G493" s="68" t="inlineStr">
        <is>
          <t>GABAergic modulation; multi-target signaling modulation</t>
        </is>
      </c>
      <c r="H493" s="68" t="inlineStr">
        <is>
          <t>trusted_gov_added</t>
        </is>
      </c>
    </row>
    <row r="494">
      <c r="A494" s="68" t="inlineStr">
        <is>
          <t>gabaergic_modulation</t>
        </is>
      </c>
      <c r="B494" s="68" t="inlineStr">
        <is>
          <t>yangonin</t>
        </is>
      </c>
      <c r="C494" s="68" t="inlineStr">
        <is>
          <t>yangonin</t>
        </is>
      </c>
      <c r="D494" s="68" t="inlineStr">
        <is>
          <t>kava; piper-methysticum</t>
        </is>
      </c>
      <c r="E494" s="68" t="inlineStr">
        <is>
          <t>kava; piper methysticum</t>
        </is>
      </c>
      <c r="F494" s="68" t="n">
        <v>2</v>
      </c>
      <c r="G494" s="68" t="inlineStr">
        <is>
          <t>GABAergic modulation; multi-target signaling modulation</t>
        </is>
      </c>
      <c r="H494" s="68" t="inlineStr">
        <is>
          <t>trusted_gov_added</t>
        </is>
      </c>
    </row>
    <row r="495">
      <c r="A495" s="68" t="inlineStr">
        <is>
          <t>dopaminergic_modulation</t>
        </is>
      </c>
      <c r="B495" s="68" t="inlineStr">
        <is>
          <t>desmethoxyyangonin</t>
        </is>
      </c>
      <c r="C495" s="68" t="inlineStr">
        <is>
          <t>desmethoxyyangonin</t>
        </is>
      </c>
      <c r="D495" s="68" t="inlineStr">
        <is>
          <t>kava; piper-methysticum</t>
        </is>
      </c>
      <c r="E495" s="68" t="inlineStr">
        <is>
          <t>kava; piper methysticum</t>
        </is>
      </c>
      <c r="F495" s="68" t="n">
        <v>2</v>
      </c>
      <c r="G495" s="68" t="inlineStr">
        <is>
          <t>GABAergic modulation; multi-target signaling modulation</t>
        </is>
      </c>
      <c r="H495" s="68" t="inlineStr">
        <is>
          <t>trusted_gov_added</t>
        </is>
      </c>
    </row>
    <row r="496">
      <c r="A496" s="68" t="inlineStr">
        <is>
          <t>gabaergic_modulation</t>
        </is>
      </c>
      <c r="B496" s="68" t="inlineStr">
        <is>
          <t>desmethoxyyangonin</t>
        </is>
      </c>
      <c r="C496" s="68" t="inlineStr">
        <is>
          <t>desmethoxyyangonin</t>
        </is>
      </c>
      <c r="D496" s="68" t="inlineStr">
        <is>
          <t>kava; piper-methysticum</t>
        </is>
      </c>
      <c r="E496" s="68" t="inlineStr">
        <is>
          <t>kava; piper methysticum</t>
        </is>
      </c>
      <c r="F496" s="68" t="n">
        <v>2</v>
      </c>
      <c r="G496" s="68" t="inlineStr">
        <is>
          <t>GABAergic modulation; multi-target signaling modulation</t>
        </is>
      </c>
      <c r="H496" s="68" t="inlineStr">
        <is>
          <t>trusted_gov_added</t>
        </is>
      </c>
    </row>
    <row r="497">
      <c r="A497" s="68" t="inlineStr">
        <is>
          <t>dopaminergic_modulation</t>
        </is>
      </c>
      <c r="B497" s="68" t="inlineStr">
        <is>
          <t>dihydromethysticin</t>
        </is>
      </c>
      <c r="C497" s="68" t="inlineStr">
        <is>
          <t>dihydromethysticin</t>
        </is>
      </c>
      <c r="D497" s="68" t="inlineStr">
        <is>
          <t>kava</t>
        </is>
      </c>
      <c r="E497" s="68" t="inlineStr">
        <is>
          <t>kava</t>
        </is>
      </c>
      <c r="F497" s="68" t="n">
        <v>1</v>
      </c>
      <c r="G497" s="68" t="inlineStr">
        <is>
          <t>multi-target signaling modulation</t>
        </is>
      </c>
      <c r="H497" s="68" t="inlineStr">
        <is>
          <t>trusted_gov_added</t>
        </is>
      </c>
    </row>
    <row r="498">
      <c r="A498" s="68" t="inlineStr">
        <is>
          <t>gabaergic_modulation</t>
        </is>
      </c>
      <c r="B498" s="68" t="inlineStr">
        <is>
          <t>dihydromethysticin</t>
        </is>
      </c>
      <c r="C498" s="68" t="inlineStr">
        <is>
          <t>dihydromethysticin</t>
        </is>
      </c>
      <c r="D498" s="68" t="inlineStr">
        <is>
          <t>kava</t>
        </is>
      </c>
      <c r="E498" s="68" t="inlineStr">
        <is>
          <t>kava</t>
        </is>
      </c>
      <c r="F498" s="68" t="n">
        <v>1</v>
      </c>
      <c r="G498" s="68" t="inlineStr">
        <is>
          <t>multi-target signaling modulation</t>
        </is>
      </c>
      <c r="H498" s="68" t="inlineStr">
        <is>
          <t>trusted_gov_added</t>
        </is>
      </c>
    </row>
    <row r="499">
      <c r="A499" s="68" t="inlineStr">
        <is>
          <t>dopaminergic_modulation</t>
        </is>
      </c>
      <c r="B499" s="68" t="inlineStr">
        <is>
          <t>methysticin</t>
        </is>
      </c>
      <c r="C499" s="68" t="inlineStr">
        <is>
          <t>methysticin</t>
        </is>
      </c>
      <c r="D499" s="68" t="inlineStr">
        <is>
          <t>kava; piper-methysticum</t>
        </is>
      </c>
      <c r="E499" s="68" t="inlineStr">
        <is>
          <t>kava; piper methysticum</t>
        </is>
      </c>
      <c r="F499" s="68" t="n">
        <v>2</v>
      </c>
      <c r="G499" s="68" t="inlineStr">
        <is>
          <t>GABAergic modulation; multi-target signaling modulation</t>
        </is>
      </c>
      <c r="H499" s="68" t="inlineStr">
        <is>
          <t>trusted_gov_added</t>
        </is>
      </c>
    </row>
    <row r="500">
      <c r="A500" s="68" t="inlineStr">
        <is>
          <t>gabaergic_modulation</t>
        </is>
      </c>
      <c r="B500" s="68" t="inlineStr">
        <is>
          <t>methysticin</t>
        </is>
      </c>
      <c r="C500" s="68" t="inlineStr">
        <is>
          <t>methysticin</t>
        </is>
      </c>
      <c r="D500" s="68" t="inlineStr">
        <is>
          <t>kava; piper-methysticum</t>
        </is>
      </c>
      <c r="E500" s="68" t="inlineStr">
        <is>
          <t>kava; piper methysticum</t>
        </is>
      </c>
      <c r="F500" s="68" t="n">
        <v>2</v>
      </c>
      <c r="G500" s="68" t="inlineStr">
        <is>
          <t>GABAergic modulation; multi-target signaling modulation</t>
        </is>
      </c>
      <c r="H500" s="68" t="inlineStr">
        <is>
          <t>trusted_gov_added</t>
        </is>
      </c>
    </row>
    <row r="501">
      <c r="A501" s="68" t="inlineStr">
        <is>
          <t>general or unknown targets</t>
        </is>
      </c>
      <c r="B501" s="68" t="inlineStr">
        <is>
          <t>7-hydroxymitragynine</t>
        </is>
      </c>
      <c r="C501" s="68" t="inlineStr">
        <is>
          <t>7-hydroxymitragynine</t>
        </is>
      </c>
      <c r="D501" s="68" t="inlineStr">
        <is>
          <t>kratom-hybrids; mitragyna-speciosa</t>
        </is>
      </c>
      <c r="E501" s="68" t="inlineStr">
        <is>
          <t>kratom hybrids; mitragyna speciosa</t>
        </is>
      </c>
      <c r="F501" s="68" t="n">
        <v>2</v>
      </c>
      <c r="G501" s="68" t="inlineStr">
        <is>
          <t>multi-target signaling modulation</t>
        </is>
      </c>
      <c r="H501" s="68" t="inlineStr">
        <is>
          <t>inferred_plus_trusted_gov; trusted_gov_added</t>
        </is>
      </c>
    </row>
    <row r="502">
      <c r="A502" s="68" t="inlineStr">
        <is>
          <t>general or unknown targets</t>
        </is>
      </c>
      <c r="B502" s="68" t="inlineStr">
        <is>
          <t>mitragynine</t>
        </is>
      </c>
      <c r="C502" s="68" t="inlineStr">
        <is>
          <t>mitragynine</t>
        </is>
      </c>
      <c r="D502" s="68" t="inlineStr">
        <is>
          <t>kratom-hybrids; mitragyna-speciosa</t>
        </is>
      </c>
      <c r="E502" s="68" t="inlineStr">
        <is>
          <t>kratom hybrids; mitragyna speciosa</t>
        </is>
      </c>
      <c r="F502" s="68" t="n">
        <v>2</v>
      </c>
      <c r="G502" s="68" t="inlineStr">
        <is>
          <t>multi-target signaling modulation</t>
        </is>
      </c>
      <c r="H502" s="68" t="inlineStr">
        <is>
          <t>inferred_plus_trusted_gov; trusted_gov_added</t>
        </is>
      </c>
    </row>
    <row r="503">
      <c r="A503" s="68" t="inlineStr">
        <is>
          <t>general or unknown targets</t>
        </is>
      </c>
      <c r="B503" s="68" t="inlineStr">
        <is>
          <t>lactucopicrin</t>
        </is>
      </c>
      <c r="C503" s="68" t="inlineStr">
        <is>
          <t>lactucopicrin</t>
        </is>
      </c>
      <c r="D503" s="68" t="inlineStr">
        <is>
          <t>lactuca-virosa</t>
        </is>
      </c>
      <c r="E503" s="68" t="inlineStr">
        <is>
          <t>lactuca virosa</t>
        </is>
      </c>
      <c r="F503" s="68" t="n">
        <v>1</v>
      </c>
      <c r="G503" s="68" t="inlineStr">
        <is>
          <t>multi-target signaling modulation</t>
        </is>
      </c>
      <c r="H503" s="68" t="inlineStr">
        <is>
          <t>inferred_plus_trusted_gov</t>
        </is>
      </c>
    </row>
    <row r="504">
      <c r="A504" s="68" t="inlineStr">
        <is>
          <t>general or unknown targets</t>
        </is>
      </c>
      <c r="B504" s="68" t="inlineStr">
        <is>
          <t>lactucin</t>
        </is>
      </c>
      <c r="C504" s="68" t="inlineStr">
        <is>
          <t>lactucin</t>
        </is>
      </c>
      <c r="D504" s="68" t="inlineStr">
        <is>
          <t>lactuca-virosa</t>
        </is>
      </c>
      <c r="E504" s="68" t="inlineStr">
        <is>
          <t>lactuca virosa</t>
        </is>
      </c>
      <c r="F504" s="68" t="n">
        <v>1</v>
      </c>
      <c r="G504" s="68" t="inlineStr">
        <is>
          <t>multi-target signaling modulation</t>
        </is>
      </c>
      <c r="H504" s="68" t="inlineStr">
        <is>
          <t>inferred_plus_trusted_gov</t>
        </is>
      </c>
    </row>
    <row r="505">
      <c r="A505" s="68" t="inlineStr">
        <is>
          <t>gabaergic_modulation</t>
        </is>
      </c>
      <c r="B505" s="68" t="inlineStr">
        <is>
          <t>linalyl acetate</t>
        </is>
      </c>
      <c r="C505" s="68" t="inlineStr">
        <is>
          <t>linalyl acetate</t>
        </is>
      </c>
      <c r="D505" s="68" t="inlineStr">
        <is>
          <t>lavender</t>
        </is>
      </c>
      <c r="E505" s="68" t="inlineStr">
        <is>
          <t>lavender</t>
        </is>
      </c>
      <c r="F505" s="68" t="n">
        <v>1</v>
      </c>
      <c r="G505" s="68" t="inlineStr">
        <is>
          <t>GABAergic modulation</t>
        </is>
      </c>
      <c r="H505" s="68" t="inlineStr">
        <is>
          <t>inferred_plus_trusted_gov</t>
        </is>
      </c>
    </row>
    <row r="506">
      <c r="A506" s="68" t="inlineStr">
        <is>
          <t>gabaergic_modulation</t>
        </is>
      </c>
      <c r="B506" s="68" t="inlineStr">
        <is>
          <t>linalool</t>
        </is>
      </c>
      <c r="C506" s="68" t="inlineStr">
        <is>
          <t>linalool</t>
        </is>
      </c>
      <c r="D506" s="68" t="inlineStr">
        <is>
          <t>lavender</t>
        </is>
      </c>
      <c r="E506" s="68" t="inlineStr">
        <is>
          <t>lavender</t>
        </is>
      </c>
      <c r="F506" s="68" t="n">
        <v>1</v>
      </c>
      <c r="G506" s="68" t="inlineStr">
        <is>
          <t>GABAergic modulation</t>
        </is>
      </c>
      <c r="H506" s="68" t="inlineStr">
        <is>
          <t>inferred_plus_trusted_gov</t>
        </is>
      </c>
    </row>
    <row r="507">
      <c r="A507" s="68" t="inlineStr">
        <is>
          <t>general or unknown targets</t>
        </is>
      </c>
      <c r="B507" s="68" t="inlineStr">
        <is>
          <t>ledol</t>
        </is>
      </c>
      <c r="C507" s="68" t="inlineStr">
        <is>
          <t>ledol</t>
        </is>
      </c>
      <c r="D507" s="68" t="inlineStr">
        <is>
          <t>rhododendron-tomentosum</t>
        </is>
      </c>
      <c r="E507" s="68" t="inlineStr">
        <is>
          <t>ledum palustre; rhododendron tomentosum</t>
        </is>
      </c>
      <c r="F507" s="68" t="n">
        <v>1</v>
      </c>
      <c r="G507" s="68" t="inlineStr">
        <is>
          <t>multi-target signaling modulation</t>
        </is>
      </c>
      <c r="H507" s="68" t="inlineStr">
        <is>
          <t>inferred_plus_trusted_gov</t>
        </is>
      </c>
    </row>
    <row r="508">
      <c r="A508" s="68" t="inlineStr">
        <is>
          <t>general or unknown targets</t>
        </is>
      </c>
      <c r="B508" s="68" t="inlineStr">
        <is>
          <t>palustrol</t>
        </is>
      </c>
      <c r="C508" s="68" t="inlineStr">
        <is>
          <t>palustrol</t>
        </is>
      </c>
      <c r="D508" s="68" t="inlineStr">
        <is>
          <t>rhododendron-tomentosum</t>
        </is>
      </c>
      <c r="E508" s="68" t="inlineStr">
        <is>
          <t>ledum palustre; rhododendron tomentosum</t>
        </is>
      </c>
      <c r="F508" s="68" t="n">
        <v>1</v>
      </c>
      <c r="G508" s="68" t="inlineStr">
        <is>
          <t>multi-target signaling modulation</t>
        </is>
      </c>
      <c r="H508" s="68" t="inlineStr">
        <is>
          <t>inferred_plus_trusted_gov</t>
        </is>
      </c>
    </row>
    <row r="509">
      <c r="A509" s="68" t="inlineStr">
        <is>
          <t>gabaergic_modulation</t>
        </is>
      </c>
      <c r="B509" s="68" t="inlineStr">
        <is>
          <t>citronellal</t>
        </is>
      </c>
      <c r="C509" s="68" t="inlineStr">
        <is>
          <t>citronellal</t>
        </is>
      </c>
      <c r="D509" s="68" t="inlineStr">
        <is>
          <t>melissa-officinalis; melissa-officinalis-lemon-balm</t>
        </is>
      </c>
      <c r="E509" s="68" t="inlineStr">
        <is>
          <t>lemon balm; melissa officinalis (lemon balm)</t>
        </is>
      </c>
      <c r="F509" s="68" t="n">
        <v>2</v>
      </c>
      <c r="G509" s="68" t="inlineStr">
        <is>
          <t>GABAergic modulation</t>
        </is>
      </c>
      <c r="H509" s="68" t="inlineStr">
        <is>
          <t>trusted_gov_added</t>
        </is>
      </c>
    </row>
    <row r="510">
      <c r="A510" s="68" t="inlineStr">
        <is>
          <t>general or unknown targets</t>
        </is>
      </c>
      <c r="B510" s="68" t="inlineStr">
        <is>
          <t>stachydrine</t>
        </is>
      </c>
      <c r="C510" s="68" t="inlineStr">
        <is>
          <t>stachydrine</t>
        </is>
      </c>
      <c r="D510" s="68" t="inlineStr">
        <is>
          <t>leonurus-cardiaca; leonurus-japonicus</t>
        </is>
      </c>
      <c r="E510" s="68" t="inlineStr">
        <is>
          <t>leonurus cardiaca; leonurus japonicus</t>
        </is>
      </c>
      <c r="F510" s="68" t="n">
        <v>2</v>
      </c>
      <c r="G510" s="68" t="inlineStr">
        <is>
          <t>multi-target signaling modulation</t>
        </is>
      </c>
      <c r="H510" s="68" t="inlineStr">
        <is>
          <t>inferred_plus_trusted_gov</t>
        </is>
      </c>
    </row>
    <row r="511">
      <c r="A511" s="68" t="inlineStr">
        <is>
          <t>general or unknown targets</t>
        </is>
      </c>
      <c r="B511" s="68" t="inlineStr">
        <is>
          <t>leonurine</t>
        </is>
      </c>
      <c r="C511" s="68" t="inlineStr">
        <is>
          <t>leonurine</t>
        </is>
      </c>
      <c r="D511" s="68" t="inlineStr">
        <is>
          <t>leonurus-cardiaca; leonurus-japonicus</t>
        </is>
      </c>
      <c r="E511" s="68" t="inlineStr">
        <is>
          <t>leonurus cardiaca; leonurus japonicus</t>
        </is>
      </c>
      <c r="F511" s="68" t="n">
        <v>2</v>
      </c>
      <c r="G511" s="68" t="inlineStr">
        <is>
          <t>multi-target signaling modulation</t>
        </is>
      </c>
      <c r="H511" s="68" t="inlineStr">
        <is>
          <t>inferred_plus_trusted_gov</t>
        </is>
      </c>
    </row>
    <row r="512">
      <c r="A512" s="68" t="inlineStr">
        <is>
          <t>general or unknown targets</t>
        </is>
      </c>
      <c r="B512" s="68" t="inlineStr">
        <is>
          <t>triketones leptospermone</t>
        </is>
      </c>
      <c r="C512" s="68" t="inlineStr">
        <is>
          <t>triketones (leptospermone)</t>
        </is>
      </c>
      <c r="D512" s="68" t="inlineStr">
        <is>
          <t>leptospermum-scoparium</t>
        </is>
      </c>
      <c r="E512" s="68" t="inlineStr">
        <is>
          <t>leptospermum scoparium</t>
        </is>
      </c>
      <c r="F512" s="68" t="n">
        <v>1</v>
      </c>
      <c r="G512" s="68" t="inlineStr">
        <is>
          <t>multi-target signaling modulation</t>
        </is>
      </c>
      <c r="H512" s="68" t="inlineStr">
        <is>
          <t>inferred_plus_trusted_gov</t>
        </is>
      </c>
    </row>
    <row r="513">
      <c r="A513" s="68" t="inlineStr">
        <is>
          <t>general or unknown targets</t>
        </is>
      </c>
      <c r="B513" s="68" t="inlineStr">
        <is>
          <t>tetramethylpyrazine</t>
        </is>
      </c>
      <c r="C513" s="68" t="inlineStr">
        <is>
          <t>tetramethylpyrazine</t>
        </is>
      </c>
      <c r="D513" s="68" t="inlineStr">
        <is>
          <t>ligusticum-chuanxiong</t>
        </is>
      </c>
      <c r="E513" s="68" t="inlineStr">
        <is>
          <t>ligusticum chuanxiong</t>
        </is>
      </c>
      <c r="F513" s="68" t="n">
        <v>1</v>
      </c>
      <c r="G513" s="68" t="inlineStr">
        <is>
          <t>multi-target signaling modulation</t>
        </is>
      </c>
      <c r="H513" s="68" t="inlineStr">
        <is>
          <t>inferred_plus_trusted_gov</t>
        </is>
      </c>
    </row>
    <row r="514">
      <c r="A514" s="68" t="inlineStr">
        <is>
          <t>cholinergic_modulation</t>
        </is>
      </c>
      <c r="B514" s="68" t="inlineStr">
        <is>
          <t>lobeline</t>
        </is>
      </c>
      <c r="C514" s="68" t="inlineStr">
        <is>
          <t>lobeline</t>
        </is>
      </c>
      <c r="D514" s="68" t="inlineStr">
        <is>
          <t>lobelia-inflata</t>
        </is>
      </c>
      <c r="E514" s="68" t="inlineStr">
        <is>
          <t>lobelia inflata</t>
        </is>
      </c>
      <c r="F514" s="68" t="n">
        <v>1</v>
      </c>
      <c r="G514" s="68" t="inlineStr">
        <is>
          <t>muscarinic receptor interaction</t>
        </is>
      </c>
      <c r="H514" s="68" t="inlineStr">
        <is>
          <t>trusted_gov_added</t>
        </is>
      </c>
    </row>
    <row r="515">
      <c r="A515" s="68" t="inlineStr">
        <is>
          <t>dopaminergic_modulation</t>
        </is>
      </c>
      <c r="B515" s="68" t="inlineStr">
        <is>
          <t>lobeline</t>
        </is>
      </c>
      <c r="C515" s="68" t="inlineStr">
        <is>
          <t>lobeline</t>
        </is>
      </c>
      <c r="D515" s="68" t="inlineStr">
        <is>
          <t>lobelia-inflata</t>
        </is>
      </c>
      <c r="E515" s="68" t="inlineStr">
        <is>
          <t>lobelia inflata</t>
        </is>
      </c>
      <c r="F515" s="68" t="n">
        <v>1</v>
      </c>
      <c r="G515" s="68" t="inlineStr">
        <is>
          <t>muscarinic receptor interaction</t>
        </is>
      </c>
      <c r="H515" s="68" t="inlineStr">
        <is>
          <t>trusted_gov_added</t>
        </is>
      </c>
    </row>
    <row r="516">
      <c r="A516" s="68" t="inlineStr">
        <is>
          <t>cholinergic_modulation</t>
        </is>
      </c>
      <c r="B516" s="68" t="inlineStr">
        <is>
          <t>lobelanidine</t>
        </is>
      </c>
      <c r="C516" s="68" t="inlineStr">
        <is>
          <t>lobelanidine</t>
        </is>
      </c>
      <c r="D516" s="68" t="inlineStr">
        <is>
          <t>lobelia-inflata</t>
        </is>
      </c>
      <c r="E516" s="68" t="inlineStr">
        <is>
          <t>lobelia inflata</t>
        </is>
      </c>
      <c r="F516" s="68" t="n">
        <v>1</v>
      </c>
      <c r="G516" s="68" t="inlineStr">
        <is>
          <t>muscarinic receptor interaction</t>
        </is>
      </c>
      <c r="H516" s="68" t="inlineStr">
        <is>
          <t>trusted_gov_added</t>
        </is>
      </c>
    </row>
    <row r="517">
      <c r="A517" s="68" t="inlineStr">
        <is>
          <t>dopaminergic_modulation</t>
        </is>
      </c>
      <c r="B517" s="68" t="inlineStr">
        <is>
          <t>lobelanidine</t>
        </is>
      </c>
      <c r="C517" s="68" t="inlineStr">
        <is>
          <t>lobelanidine</t>
        </is>
      </c>
      <c r="D517" s="68" t="inlineStr">
        <is>
          <t>lobelia-inflata</t>
        </is>
      </c>
      <c r="E517" s="68" t="inlineStr">
        <is>
          <t>lobelia inflata</t>
        </is>
      </c>
      <c r="F517" s="68" t="n">
        <v>1</v>
      </c>
      <c r="G517" s="68" t="inlineStr">
        <is>
          <t>muscarinic receptor interaction</t>
        </is>
      </c>
      <c r="H517" s="68" t="inlineStr">
        <is>
          <t>trusted_gov_added</t>
        </is>
      </c>
    </row>
    <row r="518">
      <c r="A518" s="68" t="inlineStr">
        <is>
          <t>serotonergic_5HT2A_agonism</t>
        </is>
      </c>
      <c r="B518" s="68" t="inlineStr">
        <is>
          <t>mescaline</t>
        </is>
      </c>
      <c r="C518" s="68" t="inlineStr">
        <is>
          <t>mescaline</t>
        </is>
      </c>
      <c r="D518" s="68" t="inlineStr">
        <is>
          <t>lophophora-williamsii; trichocereus-bridgesii</t>
        </is>
      </c>
      <c r="E518" s="68" t="inlineStr">
        <is>
          <t>lophophora williamsii; peyote; trichocereus bridgesii</t>
        </is>
      </c>
      <c r="F518" s="68" t="n">
        <v>2</v>
      </c>
      <c r="G518" s="68" t="inlineStr">
        <is>
          <t>serotonin receptor interaction</t>
        </is>
      </c>
      <c r="H518" s="68" t="inlineStr">
        <is>
          <t>inferred_plus_trusted_gov</t>
        </is>
      </c>
    </row>
    <row r="519">
      <c r="A519" s="68" t="inlineStr">
        <is>
          <t>dopaminergic_modulation</t>
        </is>
      </c>
      <c r="B519" s="68" t="inlineStr">
        <is>
          <t>lsd ergoline derivative</t>
        </is>
      </c>
      <c r="C519" s="68" t="inlineStr">
        <is>
          <t>lsd (ergoline derivative)</t>
        </is>
      </c>
      <c r="D519" s="68" t="inlineStr">
        <is>
          <t>lsd</t>
        </is>
      </c>
      <c r="E519" s="68" t="inlineStr">
        <is>
          <t>lsd</t>
        </is>
      </c>
      <c r="F519" s="68" t="n">
        <v>1</v>
      </c>
      <c r="G519" s="68" t="inlineStr">
        <is>
          <t>serotonin receptor interaction</t>
        </is>
      </c>
      <c r="H519" s="68" t="inlineStr">
        <is>
          <t>inferred_plus_trusted_gov</t>
        </is>
      </c>
    </row>
    <row r="520">
      <c r="A520" s="68" t="inlineStr">
        <is>
          <t>serotonergic_5HT2A_agonism</t>
        </is>
      </c>
      <c r="B520" s="68" t="inlineStr">
        <is>
          <t>lsd ergoline derivative</t>
        </is>
      </c>
      <c r="C520" s="68" t="inlineStr">
        <is>
          <t>lsd (ergoline derivative)</t>
        </is>
      </c>
      <c r="D520" s="68" t="inlineStr">
        <is>
          <t>lsd</t>
        </is>
      </c>
      <c r="E520" s="68" t="inlineStr">
        <is>
          <t>lsd</t>
        </is>
      </c>
      <c r="F520" s="68" t="n">
        <v>1</v>
      </c>
      <c r="G520" s="68" t="inlineStr">
        <is>
          <t>serotonin receptor interaction</t>
        </is>
      </c>
      <c r="H520" s="68" t="inlineStr">
        <is>
          <t>inferred_plus_trusted_gov</t>
        </is>
      </c>
    </row>
    <row r="521">
      <c r="A521" s="68" t="inlineStr">
        <is>
          <t>general or unknown targets</t>
        </is>
      </c>
      <c r="B521" s="68" t="inlineStr">
        <is>
          <t>lycopodine</t>
        </is>
      </c>
      <c r="C521" s="68" t="inlineStr">
        <is>
          <t>lycopodine</t>
        </is>
      </c>
      <c r="D521" s="68" t="inlineStr">
        <is>
          <t>lycopodium-clavatum</t>
        </is>
      </c>
      <c r="E521" s="68" t="inlineStr">
        <is>
          <t>lycopodium clavatum</t>
        </is>
      </c>
      <c r="F521" s="68" t="n">
        <v>1</v>
      </c>
      <c r="G521" s="68" t="inlineStr">
        <is>
          <t>multi-target signaling modulation</t>
        </is>
      </c>
      <c r="H521" s="68" t="inlineStr">
        <is>
          <t>inferred_plus_trusted_gov</t>
        </is>
      </c>
    </row>
    <row r="522">
      <c r="A522" s="68" t="inlineStr">
        <is>
          <t>general or unknown targets</t>
        </is>
      </c>
      <c r="B522" s="68" t="inlineStr">
        <is>
          <t>lithospermic acid</t>
        </is>
      </c>
      <c r="C522" s="68" t="inlineStr">
        <is>
          <t>lithospermic acid</t>
        </is>
      </c>
      <c r="D522" s="68" t="inlineStr">
        <is>
          <t>lycopus-virginicus</t>
        </is>
      </c>
      <c r="E522" s="68" t="inlineStr">
        <is>
          <t>lycopus virginicus</t>
        </is>
      </c>
      <c r="F522" s="68" t="n">
        <v>1</v>
      </c>
      <c r="G522" s="68" t="inlineStr">
        <is>
          <t>multi-target signaling modulation</t>
        </is>
      </c>
      <c r="H522" s="68" t="inlineStr">
        <is>
          <t>inferred_plus_trusted_gov</t>
        </is>
      </c>
    </row>
    <row r="523">
      <c r="A523" s="68" t="inlineStr">
        <is>
          <t>general or unknown targets</t>
        </is>
      </c>
      <c r="B523" s="68" t="inlineStr">
        <is>
          <t>dillapiole</t>
        </is>
      </c>
      <c r="C523" s="68" t="inlineStr">
        <is>
          <t>dillapiole</t>
        </is>
      </c>
      <c r="D523" s="68" t="inlineStr">
        <is>
          <t>macropiper-excelsum; piper-auritum</t>
        </is>
      </c>
      <c r="E523" s="68" t="inlineStr">
        <is>
          <t>macropiper excelsum; piper auritum</t>
        </is>
      </c>
      <c r="F523" s="68" t="n">
        <v>2</v>
      </c>
      <c r="G523" s="68" t="inlineStr">
        <is>
          <t>multi-target signaling modulation</t>
        </is>
      </c>
      <c r="H523" s="68" t="inlineStr">
        <is>
          <t>inferred_plus_trusted_gov</t>
        </is>
      </c>
    </row>
    <row r="524">
      <c r="A524" s="68" t="inlineStr">
        <is>
          <t>general or unknown targets</t>
        </is>
      </c>
      <c r="B524" s="68" t="inlineStr">
        <is>
          <t>myristicin</t>
        </is>
      </c>
      <c r="C524" s="68" t="inlineStr">
        <is>
          <t>myristicin</t>
        </is>
      </c>
      <c r="D524" s="68" t="inlineStr">
        <is>
          <t>macropiper-excelsum</t>
        </is>
      </c>
      <c r="E524" s="68" t="inlineStr">
        <is>
          <t>macropiper excelsum</t>
        </is>
      </c>
      <c r="F524" s="68" t="n">
        <v>1</v>
      </c>
      <c r="G524" s="68" t="inlineStr">
        <is>
          <t>multi-target signaling modulation</t>
        </is>
      </c>
      <c r="H524" s="68" t="inlineStr">
        <is>
          <t>inferred_plus_trusted_gov</t>
        </is>
      </c>
    </row>
    <row r="525">
      <c r="A525" s="68" t="inlineStr">
        <is>
          <t>general or unknown targets</t>
        </is>
      </c>
      <c r="B525" s="68" t="inlineStr">
        <is>
          <t>bisabolol</t>
        </is>
      </c>
      <c r="C525" s="68" t="inlineStr">
        <is>
          <t>bisabolol</t>
        </is>
      </c>
      <c r="D525" s="68" t="inlineStr">
        <is>
          <t>matricaria-chamomilla</t>
        </is>
      </c>
      <c r="E525" s="68" t="inlineStr">
        <is>
          <t>matricaria chamomilla</t>
        </is>
      </c>
      <c r="F525" s="68" t="n">
        <v>1</v>
      </c>
      <c r="G525" s="68" t="inlineStr">
        <is>
          <t>multi-target signaling modulation</t>
        </is>
      </c>
      <c r="H525" s="68" t="inlineStr">
        <is>
          <t>inferred_plus_trusted_gov</t>
        </is>
      </c>
    </row>
    <row r="526">
      <c r="A526" s="68" t="inlineStr">
        <is>
          <t>general or unknown targets</t>
        </is>
      </c>
      <c r="B526" s="68" t="inlineStr">
        <is>
          <t>terpinen-4-ol</t>
        </is>
      </c>
      <c r="C526" s="68" t="inlineStr">
        <is>
          <t>terpinen-4-ol</t>
        </is>
      </c>
      <c r="D526" s="68" t="inlineStr">
        <is>
          <t>melaleuca-alternifolia</t>
        </is>
      </c>
      <c r="E526" s="68" t="inlineStr">
        <is>
          <t>melaleuca alternifolia</t>
        </is>
      </c>
      <c r="F526" s="68" t="n">
        <v>1</v>
      </c>
      <c r="G526" s="68" t="inlineStr">
        <is>
          <t>multi-target signaling modulation</t>
        </is>
      </c>
      <c r="H526" s="68" t="inlineStr">
        <is>
          <t>inferred_plus_trusted_gov</t>
        </is>
      </c>
    </row>
    <row r="527">
      <c r="A527" s="68" t="inlineStr">
        <is>
          <t>general or unknown targets</t>
        </is>
      </c>
      <c r="B527" s="68" t="inlineStr">
        <is>
          <t>menthone</t>
        </is>
      </c>
      <c r="C527" s="68" t="inlineStr">
        <is>
          <t>menthone</t>
        </is>
      </c>
      <c r="D527" s="68" t="inlineStr">
        <is>
          <t>mentha-piperita</t>
        </is>
      </c>
      <c r="E527" s="68" t="inlineStr">
        <is>
          <t>mentha piperita; peppermint</t>
        </is>
      </c>
      <c r="F527" s="68" t="n">
        <v>1</v>
      </c>
      <c r="G527" s="68" t="inlineStr">
        <is>
          <t>multi-target signaling modulation</t>
        </is>
      </c>
      <c r="H527" s="68" t="inlineStr">
        <is>
          <t>inferred_plus_trusted_gov; trusted_gov_added</t>
        </is>
      </c>
    </row>
    <row r="528">
      <c r="A528" s="68" t="inlineStr">
        <is>
          <t>dopaminergic_modulation</t>
        </is>
      </c>
      <c r="B528" s="68" t="inlineStr">
        <is>
          <t>mescaline derivative</t>
        </is>
      </c>
      <c r="C528" s="68" t="inlineStr">
        <is>
          <t>mescaline derivative</t>
        </is>
      </c>
      <c r="D528" s="68" t="inlineStr">
        <is>
          <t>mescaline</t>
        </is>
      </c>
      <c r="E528" s="68" t="inlineStr">
        <is>
          <t>mescaline</t>
        </is>
      </c>
      <c r="F528" s="68" t="n">
        <v>1</v>
      </c>
      <c r="G528" s="68" t="inlineStr">
        <is>
          <t>serotonin receptor interaction</t>
        </is>
      </c>
      <c r="H528" s="68" t="inlineStr">
        <is>
          <t>inferred_plus_trusted_gov</t>
        </is>
      </c>
    </row>
    <row r="529">
      <c r="A529" s="68" t="inlineStr">
        <is>
          <t>serotonergic_5HT2A_agonism</t>
        </is>
      </c>
      <c r="B529" s="68" t="inlineStr">
        <is>
          <t>mescaline derivative</t>
        </is>
      </c>
      <c r="C529" s="68" t="inlineStr">
        <is>
          <t>mescaline derivative</t>
        </is>
      </c>
      <c r="D529" s="68" t="inlineStr">
        <is>
          <t>mescaline</t>
        </is>
      </c>
      <c r="E529" s="68" t="inlineStr">
        <is>
          <t>mescaline</t>
        </is>
      </c>
      <c r="F529" s="68" t="n">
        <v>1</v>
      </c>
      <c r="G529" s="68" t="inlineStr">
        <is>
          <t>serotonin receptor interaction</t>
        </is>
      </c>
      <c r="H529" s="68" t="inlineStr">
        <is>
          <t>inferred_plus_trusted_gov</t>
        </is>
      </c>
    </row>
    <row r="530">
      <c r="A530" s="68" t="inlineStr">
        <is>
          <t>general or unknown targets</t>
        </is>
      </c>
      <c r="B530" s="68" t="inlineStr">
        <is>
          <t>viscotoxin</t>
        </is>
      </c>
      <c r="C530" s="68" t="inlineStr">
        <is>
          <t>viscotoxin</t>
        </is>
      </c>
      <c r="D530" s="68" t="inlineStr">
        <is>
          <t>viscum-album</t>
        </is>
      </c>
      <c r="E530" s="68" t="inlineStr">
        <is>
          <t>mistletoe</t>
        </is>
      </c>
      <c r="F530" s="68" t="n">
        <v>1</v>
      </c>
      <c r="G530" s="68" t="inlineStr">
        <is>
          <t>multi-target signaling modulation</t>
        </is>
      </c>
      <c r="H530" s="68" t="inlineStr">
        <is>
          <t>citation_or_url_present</t>
        </is>
      </c>
    </row>
    <row r="531">
      <c r="A531" s="68" t="inlineStr">
        <is>
          <t>general or unknown targets</t>
        </is>
      </c>
      <c r="B531" s="68" t="inlineStr">
        <is>
          <t>mitrajavine</t>
        </is>
      </c>
      <c r="C531" s="68" t="inlineStr">
        <is>
          <t>mitrajavine</t>
        </is>
      </c>
      <c r="D531" s="68" t="inlineStr">
        <is>
          <t>mitragyna-javanica</t>
        </is>
      </c>
      <c r="E531" s="68" t="inlineStr">
        <is>
          <t>mitragyna javanica</t>
        </is>
      </c>
      <c r="F531" s="68" t="n">
        <v>1</v>
      </c>
      <c r="G531" s="68" t="inlineStr">
        <is>
          <t>multi-target signaling modulation</t>
        </is>
      </c>
      <c r="H531" s="68" t="inlineStr">
        <is>
          <t>inferred_plus_trusted_gov</t>
        </is>
      </c>
    </row>
    <row r="532">
      <c r="A532" s="68" t="inlineStr">
        <is>
          <t>general or unknown targets</t>
        </is>
      </c>
      <c r="B532" s="68" t="inlineStr">
        <is>
          <t>mitraphylline</t>
        </is>
      </c>
      <c r="C532" s="68" t="inlineStr">
        <is>
          <t>mitraphylline</t>
        </is>
      </c>
      <c r="D532" s="68" t="inlineStr">
        <is>
          <t>mitragyna-javanica; mitragyna-parvifolia</t>
        </is>
      </c>
      <c r="E532" s="68" t="inlineStr">
        <is>
          <t>mitragyna javanica; mitragyna parvifolia</t>
        </is>
      </c>
      <c r="F532" s="68" t="n">
        <v>2</v>
      </c>
      <c r="G532" s="68" t="inlineStr">
        <is>
          <t>multi-target signaling modulation</t>
        </is>
      </c>
      <c r="H532" s="68" t="inlineStr">
        <is>
          <t>inferred_plus_trusted_gov</t>
        </is>
      </c>
    </row>
    <row r="533">
      <c r="A533" s="68" t="inlineStr">
        <is>
          <t>general or unknown targets</t>
        </is>
      </c>
      <c r="B533" s="68" t="inlineStr">
        <is>
          <t>isomitraphylline</t>
        </is>
      </c>
      <c r="C533" s="68" t="inlineStr">
        <is>
          <t>isomitraphylline</t>
        </is>
      </c>
      <c r="D533" s="68" t="inlineStr">
        <is>
          <t>mitragyna-parvifolia</t>
        </is>
      </c>
      <c r="E533" s="68" t="inlineStr">
        <is>
          <t>mitragyna parvifolia</t>
        </is>
      </c>
      <c r="F533" s="68" t="n">
        <v>1</v>
      </c>
      <c r="G533" s="68" t="inlineStr">
        <is>
          <t>multi-target signaling modulation</t>
        </is>
      </c>
      <c r="H533" s="68" t="inlineStr">
        <is>
          <t>inferred_plus_trusted_gov</t>
        </is>
      </c>
    </row>
    <row r="534">
      <c r="A534" s="68" t="inlineStr">
        <is>
          <t>general or unknown targets</t>
        </is>
      </c>
      <c r="B534" s="68" t="inlineStr">
        <is>
          <t>charantin</t>
        </is>
      </c>
      <c r="C534" s="68" t="inlineStr">
        <is>
          <t>charantin</t>
        </is>
      </c>
      <c r="D534" s="68" t="inlineStr">
        <is>
          <t>momordica-charantia</t>
        </is>
      </c>
      <c r="E534" s="68" t="inlineStr">
        <is>
          <t>momordica charantia</t>
        </is>
      </c>
      <c r="F534" s="68" t="n">
        <v>1</v>
      </c>
      <c r="G534" s="68" t="inlineStr">
        <is>
          <t>multi-target signaling modulation</t>
        </is>
      </c>
      <c r="H534" s="68" t="inlineStr">
        <is>
          <t>inferred_plus_trusted_gov</t>
        </is>
      </c>
    </row>
    <row r="535">
      <c r="A535" s="68" t="inlineStr">
        <is>
          <t>general or unknown targets</t>
        </is>
      </c>
      <c r="B535" s="68" t="inlineStr">
        <is>
          <t>vicine</t>
        </is>
      </c>
      <c r="C535" s="68" t="inlineStr">
        <is>
          <t>vicine</t>
        </is>
      </c>
      <c r="D535" s="68" t="inlineStr">
        <is>
          <t>momordica-charantia</t>
        </is>
      </c>
      <c r="E535" s="68" t="inlineStr">
        <is>
          <t>momordica charantia</t>
        </is>
      </c>
      <c r="F535" s="68" t="n">
        <v>1</v>
      </c>
      <c r="G535" s="68" t="inlineStr">
        <is>
          <t>multi-target signaling modulation</t>
        </is>
      </c>
      <c r="H535" s="68" t="inlineStr">
        <is>
          <t>inferred_plus_trusted_gov</t>
        </is>
      </c>
    </row>
    <row r="536">
      <c r="A536" s="68" t="inlineStr">
        <is>
          <t>general or unknown targets</t>
        </is>
      </c>
      <c r="B536" s="68" t="inlineStr">
        <is>
          <t>polypeptide-p</t>
        </is>
      </c>
      <c r="C536" s="68" t="inlineStr">
        <is>
          <t>polypeptide-p</t>
        </is>
      </c>
      <c r="D536" s="68" t="inlineStr">
        <is>
          <t>momordica-charantia</t>
        </is>
      </c>
      <c r="E536" s="68" t="inlineStr">
        <is>
          <t>momordica charantia</t>
        </is>
      </c>
      <c r="F536" s="68" t="n">
        <v>1</v>
      </c>
      <c r="G536" s="68" t="inlineStr">
        <is>
          <t>multi-target signaling modulation</t>
        </is>
      </c>
      <c r="H536" s="68" t="inlineStr">
        <is>
          <t>inferred_plus_trusted_gov</t>
        </is>
      </c>
    </row>
    <row r="537">
      <c r="A537" s="68" t="inlineStr">
        <is>
          <t>general or unknown targets</t>
        </is>
      </c>
      <c r="B537" s="68" t="inlineStr">
        <is>
          <t>thymol</t>
        </is>
      </c>
      <c r="C537" s="68" t="inlineStr">
        <is>
          <t>thymol</t>
        </is>
      </c>
      <c r="D537" s="68" t="inlineStr">
        <is>
          <t>monarda-fistulosa; origanum-vulgare; thymus-vulgaris</t>
        </is>
      </c>
      <c r="E537" s="68" t="inlineStr">
        <is>
          <t>monarda fistulosa; origanum vulgare; thymus vulgaris</t>
        </is>
      </c>
      <c r="F537" s="68" t="n">
        <v>3</v>
      </c>
      <c r="G537" s="68" t="inlineStr">
        <is>
          <t>multi-target signaling modulation</t>
        </is>
      </c>
      <c r="H537" s="68" t="inlineStr">
        <is>
          <t>inferred_plus_trusted_gov; trusted_gov_added</t>
        </is>
      </c>
    </row>
    <row r="538">
      <c r="A538" s="68" t="inlineStr">
        <is>
          <t>general or unknown targets</t>
        </is>
      </c>
      <c r="B538" s="68" t="inlineStr">
        <is>
          <t>damnacanthal</t>
        </is>
      </c>
      <c r="C538" s="68" t="inlineStr">
        <is>
          <t>damnacanthal</t>
        </is>
      </c>
      <c r="D538" s="68" t="inlineStr">
        <is>
          <t>morinda-citrifolia</t>
        </is>
      </c>
      <c r="E538" s="68" t="inlineStr">
        <is>
          <t>morinda citrifolia</t>
        </is>
      </c>
      <c r="F538" s="68" t="n">
        <v>1</v>
      </c>
      <c r="G538" s="68" t="inlineStr">
        <is>
          <t>multi-target signaling modulation</t>
        </is>
      </c>
      <c r="H538" s="68" t="inlineStr">
        <is>
          <t>inferred_plus_trusted_gov</t>
        </is>
      </c>
    </row>
    <row r="539">
      <c r="A539" s="68" t="inlineStr">
        <is>
          <t>general or unknown targets</t>
        </is>
      </c>
      <c r="B539" s="68" t="inlineStr">
        <is>
          <t>scopoletin</t>
        </is>
      </c>
      <c r="C539" s="68" t="inlineStr">
        <is>
          <t>scopoletin</t>
        </is>
      </c>
      <c r="D539" s="68" t="inlineStr">
        <is>
          <t>morinda-citrifolia</t>
        </is>
      </c>
      <c r="E539" s="68" t="inlineStr">
        <is>
          <t>morinda citrifolia</t>
        </is>
      </c>
      <c r="F539" s="68" t="n">
        <v>1</v>
      </c>
      <c r="G539" s="68" t="inlineStr">
        <is>
          <t>multi-target signaling modulation</t>
        </is>
      </c>
      <c r="H539" s="68" t="inlineStr">
        <is>
          <t>inferred_plus_trusted_gov</t>
        </is>
      </c>
    </row>
    <row r="540">
      <c r="A540" s="68" t="inlineStr">
        <is>
          <t>general or unknown targets</t>
        </is>
      </c>
      <c r="B540" s="68" t="inlineStr">
        <is>
          <t>vanillin</t>
        </is>
      </c>
      <c r="C540" s="68" t="inlineStr">
        <is>
          <t>vanillin</t>
        </is>
      </c>
      <c r="D540" s="68" t="inlineStr">
        <is>
          <t>myroxylon-balsamum</t>
        </is>
      </c>
      <c r="E540" s="68" t="inlineStr">
        <is>
          <t>myroxylon balsamum</t>
        </is>
      </c>
      <c r="F540" s="68" t="n">
        <v>1</v>
      </c>
      <c r="G540" s="68" t="inlineStr">
        <is>
          <t>multi-target signaling modulation</t>
        </is>
      </c>
      <c r="H540" s="68" t="inlineStr">
        <is>
          <t>inferred_plus_trusted_gov</t>
        </is>
      </c>
    </row>
    <row r="541">
      <c r="A541" s="68" t="inlineStr">
        <is>
          <t>general or unknown targets</t>
        </is>
      </c>
      <c r="B541" s="68" t="inlineStr">
        <is>
          <t>benzyl benzoate</t>
        </is>
      </c>
      <c r="C541" s="68" t="inlineStr">
        <is>
          <t>benzyl benzoate</t>
        </is>
      </c>
      <c r="D541" s="68" t="inlineStr">
        <is>
          <t>myroxylon-balsamum</t>
        </is>
      </c>
      <c r="E541" s="68" t="inlineStr">
        <is>
          <t>myroxylon balsamum</t>
        </is>
      </c>
      <c r="F541" s="68" t="n">
        <v>1</v>
      </c>
      <c r="G541" s="68" t="inlineStr">
        <is>
          <t>multi-target signaling modulation</t>
        </is>
      </c>
      <c r="H541" s="68" t="inlineStr">
        <is>
          <t>inferred_plus_trusted_gov</t>
        </is>
      </c>
    </row>
    <row r="542">
      <c r="A542" s="68" t="inlineStr">
        <is>
          <t>general or unknown targets</t>
        </is>
      </c>
      <c r="B542" s="68" t="inlineStr">
        <is>
          <t>valeranone</t>
        </is>
      </c>
      <c r="C542" s="68" t="inlineStr">
        <is>
          <t>valeranone</t>
        </is>
      </c>
      <c r="D542" s="68" t="inlineStr">
        <is>
          <t>nardostachys-jatamansi</t>
        </is>
      </c>
      <c r="E542" s="68" t="inlineStr">
        <is>
          <t>nardostachys jatamansi</t>
        </is>
      </c>
      <c r="F542" s="68" t="n">
        <v>1</v>
      </c>
      <c r="G542" s="68" t="inlineStr">
        <is>
          <t>multi-target signaling modulation</t>
        </is>
      </c>
      <c r="H542" s="68" t="inlineStr">
        <is>
          <t>inferred_plus_trusted_gov</t>
        </is>
      </c>
    </row>
    <row r="543">
      <c r="A543" s="68" t="inlineStr">
        <is>
          <t>general or unknown targets</t>
        </is>
      </c>
      <c r="B543" s="68" t="inlineStr">
        <is>
          <t>jatamansone</t>
        </is>
      </c>
      <c r="C543" s="68" t="inlineStr">
        <is>
          <t>jatamansone</t>
        </is>
      </c>
      <c r="D543" s="68" t="inlineStr">
        <is>
          <t>nardostachys-jatamansi</t>
        </is>
      </c>
      <c r="E543" s="68" t="inlineStr">
        <is>
          <t>nardostachys jatamansi</t>
        </is>
      </c>
      <c r="F543" s="68" t="n">
        <v>1</v>
      </c>
      <c r="G543" s="68" t="inlineStr">
        <is>
          <t>multi-target signaling modulation</t>
        </is>
      </c>
      <c r="H543" s="68" t="inlineStr">
        <is>
          <t>inferred_plus_trusted_gov</t>
        </is>
      </c>
    </row>
    <row r="544">
      <c r="A544" s="68" t="inlineStr">
        <is>
          <t>general or unknown targets</t>
        </is>
      </c>
      <c r="B544" s="68" t="inlineStr">
        <is>
          <t>oleandrin</t>
        </is>
      </c>
      <c r="C544" s="68" t="inlineStr">
        <is>
          <t>oleandrin</t>
        </is>
      </c>
      <c r="D544" s="68" t="inlineStr">
        <is>
          <t>nerium-oleander</t>
        </is>
      </c>
      <c r="E544" s="68" t="inlineStr">
        <is>
          <t>nerium oleander</t>
        </is>
      </c>
      <c r="F544" s="68" t="n">
        <v>1</v>
      </c>
      <c r="G544" s="68" t="inlineStr">
        <is>
          <t>multi-target signaling modulation</t>
        </is>
      </c>
      <c r="H544" s="68" t="inlineStr">
        <is>
          <t>inferred_plus_trusted_gov</t>
        </is>
      </c>
    </row>
    <row r="545">
      <c r="A545" s="68" t="inlineStr">
        <is>
          <t>general or unknown targets</t>
        </is>
      </c>
      <c r="B545" s="68" t="inlineStr">
        <is>
          <t>neriine</t>
        </is>
      </c>
      <c r="C545" s="68" t="inlineStr">
        <is>
          <t>neriine</t>
        </is>
      </c>
      <c r="D545" s="68" t="inlineStr">
        <is>
          <t>nerium-oleander</t>
        </is>
      </c>
      <c r="E545" s="68" t="inlineStr">
        <is>
          <t>nerium oleander</t>
        </is>
      </c>
      <c r="F545" s="68" t="n">
        <v>1</v>
      </c>
      <c r="G545" s="68" t="inlineStr">
        <is>
          <t>multi-target signaling modulation</t>
        </is>
      </c>
      <c r="H545" s="68" t="inlineStr">
        <is>
          <t>inferred_plus_trusted_gov</t>
        </is>
      </c>
    </row>
    <row r="546">
      <c r="A546" s="68" t="inlineStr">
        <is>
          <t>cholinergic_modulation</t>
        </is>
      </c>
      <c r="B546" s="68" t="inlineStr">
        <is>
          <t>anabasine</t>
        </is>
      </c>
      <c r="C546" s="68" t="inlineStr">
        <is>
          <t>anabasine</t>
        </is>
      </c>
      <c r="D546" s="68" t="inlineStr">
        <is>
          <t>nicotiana-rustica</t>
        </is>
      </c>
      <c r="E546" s="68" t="inlineStr">
        <is>
          <t>nicotiana rustica</t>
        </is>
      </c>
      <c r="F546" s="68" t="n">
        <v>1</v>
      </c>
      <c r="G546" s="68" t="inlineStr">
        <is>
          <t>muscarinic receptor interaction</t>
        </is>
      </c>
      <c r="H546" s="68" t="inlineStr">
        <is>
          <t>trusted_gov_added</t>
        </is>
      </c>
    </row>
    <row r="547">
      <c r="A547" s="68" t="inlineStr">
        <is>
          <t>dopaminergic_modulation</t>
        </is>
      </c>
      <c r="B547" s="68" t="inlineStr">
        <is>
          <t>anabasine</t>
        </is>
      </c>
      <c r="C547" s="68" t="inlineStr">
        <is>
          <t>anabasine</t>
        </is>
      </c>
      <c r="D547" s="68" t="inlineStr">
        <is>
          <t>nicotiana-rustica</t>
        </is>
      </c>
      <c r="E547" s="68" t="inlineStr">
        <is>
          <t>nicotiana rustica</t>
        </is>
      </c>
      <c r="F547" s="68" t="n">
        <v>1</v>
      </c>
      <c r="G547" s="68" t="inlineStr">
        <is>
          <t>muscarinic receptor interaction</t>
        </is>
      </c>
      <c r="H547" s="68" t="inlineStr">
        <is>
          <t>trusted_gov_added</t>
        </is>
      </c>
    </row>
    <row r="548">
      <c r="A548" s="68" t="inlineStr">
        <is>
          <t>cholinergic_modulation</t>
        </is>
      </c>
      <c r="B548" s="68" t="inlineStr">
        <is>
          <t>nornicotine</t>
        </is>
      </c>
      <c r="C548" s="68" t="inlineStr">
        <is>
          <t>nornicotine</t>
        </is>
      </c>
      <c r="D548" s="68" t="inlineStr">
        <is>
          <t>duboisia-hopwoodii; nicotiana-rustica</t>
        </is>
      </c>
      <c r="E548" s="68" t="inlineStr">
        <is>
          <t>nicotiana rustica; pituri</t>
        </is>
      </c>
      <c r="F548" s="68" t="n">
        <v>2</v>
      </c>
      <c r="G548" s="68" t="inlineStr">
        <is>
          <t>multi-target signaling modulation; muscarinic receptor interaction</t>
        </is>
      </c>
      <c r="H548" s="68" t="inlineStr">
        <is>
          <t>inferred_plus_trusted_gov; trusted_gov_added</t>
        </is>
      </c>
    </row>
    <row r="549">
      <c r="A549" s="68" t="inlineStr">
        <is>
          <t>dopaminergic_modulation</t>
        </is>
      </c>
      <c r="B549" s="68" t="inlineStr">
        <is>
          <t>nornicotine</t>
        </is>
      </c>
      <c r="C549" s="68" t="inlineStr">
        <is>
          <t>nornicotine</t>
        </is>
      </c>
      <c r="D549" s="68" t="inlineStr">
        <is>
          <t>duboisia-hopwoodii; nicotiana-rustica</t>
        </is>
      </c>
      <c r="E549" s="68" t="inlineStr">
        <is>
          <t>nicotiana rustica; pituri</t>
        </is>
      </c>
      <c r="F549" s="68" t="n">
        <v>2</v>
      </c>
      <c r="G549" s="68" t="inlineStr">
        <is>
          <t>multi-target signaling modulation; muscarinic receptor interaction</t>
        </is>
      </c>
      <c r="H549" s="68" t="inlineStr">
        <is>
          <t>inferred_plus_trusted_gov; trusted_gov_added</t>
        </is>
      </c>
    </row>
    <row r="550">
      <c r="A550" s="68" t="inlineStr">
        <is>
          <t>general or unknown targets</t>
        </is>
      </c>
      <c r="B550" s="68" t="inlineStr">
        <is>
          <t>nornicotine</t>
        </is>
      </c>
      <c r="C550" s="68" t="inlineStr">
        <is>
          <t>nornicotine</t>
        </is>
      </c>
      <c r="D550" s="68" t="inlineStr">
        <is>
          <t>duboisia-hopwoodii; nicotiana-rustica</t>
        </is>
      </c>
      <c r="E550" s="68" t="inlineStr">
        <is>
          <t>nicotiana rustica; pituri</t>
        </is>
      </c>
      <c r="F550" s="68" t="n">
        <v>2</v>
      </c>
      <c r="G550" s="68" t="inlineStr">
        <is>
          <t>multi-target signaling modulation; muscarinic receptor interaction</t>
        </is>
      </c>
      <c r="H550" s="68" t="inlineStr">
        <is>
          <t>inferred_plus_trusted_gov; trusted_gov_added</t>
        </is>
      </c>
    </row>
    <row r="551">
      <c r="A551" s="68" t="inlineStr">
        <is>
          <t>cholinergic_modulation</t>
        </is>
      </c>
      <c r="B551" s="68" t="inlineStr">
        <is>
          <t>nicotine</t>
        </is>
      </c>
      <c r="C551" s="68" t="inlineStr">
        <is>
          <t>nicotine</t>
        </is>
      </c>
      <c r="D551" s="68" t="inlineStr">
        <is>
          <t>duboisia-hopwoodii; nicotiana-rustica; nicotiana-spp-polynesian</t>
        </is>
      </c>
      <c r="E551" s="68" t="inlineStr">
        <is>
          <t>nicotiana rustica; pituri; polynesian nicotiana spp.</t>
        </is>
      </c>
      <c r="F551" s="68" t="n">
        <v>3</v>
      </c>
      <c r="G551" s="68" t="inlineStr">
        <is>
          <t>multi-target signaling modulation; muscarinic receptor interaction</t>
        </is>
      </c>
      <c r="H551" s="68" t="inlineStr">
        <is>
          <t>inferred_plus_trusted_gov; trusted_gov_added</t>
        </is>
      </c>
    </row>
    <row r="552">
      <c r="A552" s="68" t="inlineStr">
        <is>
          <t>dopaminergic_modulation</t>
        </is>
      </c>
      <c r="B552" s="68" t="inlineStr">
        <is>
          <t>nicotine</t>
        </is>
      </c>
      <c r="C552" s="68" t="inlineStr">
        <is>
          <t>nicotine</t>
        </is>
      </c>
      <c r="D552" s="68" t="inlineStr">
        <is>
          <t>duboisia-hopwoodii; nicotiana-rustica; nicotiana-spp-polynesian</t>
        </is>
      </c>
      <c r="E552" s="68" t="inlineStr">
        <is>
          <t>nicotiana rustica; pituri; polynesian nicotiana spp.</t>
        </is>
      </c>
      <c r="F552" s="68" t="n">
        <v>3</v>
      </c>
      <c r="G552" s="68" t="inlineStr">
        <is>
          <t>multi-target signaling modulation; muscarinic receptor interaction</t>
        </is>
      </c>
      <c r="H552" s="68" t="inlineStr">
        <is>
          <t>inferred_plus_trusted_gov; trusted_gov_added</t>
        </is>
      </c>
    </row>
    <row r="553">
      <c r="A553" s="68" t="inlineStr">
        <is>
          <t>general or unknown targets</t>
        </is>
      </c>
      <c r="B553" s="68" t="inlineStr">
        <is>
          <t>nicotine</t>
        </is>
      </c>
      <c r="C553" s="68" t="inlineStr">
        <is>
          <t>nicotine</t>
        </is>
      </c>
      <c r="D553" s="68" t="inlineStr">
        <is>
          <t>duboisia-hopwoodii; nicotiana-rustica; nicotiana-spp-polynesian</t>
        </is>
      </c>
      <c r="E553" s="68" t="inlineStr">
        <is>
          <t>nicotiana rustica; pituri; polynesian nicotiana spp.</t>
        </is>
      </c>
      <c r="F553" s="68" t="n">
        <v>3</v>
      </c>
      <c r="G553" s="68" t="inlineStr">
        <is>
          <t>multi-target signaling modulation; muscarinic receptor interaction</t>
        </is>
      </c>
      <c r="H553" s="68" t="inlineStr">
        <is>
          <t>inferred_plus_trusted_gov; trusted_gov_added</t>
        </is>
      </c>
    </row>
    <row r="554">
      <c r="A554" s="68" t="inlineStr">
        <is>
          <t>general or unknown targets</t>
        </is>
      </c>
      <c r="B554" s="68" t="inlineStr">
        <is>
          <t>thymoquinone</t>
        </is>
      </c>
      <c r="C554" s="68" t="inlineStr">
        <is>
          <t>thymoquinone</t>
        </is>
      </c>
      <c r="D554" s="68" t="inlineStr">
        <is>
          <t>nigella-sativa</t>
        </is>
      </c>
      <c r="E554" s="68" t="inlineStr">
        <is>
          <t>nigella sativa</t>
        </is>
      </c>
      <c r="F554" s="68" t="n">
        <v>1</v>
      </c>
      <c r="G554" s="68" t="inlineStr">
        <is>
          <t>multi-target signaling modulation</t>
        </is>
      </c>
      <c r="H554" s="68" t="inlineStr">
        <is>
          <t>inferred_plus_trusted_gov</t>
        </is>
      </c>
    </row>
    <row r="555">
      <c r="A555" s="68" t="inlineStr">
        <is>
          <t>general or unknown targets</t>
        </is>
      </c>
      <c r="B555" s="68" t="inlineStr">
        <is>
          <t>nigellone</t>
        </is>
      </c>
      <c r="C555" s="68" t="inlineStr">
        <is>
          <t>nigellone</t>
        </is>
      </c>
      <c r="D555" s="68" t="inlineStr">
        <is>
          <t>nigella-sativa</t>
        </is>
      </c>
      <c r="E555" s="68" t="inlineStr">
        <is>
          <t>nigella sativa</t>
        </is>
      </c>
      <c r="F555" s="68" t="n">
        <v>1</v>
      </c>
      <c r="G555" s="68" t="inlineStr">
        <is>
          <t>multi-target signaling modulation</t>
        </is>
      </c>
      <c r="H555" s="68" t="inlineStr">
        <is>
          <t>inferred_plus_trusted_gov</t>
        </is>
      </c>
    </row>
    <row r="556">
      <c r="A556" s="68" t="inlineStr">
        <is>
          <t>general or unknown targets</t>
        </is>
      </c>
      <c r="B556" s="68" t="inlineStr">
        <is>
          <t>linoleic acid</t>
        </is>
      </c>
      <c r="C556" s="68" t="inlineStr">
        <is>
          <t>linoleic acid</t>
        </is>
      </c>
      <c r="D556" s="68" t="inlineStr">
        <is>
          <t>oenothera-biennis</t>
        </is>
      </c>
      <c r="E556" s="68" t="inlineStr">
        <is>
          <t>oenothera biennis</t>
        </is>
      </c>
      <c r="F556" s="68" t="n">
        <v>1</v>
      </c>
      <c r="G556" s="68" t="inlineStr">
        <is>
          <t>multi-target signaling modulation</t>
        </is>
      </c>
      <c r="H556" s="68" t="inlineStr">
        <is>
          <t>inferred_plus_trusted_gov</t>
        </is>
      </c>
    </row>
    <row r="557">
      <c r="A557" s="68" t="inlineStr">
        <is>
          <t>general or unknown targets</t>
        </is>
      </c>
      <c r="B557" s="68" t="inlineStr">
        <is>
          <t>ginsenosides rb1</t>
        </is>
      </c>
      <c r="C557" s="68" t="inlineStr">
        <is>
          <t>ginsenosides (rb1</t>
        </is>
      </c>
      <c r="D557" s="68" t="inlineStr">
        <is>
          <t>panax-quinquefolius</t>
        </is>
      </c>
      <c r="E557" s="68" t="inlineStr">
        <is>
          <t>panax quinquefolius</t>
        </is>
      </c>
      <c r="F557" s="68" t="n">
        <v>1</v>
      </c>
      <c r="G557" s="68" t="inlineStr">
        <is>
          <t>multi-target signaling modulation</t>
        </is>
      </c>
      <c r="H557" s="68" t="inlineStr">
        <is>
          <t>inferred_plus_trusted_gov</t>
        </is>
      </c>
    </row>
    <row r="558">
      <c r="A558" s="68" t="inlineStr">
        <is>
          <t>general or unknown targets</t>
        </is>
      </c>
      <c r="B558" s="68" t="inlineStr">
        <is>
          <t>re</t>
        </is>
      </c>
      <c r="C558" s="68" t="inlineStr">
        <is>
          <t>re</t>
        </is>
      </c>
      <c r="D558" s="68" t="inlineStr">
        <is>
          <t>panax-quinquefolius</t>
        </is>
      </c>
      <c r="E558" s="68" t="inlineStr">
        <is>
          <t>panax quinquefolius</t>
        </is>
      </c>
      <c r="F558" s="68" t="n">
        <v>1</v>
      </c>
      <c r="G558" s="68" t="inlineStr">
        <is>
          <t>multi-target signaling modulation</t>
        </is>
      </c>
      <c r="H558" s="68" t="inlineStr">
        <is>
          <t>inferred_plus_trusted_gov</t>
        </is>
      </c>
    </row>
    <row r="559">
      <c r="A559" s="68" t="inlineStr">
        <is>
          <t>general or unknown targets</t>
        </is>
      </c>
      <c r="B559" s="68" t="inlineStr">
        <is>
          <t>morphine</t>
        </is>
      </c>
      <c r="C559" s="68" t="inlineStr">
        <is>
          <t>morphine</t>
        </is>
      </c>
      <c r="D559" s="68" t="inlineStr">
        <is>
          <t>papaver-somniferum</t>
        </is>
      </c>
      <c r="E559" s="68" t="inlineStr">
        <is>
          <t>papaver somniferum</t>
        </is>
      </c>
      <c r="F559" s="68" t="n">
        <v>1</v>
      </c>
      <c r="G559" s="68" t="inlineStr">
        <is>
          <t>multi-target signaling modulation</t>
        </is>
      </c>
      <c r="H559" s="68" t="inlineStr">
        <is>
          <t>inferred_plus_trusted_gov</t>
        </is>
      </c>
    </row>
    <row r="560">
      <c r="A560" s="68" t="inlineStr">
        <is>
          <t>general or unknown targets</t>
        </is>
      </c>
      <c r="B560" s="68" t="inlineStr">
        <is>
          <t>codeine</t>
        </is>
      </c>
      <c r="C560" s="68" t="inlineStr">
        <is>
          <t>codeine</t>
        </is>
      </c>
      <c r="D560" s="68" t="inlineStr">
        <is>
          <t>papaver-somniferum</t>
        </is>
      </c>
      <c r="E560" s="68" t="inlineStr">
        <is>
          <t>papaver somniferum</t>
        </is>
      </c>
      <c r="F560" s="68" t="n">
        <v>1</v>
      </c>
      <c r="G560" s="68" t="inlineStr">
        <is>
          <t>multi-target signaling modulation</t>
        </is>
      </c>
      <c r="H560" s="68" t="inlineStr">
        <is>
          <t>inferred_plus_trusted_gov</t>
        </is>
      </c>
    </row>
    <row r="561">
      <c r="A561" s="68" t="inlineStr">
        <is>
          <t>general or unknown targets</t>
        </is>
      </c>
      <c r="B561" s="68" t="inlineStr">
        <is>
          <t>thebaine</t>
        </is>
      </c>
      <c r="C561" s="68" t="inlineStr">
        <is>
          <t>thebaine</t>
        </is>
      </c>
      <c r="D561" s="68" t="inlineStr">
        <is>
          <t>papaver-somniferum</t>
        </is>
      </c>
      <c r="E561" s="68" t="inlineStr">
        <is>
          <t>papaver somniferum</t>
        </is>
      </c>
      <c r="F561" s="68" t="n">
        <v>1</v>
      </c>
      <c r="G561" s="68" t="inlineStr">
        <is>
          <t>multi-target signaling modulation</t>
        </is>
      </c>
      <c r="H561" s="68" t="inlineStr">
        <is>
          <t>inferred_plus_trusted_gov</t>
        </is>
      </c>
    </row>
    <row r="562">
      <c r="A562" s="68" t="inlineStr">
        <is>
          <t>general or unknown targets</t>
        </is>
      </c>
      <c r="B562" s="68" t="inlineStr">
        <is>
          <t>maltol</t>
        </is>
      </c>
      <c r="C562" s="68" t="inlineStr">
        <is>
          <t>maltol</t>
        </is>
      </c>
      <c r="D562" s="68" t="inlineStr">
        <is>
          <t>passiflora-incarnata</t>
        </is>
      </c>
      <c r="E562" s="68" t="inlineStr">
        <is>
          <t>passiflora incarnata</t>
        </is>
      </c>
      <c r="F562" s="68" t="n">
        <v>1</v>
      </c>
      <c r="G562" s="68" t="inlineStr">
        <is>
          <t>multi-target signaling modulation</t>
        </is>
      </c>
      <c r="H562" s="68" t="inlineStr">
        <is>
          <t>inferred_plus_trusted_gov</t>
        </is>
      </c>
    </row>
    <row r="563">
      <c r="A563" s="68" t="inlineStr">
        <is>
          <t>general or unknown targets</t>
        </is>
      </c>
      <c r="B563" s="68" t="inlineStr">
        <is>
          <t>harmalol</t>
        </is>
      </c>
      <c r="C563" s="68" t="inlineStr">
        <is>
          <t>harmalol</t>
        </is>
      </c>
      <c r="D563" s="68" t="inlineStr">
        <is>
          <t>peganum-harmala</t>
        </is>
      </c>
      <c r="E563" s="68" t="inlineStr">
        <is>
          <t>peganum harmala</t>
        </is>
      </c>
      <c r="F563" s="68" t="n">
        <v>1</v>
      </c>
      <c r="G563" s="68" t="inlineStr">
        <is>
          <t>multi-target signaling modulation</t>
        </is>
      </c>
      <c r="H563" s="68" t="inlineStr">
        <is>
          <t>inferred_plus_trusted_gov</t>
        </is>
      </c>
    </row>
    <row r="564">
      <c r="A564" s="68" t="inlineStr">
        <is>
          <t>general or unknown targets</t>
        </is>
      </c>
      <c r="B564" s="68" t="inlineStr">
        <is>
          <t>umckalin</t>
        </is>
      </c>
      <c r="C564" s="68" t="inlineStr">
        <is>
          <t>umckalin</t>
        </is>
      </c>
      <c r="D564" s="68" t="inlineStr">
        <is>
          <t>pelargonium-sidoides</t>
        </is>
      </c>
      <c r="E564" s="68" t="inlineStr">
        <is>
          <t>pelargonium sidoides</t>
        </is>
      </c>
      <c r="F564" s="68" t="n">
        <v>1</v>
      </c>
      <c r="G564" s="68" t="inlineStr">
        <is>
          <t>multi-target signaling modulation</t>
        </is>
      </c>
      <c r="H564" s="68" t="inlineStr">
        <is>
          <t>inferred_plus_trusted_gov</t>
        </is>
      </c>
    </row>
    <row r="565">
      <c r="A565" s="68" t="inlineStr">
        <is>
          <t>general or unknown targets</t>
        </is>
      </c>
      <c r="B565" s="68" t="inlineStr">
        <is>
          <t>pellucidin a</t>
        </is>
      </c>
      <c r="C565" s="68" t="inlineStr">
        <is>
          <t>pellucidin a</t>
        </is>
      </c>
      <c r="D565" s="68" t="inlineStr">
        <is>
          <t>peperomia-pellucida</t>
        </is>
      </c>
      <c r="E565" s="68" t="inlineStr">
        <is>
          <t>peperomia pellucida</t>
        </is>
      </c>
      <c r="F565" s="68" t="n">
        <v>1</v>
      </c>
      <c r="G565" s="68" t="inlineStr">
        <is>
          <t>multi-target signaling modulation</t>
        </is>
      </c>
      <c r="H565" s="68" t="inlineStr">
        <is>
          <t>inferred_plus_trusted_gov</t>
        </is>
      </c>
    </row>
    <row r="566">
      <c r="A566" s="68" t="inlineStr">
        <is>
          <t>general or unknown targets</t>
        </is>
      </c>
      <c r="B566" s="68" t="inlineStr">
        <is>
          <t>dibenzyl trisulfide</t>
        </is>
      </c>
      <c r="C566" s="68" t="inlineStr">
        <is>
          <t>dibenzyl trisulfide</t>
        </is>
      </c>
      <c r="D566" s="68" t="inlineStr">
        <is>
          <t>petiveria-alliacea</t>
        </is>
      </c>
      <c r="E566" s="68" t="inlineStr">
        <is>
          <t>petiveria alliacea</t>
        </is>
      </c>
      <c r="F566" s="68" t="n">
        <v>1</v>
      </c>
      <c r="G566" s="68" t="inlineStr">
        <is>
          <t>multi-target signaling modulation</t>
        </is>
      </c>
      <c r="H566" s="68" t="inlineStr">
        <is>
          <t>inferred_plus_trusted_gov</t>
        </is>
      </c>
    </row>
    <row r="567">
      <c r="A567" s="68" t="inlineStr">
        <is>
          <t>general or unknown targets</t>
        </is>
      </c>
      <c r="B567" s="68" t="inlineStr">
        <is>
          <t>gramine</t>
        </is>
      </c>
      <c r="C567" s="68" t="inlineStr">
        <is>
          <t>gramine</t>
        </is>
      </c>
      <c r="D567" s="68" t="inlineStr">
        <is>
          <t>phalaris-arundinacea</t>
        </is>
      </c>
      <c r="E567" s="68" t="inlineStr">
        <is>
          <t>phalaris arundinacea</t>
        </is>
      </c>
      <c r="F567" s="68" t="n">
        <v>1</v>
      </c>
      <c r="G567" s="68" t="inlineStr">
        <is>
          <t>multi-target signaling modulation</t>
        </is>
      </c>
      <c r="H567" s="68" t="inlineStr">
        <is>
          <t>inferred_plus_trusted_gov</t>
        </is>
      </c>
    </row>
    <row r="568">
      <c r="A568" s="68" t="inlineStr">
        <is>
          <t>general or unknown targets</t>
        </is>
      </c>
      <c r="B568" s="68" t="inlineStr">
        <is>
          <t>kutkoside</t>
        </is>
      </c>
      <c r="C568" s="68" t="inlineStr">
        <is>
          <t>kutkoside</t>
        </is>
      </c>
      <c r="D568" s="68" t="inlineStr">
        <is>
          <t>picrorhiza-kurroa</t>
        </is>
      </c>
      <c r="E568" s="68" t="inlineStr">
        <is>
          <t>picrorhiza kurroa</t>
        </is>
      </c>
      <c r="F568" s="68" t="n">
        <v>1</v>
      </c>
      <c r="G568" s="68" t="inlineStr">
        <is>
          <t>multi-target signaling modulation</t>
        </is>
      </c>
      <c r="H568" s="68" t="inlineStr">
        <is>
          <t>inferred_plus_trusted_gov</t>
        </is>
      </c>
    </row>
    <row r="569">
      <c r="A569" s="68" t="inlineStr">
        <is>
          <t>general or unknown targets</t>
        </is>
      </c>
      <c r="B569" s="68" t="inlineStr">
        <is>
          <t>myrcene</t>
        </is>
      </c>
      <c r="C569" s="68" t="inlineStr">
        <is>
          <t>myrcene</t>
        </is>
      </c>
      <c r="D569" s="68" t="inlineStr">
        <is>
          <t>pimenta-racemosa</t>
        </is>
      </c>
      <c r="E569" s="68" t="inlineStr">
        <is>
          <t>pimenta racemosa</t>
        </is>
      </c>
      <c r="F569" s="68" t="n">
        <v>1</v>
      </c>
      <c r="G569" s="68" t="inlineStr">
        <is>
          <t>multi-target signaling modulation</t>
        </is>
      </c>
      <c r="H569" s="68" t="inlineStr">
        <is>
          <t>inferred_plus_trusted_gov</t>
        </is>
      </c>
    </row>
    <row r="570">
      <c r="A570" s="68" t="inlineStr">
        <is>
          <t>general or unknown targets</t>
        </is>
      </c>
      <c r="B570" s="68" t="inlineStr">
        <is>
          <t>chavicol</t>
        </is>
      </c>
      <c r="C570" s="68" t="inlineStr">
        <is>
          <t>chavicol</t>
        </is>
      </c>
      <c r="D570" s="68" t="inlineStr">
        <is>
          <t>pimenta-racemosa</t>
        </is>
      </c>
      <c r="E570" s="68" t="inlineStr">
        <is>
          <t>pimenta racemosa</t>
        </is>
      </c>
      <c r="F570" s="68" t="n">
        <v>1</v>
      </c>
      <c r="G570" s="68" t="inlineStr">
        <is>
          <t>multi-target signaling modulation</t>
        </is>
      </c>
      <c r="H570" s="68" t="inlineStr">
        <is>
          <t>inferred_plus_trusted_gov</t>
        </is>
      </c>
    </row>
    <row r="571">
      <c r="A571" s="68" t="inlineStr">
        <is>
          <t>general or unknown targets</t>
        </is>
      </c>
      <c r="B571" s="68" t="inlineStr">
        <is>
          <t>safrole</t>
        </is>
      </c>
      <c r="C571" s="68" t="inlineStr">
        <is>
          <t>safrole</t>
        </is>
      </c>
      <c r="D571" s="68" t="inlineStr">
        <is>
          <t>piper-auritum</t>
        </is>
      </c>
      <c r="E571" s="68" t="inlineStr">
        <is>
          <t>piper auritum</t>
        </is>
      </c>
      <c r="F571" s="68" t="n">
        <v>1</v>
      </c>
      <c r="G571" s="68" t="inlineStr">
        <is>
          <t>multi-target signaling modulation</t>
        </is>
      </c>
      <c r="H571" s="68" t="inlineStr">
        <is>
          <t>inferred_plus_trusted_gov</t>
        </is>
      </c>
    </row>
    <row r="572">
      <c r="A572" s="68" t="inlineStr">
        <is>
          <t>general or unknown targets</t>
        </is>
      </c>
      <c r="B572" s="68" t="inlineStr">
        <is>
          <t>aucubin</t>
        </is>
      </c>
      <c r="C572" s="68" t="inlineStr">
        <is>
          <t>aucubin</t>
        </is>
      </c>
      <c r="D572" s="68" t="inlineStr">
        <is>
          <t>plantago-major</t>
        </is>
      </c>
      <c r="E572" s="68" t="inlineStr">
        <is>
          <t>plantago major</t>
        </is>
      </c>
      <c r="F572" s="68" t="n">
        <v>1</v>
      </c>
      <c r="G572" s="68" t="inlineStr">
        <is>
          <t>multi-target signaling modulation</t>
        </is>
      </c>
      <c r="H572" s="68" t="inlineStr">
        <is>
          <t>inferred_plus_trusted_gov</t>
        </is>
      </c>
    </row>
    <row r="573">
      <c r="A573" s="68" t="inlineStr">
        <is>
          <t>general or unknown targets</t>
        </is>
      </c>
      <c r="B573" s="68" t="inlineStr">
        <is>
          <t>allantoin</t>
        </is>
      </c>
      <c r="C573" s="68" t="inlineStr">
        <is>
          <t>allantoin</t>
        </is>
      </c>
      <c r="D573" s="68" t="inlineStr">
        <is>
          <t>plantago-major; symphytum-officinale</t>
        </is>
      </c>
      <c r="E573" s="68" t="inlineStr">
        <is>
          <t>plantago major; symphytum officinale</t>
        </is>
      </c>
      <c r="F573" s="68" t="n">
        <v>2</v>
      </c>
      <c r="G573" s="68" t="inlineStr">
        <is>
          <t>multi-target signaling modulation</t>
        </is>
      </c>
      <c r="H573" s="68" t="inlineStr">
        <is>
          <t>inferred_plus_trusted_gov</t>
        </is>
      </c>
    </row>
    <row r="574">
      <c r="A574" s="68" t="inlineStr">
        <is>
          <t>general or unknown targets</t>
        </is>
      </c>
      <c r="B574" s="68" t="inlineStr">
        <is>
          <t>podophyllotoxin</t>
        </is>
      </c>
      <c r="C574" s="68" t="inlineStr">
        <is>
          <t>podophyllotoxin</t>
        </is>
      </c>
      <c r="D574" s="68" t="inlineStr">
        <is>
          <t>podophyllum-peltatum</t>
        </is>
      </c>
      <c r="E574" s="68" t="inlineStr">
        <is>
          <t>podophyllum peltatum</t>
        </is>
      </c>
      <c r="F574" s="68" t="n">
        <v>1</v>
      </c>
      <c r="G574" s="68" t="inlineStr">
        <is>
          <t>multi-target signaling modulation</t>
        </is>
      </c>
      <c r="H574" s="68" t="inlineStr">
        <is>
          <t>inferred_plus_trusted_gov</t>
        </is>
      </c>
    </row>
    <row r="575">
      <c r="A575" s="68" t="inlineStr">
        <is>
          <t>general or unknown targets</t>
        </is>
      </c>
      <c r="B575" s="68" t="inlineStr">
        <is>
          <t>pachymic acid</t>
        </is>
      </c>
      <c r="C575" s="68" t="inlineStr">
        <is>
          <t>pachymic acid</t>
        </is>
      </c>
      <c r="D575" s="68" t="inlineStr">
        <is>
          <t>poria-cocos</t>
        </is>
      </c>
      <c r="E575" s="68" t="inlineStr">
        <is>
          <t>poria cocos</t>
        </is>
      </c>
      <c r="F575" s="68" t="n">
        <v>1</v>
      </c>
      <c r="G575" s="68" t="inlineStr">
        <is>
          <t>multi-target signaling modulation</t>
        </is>
      </c>
      <c r="H575" s="68" t="inlineStr">
        <is>
          <t>inferred_plus_trusted_gov</t>
        </is>
      </c>
    </row>
    <row r="576">
      <c r="A576" s="68" t="inlineStr">
        <is>
          <t>serotonergic_5HT2A_agonism</t>
        </is>
      </c>
      <c r="B576" s="68" t="inlineStr">
        <is>
          <t>psilocin</t>
        </is>
      </c>
      <c r="C576" s="68" t="inlineStr">
        <is>
          <t>psilocin</t>
        </is>
      </c>
      <c r="D576" s="68" t="inlineStr">
        <is>
          <t>psilocybe-mexicana</t>
        </is>
      </c>
      <c r="E576" s="68" t="inlineStr">
        <is>
          <t>psilocybe mexicana</t>
        </is>
      </c>
      <c r="F576" s="68" t="n">
        <v>1</v>
      </c>
      <c r="G576" s="68" t="inlineStr">
        <is>
          <t>serotonin receptor interaction</t>
        </is>
      </c>
      <c r="H576" s="68" t="inlineStr">
        <is>
          <t>inferred_plus_trusted_gov</t>
        </is>
      </c>
    </row>
    <row r="577">
      <c r="A577" s="68" t="inlineStr">
        <is>
          <t>serotonergic_5HT2A_agonism</t>
        </is>
      </c>
      <c r="B577" s="68" t="inlineStr">
        <is>
          <t>psilocybin</t>
        </is>
      </c>
      <c r="C577" s="68" t="inlineStr">
        <is>
          <t>psilocybin</t>
        </is>
      </c>
      <c r="D577" s="68" t="inlineStr">
        <is>
          <t>psilocybe-mexicana; psilocybin</t>
        </is>
      </c>
      <c r="E577" s="68" t="inlineStr">
        <is>
          <t>psilocybe mexicana; psilocybin</t>
        </is>
      </c>
      <c r="F577" s="68" t="n">
        <v>2</v>
      </c>
      <c r="G577" s="68" t="inlineStr">
        <is>
          <t>serotonin receptor interaction</t>
        </is>
      </c>
      <c r="H577" s="68" t="inlineStr">
        <is>
          <t>inferred_plus_trusted_gov</t>
        </is>
      </c>
    </row>
    <row r="578">
      <c r="A578" s="68" t="inlineStr">
        <is>
          <t>general or unknown targets</t>
        </is>
      </c>
      <c r="B578" s="68" t="inlineStr">
        <is>
          <t>miroestrol</t>
        </is>
      </c>
      <c r="C578" s="68" t="inlineStr">
        <is>
          <t>miroestrol</t>
        </is>
      </c>
      <c r="D578" s="68" t="inlineStr">
        <is>
          <t>pueraria-mirifica</t>
        </is>
      </c>
      <c r="E578" s="68" t="inlineStr">
        <is>
          <t>pueraria mirifica</t>
        </is>
      </c>
      <c r="F578" s="68" t="n">
        <v>1</v>
      </c>
      <c r="G578" s="68" t="inlineStr">
        <is>
          <t>multi-target signaling modulation</t>
        </is>
      </c>
      <c r="H578" s="68" t="inlineStr">
        <is>
          <t>inferred_plus_trusted_gov</t>
        </is>
      </c>
    </row>
    <row r="579">
      <c r="A579" s="68" t="inlineStr">
        <is>
          <t>general or unknown targets</t>
        </is>
      </c>
      <c r="B579" s="68" t="inlineStr">
        <is>
          <t>deoxymiroestrol</t>
        </is>
      </c>
      <c r="C579" s="68" t="inlineStr">
        <is>
          <t>deoxymiroestrol</t>
        </is>
      </c>
      <c r="D579" s="68" t="inlineStr">
        <is>
          <t>pueraria-mirifica</t>
        </is>
      </c>
      <c r="E579" s="68" t="inlineStr">
        <is>
          <t>pueraria mirifica</t>
        </is>
      </c>
      <c r="F579" s="68" t="n">
        <v>1</v>
      </c>
      <c r="G579" s="68" t="inlineStr">
        <is>
          <t>multi-target signaling modulation</t>
        </is>
      </c>
      <c r="H579" s="68" t="inlineStr">
        <is>
          <t>inferred_plus_trusted_gov</t>
        </is>
      </c>
    </row>
    <row r="580">
      <c r="A580" s="68" t="inlineStr">
        <is>
          <t>general or unknown targets</t>
        </is>
      </c>
      <c r="B580" s="68" t="inlineStr">
        <is>
          <t>neoquassin</t>
        </is>
      </c>
      <c r="C580" s="68" t="inlineStr">
        <is>
          <t>neoquassin</t>
        </is>
      </c>
      <c r="D580" s="68" t="inlineStr">
        <is>
          <t>quassia-amara</t>
        </is>
      </c>
      <c r="E580" s="68" t="inlineStr">
        <is>
          <t>quassia amara</t>
        </is>
      </c>
      <c r="F580" s="68" t="n">
        <v>1</v>
      </c>
      <c r="G580" s="68" t="inlineStr">
        <is>
          <t>multi-target signaling modulation</t>
        </is>
      </c>
      <c r="H580" s="68" t="inlineStr">
        <is>
          <t>inferred_plus_trusted_gov</t>
        </is>
      </c>
    </row>
    <row r="581">
      <c r="A581" s="68" t="inlineStr">
        <is>
          <t>general or unknown targets</t>
        </is>
      </c>
      <c r="B581" s="68" t="inlineStr">
        <is>
          <t>quassin</t>
        </is>
      </c>
      <c r="C581" s="68" t="inlineStr">
        <is>
          <t>quassin</t>
        </is>
      </c>
      <c r="D581" s="68" t="inlineStr">
        <is>
          <t>quassia-amara</t>
        </is>
      </c>
      <c r="E581" s="68" t="inlineStr">
        <is>
          <t>quassia amara</t>
        </is>
      </c>
      <c r="F581" s="68" t="n">
        <v>1</v>
      </c>
      <c r="G581" s="68" t="inlineStr">
        <is>
          <t>multi-target signaling modulation</t>
        </is>
      </c>
      <c r="H581" s="68" t="inlineStr">
        <is>
          <t>inferred_plus_trusted_gov</t>
        </is>
      </c>
    </row>
    <row r="582">
      <c r="A582" s="68" t="inlineStr">
        <is>
          <t>general or unknown targets</t>
        </is>
      </c>
      <c r="B582" s="68" t="inlineStr">
        <is>
          <t>serpentine</t>
        </is>
      </c>
      <c r="C582" s="68" t="inlineStr">
        <is>
          <t>serpentine</t>
        </is>
      </c>
      <c r="D582" s="68" t="inlineStr">
        <is>
          <t>rauvolfia-serpentina</t>
        </is>
      </c>
      <c r="E582" s="68" t="inlineStr">
        <is>
          <t>rauvolfia serpentina</t>
        </is>
      </c>
      <c r="F582" s="68" t="n">
        <v>1</v>
      </c>
      <c r="G582" s="68" t="inlineStr">
        <is>
          <t>multi-target signaling modulation</t>
        </is>
      </c>
      <c r="H582" s="68" t="inlineStr">
        <is>
          <t>inferred_plus_trusted_gov</t>
        </is>
      </c>
    </row>
    <row r="583">
      <c r="A583" s="68" t="inlineStr">
        <is>
          <t>general or unknown targets</t>
        </is>
      </c>
      <c r="B583" s="68" t="inlineStr">
        <is>
          <t>reserpine</t>
        </is>
      </c>
      <c r="C583" s="68" t="inlineStr">
        <is>
          <t>reserpine</t>
        </is>
      </c>
      <c r="D583" s="68" t="inlineStr">
        <is>
          <t>rauvolfia-serpentina; rauvolfia-vomitoria</t>
        </is>
      </c>
      <c r="E583" s="68" t="inlineStr">
        <is>
          <t>rauvolfia serpentina; rauvolfia vomitoria</t>
        </is>
      </c>
      <c r="F583" s="68" t="n">
        <v>2</v>
      </c>
      <c r="G583" s="68" t="inlineStr">
        <is>
          <t>multi-target signaling modulation</t>
        </is>
      </c>
      <c r="H583" s="68" t="inlineStr">
        <is>
          <t>inferred_plus_trusted_gov</t>
        </is>
      </c>
    </row>
    <row r="584">
      <c r="A584" s="68" t="inlineStr">
        <is>
          <t>general or unknown targets</t>
        </is>
      </c>
      <c r="B584" s="68" t="inlineStr">
        <is>
          <t>ajmaline</t>
        </is>
      </c>
      <c r="C584" s="68" t="inlineStr">
        <is>
          <t>ajmaline</t>
        </is>
      </c>
      <c r="D584" s="68" t="inlineStr">
        <is>
          <t>rauvolfia-serpentina; rauvolfia-vomitoria</t>
        </is>
      </c>
      <c r="E584" s="68" t="inlineStr">
        <is>
          <t>rauvolfia serpentina; rauvolfia vomitoria</t>
        </is>
      </c>
      <c r="F584" s="68" t="n">
        <v>2</v>
      </c>
      <c r="G584" s="68" t="inlineStr">
        <is>
          <t>multi-target signaling modulation</t>
        </is>
      </c>
      <c r="H584" s="68" t="inlineStr">
        <is>
          <t>inferred_plus_trusted_gov</t>
        </is>
      </c>
    </row>
    <row r="585">
      <c r="A585" s="68" t="inlineStr">
        <is>
          <t>general or unknown targets</t>
        </is>
      </c>
      <c r="B585" s="68" t="inlineStr">
        <is>
          <t>rosavin</t>
        </is>
      </c>
      <c r="C585" s="68" t="inlineStr">
        <is>
          <t>rosavin</t>
        </is>
      </c>
      <c r="D585" s="68" t="inlineStr">
        <is>
          <t>rhodiola</t>
        </is>
      </c>
      <c r="E585" s="68" t="inlineStr">
        <is>
          <t>rhodiola</t>
        </is>
      </c>
      <c r="F585" s="68" t="n">
        <v>1</v>
      </c>
      <c r="G585" s="68" t="inlineStr">
        <is>
          <t>multi-target signaling modulation</t>
        </is>
      </c>
      <c r="H585" s="68" t="inlineStr">
        <is>
          <t>inferred_plus_trusted_gov</t>
        </is>
      </c>
    </row>
    <row r="586">
      <c r="A586" s="68" t="inlineStr">
        <is>
          <t>general or unknown targets</t>
        </is>
      </c>
      <c r="B586" s="68" t="inlineStr">
        <is>
          <t>ricin</t>
        </is>
      </c>
      <c r="C586" s="68" t="inlineStr">
        <is>
          <t>ricin</t>
        </is>
      </c>
      <c r="D586" s="68" t="inlineStr">
        <is>
          <t>ricinus-communis</t>
        </is>
      </c>
      <c r="E586" s="68" t="inlineStr">
        <is>
          <t>ricinus communis</t>
        </is>
      </c>
      <c r="F586" s="68" t="n">
        <v>1</v>
      </c>
      <c r="G586" s="68" t="inlineStr">
        <is>
          <t>multi-target signaling modulation</t>
        </is>
      </c>
      <c r="H586" s="68" t="inlineStr">
        <is>
          <t>inferred_plus_trusted_gov</t>
        </is>
      </c>
    </row>
    <row r="587">
      <c r="A587" s="68" t="inlineStr">
        <is>
          <t>general or unknown targets</t>
        </is>
      </c>
      <c r="B587" s="68" t="inlineStr">
        <is>
          <t>ricinoleic acid</t>
        </is>
      </c>
      <c r="C587" s="68" t="inlineStr">
        <is>
          <t>ricinoleic acid</t>
        </is>
      </c>
      <c r="D587" s="68" t="inlineStr">
        <is>
          <t>ricinus-communis</t>
        </is>
      </c>
      <c r="E587" s="68" t="inlineStr">
        <is>
          <t>ricinus communis</t>
        </is>
      </c>
      <c r="F587" s="68" t="n">
        <v>1</v>
      </c>
      <c r="G587" s="68" t="inlineStr">
        <is>
          <t>multi-target signaling modulation</t>
        </is>
      </c>
      <c r="H587" s="68" t="inlineStr">
        <is>
          <t>inferred_plus_trusted_gov</t>
        </is>
      </c>
    </row>
    <row r="588">
      <c r="A588" s="68" t="inlineStr">
        <is>
          <t>general or unknown targets</t>
        </is>
      </c>
      <c r="B588" s="68" t="inlineStr">
        <is>
          <t>vitamin c</t>
        </is>
      </c>
      <c r="C588" s="68" t="inlineStr">
        <is>
          <t>vitamin c</t>
        </is>
      </c>
      <c r="D588" s="68" t="inlineStr">
        <is>
          <t>rosa-canina</t>
        </is>
      </c>
      <c r="E588" s="68" t="inlineStr">
        <is>
          <t>rosa canina</t>
        </is>
      </c>
      <c r="F588" s="68" t="n">
        <v>1</v>
      </c>
      <c r="G588" s="68" t="inlineStr">
        <is>
          <t>multi-target signaling modulation</t>
        </is>
      </c>
      <c r="H588" s="68" t="inlineStr">
        <is>
          <t>inferred_plus_trusted_gov</t>
        </is>
      </c>
    </row>
    <row r="589">
      <c r="A589" s="68" t="inlineStr">
        <is>
          <t>general or unknown targets</t>
        </is>
      </c>
      <c r="B589" s="68" t="inlineStr">
        <is>
          <t>carnosic acid</t>
        </is>
      </c>
      <c r="C589" s="68" t="inlineStr">
        <is>
          <t>carnosic acid</t>
        </is>
      </c>
      <c r="D589" s="68" t="inlineStr">
        <is>
          <t>rosmarinus-officinalis</t>
        </is>
      </c>
      <c r="E589" s="68" t="inlineStr">
        <is>
          <t>rosmarinus officinalis</t>
        </is>
      </c>
      <c r="F589" s="68" t="n">
        <v>1</v>
      </c>
      <c r="G589" s="68" t="inlineStr">
        <is>
          <t>multi-target signaling modulation</t>
        </is>
      </c>
      <c r="H589" s="68" t="inlineStr">
        <is>
          <t>inferred_plus_trusted_gov</t>
        </is>
      </c>
    </row>
    <row r="590">
      <c r="A590" s="68" t="inlineStr">
        <is>
          <t>general or unknown targets</t>
        </is>
      </c>
      <c r="B590" s="68" t="inlineStr">
        <is>
          <t>kotalanol</t>
        </is>
      </c>
      <c r="C590" s="68" t="inlineStr">
        <is>
          <t>kotalanol</t>
        </is>
      </c>
      <c r="D590" s="68" t="inlineStr">
        <is>
          <t>salacia-reticulata</t>
        </is>
      </c>
      <c r="E590" s="68" t="inlineStr">
        <is>
          <t>salacia reticulata</t>
        </is>
      </c>
      <c r="F590" s="68" t="n">
        <v>1</v>
      </c>
      <c r="G590" s="68" t="inlineStr">
        <is>
          <t>multi-target signaling modulation</t>
        </is>
      </c>
      <c r="H590" s="68" t="inlineStr">
        <is>
          <t>inferred_plus_trusted_gov</t>
        </is>
      </c>
    </row>
    <row r="591">
      <c r="A591" s="68" t="inlineStr">
        <is>
          <t>general or unknown targets</t>
        </is>
      </c>
      <c r="B591" s="68" t="inlineStr">
        <is>
          <t>salacinol</t>
        </is>
      </c>
      <c r="C591" s="68" t="inlineStr">
        <is>
          <t>salacinol</t>
        </is>
      </c>
      <c r="D591" s="68" t="inlineStr">
        <is>
          <t>salacia-reticulata</t>
        </is>
      </c>
      <c r="E591" s="68" t="inlineStr">
        <is>
          <t>salacia reticulata</t>
        </is>
      </c>
      <c r="F591" s="68" t="n">
        <v>1</v>
      </c>
      <c r="G591" s="68" t="inlineStr">
        <is>
          <t>multi-target signaling modulation</t>
        </is>
      </c>
      <c r="H591" s="68" t="inlineStr">
        <is>
          <t>inferred_plus_trusted_gov</t>
        </is>
      </c>
    </row>
    <row r="592">
      <c r="A592" s="68" t="inlineStr">
        <is>
          <t>general or unknown targets</t>
        </is>
      </c>
      <c r="B592" s="68" t="inlineStr">
        <is>
          <t>salicin</t>
        </is>
      </c>
      <c r="C592" s="68" t="inlineStr">
        <is>
          <t>salicin</t>
        </is>
      </c>
      <c r="D592" s="68" t="inlineStr">
        <is>
          <t>salix-alba; viburnum-opulus</t>
        </is>
      </c>
      <c r="E592" s="68" t="inlineStr">
        <is>
          <t>salix alba; viburnum opulus</t>
        </is>
      </c>
      <c r="F592" s="68" t="n">
        <v>2</v>
      </c>
      <c r="G592" s="68" t="inlineStr">
        <is>
          <t>multi-target signaling modulation</t>
        </is>
      </c>
      <c r="H592" s="68" t="inlineStr">
        <is>
          <t>inferred_plus_trusted_gov</t>
        </is>
      </c>
    </row>
    <row r="593">
      <c r="A593" s="68" t="inlineStr">
        <is>
          <t>general or unknown targets</t>
        </is>
      </c>
      <c r="B593" s="68" t="inlineStr">
        <is>
          <t>salvinorin a</t>
        </is>
      </c>
      <c r="C593" s="68" t="inlineStr">
        <is>
          <t>salvinorin a</t>
        </is>
      </c>
      <c r="D593" s="68" t="inlineStr">
        <is>
          <t>salvia-divinorum</t>
        </is>
      </c>
      <c r="E593" s="68" t="inlineStr">
        <is>
          <t>salvia divinorum</t>
        </is>
      </c>
      <c r="F593" s="68" t="n">
        <v>1</v>
      </c>
      <c r="G593" s="68" t="inlineStr">
        <is>
          <t>multi-target signaling modulation</t>
        </is>
      </c>
      <c r="H593" s="68" t="inlineStr">
        <is>
          <t>inferred_plus_trusted_gov</t>
        </is>
      </c>
    </row>
    <row r="594">
      <c r="A594" s="68" t="inlineStr">
        <is>
          <t>general or unknown targets</t>
        </is>
      </c>
      <c r="B594" s="68" t="inlineStr">
        <is>
          <t>sambunigrin</t>
        </is>
      </c>
      <c r="C594" s="68" t="inlineStr">
        <is>
          <t>sambunigrin</t>
        </is>
      </c>
      <c r="D594" s="68" t="inlineStr">
        <is>
          <t>sambucus-nigra</t>
        </is>
      </c>
      <c r="E594" s="68" t="inlineStr">
        <is>
          <t>sambucus nigra</t>
        </is>
      </c>
      <c r="F594" s="68" t="n">
        <v>1</v>
      </c>
      <c r="G594" s="68" t="inlineStr">
        <is>
          <t>multi-target signaling modulation</t>
        </is>
      </c>
      <c r="H594" s="68" t="inlineStr">
        <is>
          <t>inferred_plus_trusted_gov</t>
        </is>
      </c>
    </row>
    <row r="595">
      <c r="A595" s="68" t="inlineStr">
        <is>
          <t>general or unknown targets</t>
        </is>
      </c>
      <c r="B595" s="68" t="inlineStr">
        <is>
          <t>sanguinarine</t>
        </is>
      </c>
      <c r="C595" s="68" t="inlineStr">
        <is>
          <t>sanguinarine</t>
        </is>
      </c>
      <c r="D595" s="68" t="inlineStr">
        <is>
          <t>sanguinaria-canadensis</t>
        </is>
      </c>
      <c r="E595" s="68" t="inlineStr">
        <is>
          <t>sanguinaria canadensis</t>
        </is>
      </c>
      <c r="F595" s="68" t="n">
        <v>1</v>
      </c>
      <c r="G595" s="68" t="inlineStr">
        <is>
          <t>multi-target signaling modulation</t>
        </is>
      </c>
      <c r="H595" s="68" t="inlineStr">
        <is>
          <t>inferred_plus_trusted_gov</t>
        </is>
      </c>
    </row>
    <row r="596">
      <c r="A596" s="68" t="inlineStr">
        <is>
          <t>general or unknown targets</t>
        </is>
      </c>
      <c r="B596" s="68" t="inlineStr">
        <is>
          <t>chelerythrine</t>
        </is>
      </c>
      <c r="C596" s="68" t="inlineStr">
        <is>
          <t>chelerythrine</t>
        </is>
      </c>
      <c r="D596" s="68" t="inlineStr">
        <is>
          <t>sanguinaria-canadensis</t>
        </is>
      </c>
      <c r="E596" s="68" t="inlineStr">
        <is>
          <t>sanguinaria canadensis</t>
        </is>
      </c>
      <c r="F596" s="68" t="n">
        <v>1</v>
      </c>
      <c r="G596" s="68" t="inlineStr">
        <is>
          <t>multi-target signaling modulation</t>
        </is>
      </c>
      <c r="H596" s="68" t="inlineStr">
        <is>
          <t>inferred_plus_trusted_gov</t>
        </is>
      </c>
    </row>
    <row r="597">
      <c r="A597" s="68" t="inlineStr">
        <is>
          <t>general or unknown targets</t>
        </is>
      </c>
      <c r="B597" s="68" t="inlineStr">
        <is>
          <t>mesembrenone</t>
        </is>
      </c>
      <c r="C597" s="68" t="inlineStr">
        <is>
          <t>mesembrenone</t>
        </is>
      </c>
      <c r="D597" s="68" t="inlineStr">
        <is>
          <t>sceletium-expansum; sceletium-tortuosum; sceletium-tortuosum-kanna</t>
        </is>
      </c>
      <c r="E597" s="68" t="inlineStr">
        <is>
          <t>sceletium expansum; sceletium tortuosum; sceletium tortuosum (kanna)</t>
        </is>
      </c>
      <c r="F597" s="68" t="n">
        <v>3</v>
      </c>
      <c r="G597" s="68" t="inlineStr">
        <is>
          <t>multi-target signaling modulation</t>
        </is>
      </c>
      <c r="H597" s="68" t="inlineStr">
        <is>
          <t>inferred_plus_trusted_gov</t>
        </is>
      </c>
    </row>
    <row r="598">
      <c r="A598" s="68" t="inlineStr">
        <is>
          <t>general or unknown targets</t>
        </is>
      </c>
      <c r="B598" s="68" t="inlineStr">
        <is>
          <t>mesembranol</t>
        </is>
      </c>
      <c r="C598" s="68" t="inlineStr">
        <is>
          <t>mesembranol</t>
        </is>
      </c>
      <c r="D598" s="68" t="inlineStr">
        <is>
          <t>sceletium-tortuosum; sceletium-tortuosum-kanna</t>
        </is>
      </c>
      <c r="E598" s="68" t="inlineStr">
        <is>
          <t>sceletium tortuosum; sceletium tortuosum (kanna)</t>
        </is>
      </c>
      <c r="F598" s="68" t="n">
        <v>2</v>
      </c>
      <c r="G598" s="68" t="inlineStr">
        <is>
          <t>multi-target signaling modulation</t>
        </is>
      </c>
      <c r="H598" s="68" t="inlineStr">
        <is>
          <t>inferred_plus_trusted_gov</t>
        </is>
      </c>
    </row>
    <row r="599">
      <c r="A599" s="68" t="inlineStr">
        <is>
          <t>general or unknown targets</t>
        </is>
      </c>
      <c r="B599" s="68" t="inlineStr">
        <is>
          <t>mesembrine</t>
        </is>
      </c>
      <c r="C599" s="68" t="inlineStr">
        <is>
          <t>mesembrine</t>
        </is>
      </c>
      <c r="D599" s="68" t="inlineStr">
        <is>
          <t>sceletium-tortuosum; sceletium-tortuosum-kanna</t>
        </is>
      </c>
      <c r="E599" s="68" t="inlineStr">
        <is>
          <t>sceletium tortuosum; sceletium tortuosum (kanna)</t>
        </is>
      </c>
      <c r="F599" s="68" t="n">
        <v>2</v>
      </c>
      <c r="G599" s="68" t="inlineStr">
        <is>
          <t>multi-target signaling modulation</t>
        </is>
      </c>
      <c r="H599" s="68" t="inlineStr">
        <is>
          <t>inferred_plus_trusted_gov</t>
        </is>
      </c>
    </row>
    <row r="600">
      <c r="A600" s="68" t="inlineStr">
        <is>
          <t>general or unknown targets</t>
        </is>
      </c>
      <c r="B600" s="68" t="inlineStr">
        <is>
          <t>mesembrenol</t>
        </is>
      </c>
      <c r="C600" s="68" t="inlineStr">
        <is>
          <t>mesembrenol</t>
        </is>
      </c>
      <c r="D600" s="68" t="inlineStr">
        <is>
          <t>sceletium-tortuosum; sceletium-tortuosum-kanna</t>
        </is>
      </c>
      <c r="E600" s="68" t="inlineStr">
        <is>
          <t>sceletium tortuosum; sceletium tortuosum (kanna)</t>
        </is>
      </c>
      <c r="F600" s="68" t="n">
        <v>2</v>
      </c>
      <c r="G600" s="68" t="inlineStr">
        <is>
          <t>multi-target signaling modulation</t>
        </is>
      </c>
      <c r="H600" s="68" t="inlineStr">
        <is>
          <t>inferred_plus_trusted_gov</t>
        </is>
      </c>
    </row>
    <row r="601">
      <c r="A601" s="68" t="inlineStr">
        <is>
          <t>general or unknown targets</t>
        </is>
      </c>
      <c r="B601" s="68" t="inlineStr">
        <is>
          <t>gomisin</t>
        </is>
      </c>
      <c r="C601" s="68" t="inlineStr">
        <is>
          <t>gomisin</t>
        </is>
      </c>
      <c r="D601" s="68" t="inlineStr">
        <is>
          <t>schisandra-chinensis</t>
        </is>
      </c>
      <c r="E601" s="68" t="inlineStr">
        <is>
          <t>schisandra chinensis</t>
        </is>
      </c>
      <c r="F601" s="68" t="n">
        <v>1</v>
      </c>
      <c r="G601" s="68" t="inlineStr">
        <is>
          <t>multi-target signaling modulation</t>
        </is>
      </c>
      <c r="H601" s="68" t="inlineStr">
        <is>
          <t>inferred_plus_trusted_gov</t>
        </is>
      </c>
    </row>
    <row r="602">
      <c r="A602" s="68" t="inlineStr">
        <is>
          <t>general or unknown targets</t>
        </is>
      </c>
      <c r="B602" s="68" t="inlineStr">
        <is>
          <t>schisandrin</t>
        </is>
      </c>
      <c r="C602" s="68" t="inlineStr">
        <is>
          <t>schisandrin</t>
        </is>
      </c>
      <c r="D602" s="68" t="inlineStr">
        <is>
          <t>schisandra-chinensis</t>
        </is>
      </c>
      <c r="E602" s="68" t="inlineStr">
        <is>
          <t>schisandra chinensis</t>
        </is>
      </c>
      <c r="F602" s="68" t="n">
        <v>1</v>
      </c>
      <c r="G602" s="68" t="inlineStr">
        <is>
          <t>multi-target signaling modulation</t>
        </is>
      </c>
      <c r="H602" s="68" t="inlineStr">
        <is>
          <t>inferred_plus_trusted_gov</t>
        </is>
      </c>
    </row>
    <row r="603">
      <c r="A603" s="68" t="inlineStr">
        <is>
          <t>general or unknown targets</t>
        </is>
      </c>
      <c r="B603" s="68" t="inlineStr">
        <is>
          <t>scopadulcic acid</t>
        </is>
      </c>
      <c r="C603" s="68" t="inlineStr">
        <is>
          <t>scopadulcic acid</t>
        </is>
      </c>
      <c r="D603" s="68" t="inlineStr">
        <is>
          <t>scoparia-dulcis</t>
        </is>
      </c>
      <c r="E603" s="68" t="inlineStr">
        <is>
          <t>scoparia dulcis</t>
        </is>
      </c>
      <c r="F603" s="68" t="n">
        <v>1</v>
      </c>
      <c r="G603" s="68" t="inlineStr">
        <is>
          <t>multi-target signaling modulation</t>
        </is>
      </c>
      <c r="H603" s="68" t="inlineStr">
        <is>
          <t>inferred_plus_trusted_gov</t>
        </is>
      </c>
    </row>
    <row r="604">
      <c r="A604" s="68" t="inlineStr">
        <is>
          <t>general or unknown targets</t>
        </is>
      </c>
      <c r="B604" s="68" t="inlineStr">
        <is>
          <t>scoparin</t>
        </is>
      </c>
      <c r="C604" s="68" t="inlineStr">
        <is>
          <t>scoparin</t>
        </is>
      </c>
      <c r="D604" s="68" t="inlineStr">
        <is>
          <t>scoparia-dulcis</t>
        </is>
      </c>
      <c r="E604" s="68" t="inlineStr">
        <is>
          <t>scoparia dulcis</t>
        </is>
      </c>
      <c r="F604" s="68" t="n">
        <v>1</v>
      </c>
      <c r="G604" s="68" t="inlineStr">
        <is>
          <t>multi-target signaling modulation</t>
        </is>
      </c>
      <c r="H604" s="68" t="inlineStr">
        <is>
          <t>inferred_plus_trusted_gov</t>
        </is>
      </c>
    </row>
    <row r="605">
      <c r="A605" s="68" t="inlineStr">
        <is>
          <t>gabaergic_modulation</t>
        </is>
      </c>
      <c r="B605" s="68" t="inlineStr">
        <is>
          <t>baicalin</t>
        </is>
      </c>
      <c r="C605" s="68" t="inlineStr">
        <is>
          <t>baicalin</t>
        </is>
      </c>
      <c r="D605" s="68" t="inlineStr">
        <is>
          <t>scutellaria-baicalensis; scutellaria-lateriflora</t>
        </is>
      </c>
      <c r="E605" s="68" t="inlineStr">
        <is>
          <t>scutellaria baicalensis; scutellaria lateriflora</t>
        </is>
      </c>
      <c r="F605" s="68" t="n">
        <v>2</v>
      </c>
      <c r="G605" s="68" t="inlineStr">
        <is>
          <t>GABAergic modulation; multi-target signaling modulation</t>
        </is>
      </c>
      <c r="H605" s="68" t="inlineStr">
        <is>
          <t>inferred_plus_trusted_gov; trusted_gov_added</t>
        </is>
      </c>
    </row>
    <row r="606">
      <c r="A606" s="68" t="inlineStr">
        <is>
          <t>general or unknown targets</t>
        </is>
      </c>
      <c r="B606" s="68" t="inlineStr">
        <is>
          <t>baicalin</t>
        </is>
      </c>
      <c r="C606" s="68" t="inlineStr">
        <is>
          <t>baicalin</t>
        </is>
      </c>
      <c r="D606" s="68" t="inlineStr">
        <is>
          <t>scutellaria-baicalensis; scutellaria-lateriflora</t>
        </is>
      </c>
      <c r="E606" s="68" t="inlineStr">
        <is>
          <t>scutellaria baicalensis; scutellaria lateriflora</t>
        </is>
      </c>
      <c r="F606" s="68" t="n">
        <v>2</v>
      </c>
      <c r="G606" s="68" t="inlineStr">
        <is>
          <t>GABAergic modulation; multi-target signaling modulation</t>
        </is>
      </c>
      <c r="H606" s="68" t="inlineStr">
        <is>
          <t>inferred_plus_trusted_gov; trusted_gov_added</t>
        </is>
      </c>
    </row>
    <row r="607">
      <c r="A607" s="68" t="inlineStr">
        <is>
          <t>gabaergic_modulation</t>
        </is>
      </c>
      <c r="B607" s="68" t="inlineStr">
        <is>
          <t>wogonin</t>
        </is>
      </c>
      <c r="C607" s="68" t="inlineStr">
        <is>
          <t>wogonin</t>
        </is>
      </c>
      <c r="D607" s="68" t="inlineStr">
        <is>
          <t>scutellaria-baicalensis; scutellaria-lateriflora</t>
        </is>
      </c>
      <c r="E607" s="68" t="inlineStr">
        <is>
          <t>scutellaria baicalensis; scutellaria lateriflora</t>
        </is>
      </c>
      <c r="F607" s="68" t="n">
        <v>2</v>
      </c>
      <c r="G607" s="68" t="inlineStr">
        <is>
          <t>GABAergic modulation; multi-target signaling modulation</t>
        </is>
      </c>
      <c r="H607" s="68" t="inlineStr">
        <is>
          <t>inferred_plus_trusted_gov; trusted_gov_added</t>
        </is>
      </c>
    </row>
    <row r="608">
      <c r="A608" s="68" t="inlineStr">
        <is>
          <t>general or unknown targets</t>
        </is>
      </c>
      <c r="B608" s="68" t="inlineStr">
        <is>
          <t>wogonin</t>
        </is>
      </c>
      <c r="C608" s="68" t="inlineStr">
        <is>
          <t>wogonin</t>
        </is>
      </c>
      <c r="D608" s="68" t="inlineStr">
        <is>
          <t>scutellaria-baicalensis; scutellaria-lateriflora</t>
        </is>
      </c>
      <c r="E608" s="68" t="inlineStr">
        <is>
          <t>scutellaria baicalensis; scutellaria lateriflora</t>
        </is>
      </c>
      <c r="F608" s="68" t="n">
        <v>2</v>
      </c>
      <c r="G608" s="68" t="inlineStr">
        <is>
          <t>GABAergic modulation; multi-target signaling modulation</t>
        </is>
      </c>
      <c r="H608" s="68" t="inlineStr">
        <is>
          <t>inferred_plus_trusted_gov; trusted_gov_added</t>
        </is>
      </c>
    </row>
    <row r="609">
      <c r="A609" s="68" t="inlineStr">
        <is>
          <t>gabaergic_modulation</t>
        </is>
      </c>
      <c r="B609" s="68" t="inlineStr">
        <is>
          <t>scutellarin</t>
        </is>
      </c>
      <c r="C609" s="68" t="inlineStr">
        <is>
          <t>scutellarin</t>
        </is>
      </c>
      <c r="D609" s="68" t="inlineStr">
        <is>
          <t>scutellaria-lateriflora</t>
        </is>
      </c>
      <c r="E609" s="68" t="inlineStr">
        <is>
          <t>scutellaria lateriflora</t>
        </is>
      </c>
      <c r="F609" s="68" t="n">
        <v>1</v>
      </c>
      <c r="G609" s="68" t="inlineStr">
        <is>
          <t>GABAergic modulation</t>
        </is>
      </c>
      <c r="H609" s="68" t="inlineStr">
        <is>
          <t>trusted_gov_added</t>
        </is>
      </c>
    </row>
    <row r="610">
      <c r="A610" s="68" t="inlineStr">
        <is>
          <t>general or unknown targets</t>
        </is>
      </c>
      <c r="B610" s="68" t="inlineStr">
        <is>
          <t>amentoflavone</t>
        </is>
      </c>
      <c r="C610" s="68" t="inlineStr">
        <is>
          <t>amentoflavone</t>
        </is>
      </c>
      <c r="D610" s="68" t="inlineStr">
        <is>
          <t>selaginella-tamariscina</t>
        </is>
      </c>
      <c r="E610" s="68" t="inlineStr">
        <is>
          <t>selaginella tamariscina</t>
        </is>
      </c>
      <c r="F610" s="68" t="n">
        <v>1</v>
      </c>
      <c r="G610" s="68" t="inlineStr">
        <is>
          <t>multi-target signaling modulation</t>
        </is>
      </c>
      <c r="H610" s="68" t="inlineStr">
        <is>
          <t>inferred_plus_trusted_gov</t>
        </is>
      </c>
    </row>
    <row r="611">
      <c r="A611" s="68" t="inlineStr">
        <is>
          <t>general or unknown targets</t>
        </is>
      </c>
      <c r="B611" s="68" t="inlineStr">
        <is>
          <t>hinokiflavone</t>
        </is>
      </c>
      <c r="C611" s="68" t="inlineStr">
        <is>
          <t>hinokiflavone</t>
        </is>
      </c>
      <c r="D611" s="68" t="inlineStr">
        <is>
          <t>selaginella-tamariscina</t>
        </is>
      </c>
      <c r="E611" s="68" t="inlineStr">
        <is>
          <t>selaginella tamariscina</t>
        </is>
      </c>
      <c r="F611" s="68" t="n">
        <v>1</v>
      </c>
      <c r="G611" s="68" t="inlineStr">
        <is>
          <t>multi-target signaling modulation</t>
        </is>
      </c>
      <c r="H611" s="68" t="inlineStr">
        <is>
          <t>inferred_plus_trusted_gov</t>
        </is>
      </c>
    </row>
    <row r="612">
      <c r="A612" s="68" t="inlineStr">
        <is>
          <t>inflammatory_pathway_modulation</t>
        </is>
      </c>
      <c r="B612" s="68" t="inlineStr">
        <is>
          <t>zerumbone</t>
        </is>
      </c>
      <c r="C612" s="68" t="inlineStr">
        <is>
          <t>zerumbone</t>
        </is>
      </c>
      <c r="D612" s="68" t="inlineStr">
        <is>
          <t>zingiber-zerumbet</t>
        </is>
      </c>
      <c r="E612" s="68" t="inlineStr">
        <is>
          <t>shampoo ginger</t>
        </is>
      </c>
      <c r="F612" s="68" t="n">
        <v>1</v>
      </c>
      <c r="G612" s="68" t="inlineStr">
        <is>
          <t>COX/NF-kB inhibition</t>
        </is>
      </c>
      <c r="H612" s="68" t="inlineStr">
        <is>
          <t>trusted_gov_added</t>
        </is>
      </c>
    </row>
    <row r="613">
      <c r="A613" s="68" t="inlineStr">
        <is>
          <t>general or unknown targets</t>
        </is>
      </c>
      <c r="B613" s="68" t="inlineStr">
        <is>
          <t>hydroxy-beta-sanshool</t>
        </is>
      </c>
      <c r="C613" s="68" t="inlineStr">
        <is>
          <t>hydroxy-beta-sanshool</t>
        </is>
      </c>
      <c r="D613" s="68" t="inlineStr">
        <is>
          <t>zanthoxylum-bungeanum</t>
        </is>
      </c>
      <c r="E613" s="68" t="inlineStr">
        <is>
          <t>sichuan pepper</t>
        </is>
      </c>
      <c r="F613" s="68" t="n">
        <v>1</v>
      </c>
      <c r="G613" s="68" t="inlineStr">
        <is>
          <t>multi-target signaling modulation</t>
        </is>
      </c>
      <c r="H613" s="68" t="inlineStr">
        <is>
          <t>trusted_gov_added</t>
        </is>
      </c>
    </row>
    <row r="614">
      <c r="A614" s="68" t="inlineStr">
        <is>
          <t>general or unknown targets</t>
        </is>
      </c>
      <c r="B614" s="68" t="inlineStr">
        <is>
          <t>hydroxy-alpha-sanshool</t>
        </is>
      </c>
      <c r="C614" s="68" t="inlineStr">
        <is>
          <t>hydroxy-alpha-sanshool</t>
        </is>
      </c>
      <c r="D614" s="68" t="inlineStr">
        <is>
          <t>zanthoxylum-bungeanum</t>
        </is>
      </c>
      <c r="E614" s="68" t="inlineStr">
        <is>
          <t>sichuan pepper</t>
        </is>
      </c>
      <c r="F614" s="68" t="n">
        <v>1</v>
      </c>
      <c r="G614" s="68" t="inlineStr">
        <is>
          <t>multi-target signaling modulation</t>
        </is>
      </c>
      <c r="H614" s="68" t="inlineStr">
        <is>
          <t>trusted_gov_added</t>
        </is>
      </c>
    </row>
    <row r="615">
      <c r="A615" s="68" t="inlineStr">
        <is>
          <t>general or unknown targets</t>
        </is>
      </c>
      <c r="B615" s="68" t="inlineStr">
        <is>
          <t>silydianin</t>
        </is>
      </c>
      <c r="C615" s="68" t="inlineStr">
        <is>
          <t>silydianin</t>
        </is>
      </c>
      <c r="D615" s="68" t="inlineStr">
        <is>
          <t>silybum-marianum</t>
        </is>
      </c>
      <c r="E615" s="68" t="inlineStr">
        <is>
          <t>silybum marianum</t>
        </is>
      </c>
      <c r="F615" s="68" t="n">
        <v>1</v>
      </c>
      <c r="G615" s="68" t="inlineStr">
        <is>
          <t>multi-target signaling modulation</t>
        </is>
      </c>
      <c r="H615" s="68" t="inlineStr">
        <is>
          <t>trusted_gov_added</t>
        </is>
      </c>
    </row>
    <row r="616">
      <c r="A616" s="68" t="inlineStr">
        <is>
          <t>general or unknown targets</t>
        </is>
      </c>
      <c r="B616" s="68" t="inlineStr">
        <is>
          <t>silychristin</t>
        </is>
      </c>
      <c r="C616" s="68" t="inlineStr">
        <is>
          <t>silychristin</t>
        </is>
      </c>
      <c r="D616" s="68" t="inlineStr">
        <is>
          <t>silybum-marianum</t>
        </is>
      </c>
      <c r="E616" s="68" t="inlineStr">
        <is>
          <t>silybum marianum</t>
        </is>
      </c>
      <c r="F616" s="68" t="n">
        <v>1</v>
      </c>
      <c r="G616" s="68" t="inlineStr">
        <is>
          <t>multi-target signaling modulation</t>
        </is>
      </c>
      <c r="H616" s="68" t="inlineStr">
        <is>
          <t>trusted_gov_added</t>
        </is>
      </c>
    </row>
    <row r="617">
      <c r="A617" s="68" t="inlineStr">
        <is>
          <t>general or unknown targets</t>
        </is>
      </c>
      <c r="B617" s="68" t="inlineStr">
        <is>
          <t>silymarin silibinin</t>
        </is>
      </c>
      <c r="C617" s="68" t="inlineStr">
        <is>
          <t>silymarin (silibinin</t>
        </is>
      </c>
      <c r="D617" s="68" t="inlineStr">
        <is>
          <t>silybum-marianum</t>
        </is>
      </c>
      <c r="E617" s="68" t="inlineStr">
        <is>
          <t>silybum marianum</t>
        </is>
      </c>
      <c r="F617" s="68" t="n">
        <v>1</v>
      </c>
      <c r="G617" s="68" t="inlineStr">
        <is>
          <t>multi-target signaling modulation</t>
        </is>
      </c>
      <c r="H617" s="68" t="inlineStr">
        <is>
          <t>trusted_gov_added</t>
        </is>
      </c>
    </row>
    <row r="618">
      <c r="A618" s="68" t="inlineStr">
        <is>
          <t>general or unknown targets</t>
        </is>
      </c>
      <c r="B618" s="68" t="inlineStr">
        <is>
          <t>sarsaponin</t>
        </is>
      </c>
      <c r="C618" s="68" t="inlineStr">
        <is>
          <t>sarsaponin</t>
        </is>
      </c>
      <c r="D618" s="68" t="inlineStr">
        <is>
          <t>smilax-ornata</t>
        </is>
      </c>
      <c r="E618" s="68" t="inlineStr">
        <is>
          <t>smilax ornata</t>
        </is>
      </c>
      <c r="F618" s="68" t="n">
        <v>1</v>
      </c>
      <c r="G618" s="68" t="inlineStr">
        <is>
          <t>multi-target signaling modulation</t>
        </is>
      </c>
      <c r="H618" s="68" t="inlineStr">
        <is>
          <t>inferred_plus_trusted_gov</t>
        </is>
      </c>
    </row>
    <row r="619">
      <c r="A619" s="68" t="inlineStr">
        <is>
          <t>general or unknown targets</t>
        </is>
      </c>
      <c r="B619" s="68" t="inlineStr">
        <is>
          <t>solanine</t>
        </is>
      </c>
      <c r="C619" s="68" t="inlineStr">
        <is>
          <t>solanine</t>
        </is>
      </c>
      <c r="D619" s="68" t="inlineStr">
        <is>
          <t>solanum-nigrum</t>
        </is>
      </c>
      <c r="E619" s="68" t="inlineStr">
        <is>
          <t>solanum nigrum</t>
        </is>
      </c>
      <c r="F619" s="68" t="n">
        <v>1</v>
      </c>
      <c r="G619" s="68" t="inlineStr">
        <is>
          <t>multi-target signaling modulation</t>
        </is>
      </c>
      <c r="H619" s="68" t="inlineStr">
        <is>
          <t>inferred_plus_trusted_gov</t>
        </is>
      </c>
    </row>
    <row r="620">
      <c r="A620" s="68" t="inlineStr">
        <is>
          <t>general or unknown targets</t>
        </is>
      </c>
      <c r="B620" s="68" t="inlineStr">
        <is>
          <t>solamargine</t>
        </is>
      </c>
      <c r="C620" s="68" t="inlineStr">
        <is>
          <t>solamargine</t>
        </is>
      </c>
      <c r="D620" s="68" t="inlineStr">
        <is>
          <t>solanum-nigrum</t>
        </is>
      </c>
      <c r="E620" s="68" t="inlineStr">
        <is>
          <t>solanum nigrum</t>
        </is>
      </c>
      <c r="F620" s="68" t="n">
        <v>1</v>
      </c>
      <c r="G620" s="68" t="inlineStr">
        <is>
          <t>multi-target signaling modulation</t>
        </is>
      </c>
      <c r="H620" s="68" t="inlineStr">
        <is>
          <t>inferred_plus_trusted_gov</t>
        </is>
      </c>
    </row>
    <row r="621">
      <c r="A621" s="68" t="inlineStr">
        <is>
          <t>general or unknown targets</t>
        </is>
      </c>
      <c r="B621" s="68" t="inlineStr">
        <is>
          <t>matrine</t>
        </is>
      </c>
      <c r="C621" s="68" t="inlineStr">
        <is>
          <t>matrine</t>
        </is>
      </c>
      <c r="D621" s="68" t="inlineStr">
        <is>
          <t>sophora-flavescens</t>
        </is>
      </c>
      <c r="E621" s="68" t="inlineStr">
        <is>
          <t>sophora flavescens</t>
        </is>
      </c>
      <c r="F621" s="68" t="n">
        <v>1</v>
      </c>
      <c r="G621" s="68" t="inlineStr">
        <is>
          <t>multi-target signaling modulation</t>
        </is>
      </c>
      <c r="H621" s="68" t="inlineStr">
        <is>
          <t>inferred_plus_trusted_gov</t>
        </is>
      </c>
    </row>
    <row r="622">
      <c r="A622" s="68" t="inlineStr">
        <is>
          <t>general or unknown targets</t>
        </is>
      </c>
      <c r="B622" s="68" t="inlineStr">
        <is>
          <t>oxymatrine</t>
        </is>
      </c>
      <c r="C622" s="68" t="inlineStr">
        <is>
          <t>oxymatrine</t>
        </is>
      </c>
      <c r="D622" s="68" t="inlineStr">
        <is>
          <t>sophora-flavescens</t>
        </is>
      </c>
      <c r="E622" s="68" t="inlineStr">
        <is>
          <t>sophora flavescens</t>
        </is>
      </c>
      <c r="F622" s="68" t="n">
        <v>1</v>
      </c>
      <c r="G622" s="68" t="inlineStr">
        <is>
          <t>multi-target signaling modulation</t>
        </is>
      </c>
      <c r="H622" s="68" t="inlineStr">
        <is>
          <t>inferred_plus_trusted_gov</t>
        </is>
      </c>
    </row>
    <row r="623">
      <c r="A623" s="68" t="inlineStr">
        <is>
          <t>general or unknown targets</t>
        </is>
      </c>
      <c r="B623" s="68" t="inlineStr">
        <is>
          <t>kurarinone</t>
        </is>
      </c>
      <c r="C623" s="68" t="inlineStr">
        <is>
          <t>kurarinone</t>
        </is>
      </c>
      <c r="D623" s="68" t="inlineStr">
        <is>
          <t>sophora-flavescens</t>
        </is>
      </c>
      <c r="E623" s="68" t="inlineStr">
        <is>
          <t>sophora flavescens</t>
        </is>
      </c>
      <c r="F623" s="68" t="n">
        <v>1</v>
      </c>
      <c r="G623" s="68" t="inlineStr">
        <is>
          <t>multi-target signaling modulation</t>
        </is>
      </c>
      <c r="H623" s="68" t="inlineStr">
        <is>
          <t>inferred_plus_trusted_gov</t>
        </is>
      </c>
    </row>
    <row r="624">
      <c r="A624" s="68" t="inlineStr">
        <is>
          <t>general or unknown targets</t>
        </is>
      </c>
      <c r="B624" s="68" t="inlineStr">
        <is>
          <t>verbascoside</t>
        </is>
      </c>
      <c r="C624" s="68" t="inlineStr">
        <is>
          <t>verbascoside</t>
        </is>
      </c>
      <c r="D624" s="68" t="inlineStr">
        <is>
          <t>stachytarpheta-cayennensis</t>
        </is>
      </c>
      <c r="E624" s="68" t="inlineStr">
        <is>
          <t>stachytarpheta cayennensis</t>
        </is>
      </c>
      <c r="F624" s="68" t="n">
        <v>1</v>
      </c>
      <c r="G624" s="68" t="inlineStr">
        <is>
          <t>multi-target signaling modulation</t>
        </is>
      </c>
      <c r="H624" s="68" t="inlineStr">
        <is>
          <t>inferred_plus_trusted_gov</t>
        </is>
      </c>
    </row>
    <row r="625">
      <c r="A625" s="68" t="inlineStr">
        <is>
          <t>general or unknown targets</t>
        </is>
      </c>
      <c r="B625" s="68" t="inlineStr">
        <is>
          <t>tetrandrine</t>
        </is>
      </c>
      <c r="C625" s="68" t="inlineStr">
        <is>
          <t>tetrandrine</t>
        </is>
      </c>
      <c r="D625" s="68" t="inlineStr">
        <is>
          <t>stephania-cepharantha; stephania-tetrandra</t>
        </is>
      </c>
      <c r="E625" s="68" t="inlineStr">
        <is>
          <t>stephania cepharantha; stephania tetrandra</t>
        </is>
      </c>
      <c r="F625" s="68" t="n">
        <v>2</v>
      </c>
      <c r="G625" s="68" t="inlineStr">
        <is>
          <t>multi-target signaling modulation</t>
        </is>
      </c>
      <c r="H625" s="68" t="inlineStr">
        <is>
          <t>inferred_plus_trusted_gov</t>
        </is>
      </c>
    </row>
    <row r="626">
      <c r="A626" s="68" t="inlineStr">
        <is>
          <t>general or unknown targets</t>
        </is>
      </c>
      <c r="B626" s="68" t="inlineStr">
        <is>
          <t>cepharanthine</t>
        </is>
      </c>
      <c r="C626" s="68" t="inlineStr">
        <is>
          <t>cepharanthine</t>
        </is>
      </c>
      <c r="D626" s="68" t="inlineStr">
        <is>
          <t>stephania-cepharantha</t>
        </is>
      </c>
      <c r="E626" s="68" t="inlineStr">
        <is>
          <t>stephania cepharantha</t>
        </is>
      </c>
      <c r="F626" s="68" t="n">
        <v>1</v>
      </c>
      <c r="G626" s="68" t="inlineStr">
        <is>
          <t>multi-target signaling modulation</t>
        </is>
      </c>
      <c r="H626" s="68" t="inlineStr">
        <is>
          <t>inferred_plus_trusted_gov</t>
        </is>
      </c>
    </row>
    <row r="627">
      <c r="A627" s="68" t="inlineStr">
        <is>
          <t>general or unknown targets</t>
        </is>
      </c>
      <c r="B627" s="68" t="inlineStr">
        <is>
          <t>fangchinoline</t>
        </is>
      </c>
      <c r="C627" s="68" t="inlineStr">
        <is>
          <t>fangchinoline</t>
        </is>
      </c>
      <c r="D627" s="68" t="inlineStr">
        <is>
          <t>stephania-tetrandra</t>
        </is>
      </c>
      <c r="E627" s="68" t="inlineStr">
        <is>
          <t>stephania tetrandra</t>
        </is>
      </c>
      <c r="F627" s="68" t="n">
        <v>1</v>
      </c>
      <c r="G627" s="68" t="inlineStr">
        <is>
          <t>multi-target signaling modulation</t>
        </is>
      </c>
      <c r="H627" s="68" t="inlineStr">
        <is>
          <t>inferred_plus_trusted_gov</t>
        </is>
      </c>
    </row>
    <row r="628">
      <c r="A628" s="68" t="inlineStr">
        <is>
          <t>general or unknown targets</t>
        </is>
      </c>
      <c r="B628" s="68" t="inlineStr">
        <is>
          <t>beta-lapachone</t>
        </is>
      </c>
      <c r="C628" s="68" t="inlineStr">
        <is>
          <t>beta-lapachone</t>
        </is>
      </c>
      <c r="D628" s="68" t="inlineStr">
        <is>
          <t>tabebuia-impetiginosa</t>
        </is>
      </c>
      <c r="E628" s="68" t="inlineStr">
        <is>
          <t>tabebuia impetiginosa</t>
        </is>
      </c>
      <c r="F628" s="68" t="n">
        <v>1</v>
      </c>
      <c r="G628" s="68" t="inlineStr">
        <is>
          <t>multi-target signaling modulation</t>
        </is>
      </c>
      <c r="H628" s="68" t="inlineStr">
        <is>
          <t>inferred_plus_trusted_gov</t>
        </is>
      </c>
    </row>
    <row r="629">
      <c r="A629" s="68" t="inlineStr">
        <is>
          <t>general or unknown targets</t>
        </is>
      </c>
      <c r="B629" s="68" t="inlineStr">
        <is>
          <t>lapachol</t>
        </is>
      </c>
      <c r="C629" s="68" t="inlineStr">
        <is>
          <t>lapachol</t>
        </is>
      </c>
      <c r="D629" s="68" t="inlineStr">
        <is>
          <t>tabebuia-impetiginosa</t>
        </is>
      </c>
      <c r="E629" s="68" t="inlineStr">
        <is>
          <t>tabebuia impetiginosa</t>
        </is>
      </c>
      <c r="F629" s="68" t="n">
        <v>1</v>
      </c>
      <c r="G629" s="68" t="inlineStr">
        <is>
          <t>multi-target signaling modulation</t>
        </is>
      </c>
      <c r="H629" s="68" t="inlineStr">
        <is>
          <t>inferred_plus_trusted_gov</t>
        </is>
      </c>
    </row>
    <row r="630">
      <c r="A630" s="68" t="inlineStr">
        <is>
          <t>general or unknown targets</t>
        </is>
      </c>
      <c r="B630" s="68" t="inlineStr">
        <is>
          <t>voacangine</t>
        </is>
      </c>
      <c r="C630" s="68" t="inlineStr">
        <is>
          <t>voacangine</t>
        </is>
      </c>
      <c r="D630" s="68" t="inlineStr">
        <is>
          <t>tabernaemontana-divaricata</t>
        </is>
      </c>
      <c r="E630" s="68" t="inlineStr">
        <is>
          <t>tabernaemontana divaricata</t>
        </is>
      </c>
      <c r="F630" s="68" t="n">
        <v>1</v>
      </c>
      <c r="G630" s="68" t="inlineStr">
        <is>
          <t>multi-target signaling modulation</t>
        </is>
      </c>
      <c r="H630" s="68" t="inlineStr">
        <is>
          <t>inferred_plus_trusted_gov</t>
        </is>
      </c>
    </row>
    <row r="631">
      <c r="A631" s="68" t="inlineStr">
        <is>
          <t>general or unknown targets</t>
        </is>
      </c>
      <c r="B631" s="68" t="inlineStr">
        <is>
          <t>coronaridine</t>
        </is>
      </c>
      <c r="C631" s="68" t="inlineStr">
        <is>
          <t>coronaridine</t>
        </is>
      </c>
      <c r="D631" s="68" t="inlineStr">
        <is>
          <t>tabernaemontana-divaricata</t>
        </is>
      </c>
      <c r="E631" s="68" t="inlineStr">
        <is>
          <t>tabernaemontana divaricata</t>
        </is>
      </c>
      <c r="F631" s="68" t="n">
        <v>1</v>
      </c>
      <c r="G631" s="68" t="inlineStr">
        <is>
          <t>multi-target signaling modulation</t>
        </is>
      </c>
      <c r="H631" s="68" t="inlineStr">
        <is>
          <t>inferred_plus_trusted_gov</t>
        </is>
      </c>
    </row>
    <row r="632">
      <c r="A632" s="68" t="inlineStr">
        <is>
          <t>general or unknown targets</t>
        </is>
      </c>
      <c r="B632" s="68" t="inlineStr">
        <is>
          <t>taraxasterol</t>
        </is>
      </c>
      <c r="C632" s="68" t="inlineStr">
        <is>
          <t>taraxasterol</t>
        </is>
      </c>
      <c r="D632" s="68" t="inlineStr">
        <is>
          <t>taraxacum-officinale</t>
        </is>
      </c>
      <c r="E632" s="68" t="inlineStr">
        <is>
          <t>taraxacum officinale</t>
        </is>
      </c>
      <c r="F632" s="68" t="n">
        <v>1</v>
      </c>
      <c r="G632" s="68" t="inlineStr">
        <is>
          <t>multi-target signaling modulation</t>
        </is>
      </c>
      <c r="H632" s="68" t="inlineStr">
        <is>
          <t>inferred_plus_trusted_gov</t>
        </is>
      </c>
    </row>
    <row r="633">
      <c r="A633" s="68" t="inlineStr">
        <is>
          <t>general or unknown targets</t>
        </is>
      </c>
      <c r="B633" s="68" t="inlineStr">
        <is>
          <t>polygodial</t>
        </is>
      </c>
      <c r="C633" s="68" t="inlineStr">
        <is>
          <t>polygodial</t>
        </is>
      </c>
      <c r="D633" s="68" t="inlineStr">
        <is>
          <t>tasmannia-lanceolata</t>
        </is>
      </c>
      <c r="E633" s="68" t="inlineStr">
        <is>
          <t>tasmannia lanceolata</t>
        </is>
      </c>
      <c r="F633" s="68" t="n">
        <v>1</v>
      </c>
      <c r="G633" s="68" t="inlineStr">
        <is>
          <t>multi-target signaling modulation</t>
        </is>
      </c>
      <c r="H633" s="68" t="inlineStr">
        <is>
          <t>inferred_plus_trusted_gov</t>
        </is>
      </c>
    </row>
    <row r="634">
      <c r="A634" s="68" t="inlineStr">
        <is>
          <t>general or unknown targets</t>
        </is>
      </c>
      <c r="B634" s="68" t="inlineStr">
        <is>
          <t>rutaecarpine</t>
        </is>
      </c>
      <c r="C634" s="68" t="inlineStr">
        <is>
          <t>rutaecarpine</t>
        </is>
      </c>
      <c r="D634" s="68" t="inlineStr">
        <is>
          <t>tetradium-ruticarpum</t>
        </is>
      </c>
      <c r="E634" s="68" t="inlineStr">
        <is>
          <t>tetradium ruticarpum</t>
        </is>
      </c>
      <c r="F634" s="68" t="n">
        <v>1</v>
      </c>
      <c r="G634" s="68" t="inlineStr">
        <is>
          <t>multi-target signaling modulation</t>
        </is>
      </c>
      <c r="H634" s="68" t="inlineStr">
        <is>
          <t>inferred_plus_trusted_gov</t>
        </is>
      </c>
    </row>
    <row r="635">
      <c r="A635" s="68" t="inlineStr">
        <is>
          <t>general or unknown targets</t>
        </is>
      </c>
      <c r="B635" s="68" t="inlineStr">
        <is>
          <t>evodiamine</t>
        </is>
      </c>
      <c r="C635" s="68" t="inlineStr">
        <is>
          <t>evodiamine</t>
        </is>
      </c>
      <c r="D635" s="68" t="inlineStr">
        <is>
          <t>tetradium-ruticarpum</t>
        </is>
      </c>
      <c r="E635" s="68" t="inlineStr">
        <is>
          <t>tetradium ruticarpum</t>
        </is>
      </c>
      <c r="F635" s="68" t="n">
        <v>1</v>
      </c>
      <c r="G635" s="68" t="inlineStr">
        <is>
          <t>multi-target signaling modulation</t>
        </is>
      </c>
      <c r="H635" s="68" t="inlineStr">
        <is>
          <t>inferred_plus_trusted_gov</t>
        </is>
      </c>
    </row>
    <row r="636">
      <c r="A636" s="68" t="inlineStr">
        <is>
          <t>adenosine_antagonism</t>
        </is>
      </c>
      <c r="B636" s="68" t="inlineStr">
        <is>
          <t>epicatechin</t>
        </is>
      </c>
      <c r="C636" s="68" t="inlineStr">
        <is>
          <t>epicatechin</t>
        </is>
      </c>
      <c r="D636" s="68" t="inlineStr">
        <is>
          <t>theobroma-cacao</t>
        </is>
      </c>
      <c r="E636" s="68" t="inlineStr">
        <is>
          <t>theobroma cacao</t>
        </is>
      </c>
      <c r="F636" s="68" t="n">
        <v>1</v>
      </c>
      <c r="G636" s="68" t="inlineStr">
        <is>
          <t>adenosine receptor antagonism</t>
        </is>
      </c>
      <c r="H636" s="68" t="inlineStr">
        <is>
          <t>inferred_plus_trusted_gov</t>
        </is>
      </c>
    </row>
    <row r="637">
      <c r="A637" s="68" t="inlineStr">
        <is>
          <t>general or unknown targets</t>
        </is>
      </c>
      <c r="B637" s="68" t="inlineStr">
        <is>
          <t>thevetin b</t>
        </is>
      </c>
      <c r="C637" s="68" t="inlineStr">
        <is>
          <t>thevetin b</t>
        </is>
      </c>
      <c r="D637" s="68" t="inlineStr">
        <is>
          <t>thevetia-peruviana</t>
        </is>
      </c>
      <c r="E637" s="68" t="inlineStr">
        <is>
          <t>thevetia peruviana</t>
        </is>
      </c>
      <c r="F637" s="68" t="n">
        <v>1</v>
      </c>
      <c r="G637" s="68" t="inlineStr">
        <is>
          <t>multi-target signaling modulation</t>
        </is>
      </c>
      <c r="H637" s="68" t="inlineStr">
        <is>
          <t>inferred_plus_trusted_gov</t>
        </is>
      </c>
    </row>
    <row r="638">
      <c r="A638" s="68" t="inlineStr">
        <is>
          <t>general or unknown targets</t>
        </is>
      </c>
      <c r="B638" s="68" t="inlineStr">
        <is>
          <t>thevetin a</t>
        </is>
      </c>
      <c r="C638" s="68" t="inlineStr">
        <is>
          <t>thevetin a</t>
        </is>
      </c>
      <c r="D638" s="68" t="inlineStr">
        <is>
          <t>thevetia-peruviana</t>
        </is>
      </c>
      <c r="E638" s="68" t="inlineStr">
        <is>
          <t>thevetia peruviana</t>
        </is>
      </c>
      <c r="F638" s="68" t="n">
        <v>1</v>
      </c>
      <c r="G638" s="68" t="inlineStr">
        <is>
          <t>multi-target signaling modulation</t>
        </is>
      </c>
      <c r="H638" s="68" t="inlineStr">
        <is>
          <t>inferred_plus_trusted_gov</t>
        </is>
      </c>
    </row>
    <row r="639">
      <c r="A639" s="68" t="inlineStr">
        <is>
          <t>general or unknown targets</t>
        </is>
      </c>
      <c r="B639" s="68" t="inlineStr">
        <is>
          <t>peruvoside</t>
        </is>
      </c>
      <c r="C639" s="68" t="inlineStr">
        <is>
          <t>peruvoside</t>
        </is>
      </c>
      <c r="D639" s="68" t="inlineStr">
        <is>
          <t>thevetia-peruviana</t>
        </is>
      </c>
      <c r="E639" s="68" t="inlineStr">
        <is>
          <t>thevetia peruviana</t>
        </is>
      </c>
      <c r="F639" s="68" t="n">
        <v>1</v>
      </c>
      <c r="G639" s="68" t="inlineStr">
        <is>
          <t>multi-target signaling modulation</t>
        </is>
      </c>
      <c r="H639" s="68" t="inlineStr">
        <is>
          <t>inferred_plus_trusted_gov</t>
        </is>
      </c>
    </row>
    <row r="640">
      <c r="A640" s="68" t="inlineStr">
        <is>
          <t>general or unknown targets</t>
        </is>
      </c>
      <c r="B640" s="68" t="inlineStr">
        <is>
          <t>eurycomanone</t>
        </is>
      </c>
      <c r="C640" s="68" t="inlineStr">
        <is>
          <t>eurycomanone</t>
        </is>
      </c>
      <c r="D640" s="68" t="inlineStr">
        <is>
          <t>eurycoma-longifolia</t>
        </is>
      </c>
      <c r="E640" s="68" t="inlineStr">
        <is>
          <t>tongkat ali</t>
        </is>
      </c>
      <c r="F640" s="68" t="n">
        <v>1</v>
      </c>
      <c r="G640" s="68" t="inlineStr">
        <is>
          <t>multi-target signaling modulation</t>
        </is>
      </c>
      <c r="H640" s="68" t="inlineStr">
        <is>
          <t>inferred_plus_trusted_gov</t>
        </is>
      </c>
    </row>
    <row r="641">
      <c r="A641" s="68" t="inlineStr">
        <is>
          <t>general or unknown targets</t>
        </is>
      </c>
      <c r="B641" s="68" t="inlineStr">
        <is>
          <t>isoflavones genistein</t>
        </is>
      </c>
      <c r="C641" s="68" t="inlineStr">
        <is>
          <t>isoflavones (genistein</t>
        </is>
      </c>
      <c r="D641" s="68" t="inlineStr">
        <is>
          <t>trifolium-pratense</t>
        </is>
      </c>
      <c r="E641" s="68" t="inlineStr">
        <is>
          <t>trifolium pratense</t>
        </is>
      </c>
      <c r="F641" s="68" t="n">
        <v>1</v>
      </c>
      <c r="G641" s="68" t="inlineStr">
        <is>
          <t>multi-target signaling modulation</t>
        </is>
      </c>
      <c r="H641" s="68" t="inlineStr">
        <is>
          <t>inferred_plus_trusted_gov</t>
        </is>
      </c>
    </row>
    <row r="642">
      <c r="A642" s="68" t="inlineStr">
        <is>
          <t>general or unknown targets</t>
        </is>
      </c>
      <c r="B642" s="68" t="inlineStr">
        <is>
          <t>daidzein</t>
        </is>
      </c>
      <c r="C642" s="68" t="inlineStr">
        <is>
          <t>daidzein</t>
        </is>
      </c>
      <c r="D642" s="68" t="inlineStr">
        <is>
          <t>trifolium-pratense</t>
        </is>
      </c>
      <c r="E642" s="68" t="inlineStr">
        <is>
          <t>trifolium pratense</t>
        </is>
      </c>
      <c r="F642" s="68" t="n">
        <v>1</v>
      </c>
      <c r="G642" s="68" t="inlineStr">
        <is>
          <t>multi-target signaling modulation</t>
        </is>
      </c>
      <c r="H642" s="68" t="inlineStr">
        <is>
          <t>inferred_plus_trusted_gov</t>
        </is>
      </c>
    </row>
    <row r="643">
      <c r="A643" s="68" t="inlineStr">
        <is>
          <t>inflammatory_pathway_modulation</t>
        </is>
      </c>
      <c r="B643" s="68" t="inlineStr">
        <is>
          <t>curcuminoids curcumin</t>
        </is>
      </c>
      <c r="C643" s="68" t="inlineStr">
        <is>
          <t>curcuminoids (curcumin)</t>
        </is>
      </c>
      <c r="D643" s="68" t="inlineStr">
        <is>
          <t>curcuma-longa</t>
        </is>
      </c>
      <c r="E643" s="68" t="inlineStr">
        <is>
          <t>turmeric</t>
        </is>
      </c>
      <c r="F643" s="68" t="n">
        <v>1</v>
      </c>
      <c r="G643" s="68" t="inlineStr">
        <is>
          <t>nf-kb inhibition</t>
        </is>
      </c>
      <c r="H643" s="68" t="inlineStr">
        <is>
          <t>trusted_gov_added</t>
        </is>
      </c>
    </row>
    <row r="644">
      <c r="A644" s="68" t="inlineStr">
        <is>
          <t>general or unknown targets</t>
        </is>
      </c>
      <c r="B644" s="68" t="inlineStr">
        <is>
          <t>tussilagone</t>
        </is>
      </c>
      <c r="C644" s="68" t="inlineStr">
        <is>
          <t>tussilagone</t>
        </is>
      </c>
      <c r="D644" s="68" t="inlineStr">
        <is>
          <t>tussilago-farfara</t>
        </is>
      </c>
      <c r="E644" s="68" t="inlineStr">
        <is>
          <t>tussilago farfara</t>
        </is>
      </c>
      <c r="F644" s="68" t="n">
        <v>1</v>
      </c>
      <c r="G644" s="68" t="inlineStr">
        <is>
          <t>multi-target signaling modulation</t>
        </is>
      </c>
      <c r="H644" s="68" t="inlineStr">
        <is>
          <t>inferred_plus_trusted_gov</t>
        </is>
      </c>
    </row>
    <row r="645">
      <c r="A645" s="68" t="inlineStr">
        <is>
          <t>inflammatory_pathway_modulation</t>
        </is>
      </c>
      <c r="B645" s="68" t="inlineStr">
        <is>
          <t>tylophorine</t>
        </is>
      </c>
      <c r="C645" s="68" t="inlineStr">
        <is>
          <t>tylophorine</t>
        </is>
      </c>
      <c r="D645" s="68" t="inlineStr">
        <is>
          <t>tylophora-indica</t>
        </is>
      </c>
      <c r="E645" s="68" t="inlineStr">
        <is>
          <t>tylophora indica</t>
        </is>
      </c>
      <c r="F645" s="68" t="n">
        <v>1</v>
      </c>
      <c r="G645" s="68" t="inlineStr">
        <is>
          <t>COX/NF-kB inhibition</t>
        </is>
      </c>
      <c r="H645" s="68" t="inlineStr">
        <is>
          <t>citation_or_url_present</t>
        </is>
      </c>
    </row>
    <row r="646">
      <c r="A646" s="68" t="inlineStr">
        <is>
          <t>general or unknown targets</t>
        </is>
      </c>
      <c r="B646" s="68" t="inlineStr">
        <is>
          <t>histamine</t>
        </is>
      </c>
      <c r="C646" s="68" t="inlineStr">
        <is>
          <t>histamine</t>
        </is>
      </c>
      <c r="D646" s="68" t="inlineStr">
        <is>
          <t>urtica-dioica</t>
        </is>
      </c>
      <c r="E646" s="68" t="inlineStr">
        <is>
          <t>urtica dioica</t>
        </is>
      </c>
      <c r="F646" s="68" t="n">
        <v>1</v>
      </c>
      <c r="G646" s="68" t="inlineStr">
        <is>
          <t>multi-target signaling modulation</t>
        </is>
      </c>
      <c r="H646" s="68" t="inlineStr">
        <is>
          <t>trusted_gov_added</t>
        </is>
      </c>
    </row>
    <row r="647">
      <c r="A647" s="68" t="inlineStr">
        <is>
          <t>HTR1A, HTR2A (serotonin receptors)</t>
        </is>
      </c>
      <c r="B647" s="68" t="inlineStr">
        <is>
          <t>serotonin</t>
        </is>
      </c>
      <c r="C647" s="68" t="inlineStr">
        <is>
          <t>serotonin</t>
        </is>
      </c>
      <c r="D647" s="68" t="inlineStr">
        <is>
          <t>urtica-dioica</t>
        </is>
      </c>
      <c r="E647" s="68" t="inlineStr">
        <is>
          <t>urtica dioica</t>
        </is>
      </c>
      <c r="F647" s="68" t="n">
        <v>1</v>
      </c>
      <c r="G647" s="68" t="inlineStr">
        <is>
          <t>serotonergic modulation</t>
        </is>
      </c>
      <c r="H647" s="68" t="inlineStr">
        <is>
          <t>trusted_gov_added</t>
        </is>
      </c>
    </row>
    <row r="648">
      <c r="A648" s="68" t="inlineStr">
        <is>
          <t>general or unknown targets</t>
        </is>
      </c>
      <c r="B648" s="68" t="inlineStr">
        <is>
          <t>usnic acid</t>
        </is>
      </c>
      <c r="C648" s="68" t="inlineStr">
        <is>
          <t>usnic acid</t>
        </is>
      </c>
      <c r="D648" s="68" t="inlineStr">
        <is>
          <t>usnea-barbata</t>
        </is>
      </c>
      <c r="E648" s="68" t="inlineStr">
        <is>
          <t>usnea barbata</t>
        </is>
      </c>
      <c r="F648" s="68" t="n">
        <v>1</v>
      </c>
      <c r="G648" s="68" t="inlineStr">
        <is>
          <t>multi-target signaling modulation</t>
        </is>
      </c>
      <c r="H648" s="68" t="inlineStr">
        <is>
          <t>inferred_plus_trusted_gov</t>
        </is>
      </c>
    </row>
    <row r="649">
      <c r="A649" s="68" t="inlineStr">
        <is>
          <t>gabaergic_modulation</t>
        </is>
      </c>
      <c r="B649" s="68" t="inlineStr">
        <is>
          <t>valerenol</t>
        </is>
      </c>
      <c r="C649" s="68" t="inlineStr">
        <is>
          <t>valerenol</t>
        </is>
      </c>
      <c r="D649" s="68" t="inlineStr">
        <is>
          <t>valeriana-officinalis</t>
        </is>
      </c>
      <c r="E649" s="68" t="inlineStr">
        <is>
          <t>valerian</t>
        </is>
      </c>
      <c r="F649" s="68" t="n">
        <v>1</v>
      </c>
      <c r="G649" s="68" t="inlineStr">
        <is>
          <t>GABAergic modulation</t>
        </is>
      </c>
      <c r="H649" s="68" t="inlineStr">
        <is>
          <t>trusted_gov_added</t>
        </is>
      </c>
    </row>
    <row r="650">
      <c r="A650" s="68" t="inlineStr">
        <is>
          <t>gabaergic_modulation</t>
        </is>
      </c>
      <c r="B650" s="68" t="inlineStr">
        <is>
          <t>valerenic acid</t>
        </is>
      </c>
      <c r="C650" s="68" t="inlineStr">
        <is>
          <t>valerenic acid</t>
        </is>
      </c>
      <c r="D650" s="68" t="inlineStr">
        <is>
          <t>valeriana-officinalis</t>
        </is>
      </c>
      <c r="E650" s="68" t="inlineStr">
        <is>
          <t>valerian; valeriana officinalis</t>
        </is>
      </c>
      <c r="F650" s="68" t="n">
        <v>1</v>
      </c>
      <c r="G650" s="68" t="inlineStr">
        <is>
          <t>GABAergic modulation; multi-target signaling modulation</t>
        </is>
      </c>
      <c r="H650" s="68" t="inlineStr">
        <is>
          <t>inferred_plus_trusted_gov; trusted_gov_added</t>
        </is>
      </c>
    </row>
    <row r="651">
      <c r="A651" s="68" t="inlineStr">
        <is>
          <t>general or unknown targets</t>
        </is>
      </c>
      <c r="B651" s="68" t="inlineStr">
        <is>
          <t>valerenic acid</t>
        </is>
      </c>
      <c r="C651" s="68" t="inlineStr">
        <is>
          <t>valerenic acid</t>
        </is>
      </c>
      <c r="D651" s="68" t="inlineStr">
        <is>
          <t>valeriana-officinalis</t>
        </is>
      </c>
      <c r="E651" s="68" t="inlineStr">
        <is>
          <t>valerian; valeriana officinalis</t>
        </is>
      </c>
      <c r="F651" s="68" t="n">
        <v>1</v>
      </c>
      <c r="G651" s="68" t="inlineStr">
        <is>
          <t>GABAergic modulation; multi-target signaling modulation</t>
        </is>
      </c>
      <c r="H651" s="68" t="inlineStr">
        <is>
          <t>inferred_plus_trusted_gov; trusted_gov_added</t>
        </is>
      </c>
    </row>
    <row r="652">
      <c r="A652" s="68" t="inlineStr">
        <is>
          <t>general or unknown targets</t>
        </is>
      </c>
      <c r="B652" s="68" t="inlineStr">
        <is>
          <t>isovaleric acid</t>
        </is>
      </c>
      <c r="C652" s="68" t="inlineStr">
        <is>
          <t>isovaleric acid</t>
        </is>
      </c>
      <c r="D652" s="68" t="inlineStr">
        <is>
          <t>valeriana-officinalis</t>
        </is>
      </c>
      <c r="E652" s="68" t="inlineStr">
        <is>
          <t>valeriana officinalis</t>
        </is>
      </c>
      <c r="F652" s="68" t="n">
        <v>1</v>
      </c>
      <c r="G652" s="68" t="inlineStr">
        <is>
          <t>multi-target signaling modulation</t>
        </is>
      </c>
      <c r="H652" s="68" t="inlineStr">
        <is>
          <t>inferred_plus_trusted_gov</t>
        </is>
      </c>
    </row>
    <row r="653">
      <c r="A653" s="68" t="inlineStr">
        <is>
          <t>general or unknown targets</t>
        </is>
      </c>
      <c r="B653" s="68" t="inlineStr">
        <is>
          <t>vincamine</t>
        </is>
      </c>
      <c r="C653" s="68" t="inlineStr">
        <is>
          <t>vincamine</t>
        </is>
      </c>
      <c r="D653" s="68" t="inlineStr">
        <is>
          <t>vinca-minor</t>
        </is>
      </c>
      <c r="E653" s="68" t="inlineStr">
        <is>
          <t>vinca minor</t>
        </is>
      </c>
      <c r="F653" s="68" t="n">
        <v>1</v>
      </c>
      <c r="G653" s="68" t="inlineStr">
        <is>
          <t>multi-target signaling modulation</t>
        </is>
      </c>
      <c r="H653" s="68" t="inlineStr">
        <is>
          <t>inferred_plus_trusted_gov</t>
        </is>
      </c>
    </row>
    <row r="654">
      <c r="A654" s="68" t="inlineStr">
        <is>
          <t>general or unknown targets</t>
        </is>
      </c>
      <c r="B654" s="68" t="inlineStr">
        <is>
          <t>agnuside</t>
        </is>
      </c>
      <c r="C654" s="68" t="inlineStr">
        <is>
          <t>agnuside</t>
        </is>
      </c>
      <c r="D654" s="68" t="inlineStr">
        <is>
          <t>vitex-agnus-castus</t>
        </is>
      </c>
      <c r="E654" s="68" t="inlineStr">
        <is>
          <t>vitex agnus-castus</t>
        </is>
      </c>
      <c r="F654" s="68" t="n">
        <v>1</v>
      </c>
      <c r="G654" s="68" t="inlineStr">
        <is>
          <t>multi-target signaling modulation</t>
        </is>
      </c>
      <c r="H654" s="68" t="inlineStr">
        <is>
          <t>inferred_plus_trusted_gov</t>
        </is>
      </c>
    </row>
    <row r="655">
      <c r="A655" s="68" t="inlineStr">
        <is>
          <t>general or unknown targets</t>
        </is>
      </c>
      <c r="B655" s="68" t="inlineStr">
        <is>
          <t>casticin</t>
        </is>
      </c>
      <c r="C655" s="68" t="inlineStr">
        <is>
          <t>casticin</t>
        </is>
      </c>
      <c r="D655" s="68" t="inlineStr">
        <is>
          <t>vitex-trifolia</t>
        </is>
      </c>
      <c r="E655" s="68" t="inlineStr">
        <is>
          <t>vitex trifolia</t>
        </is>
      </c>
      <c r="F655" s="68" t="n">
        <v>1</v>
      </c>
      <c r="G655" s="68" t="inlineStr">
        <is>
          <t>multi-target signaling modulation</t>
        </is>
      </c>
      <c r="H655" s="68" t="inlineStr">
        <is>
          <t>inferred_plus_trusted_gov</t>
        </is>
      </c>
    </row>
    <row r="656">
      <c r="A656" s="68" t="inlineStr">
        <is>
          <t>general or unknown targets</t>
        </is>
      </c>
      <c r="B656" s="68" t="inlineStr">
        <is>
          <t>xanthumin</t>
        </is>
      </c>
      <c r="C656" s="68" t="inlineStr">
        <is>
          <t>xanthumin</t>
        </is>
      </c>
      <c r="D656" s="68" t="inlineStr">
        <is>
          <t>xanthium-strumarium</t>
        </is>
      </c>
      <c r="E656" s="68" t="inlineStr">
        <is>
          <t>xanthium strumarium</t>
        </is>
      </c>
      <c r="F656" s="68" t="n">
        <v>1</v>
      </c>
      <c r="G656" s="68" t="inlineStr">
        <is>
          <t>multi-target signaling modulation</t>
        </is>
      </c>
      <c r="H656" s="68" t="inlineStr">
        <is>
          <t>inferred_plus_trusted_gov</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479"/>
  <sheetViews>
    <sheetView workbookViewId="0">
      <selection activeCell="A1" sqref="A1"/>
    </sheetView>
  </sheetViews>
  <sheetFormatPr baseColWidth="8" defaultRowHeight="15"/>
  <cols>
    <col width="28" customWidth="1" min="1" max="1"/>
    <col width="28" customWidth="1" min="2" max="2"/>
  </cols>
  <sheetData>
    <row r="1">
      <c r="A1" s="6" t="inlineStr">
        <is>
          <t>rawPathway</t>
        </is>
      </c>
      <c r="B1" s="6" t="inlineStr">
        <is>
          <t>normalizedPathway</t>
        </is>
      </c>
    </row>
    <row r="2">
      <c r="A2" s="68" t="inlineStr">
        <is>
          <t>berberine</t>
        </is>
      </c>
      <c r="B2" s="68" t="inlineStr">
        <is>
          <t>berberine</t>
        </is>
      </c>
    </row>
    <row r="3">
      <c r="A3" s="68" t="inlineStr">
        <is>
          <t>eugenol</t>
        </is>
      </c>
      <c r="B3" s="68" t="inlineStr">
        <is>
          <t>eugenol</t>
        </is>
      </c>
    </row>
    <row r="4">
      <c r="A4" s="68" t="inlineStr">
        <is>
          <t>carvacrol</t>
        </is>
      </c>
      <c r="B4" s="68" t="inlineStr">
        <is>
          <t>carvacrol</t>
        </is>
      </c>
    </row>
    <row r="5">
      <c r="A5" s="68" t="inlineStr">
        <is>
          <t>citral</t>
        </is>
      </c>
      <c r="B5" s="68" t="inlineStr">
        <is>
          <t>citral</t>
        </is>
      </c>
    </row>
    <row r="6">
      <c r="A6" s="68" t="inlineStr">
        <is>
          <t>menthol</t>
        </is>
      </c>
      <c r="B6" s="68" t="inlineStr">
        <is>
          <t>menthol</t>
        </is>
      </c>
    </row>
    <row r="7">
      <c r="A7" s="68" t="inlineStr">
        <is>
          <t>emodin</t>
        </is>
      </c>
      <c r="B7" s="68" t="inlineStr">
        <is>
          <t>emodin</t>
        </is>
      </c>
    </row>
    <row r="8">
      <c r="A8" s="68" t="inlineStr">
        <is>
          <t>salidroside</t>
        </is>
      </c>
      <c r="B8" s="68" t="inlineStr">
        <is>
          <t>salidroside</t>
        </is>
      </c>
    </row>
    <row r="9">
      <c r="A9" s="68" t="inlineStr">
        <is>
          <t>quercetin</t>
        </is>
      </c>
      <c r="B9" s="68" t="inlineStr">
        <is>
          <t>quercetin</t>
        </is>
      </c>
    </row>
    <row r="10">
      <c r="A10" s="68" t="inlineStr">
        <is>
          <t>resveratrol</t>
        </is>
      </c>
      <c r="B10" s="68" t="inlineStr">
        <is>
          <t>resveratrol</t>
        </is>
      </c>
    </row>
    <row r="11">
      <c r="A11" s="68" t="inlineStr">
        <is>
          <t>melatonin</t>
        </is>
      </c>
      <c r="B11" s="68" t="inlineStr">
        <is>
          <t>melatonin</t>
        </is>
      </c>
    </row>
    <row r="12">
      <c r="A12" s="68" t="inlineStr">
        <is>
          <t>l-theanine</t>
        </is>
      </c>
      <c r="B12" s="68" t="inlineStr">
        <is>
          <t>l-theanine</t>
        </is>
      </c>
    </row>
    <row r="13">
      <c r="A13" s="68" t="inlineStr">
        <is>
          <t>curcumin</t>
        </is>
      </c>
      <c r="B13" s="68" t="inlineStr">
        <is>
          <t>curcumin</t>
        </is>
      </c>
    </row>
    <row r="14">
      <c r="A14" s="68" t="inlineStr">
        <is>
          <t>s-adenosyl-l-methionine</t>
        </is>
      </c>
      <c r="B14" s="68" t="inlineStr">
        <is>
          <t>s-adenosyl-l-methionine</t>
        </is>
      </c>
    </row>
    <row r="15">
      <c r="A15" s="68" t="inlineStr">
        <is>
          <t>omega-3 fatty acids</t>
        </is>
      </c>
      <c r="B15" s="68" t="inlineStr">
        <is>
          <t>omega-3 fatty acids</t>
        </is>
      </c>
    </row>
    <row r="16">
      <c r="A16" s="68" t="inlineStr">
        <is>
          <t>probiotics</t>
        </is>
      </c>
      <c r="B16" s="68" t="inlineStr">
        <is>
          <t>probiotics</t>
        </is>
      </c>
    </row>
    <row r="17">
      <c r="A17" s="68" t="inlineStr">
        <is>
          <t>vitamin d</t>
        </is>
      </c>
      <c r="B17" s="68" t="inlineStr">
        <is>
          <t>vitamin d</t>
        </is>
      </c>
    </row>
    <row r="18">
      <c r="A18" s="68" t="inlineStr">
        <is>
          <t>n-acetylcysteine</t>
        </is>
      </c>
      <c r="B18" s="68" t="inlineStr">
        <is>
          <t>n-acetylcysteine</t>
        </is>
      </c>
    </row>
    <row r="19">
      <c r="A19" s="68" t="inlineStr">
        <is>
          <t>magnesium</t>
        </is>
      </c>
      <c r="B19" s="68" t="inlineStr">
        <is>
          <t>magnesium</t>
        </is>
      </c>
    </row>
    <row r="20">
      <c r="A20" s="68" t="inlineStr">
        <is>
          <t>niacin</t>
        </is>
      </c>
      <c r="B20" s="68" t="inlineStr">
        <is>
          <t>niacin</t>
        </is>
      </c>
    </row>
    <row r="21">
      <c r="A21" s="68" t="inlineStr">
        <is>
          <t>riboflavin</t>
        </is>
      </c>
      <c r="B21" s="68" t="inlineStr">
        <is>
          <t>riboflavin</t>
        </is>
      </c>
    </row>
    <row r="22">
      <c r="A22" s="68" t="inlineStr">
        <is>
          <t>pyridoxine</t>
        </is>
      </c>
      <c r="B22" s="68" t="inlineStr">
        <is>
          <t>pyridoxine</t>
        </is>
      </c>
    </row>
    <row r="23">
      <c r="A23" s="68" t="inlineStr">
        <is>
          <t>selenium</t>
        </is>
      </c>
      <c r="B23" s="68" t="inlineStr">
        <is>
          <t>selenium</t>
        </is>
      </c>
    </row>
    <row r="24">
      <c r="A24" s="68" t="inlineStr">
        <is>
          <t>ashwagandha withanolides</t>
        </is>
      </c>
      <c r="B24" s="68" t="inlineStr">
        <is>
          <t>ashwagandha withanolides</t>
        </is>
      </c>
    </row>
    <row r="25">
      <c r="A25" s="68" t="inlineStr">
        <is>
          <t>rhodiola salidroside rosavin</t>
        </is>
      </c>
      <c r="B25" s="68" t="inlineStr">
        <is>
          <t>rhodiola salidroside rosavin</t>
        </is>
      </c>
    </row>
    <row r="26">
      <c r="A26" s="68" t="inlineStr">
        <is>
          <t>ginkgo biloba ginkgolides</t>
        </is>
      </c>
      <c r="B26" s="68" t="inlineStr">
        <is>
          <t>ginkgo biloba ginkgolides</t>
        </is>
      </c>
    </row>
    <row r="27">
      <c r="A27" s="68" t="inlineStr">
        <is>
          <t>kava kavalactones</t>
        </is>
      </c>
      <c r="B27" s="68" t="inlineStr">
        <is>
          <t>kava kavalactones</t>
        </is>
      </c>
    </row>
    <row r="28">
      <c r="A28" s="68" t="inlineStr">
        <is>
          <t>valerian valerenic acid</t>
        </is>
      </c>
      <c r="B28" s="68" t="inlineStr">
        <is>
          <t>valerian valerenic acid</t>
        </is>
      </c>
    </row>
    <row r="29">
      <c r="A29" s="68" t="inlineStr">
        <is>
          <t>curcuminoids</t>
        </is>
      </c>
      <c r="B29" s="68" t="inlineStr">
        <is>
          <t>curcuminoids</t>
        </is>
      </c>
    </row>
    <row r="30">
      <c r="A30" s="68" t="inlineStr">
        <is>
          <t>aloe-emodin</t>
        </is>
      </c>
      <c r="B30" s="68" t="inlineStr">
        <is>
          <t>aloe-emodin</t>
        </is>
      </c>
    </row>
    <row r="31">
      <c r="A31" s="68" t="inlineStr">
        <is>
          <t>capsaicin</t>
        </is>
      </c>
      <c r="B31" s="68" t="inlineStr">
        <is>
          <t>capsaicin</t>
        </is>
      </c>
    </row>
    <row r="32">
      <c r="A32" s="68" t="inlineStr">
        <is>
          <t>baicalein</t>
        </is>
      </c>
      <c r="B32" s="68" t="inlineStr">
        <is>
          <t>baicalein</t>
        </is>
      </c>
    </row>
    <row r="33">
      <c r="A33" s="68" t="inlineStr">
        <is>
          <t>hesperidin</t>
        </is>
      </c>
      <c r="B33" s="68" t="inlineStr">
        <is>
          <t>hesperidin</t>
        </is>
      </c>
    </row>
    <row r="34">
      <c r="A34" s="68" t="inlineStr">
        <is>
          <t>zinc</t>
        </is>
      </c>
      <c r="B34" s="68" t="inlineStr">
        <is>
          <t>zinc</t>
        </is>
      </c>
    </row>
    <row r="35">
      <c r="A35" s="68" t="inlineStr">
        <is>
          <t>luteolin</t>
        </is>
      </c>
      <c r="B35" s="68" t="inlineStr">
        <is>
          <t>luteolin</t>
        </is>
      </c>
    </row>
    <row r="36">
      <c r="A36" s="68" t="inlineStr">
        <is>
          <t>genistein</t>
        </is>
      </c>
      <c r="B36" s="68" t="inlineStr">
        <is>
          <t>genistein</t>
        </is>
      </c>
    </row>
    <row r="37">
      <c r="A37" s="68" t="inlineStr">
        <is>
          <t>sulforaphane</t>
        </is>
      </c>
      <c r="B37" s="68" t="inlineStr">
        <is>
          <t>sulforaphane</t>
        </is>
      </c>
    </row>
    <row r="38">
      <c r="A38" s="68" t="inlineStr">
        <is>
          <t>piperine</t>
        </is>
      </c>
      <c r="B38" s="68" t="inlineStr">
        <is>
          <t>piperine</t>
        </is>
      </c>
    </row>
    <row r="39">
      <c r="A39" s="68" t="inlineStr">
        <is>
          <t>ellagic acid</t>
        </is>
      </c>
      <c r="B39" s="68" t="inlineStr">
        <is>
          <t>ellagic acid</t>
        </is>
      </c>
    </row>
    <row r="40">
      <c r="A40" s="68" t="inlineStr">
        <is>
          <t>gamma-aminobutyric acid</t>
        </is>
      </c>
      <c r="B40" s="68" t="inlineStr">
        <is>
          <t>gamma-aminobutyric acid</t>
        </is>
      </c>
    </row>
    <row r="41">
      <c r="A41" s="68" t="inlineStr">
        <is>
          <t>taurine</t>
        </is>
      </c>
      <c r="B41" s="68" t="inlineStr">
        <is>
          <t>taurine</t>
        </is>
      </c>
    </row>
    <row r="42">
      <c r="A42" s="68" t="inlineStr">
        <is>
          <t>acetyl-l-carnitine</t>
        </is>
      </c>
      <c r="B42" s="68" t="inlineStr">
        <is>
          <t>acetyl-l-carnitine</t>
        </is>
      </c>
    </row>
    <row r="43">
      <c r="A43" s="68" t="inlineStr">
        <is>
          <t>choline</t>
        </is>
      </c>
      <c r="B43" s="68" t="inlineStr">
        <is>
          <t>choline</t>
        </is>
      </c>
    </row>
    <row r="44">
      <c r="A44" s="68" t="inlineStr">
        <is>
          <t>myo-inositol</t>
        </is>
      </c>
      <c r="B44" s="68" t="inlineStr">
        <is>
          <t>myo-inositol</t>
        </is>
      </c>
    </row>
    <row r="45">
      <c r="A45" s="68" t="inlineStr">
        <is>
          <t>n-acetyl-l-tyrosine</t>
        </is>
      </c>
      <c r="B45" s="68" t="inlineStr">
        <is>
          <t>n-acetyl-l-tyrosine</t>
        </is>
      </c>
    </row>
    <row r="46">
      <c r="A46" s="68" t="inlineStr">
        <is>
          <t>l-phenylalanine</t>
        </is>
      </c>
      <c r="B46" s="68" t="inlineStr">
        <is>
          <t>l-phenylalanine</t>
        </is>
      </c>
    </row>
    <row r="47">
      <c r="A47" s="68" t="inlineStr">
        <is>
          <t>l-tryptophan</t>
        </is>
      </c>
      <c r="B47" s="68" t="inlineStr">
        <is>
          <t>l-tryptophan</t>
        </is>
      </c>
    </row>
    <row r="48">
      <c r="A48" s="68" t="inlineStr">
        <is>
          <t>5-hydroxytryptophan</t>
        </is>
      </c>
      <c r="B48" s="68" t="inlineStr">
        <is>
          <t>5-hydroxytryptophan</t>
        </is>
      </c>
    </row>
    <row r="49">
      <c r="A49" s="68" t="inlineStr">
        <is>
          <t>l-tyrosine</t>
        </is>
      </c>
      <c r="B49" s="68" t="inlineStr">
        <is>
          <t>l-tyrosine</t>
        </is>
      </c>
    </row>
    <row r="50">
      <c r="A50" s="68" t="inlineStr">
        <is>
          <t>citicoline cdp-choline</t>
        </is>
      </c>
      <c r="B50" s="68" t="inlineStr">
        <is>
          <t>citicoline cdp-choline</t>
        </is>
      </c>
    </row>
    <row r="51">
      <c r="A51" s="68" t="inlineStr">
        <is>
          <t>alpha-gpc l-alpha-glycerylphosphorylcholine</t>
        </is>
      </c>
      <c r="B51" s="68" t="inlineStr">
        <is>
          <t>alpha-gpc l-alpha-glycerylphosphorylcholine</t>
        </is>
      </c>
    </row>
    <row r="52">
      <c r="A52" s="68" t="inlineStr">
        <is>
          <t>phosphatidylserine</t>
        </is>
      </c>
      <c r="B52" s="68" t="inlineStr">
        <is>
          <t>phosphatidylserine</t>
        </is>
      </c>
    </row>
    <row r="53">
      <c r="A53" s="68" t="inlineStr">
        <is>
          <t>uridine monophosphate</t>
        </is>
      </c>
      <c r="B53" s="68" t="inlineStr">
        <is>
          <t>uridine monophosphate</t>
        </is>
      </c>
    </row>
    <row r="54">
      <c r="A54" s="68" t="inlineStr">
        <is>
          <t>huperzine a</t>
        </is>
      </c>
      <c r="B54" s="68" t="inlineStr">
        <is>
          <t>huperzine a</t>
        </is>
      </c>
    </row>
    <row r="55">
      <c r="A55" s="68" t="inlineStr">
        <is>
          <t>n-methyltryptamine</t>
        </is>
      </c>
      <c r="B55" s="68" t="inlineStr">
        <is>
          <t>n-methyltryptamine</t>
        </is>
      </c>
    </row>
    <row r="56">
      <c r="A56" s="68" t="inlineStr">
        <is>
          <t>tryptamine</t>
        </is>
      </c>
      <c r="B56" s="68" t="inlineStr">
        <is>
          <t>tryptamine</t>
        </is>
      </c>
    </row>
    <row r="57">
      <c r="A57" s="68" t="inlineStr">
        <is>
          <t>n-dimethyltryptamine</t>
        </is>
      </c>
      <c r="B57" s="68" t="inlineStr">
        <is>
          <t>n-dimethyltryptamine</t>
        </is>
      </c>
    </row>
    <row r="58">
      <c r="A58" s="68" t="inlineStr">
        <is>
          <t>gallic acid</t>
        </is>
      </c>
      <c r="B58" s="68" t="inlineStr">
        <is>
          <t>gallic acid</t>
        </is>
      </c>
    </row>
    <row r="59">
      <c r="A59" s="68" t="inlineStr">
        <is>
          <t>spilanthol</t>
        </is>
      </c>
      <c r="B59" s="68" t="inlineStr">
        <is>
          <t>spilanthol</t>
        </is>
      </c>
    </row>
    <row r="60">
      <c r="A60" s="68" t="inlineStr">
        <is>
          <t>hypaconitine</t>
        </is>
      </c>
      <c r="B60" s="68" t="inlineStr">
        <is>
          <t>hypaconitine</t>
        </is>
      </c>
    </row>
    <row r="61">
      <c r="A61" s="68" t="inlineStr">
        <is>
          <t>mesaconitine</t>
        </is>
      </c>
      <c r="B61" s="68" t="inlineStr">
        <is>
          <t>mesaconitine</t>
        </is>
      </c>
    </row>
    <row r="62">
      <c r="A62" s="68" t="inlineStr">
        <is>
          <t>aconitine</t>
        </is>
      </c>
      <c r="B62" s="68" t="inlineStr">
        <is>
          <t>aconitine</t>
        </is>
      </c>
    </row>
    <row r="63">
      <c r="A63" s="68" t="inlineStr">
        <is>
          <t>beta-asarone low levels</t>
        </is>
      </c>
      <c r="B63" s="68" t="inlineStr">
        <is>
          <t>beta-asarone low levels</t>
        </is>
      </c>
    </row>
    <row r="64">
      <c r="A64" s="68" t="inlineStr">
        <is>
          <t>alpha-asarone</t>
        </is>
      </c>
      <c r="B64" s="68" t="inlineStr">
        <is>
          <t>alpha-asarone</t>
        </is>
      </c>
    </row>
    <row r="65">
      <c r="A65" s="68" t="inlineStr">
        <is>
          <t>beta-asarone</t>
        </is>
      </c>
      <c r="B65" s="68" t="inlineStr">
        <is>
          <t>beta-asarone</t>
        </is>
      </c>
    </row>
    <row r="66">
      <c r="A66" s="68" t="inlineStr">
        <is>
          <t>vasicine</t>
        </is>
      </c>
      <c r="B66" s="68" t="inlineStr">
        <is>
          <t>vasicine</t>
        </is>
      </c>
    </row>
    <row r="67">
      <c r="A67" s="68" t="inlineStr">
        <is>
          <t>vasicinone</t>
        </is>
      </c>
      <c r="B67" s="68" t="inlineStr">
        <is>
          <t>vasicinone</t>
        </is>
      </c>
    </row>
    <row r="68">
      <c r="A68" s="68" t="inlineStr">
        <is>
          <t>skimmianine</t>
        </is>
      </c>
      <c r="B68" s="68" t="inlineStr">
        <is>
          <t>skimmianine</t>
        </is>
      </c>
    </row>
    <row r="69">
      <c r="A69" s="68" t="inlineStr">
        <is>
          <t>aegeline</t>
        </is>
      </c>
      <c r="B69" s="68" t="inlineStr">
        <is>
          <t>aegeline</t>
        </is>
      </c>
    </row>
    <row r="70">
      <c r="A70" s="68" t="inlineStr">
        <is>
          <t>marmelosin</t>
        </is>
      </c>
      <c r="B70" s="68" t="inlineStr">
        <is>
          <t>marmelosin</t>
        </is>
      </c>
    </row>
    <row r="71">
      <c r="A71" s="68" t="inlineStr">
        <is>
          <t>unresolved herb level entry</t>
        </is>
      </c>
      <c r="B71" s="68" t="inlineStr">
        <is>
          <t>unresolved herb level entry</t>
        </is>
      </c>
    </row>
    <row r="72">
      <c r="A72" s="68" t="inlineStr">
        <is>
          <t>aesculin</t>
        </is>
      </c>
      <c r="B72" s="68" t="inlineStr">
        <is>
          <t>aesculin</t>
        </is>
      </c>
    </row>
    <row r="73">
      <c r="A73" s="68" t="inlineStr">
        <is>
          <t>aescin</t>
        </is>
      </c>
      <c r="B73" s="68" t="inlineStr">
        <is>
          <t>aescin</t>
        </is>
      </c>
    </row>
    <row r="74">
      <c r="A74" s="68" t="inlineStr">
        <is>
          <t>fraxin</t>
        </is>
      </c>
      <c r="B74" s="68" t="inlineStr">
        <is>
          <t>fraxin</t>
        </is>
      </c>
    </row>
    <row r="75">
      <c r="A75" s="68" t="inlineStr">
        <is>
          <t>limonene</t>
        </is>
      </c>
      <c r="B75" s="68" t="inlineStr">
        <is>
          <t>limonene</t>
        </is>
      </c>
    </row>
    <row r="76">
      <c r="A76" s="68" t="inlineStr">
        <is>
          <t>anethole</t>
        </is>
      </c>
      <c r="B76" s="68" t="inlineStr">
        <is>
          <t>anethole</t>
        </is>
      </c>
    </row>
    <row r="77">
      <c r="A77" s="68" t="inlineStr">
        <is>
          <t>estragole</t>
        </is>
      </c>
      <c r="B77" s="68" t="inlineStr">
        <is>
          <t>estragole</t>
        </is>
      </c>
    </row>
    <row r="78">
      <c r="A78" s="68" t="inlineStr">
        <is>
          <t>agrimoniin</t>
        </is>
      </c>
      <c r="B78" s="68" t="inlineStr">
        <is>
          <t>agrimoniin</t>
        </is>
      </c>
    </row>
    <row r="79">
      <c r="A79" s="68" t="inlineStr">
        <is>
          <t>alangine</t>
        </is>
      </c>
      <c r="B79" s="68" t="inlineStr">
        <is>
          <t>alangine</t>
        </is>
      </c>
    </row>
    <row r="80">
      <c r="A80" s="68" t="inlineStr">
        <is>
          <t>salicylic acid</t>
        </is>
      </c>
      <c r="B80" s="68" t="inlineStr">
        <is>
          <t>salicylic acid</t>
        </is>
      </c>
    </row>
    <row r="81">
      <c r="A81" s="68" t="inlineStr">
        <is>
          <t>alchorneine</t>
        </is>
      </c>
      <c r="B81" s="68" t="inlineStr">
        <is>
          <t>alchorneine</t>
        </is>
      </c>
    </row>
    <row r="82">
      <c r="A82" s="68" t="inlineStr">
        <is>
          <t>allicin</t>
        </is>
      </c>
      <c r="B82" s="68" t="inlineStr">
        <is>
          <t>allicin</t>
        </is>
      </c>
    </row>
    <row r="83">
      <c r="A83" s="68" t="inlineStr">
        <is>
          <t>ajoene</t>
        </is>
      </c>
      <c r="B83" s="68" t="inlineStr">
        <is>
          <t>ajoene</t>
        </is>
      </c>
    </row>
    <row r="84">
      <c r="A84" s="68" t="inlineStr">
        <is>
          <t>aloin</t>
        </is>
      </c>
      <c r="B84" s="68" t="inlineStr">
        <is>
          <t>aloin</t>
        </is>
      </c>
    </row>
    <row r="85">
      <c r="A85" s="68" t="inlineStr">
        <is>
          <t>pectin</t>
        </is>
      </c>
      <c r="B85" s="68" t="inlineStr">
        <is>
          <t>pectin</t>
        </is>
      </c>
    </row>
    <row r="86">
      <c r="A86" s="68" t="inlineStr">
        <is>
          <t>muscimol</t>
        </is>
      </c>
      <c r="B86" s="68" t="inlineStr">
        <is>
          <t>muscimol</t>
        </is>
      </c>
    </row>
    <row r="87">
      <c r="A87" s="68" t="inlineStr">
        <is>
          <t>ibotenic acid</t>
        </is>
      </c>
      <c r="B87" s="68" t="inlineStr">
        <is>
          <t>ibotenic acid</t>
        </is>
      </c>
    </row>
    <row r="88">
      <c r="A88" s="68" t="inlineStr">
        <is>
          <t>ginsenosides including rb1</t>
        </is>
      </c>
      <c r="B88" s="68" t="inlineStr">
        <is>
          <t>ginsenosides including rb1</t>
        </is>
      </c>
    </row>
    <row r="89">
      <c r="A89" s="68" t="inlineStr">
        <is>
          <t>rg1</t>
        </is>
      </c>
      <c r="B89" s="68" t="inlineStr">
        <is>
          <t>rg1</t>
        </is>
      </c>
    </row>
    <row r="90">
      <c r="A90" s="68" t="inlineStr">
        <is>
          <t>rb2</t>
        </is>
      </c>
      <c r="B90" s="68" t="inlineStr">
        <is>
          <t>rb2</t>
        </is>
      </c>
    </row>
    <row r="91">
      <c r="A91" s="68" t="inlineStr">
        <is>
          <t>roemerine</t>
        </is>
      </c>
      <c r="B91" s="68" t="inlineStr">
        <is>
          <t>roemerine</t>
        </is>
      </c>
    </row>
    <row r="92">
      <c r="A92" s="68" t="inlineStr">
        <is>
          <t>n-methylasimilobine</t>
        </is>
      </c>
      <c r="B92" s="68" t="inlineStr">
        <is>
          <t>n-methylasimilobine</t>
        </is>
      </c>
    </row>
    <row r="93">
      <c r="A93" s="68" t="inlineStr">
        <is>
          <t>armepavine</t>
        </is>
      </c>
      <c r="B93" s="68" t="inlineStr">
        <is>
          <t>armepavine</t>
        </is>
      </c>
    </row>
    <row r="94">
      <c r="A94" s="68" t="inlineStr">
        <is>
          <t>anonaine</t>
        </is>
      </c>
      <c r="B94" s="68" t="inlineStr">
        <is>
          <t>anonaine</t>
        </is>
      </c>
    </row>
    <row r="95">
      <c r="A95" s="68" t="inlineStr">
        <is>
          <t>nuciferine</t>
        </is>
      </c>
      <c r="B95" s="68" t="inlineStr">
        <is>
          <t>nuciferine</t>
        </is>
      </c>
    </row>
    <row r="96">
      <c r="A96" s="68" t="inlineStr">
        <is>
          <t>formononetin</t>
        </is>
      </c>
      <c r="B96" s="68" t="inlineStr">
        <is>
          <t>formononetin</t>
        </is>
      </c>
    </row>
    <row r="97">
      <c r="A97" s="68" t="inlineStr">
        <is>
          <t>apigenin</t>
        </is>
      </c>
      <c r="B97" s="68" t="inlineStr">
        <is>
          <t>apigenin</t>
        </is>
      </c>
    </row>
    <row r="98">
      <c r="A98" s="68" t="inlineStr">
        <is>
          <t>tephrosin</t>
        </is>
      </c>
      <c r="B98" s="68" t="inlineStr">
        <is>
          <t>tephrosin</t>
        </is>
      </c>
    </row>
    <row r="99">
      <c r="A99" s="68" t="inlineStr">
        <is>
          <t>rutin</t>
        </is>
      </c>
      <c r="B99" s="68" t="inlineStr">
        <is>
          <t>rutin</t>
        </is>
      </c>
    </row>
    <row r="100">
      <c r="A100" s="68" t="inlineStr">
        <is>
          <t>vitexin</t>
        </is>
      </c>
      <c r="B100" s="68" t="inlineStr">
        <is>
          <t>vitexin</t>
        </is>
      </c>
    </row>
    <row r="101">
      <c r="A101" s="68" t="inlineStr">
        <is>
          <t>chrysoeriol</t>
        </is>
      </c>
      <c r="B101" s="68" t="inlineStr">
        <is>
          <t>chrysoeriol</t>
        </is>
      </c>
    </row>
    <row r="102">
      <c r="A102" s="68" t="inlineStr">
        <is>
          <t>cardanol</t>
        </is>
      </c>
      <c r="B102" s="68" t="inlineStr">
        <is>
          <t>cardanol</t>
        </is>
      </c>
    </row>
    <row r="103">
      <c r="A103" s="68" t="inlineStr">
        <is>
          <t>cardol</t>
        </is>
      </c>
      <c r="B103" s="68" t="inlineStr">
        <is>
          <t>cardol</t>
        </is>
      </c>
    </row>
    <row r="104">
      <c r="A104" s="68" t="inlineStr">
        <is>
          <t>bufotenin</t>
        </is>
      </c>
      <c r="B104" s="68" t="inlineStr">
        <is>
          <t>bufotenin</t>
        </is>
      </c>
    </row>
    <row r="105">
      <c r="A105" s="68" t="inlineStr">
        <is>
          <t>5-meo-dmt</t>
        </is>
      </c>
      <c r="B105" s="68" t="inlineStr">
        <is>
          <t>5-meo-dmt</t>
        </is>
      </c>
    </row>
    <row r="106">
      <c r="A106" s="68" t="inlineStr">
        <is>
          <t>dmt</t>
        </is>
      </c>
      <c r="B106" s="68" t="inlineStr">
        <is>
          <t>dmt</t>
        </is>
      </c>
    </row>
    <row r="107">
      <c r="A107" s="68" t="inlineStr">
        <is>
          <t>timosaponin aiii</t>
        </is>
      </c>
      <c r="B107" s="68" t="inlineStr">
        <is>
          <t>timosaponin aiii</t>
        </is>
      </c>
    </row>
    <row r="108">
      <c r="A108" s="68" t="inlineStr">
        <is>
          <t>mangiferin</t>
        </is>
      </c>
      <c r="B108" s="68" t="inlineStr">
        <is>
          <t>mangiferin</t>
        </is>
      </c>
    </row>
    <row r="109">
      <c r="A109" s="68" t="inlineStr">
        <is>
          <t>ligustilide</t>
        </is>
      </c>
      <c r="B109" s="68" t="inlineStr">
        <is>
          <t>ligustilide</t>
        </is>
      </c>
    </row>
    <row r="110">
      <c r="A110" s="68" t="inlineStr">
        <is>
          <t>ferulic acid</t>
        </is>
      </c>
      <c r="B110" s="68" t="inlineStr">
        <is>
          <t>ferulic acid</t>
        </is>
      </c>
    </row>
    <row r="111">
      <c r="A111" s="68" t="inlineStr">
        <is>
          <t>anisomelic acid</t>
        </is>
      </c>
      <c r="B111" s="68" t="inlineStr">
        <is>
          <t>anisomelic acid</t>
        </is>
      </c>
    </row>
    <row r="112">
      <c r="A112" s="68" t="inlineStr">
        <is>
          <t>annonacin</t>
        </is>
      </c>
      <c r="B112" s="68" t="inlineStr">
        <is>
          <t>annonacin</t>
        </is>
      </c>
    </row>
    <row r="113">
      <c r="A113" s="68" t="inlineStr">
        <is>
          <t>inulin</t>
        </is>
      </c>
      <c r="B113" s="68" t="inlineStr">
        <is>
          <t>inulin</t>
        </is>
      </c>
    </row>
    <row r="114">
      <c r="A114" s="68" t="inlineStr">
        <is>
          <t>arctiin</t>
        </is>
      </c>
      <c r="B114" s="68" t="inlineStr">
        <is>
          <t>arctiin</t>
        </is>
      </c>
    </row>
    <row r="115">
      <c r="A115" s="68" t="inlineStr">
        <is>
          <t>arecoline</t>
        </is>
      </c>
      <c r="B115" s="68" t="inlineStr">
        <is>
          <t>arecoline</t>
        </is>
      </c>
    </row>
    <row r="116">
      <c r="A116" s="68" t="inlineStr">
        <is>
          <t>arecaidine</t>
        </is>
      </c>
      <c r="B116" s="68" t="inlineStr">
        <is>
          <t>arecaidine</t>
        </is>
      </c>
    </row>
    <row r="117">
      <c r="A117" s="68" t="inlineStr">
        <is>
          <t>guvacoline</t>
        </is>
      </c>
      <c r="B117" s="68" t="inlineStr">
        <is>
          <t>guvacoline</t>
        </is>
      </c>
    </row>
    <row r="118">
      <c r="A118" s="68" t="inlineStr">
        <is>
          <t>guvacine</t>
        </is>
      </c>
      <c r="B118" s="68" t="inlineStr">
        <is>
          <t>guvacine</t>
        </is>
      </c>
    </row>
    <row r="119">
      <c r="A119" s="68" t="inlineStr">
        <is>
          <t>oxyberberine</t>
        </is>
      </c>
      <c r="B119" s="68" t="inlineStr">
        <is>
          <t>oxyberberine</t>
        </is>
      </c>
    </row>
    <row r="120">
      <c r="A120" s="68" t="inlineStr">
        <is>
          <t>columbamine</t>
        </is>
      </c>
      <c r="B120" s="68" t="inlineStr">
        <is>
          <t>columbamine</t>
        </is>
      </c>
    </row>
    <row r="121">
      <c r="A121" s="68" t="inlineStr">
        <is>
          <t>jatrorrhizine</t>
        </is>
      </c>
      <c r="B121" s="68" t="inlineStr">
        <is>
          <t>jatrorrhizine</t>
        </is>
      </c>
    </row>
    <row r="122">
      <c r="A122" s="68" t="inlineStr">
        <is>
          <t>dehydrocorydalmine</t>
        </is>
      </c>
      <c r="B122" s="68" t="inlineStr">
        <is>
          <t>dehydrocorydalmine</t>
        </is>
      </c>
    </row>
    <row r="123">
      <c r="A123" s="68" t="inlineStr">
        <is>
          <t>quercitrin</t>
        </is>
      </c>
      <c r="B123" s="68" t="inlineStr">
        <is>
          <t>quercitrin</t>
        </is>
      </c>
    </row>
    <row r="124">
      <c r="A124" s="68" t="inlineStr">
        <is>
          <t>lsa</t>
        </is>
      </c>
      <c r="B124" s="68" t="inlineStr">
        <is>
          <t>lsa</t>
        </is>
      </c>
    </row>
    <row r="125">
      <c r="A125" s="68" t="inlineStr">
        <is>
          <t>allyl isothiocyanate</t>
        </is>
      </c>
      <c r="B125" s="68" t="inlineStr">
        <is>
          <t>allyl isothiocyanate</t>
        </is>
      </c>
    </row>
    <row r="126">
      <c r="A126" s="68" t="inlineStr">
        <is>
          <t>sinigrin</t>
        </is>
      </c>
      <c r="B126" s="68" t="inlineStr">
        <is>
          <t>sinigrin</t>
        </is>
      </c>
    </row>
    <row r="127">
      <c r="A127" s="68" t="inlineStr">
        <is>
          <t>helenalin</t>
        </is>
      </c>
      <c r="B127" s="68" t="inlineStr">
        <is>
          <t>helenalin</t>
        </is>
      </c>
    </row>
    <row r="128">
      <c r="A128" s="68" t="inlineStr">
        <is>
          <t>dihydrohelenalin</t>
        </is>
      </c>
      <c r="B128" s="68" t="inlineStr">
        <is>
          <t>dihydrohelenalin</t>
        </is>
      </c>
    </row>
    <row r="129">
      <c r="A129" s="68" t="inlineStr">
        <is>
          <t>alpha-thujone</t>
        </is>
      </c>
      <c r="B129" s="68" t="inlineStr">
        <is>
          <t>alpha-thujone</t>
        </is>
      </c>
    </row>
    <row r="130">
      <c r="A130" s="68" t="inlineStr">
        <is>
          <t>absinthin</t>
        </is>
      </c>
      <c r="B130" s="68" t="inlineStr">
        <is>
          <t>absinthin</t>
        </is>
      </c>
    </row>
    <row r="131">
      <c r="A131" s="68" t="inlineStr">
        <is>
          <t>beta-thujone</t>
        </is>
      </c>
      <c r="B131" s="68" t="inlineStr">
        <is>
          <t>beta-thujone</t>
        </is>
      </c>
    </row>
    <row r="132">
      <c r="A132" s="68" t="inlineStr">
        <is>
          <t>artemisinin</t>
        </is>
      </c>
      <c r="B132" s="68" t="inlineStr">
        <is>
          <t>artemisinin</t>
        </is>
      </c>
    </row>
    <row r="133">
      <c r="A133" s="68" t="inlineStr">
        <is>
          <t>8-cineole</t>
        </is>
      </c>
      <c r="B133" s="68" t="inlineStr">
        <is>
          <t>8-cineole</t>
        </is>
      </c>
    </row>
    <row r="134">
      <c r="A134" s="68" t="inlineStr">
        <is>
          <t>camphor</t>
        </is>
      </c>
      <c r="B134" s="68" t="inlineStr">
        <is>
          <t>camphor</t>
        </is>
      </c>
    </row>
    <row r="135">
      <c r="A135" s="68" t="inlineStr">
        <is>
          <t>thujone</t>
        </is>
      </c>
      <c r="B135" s="68" t="inlineStr">
        <is>
          <t>thujone</t>
        </is>
      </c>
    </row>
    <row r="136">
      <c r="A136" s="68" t="inlineStr">
        <is>
          <t>cineole</t>
        </is>
      </c>
      <c r="B136" s="68" t="inlineStr">
        <is>
          <t>cineole</t>
        </is>
      </c>
    </row>
    <row r="137">
      <c r="A137" s="68" t="inlineStr">
        <is>
          <t>asclepiadin</t>
        </is>
      </c>
      <c r="B137" s="68" t="inlineStr">
        <is>
          <t>asclepiadin</t>
        </is>
      </c>
    </row>
    <row r="138">
      <c r="A138" s="68" t="inlineStr">
        <is>
          <t>withanolides withaferin a</t>
        </is>
      </c>
      <c r="B138" s="68" t="inlineStr">
        <is>
          <t>withanolides withaferin a</t>
        </is>
      </c>
    </row>
    <row r="139">
      <c r="A139" s="68" t="inlineStr">
        <is>
          <t>withanolide d</t>
        </is>
      </c>
      <c r="B139" s="68" t="inlineStr">
        <is>
          <t>withanolide d</t>
        </is>
      </c>
    </row>
    <row r="140">
      <c r="A140" s="68" t="inlineStr">
        <is>
          <t>quebrachine</t>
        </is>
      </c>
      <c r="B140" s="68" t="inlineStr">
        <is>
          <t>quebrachine</t>
        </is>
      </c>
    </row>
    <row r="141">
      <c r="A141" s="68" t="inlineStr">
        <is>
          <t>aspidospermine</t>
        </is>
      </c>
      <c r="B141" s="68" t="inlineStr">
        <is>
          <t>aspidospermine</t>
        </is>
      </c>
    </row>
    <row r="142">
      <c r="A142" s="68" t="inlineStr">
        <is>
          <t>astragaloside iv</t>
        </is>
      </c>
      <c r="B142" s="68" t="inlineStr">
        <is>
          <t>astragaloside iv</t>
        </is>
      </c>
    </row>
    <row r="143">
      <c r="A143" s="68" t="inlineStr">
        <is>
          <t>atractylenolide iii</t>
        </is>
      </c>
      <c r="B143" s="68" t="inlineStr">
        <is>
          <t>atractylenolide iii</t>
        </is>
      </c>
    </row>
    <row r="144">
      <c r="A144" s="68" t="inlineStr">
        <is>
          <t>atractylenolide ii</t>
        </is>
      </c>
      <c r="B144" s="68" t="inlineStr">
        <is>
          <t>atractylenolide ii</t>
        </is>
      </c>
    </row>
    <row r="145">
      <c r="A145" s="68" t="inlineStr">
        <is>
          <t>atractylon</t>
        </is>
      </c>
      <c r="B145" s="68" t="inlineStr">
        <is>
          <t>atractylon</t>
        </is>
      </c>
    </row>
    <row r="146">
      <c r="A146" s="68" t="inlineStr">
        <is>
          <t>atractylenolide i</t>
        </is>
      </c>
      <c r="B146" s="68" t="inlineStr">
        <is>
          <t>atractylenolide i</t>
        </is>
      </c>
    </row>
    <row r="147">
      <c r="A147" s="68" t="inlineStr">
        <is>
          <t>hyoscyamine</t>
        </is>
      </c>
      <c r="B147" s="68" t="inlineStr">
        <is>
          <t>hyoscyamine</t>
        </is>
      </c>
    </row>
    <row r="148">
      <c r="A148" s="68" t="inlineStr">
        <is>
          <t>scopolamine</t>
        </is>
      </c>
      <c r="B148" s="68" t="inlineStr">
        <is>
          <t>scopolamine</t>
        </is>
      </c>
    </row>
    <row r="149">
      <c r="A149" s="68" t="inlineStr">
        <is>
          <t>atropine</t>
        </is>
      </c>
      <c r="B149" s="68" t="inlineStr">
        <is>
          <t>atropine</t>
        </is>
      </c>
    </row>
    <row r="150">
      <c r="A150" s="68" t="inlineStr">
        <is>
          <t>nimbin</t>
        </is>
      </c>
      <c r="B150" s="68" t="inlineStr">
        <is>
          <t>nimbin</t>
        </is>
      </c>
    </row>
    <row r="151">
      <c r="A151" s="68" t="inlineStr">
        <is>
          <t>azadirachtin</t>
        </is>
      </c>
      <c r="B151" s="68" t="inlineStr">
        <is>
          <t>azadirachtin</t>
        </is>
      </c>
    </row>
    <row r="152">
      <c r="A152" s="68" t="inlineStr">
        <is>
          <t>harmaline</t>
        </is>
      </c>
      <c r="B152" s="68" t="inlineStr">
        <is>
          <t>harmaline</t>
        </is>
      </c>
    </row>
    <row r="153">
      <c r="A153" s="68" t="inlineStr">
        <is>
          <t>harmine</t>
        </is>
      </c>
      <c r="B153" s="68" t="inlineStr">
        <is>
          <t>harmine</t>
        </is>
      </c>
    </row>
    <row r="154">
      <c r="A154" s="68" t="inlineStr">
        <is>
          <t>tetrahydroharmine</t>
        </is>
      </c>
      <c r="B154" s="68" t="inlineStr">
        <is>
          <t>tetrahydroharmine</t>
        </is>
      </c>
    </row>
    <row r="155">
      <c r="A155" s="68" t="inlineStr">
        <is>
          <t>oxyacanthine</t>
        </is>
      </c>
      <c r="B155" s="68" t="inlineStr">
        <is>
          <t>oxyacanthine</t>
        </is>
      </c>
    </row>
    <row r="156">
      <c r="A156" s="68" t="inlineStr">
        <is>
          <t>berbamine</t>
        </is>
      </c>
      <c r="B156" s="68" t="inlineStr">
        <is>
          <t>berbamine</t>
        </is>
      </c>
    </row>
    <row r="157">
      <c r="A157" s="68" t="inlineStr">
        <is>
          <t>apomorphine</t>
        </is>
      </c>
      <c r="B157" s="68" t="inlineStr">
        <is>
          <t>apomorphine</t>
        </is>
      </c>
    </row>
    <row r="158">
      <c r="A158" s="68" t="inlineStr">
        <is>
          <t>punarnavine</t>
        </is>
      </c>
      <c r="B158" s="68" t="inlineStr">
        <is>
          <t>punarnavine</t>
        </is>
      </c>
    </row>
    <row r="159">
      <c r="A159" s="68" t="inlineStr">
        <is>
          <t>pinostrobin</t>
        </is>
      </c>
      <c r="B159" s="68" t="inlineStr">
        <is>
          <t>pinostrobin</t>
        </is>
      </c>
    </row>
    <row r="160">
      <c r="A160" s="68" t="inlineStr">
        <is>
          <t>pinocembrin</t>
        </is>
      </c>
      <c r="B160" s="68" t="inlineStr">
        <is>
          <t>pinocembrin</t>
        </is>
      </c>
    </row>
    <row r="161">
      <c r="A161" s="68" t="inlineStr">
        <is>
          <t>panduratin a</t>
        </is>
      </c>
      <c r="B161" s="68" t="inlineStr">
        <is>
          <t>panduratin a</t>
        </is>
      </c>
    </row>
    <row r="162">
      <c r="A162" s="68" t="inlineStr">
        <is>
          <t>buphanidrine</t>
        </is>
      </c>
      <c r="B162" s="68" t="inlineStr">
        <is>
          <t>buphanidrine</t>
        </is>
      </c>
    </row>
    <row r="163">
      <c r="A163" s="68" t="inlineStr">
        <is>
          <t>lycorine</t>
        </is>
      </c>
      <c r="B163" s="68" t="inlineStr">
        <is>
          <t>lycorine</t>
        </is>
      </c>
    </row>
    <row r="164">
      <c r="A164" s="68" t="inlineStr">
        <is>
          <t>gamma-linolenic acid</t>
        </is>
      </c>
      <c r="B164" s="68" t="inlineStr">
        <is>
          <t>gamma-linolenic acid</t>
        </is>
      </c>
    </row>
    <row r="165">
      <c r="A165" s="68" t="inlineStr">
        <is>
          <t>beta-boswellic acid</t>
        </is>
      </c>
      <c r="B165" s="68" t="inlineStr">
        <is>
          <t>beta-boswellic acid</t>
        </is>
      </c>
    </row>
    <row r="166">
      <c r="A166" s="68" t="inlineStr">
        <is>
          <t>akba</t>
        </is>
      </c>
      <c r="B166" s="68" t="inlineStr">
        <is>
          <t>akba</t>
        </is>
      </c>
    </row>
    <row r="167">
      <c r="A167" s="68" t="inlineStr">
        <is>
          <t>brunfelsamidine</t>
        </is>
      </c>
      <c r="B167" s="68" t="inlineStr">
        <is>
          <t>brunfelsamidine</t>
        </is>
      </c>
    </row>
    <row r="168">
      <c r="A168" s="68" t="inlineStr">
        <is>
          <t>bryonin</t>
        </is>
      </c>
      <c r="B168" s="68" t="inlineStr">
        <is>
          <t>bryonin</t>
        </is>
      </c>
    </row>
    <row r="169">
      <c r="A169" s="68" t="inlineStr">
        <is>
          <t>alpha-terpineol</t>
        </is>
      </c>
      <c r="B169" s="68" t="inlineStr">
        <is>
          <t>alpha-terpineol</t>
        </is>
      </c>
    </row>
    <row r="170">
      <c r="A170" s="68" t="inlineStr">
        <is>
          <t>carvone</t>
        </is>
      </c>
      <c r="B170" s="68" t="inlineStr">
        <is>
          <t>carvone</t>
        </is>
      </c>
    </row>
    <row r="171">
      <c r="A171" s="68" t="inlineStr">
        <is>
          <t>bonducin</t>
        </is>
      </c>
      <c r="B171" s="68" t="inlineStr">
        <is>
          <t>bonducin</t>
        </is>
      </c>
    </row>
    <row r="172">
      <c r="A172" s="68" t="inlineStr">
        <is>
          <t>uscharin</t>
        </is>
      </c>
      <c r="B172" s="68" t="inlineStr">
        <is>
          <t>uscharin</t>
        </is>
      </c>
    </row>
    <row r="173">
      <c r="A173" s="68" t="inlineStr">
        <is>
          <t>calotropin</t>
        </is>
      </c>
      <c r="B173" s="68" t="inlineStr">
        <is>
          <t>calotropin</t>
        </is>
      </c>
    </row>
    <row r="174">
      <c r="A174" s="68" t="inlineStr">
        <is>
          <t>theanine</t>
        </is>
      </c>
      <c r="B174" s="68" t="inlineStr">
        <is>
          <t>theanine</t>
        </is>
      </c>
    </row>
    <row r="175">
      <c r="A175" s="68" t="inlineStr">
        <is>
          <t>caffeine</t>
        </is>
      </c>
      <c r="B175" s="68" t="inlineStr">
        <is>
          <t>caffeine</t>
        </is>
      </c>
    </row>
    <row r="176">
      <c r="A176" s="68" t="inlineStr">
        <is>
          <t>catechins</t>
        </is>
      </c>
      <c r="B176" s="68" t="inlineStr">
        <is>
          <t>catechins</t>
        </is>
      </c>
    </row>
    <row r="177">
      <c r="A177" s="68" t="inlineStr">
        <is>
          <t>cbd</t>
        </is>
      </c>
      <c r="B177" s="68" t="inlineStr">
        <is>
          <t>cbd</t>
        </is>
      </c>
    </row>
    <row r="178">
      <c r="A178" s="68" t="inlineStr">
        <is>
          <t>thc</t>
        </is>
      </c>
      <c r="B178" s="68" t="inlineStr">
        <is>
          <t>thc</t>
        </is>
      </c>
    </row>
    <row r="179">
      <c r="A179" s="68" t="inlineStr">
        <is>
          <t>pinene</t>
        </is>
      </c>
      <c r="B179" s="68" t="inlineStr">
        <is>
          <t>pinene</t>
        </is>
      </c>
    </row>
    <row r="180">
      <c r="A180" s="68" t="inlineStr">
        <is>
          <t>capsorubin</t>
        </is>
      </c>
      <c r="B180" s="68" t="inlineStr">
        <is>
          <t>capsorubin</t>
        </is>
      </c>
    </row>
    <row r="181">
      <c r="A181" s="68" t="inlineStr">
        <is>
          <t>dihydrocapsaicin</t>
        </is>
      </c>
      <c r="B181" s="68" t="inlineStr">
        <is>
          <t>dihydrocapsaicin</t>
        </is>
      </c>
    </row>
    <row r="182">
      <c r="A182" s="68" t="inlineStr">
        <is>
          <t>capsanthin</t>
        </is>
      </c>
      <c r="B182" s="68" t="inlineStr">
        <is>
          <t>capsanthin</t>
        </is>
      </c>
    </row>
    <row r="183">
      <c r="A183" s="68" t="inlineStr">
        <is>
          <t>nordihydrocapsaicin</t>
        </is>
      </c>
      <c r="B183" s="68" t="inlineStr">
        <is>
          <t>nordihydrocapsaicin</t>
        </is>
      </c>
    </row>
    <row r="184">
      <c r="A184" s="68" t="inlineStr">
        <is>
          <t>carpaine</t>
        </is>
      </c>
      <c r="B184" s="68" t="inlineStr">
        <is>
          <t>carpaine</t>
        </is>
      </c>
    </row>
    <row r="185">
      <c r="A185" s="68" t="inlineStr">
        <is>
          <t>papain</t>
        </is>
      </c>
      <c r="B185" s="68" t="inlineStr">
        <is>
          <t>papain</t>
        </is>
      </c>
    </row>
    <row r="186">
      <c r="A186" s="68" t="inlineStr">
        <is>
          <t>benzyl isothiocyanate</t>
        </is>
      </c>
      <c r="B186" s="68" t="inlineStr">
        <is>
          <t>benzyl isothiocyanate</t>
        </is>
      </c>
    </row>
    <row r="187">
      <c r="A187" s="68" t="inlineStr">
        <is>
          <t>chymopapain</t>
        </is>
      </c>
      <c r="B187" s="68" t="inlineStr">
        <is>
          <t>chymopapain</t>
        </is>
      </c>
    </row>
    <row r="188">
      <c r="A188" s="68" t="inlineStr">
        <is>
          <t>gelsemine</t>
        </is>
      </c>
      <c r="B188" s="68" t="inlineStr">
        <is>
          <t>gelsemine</t>
        </is>
      </c>
    </row>
    <row r="189">
      <c r="A189" s="68" t="inlineStr">
        <is>
          <t>gelseminine</t>
        </is>
      </c>
      <c r="B189" s="68" t="inlineStr">
        <is>
          <t>gelseminine</t>
        </is>
      </c>
    </row>
    <row r="190">
      <c r="A190" s="68" t="inlineStr">
        <is>
          <t>gelsemicine</t>
        </is>
      </c>
      <c r="B190" s="68" t="inlineStr">
        <is>
          <t>gelsemicine</t>
        </is>
      </c>
    </row>
    <row r="191">
      <c r="A191" s="68" t="inlineStr">
        <is>
          <t>sempervirine</t>
        </is>
      </c>
      <c r="B191" s="68" t="inlineStr">
        <is>
          <t>sempervirine</t>
        </is>
      </c>
    </row>
    <row r="192">
      <c r="A192" s="68" t="inlineStr">
        <is>
          <t>gelseverine</t>
        </is>
      </c>
      <c r="B192" s="68" t="inlineStr">
        <is>
          <t>gelseverine</t>
        </is>
      </c>
    </row>
    <row r="193">
      <c r="A193" s="68" t="inlineStr">
        <is>
          <t>gelsedine</t>
        </is>
      </c>
      <c r="B193" s="68" t="inlineStr">
        <is>
          <t>gelsedine</t>
        </is>
      </c>
    </row>
    <row r="194">
      <c r="A194" s="68" t="inlineStr">
        <is>
          <t>imperatorin</t>
        </is>
      </c>
      <c r="B194" s="68" t="inlineStr">
        <is>
          <t>imperatorin</t>
        </is>
      </c>
    </row>
    <row r="195">
      <c r="A195" s="68" t="inlineStr">
        <is>
          <t>casimiroedine</t>
        </is>
      </c>
      <c r="B195" s="68" t="inlineStr">
        <is>
          <t>casimiroedine</t>
        </is>
      </c>
    </row>
    <row r="196">
      <c r="A196" s="68" t="inlineStr">
        <is>
          <t>esculetin</t>
        </is>
      </c>
      <c r="B196" s="68" t="inlineStr">
        <is>
          <t>esculetin</t>
        </is>
      </c>
    </row>
    <row r="197">
      <c r="A197" s="68" t="inlineStr">
        <is>
          <t>umbelliferone</t>
        </is>
      </c>
      <c r="B197" s="68" t="inlineStr">
        <is>
          <t>umbelliferone</t>
        </is>
      </c>
    </row>
    <row r="198">
      <c r="A198" s="68" t="inlineStr">
        <is>
          <t>n-dimethylhistamine</t>
        </is>
      </c>
      <c r="B198" s="68" t="inlineStr">
        <is>
          <t>n-dimethylhistamine</t>
        </is>
      </c>
    </row>
    <row r="199">
      <c r="A199" s="68" t="inlineStr">
        <is>
          <t>xanthotoxol</t>
        </is>
      </c>
      <c r="B199" s="68" t="inlineStr">
        <is>
          <t>xanthotoxol</t>
        </is>
      </c>
    </row>
    <row r="200">
      <c r="A200" s="68" t="inlineStr">
        <is>
          <t>n-monomethylhistamine</t>
        </is>
      </c>
      <c r="B200" s="68" t="inlineStr">
        <is>
          <t>n-monomethylhistamine</t>
        </is>
      </c>
    </row>
    <row r="201">
      <c r="A201" s="68" t="inlineStr">
        <is>
          <t>chrysophanol</t>
        </is>
      </c>
      <c r="B201" s="68" t="inlineStr">
        <is>
          <t>chrysophanol</t>
        </is>
      </c>
    </row>
    <row r="202">
      <c r="A202" s="68" t="inlineStr">
        <is>
          <t>cathinone</t>
        </is>
      </c>
      <c r="B202" s="68" t="inlineStr">
        <is>
          <t>cathinone</t>
        </is>
      </c>
    </row>
    <row r="203">
      <c r="A203" s="68" t="inlineStr">
        <is>
          <t>norephedrine</t>
        </is>
      </c>
      <c r="B203" s="68" t="inlineStr">
        <is>
          <t>norephedrine</t>
        </is>
      </c>
    </row>
    <row r="204">
      <c r="A204" s="68" t="inlineStr">
        <is>
          <t>cathine</t>
        </is>
      </c>
      <c r="B204" s="68" t="inlineStr">
        <is>
          <t>cathine</t>
        </is>
      </c>
    </row>
    <row r="205">
      <c r="A205" s="68" t="inlineStr">
        <is>
          <t>beta-caryophyllene</t>
        </is>
      </c>
      <c r="B205" s="68" t="inlineStr">
        <is>
          <t>beta-caryophyllene</t>
        </is>
      </c>
    </row>
    <row r="206">
      <c r="A206" s="68" t="inlineStr">
        <is>
          <t>rosmarinic acid</t>
        </is>
      </c>
      <c r="B206" s="68" t="inlineStr">
        <is>
          <t>rosmarinic acid</t>
        </is>
      </c>
    </row>
    <row r="207">
      <c r="A207" s="68" t="inlineStr">
        <is>
          <t>cannabidiol</t>
        </is>
      </c>
      <c r="B207" s="68" t="inlineStr">
        <is>
          <t>cannabidiol</t>
        </is>
      </c>
    </row>
    <row r="208">
      <c r="A208" s="68" t="inlineStr">
        <is>
          <t>chlorogenic acid</t>
        </is>
      </c>
      <c r="B208" s="68" t="inlineStr">
        <is>
          <t>chlorogenic acid</t>
        </is>
      </c>
    </row>
    <row r="209">
      <c r="A209" s="68" t="inlineStr">
        <is>
          <t>beta-amyrin</t>
        </is>
      </c>
      <c r="B209" s="68" t="inlineStr">
        <is>
          <t>beta-amyrin</t>
        </is>
      </c>
    </row>
    <row r="210">
      <c r="A210" s="68" t="inlineStr">
        <is>
          <t>celastrine</t>
        </is>
      </c>
      <c r="B210" s="68" t="inlineStr">
        <is>
          <t>celastrine</t>
        </is>
      </c>
    </row>
    <row r="211">
      <c r="A211" s="68" t="inlineStr">
        <is>
          <t>lupeol</t>
        </is>
      </c>
      <c r="B211" s="68" t="inlineStr">
        <is>
          <t>lupeol</t>
        </is>
      </c>
    </row>
    <row r="212">
      <c r="A212" s="68" t="inlineStr">
        <is>
          <t>celapanin</t>
        </is>
      </c>
      <c r="B212" s="68" t="inlineStr">
        <is>
          <t>celapanin</t>
        </is>
      </c>
    </row>
    <row r="213">
      <c r="A213" s="68" t="inlineStr">
        <is>
          <t>celapagin</t>
        </is>
      </c>
      <c r="B213" s="68" t="inlineStr">
        <is>
          <t>celapagin</t>
        </is>
      </c>
    </row>
    <row r="214">
      <c r="A214" s="68" t="inlineStr">
        <is>
          <t>paniculatin</t>
        </is>
      </c>
      <c r="B214" s="68" t="inlineStr">
        <is>
          <t>paniculatin</t>
        </is>
      </c>
    </row>
    <row r="215">
      <c r="A215" s="68" t="inlineStr">
        <is>
          <t>pristimerin</t>
        </is>
      </c>
      <c r="B215" s="68" t="inlineStr">
        <is>
          <t>pristimerin</t>
        </is>
      </c>
    </row>
    <row r="216">
      <c r="A216" s="68" t="inlineStr">
        <is>
          <t>gentiopicroside</t>
        </is>
      </c>
      <c r="B216" s="68" t="inlineStr">
        <is>
          <t>gentiopicroside</t>
        </is>
      </c>
    </row>
    <row r="217">
      <c r="A217" s="68" t="inlineStr">
        <is>
          <t>swertiamarin</t>
        </is>
      </c>
      <c r="B217" s="68" t="inlineStr">
        <is>
          <t>swertiamarin</t>
        </is>
      </c>
    </row>
    <row r="218">
      <c r="A218" s="68" t="inlineStr">
        <is>
          <t>madecassoside</t>
        </is>
      </c>
      <c r="B218" s="68" t="inlineStr">
        <is>
          <t>madecassoside</t>
        </is>
      </c>
    </row>
    <row r="219">
      <c r="A219" s="68" t="inlineStr">
        <is>
          <t>asiatic acid</t>
        </is>
      </c>
      <c r="B219" s="68" t="inlineStr">
        <is>
          <t>asiatic acid</t>
        </is>
      </c>
    </row>
    <row r="220">
      <c r="A220" s="68" t="inlineStr">
        <is>
          <t>asiaticoside</t>
        </is>
      </c>
      <c r="B220" s="68" t="inlineStr">
        <is>
          <t>asiaticoside</t>
        </is>
      </c>
    </row>
    <row r="221">
      <c r="A221" s="68" t="inlineStr">
        <is>
          <t>emetine</t>
        </is>
      </c>
      <c r="B221" s="68" t="inlineStr">
        <is>
          <t>emetine</t>
        </is>
      </c>
    </row>
    <row r="222">
      <c r="A222" s="68" t="inlineStr">
        <is>
          <t>cephaeline</t>
        </is>
      </c>
      <c r="B222" s="68" t="inlineStr">
        <is>
          <t>cephaeline</t>
        </is>
      </c>
    </row>
    <row r="223">
      <c r="A223" s="68" t="inlineStr">
        <is>
          <t>inotodiol</t>
        </is>
      </c>
      <c r="B223" s="68" t="inlineStr">
        <is>
          <t>inotodiol</t>
        </is>
      </c>
    </row>
    <row r="224">
      <c r="A224" s="68" t="inlineStr">
        <is>
          <t>betulinic acid</t>
        </is>
      </c>
      <c r="B224" s="68" t="inlineStr">
        <is>
          <t>betulinic acid</t>
        </is>
      </c>
    </row>
    <row r="225">
      <c r="A225" s="68" t="inlineStr">
        <is>
          <t>alpha-bisabolol</t>
        </is>
      </c>
      <c r="B225" s="68" t="inlineStr">
        <is>
          <t>alpha-bisabolol</t>
        </is>
      </c>
    </row>
    <row r="226">
      <c r="A226" s="68" t="inlineStr">
        <is>
          <t>chamazulene</t>
        </is>
      </c>
      <c r="B226" s="68" t="inlineStr">
        <is>
          <t>chamazulene</t>
        </is>
      </c>
    </row>
    <row r="227">
      <c r="A227" s="68" t="inlineStr">
        <is>
          <t>chelidonine</t>
        </is>
      </c>
      <c r="B227" s="68" t="inlineStr">
        <is>
          <t>chelidonine</t>
        </is>
      </c>
    </row>
    <row r="228">
      <c r="A228" s="68" t="inlineStr">
        <is>
          <t>methyl salicylate</t>
        </is>
      </c>
      <c r="B228" s="68" t="inlineStr">
        <is>
          <t>methyl salicylate</t>
        </is>
      </c>
    </row>
    <row r="229">
      <c r="A229" s="68" t="inlineStr">
        <is>
          <t>arbutin</t>
        </is>
      </c>
      <c r="B229" s="68" t="inlineStr">
        <is>
          <t>arbutin</t>
        </is>
      </c>
    </row>
    <row r="230">
      <c r="A230" s="68" t="inlineStr">
        <is>
          <t>cinnamaldehyde</t>
        </is>
      </c>
      <c r="B230" s="68" t="inlineStr">
        <is>
          <t>cinnamaldehyde</t>
        </is>
      </c>
    </row>
    <row r="231">
      <c r="A231" s="68" t="inlineStr">
        <is>
          <t>synephrine</t>
        </is>
      </c>
      <c r="B231" s="68" t="inlineStr">
        <is>
          <t>synephrine</t>
        </is>
      </c>
    </row>
    <row r="232">
      <c r="A232" s="68" t="inlineStr">
        <is>
          <t>citric acid</t>
        </is>
      </c>
      <c r="B232" s="68" t="inlineStr">
        <is>
          <t>citric acid</t>
        </is>
      </c>
    </row>
    <row r="233">
      <c r="A233" s="68" t="inlineStr">
        <is>
          <t>protoanemonin</t>
        </is>
      </c>
      <c r="B233" s="68" t="inlineStr">
        <is>
          <t>protoanemonin</t>
        </is>
      </c>
    </row>
    <row r="234">
      <c r="A234" s="68" t="inlineStr">
        <is>
          <t>osthole</t>
        </is>
      </c>
      <c r="B234" s="68" t="inlineStr">
        <is>
          <t>osthole</t>
        </is>
      </c>
    </row>
    <row r="235">
      <c r="A235" s="68" t="inlineStr">
        <is>
          <t>cis-cinnamoylcocaine</t>
        </is>
      </c>
      <c r="B235" s="68" t="inlineStr">
        <is>
          <t>cis-cinnamoylcocaine</t>
        </is>
      </c>
    </row>
    <row r="236">
      <c r="A236" s="68" t="inlineStr">
        <is>
          <t>tropacocaine</t>
        </is>
      </c>
      <c r="B236" s="68" t="inlineStr">
        <is>
          <t>tropacocaine</t>
        </is>
      </c>
    </row>
    <row r="237">
      <c r="A237" s="68" t="inlineStr">
        <is>
          <t>cuscohygrine</t>
        </is>
      </c>
      <c r="B237" s="68" t="inlineStr">
        <is>
          <t>cuscohygrine</t>
        </is>
      </c>
    </row>
    <row r="238">
      <c r="A238" s="68" t="inlineStr">
        <is>
          <t>cocaine</t>
        </is>
      </c>
      <c r="B238" s="68" t="inlineStr">
        <is>
          <t>cocaine</t>
        </is>
      </c>
    </row>
    <row r="239">
      <c r="A239" s="68" t="inlineStr">
        <is>
          <t>trans-cinnamoylcocaine</t>
        </is>
      </c>
      <c r="B239" s="68" t="inlineStr">
        <is>
          <t>trans-cinnamoylcocaine</t>
        </is>
      </c>
    </row>
    <row r="240">
      <c r="A240" s="68" t="inlineStr">
        <is>
          <t>trigonelline</t>
        </is>
      </c>
      <c r="B240" s="68" t="inlineStr">
        <is>
          <t>trigonelline</t>
        </is>
      </c>
    </row>
    <row r="241">
      <c r="A241" s="68" t="inlineStr">
        <is>
          <t>cafestol</t>
        </is>
      </c>
      <c r="B241" s="68" t="inlineStr">
        <is>
          <t>cafestol</t>
        </is>
      </c>
    </row>
    <row r="242">
      <c r="A242" s="68" t="inlineStr">
        <is>
          <t>kahweol</t>
        </is>
      </c>
      <c r="B242" s="68" t="inlineStr">
        <is>
          <t>kahweol</t>
        </is>
      </c>
    </row>
    <row r="243">
      <c r="A243" s="68" t="inlineStr">
        <is>
          <t>coniine</t>
        </is>
      </c>
      <c r="B243" s="68" t="inlineStr">
        <is>
          <t>coniine</t>
        </is>
      </c>
    </row>
    <row r="244">
      <c r="A244" s="68" t="inlineStr">
        <is>
          <t>conhydrine</t>
        </is>
      </c>
      <c r="B244" s="68" t="inlineStr">
        <is>
          <t>conhydrine</t>
        </is>
      </c>
    </row>
    <row r="245">
      <c r="A245" s="68" t="inlineStr">
        <is>
          <t>convallatoxin</t>
        </is>
      </c>
      <c r="B245" s="68" t="inlineStr">
        <is>
          <t>convallatoxin</t>
        </is>
      </c>
    </row>
    <row r="246">
      <c r="A246" s="68" t="inlineStr">
        <is>
          <t>convalloside cardiac glycosides</t>
        </is>
      </c>
      <c r="B246" s="68" t="inlineStr">
        <is>
          <t>convalloside cardiac glycosides</t>
        </is>
      </c>
    </row>
    <row r="247">
      <c r="A247" s="68" t="inlineStr">
        <is>
          <t>copalic acid</t>
        </is>
      </c>
      <c r="B247" s="68" t="inlineStr">
        <is>
          <t>copalic acid</t>
        </is>
      </c>
    </row>
    <row r="248">
      <c r="A248" s="68" t="inlineStr">
        <is>
          <t>palmatine</t>
        </is>
      </c>
      <c r="B248" s="68" t="inlineStr">
        <is>
          <t>palmatine</t>
        </is>
      </c>
    </row>
    <row r="249">
      <c r="A249" s="68" t="inlineStr">
        <is>
          <t>coptisine</t>
        </is>
      </c>
      <c r="B249" s="68" t="inlineStr">
        <is>
          <t>coptisine</t>
        </is>
      </c>
    </row>
    <row r="250">
      <c r="A250" s="68" t="inlineStr">
        <is>
          <t>adenosine</t>
        </is>
      </c>
      <c r="B250" s="68" t="inlineStr">
        <is>
          <t>adenosine</t>
        </is>
      </c>
    </row>
    <row r="251">
      <c r="A251" s="68" t="inlineStr">
        <is>
          <t>cordycepin</t>
        </is>
      </c>
      <c r="B251" s="68" t="inlineStr">
        <is>
          <t>cordycepin</t>
        </is>
      </c>
    </row>
    <row r="252">
      <c r="A252" s="68" t="inlineStr">
        <is>
          <t>morroniside</t>
        </is>
      </c>
      <c r="B252" s="68" t="inlineStr">
        <is>
          <t>morroniside</t>
        </is>
      </c>
    </row>
    <row r="253">
      <c r="A253" s="68" t="inlineStr">
        <is>
          <t>loganin</t>
        </is>
      </c>
      <c r="B253" s="68" t="inlineStr">
        <is>
          <t>loganin</t>
        </is>
      </c>
    </row>
    <row r="254">
      <c r="A254" s="68" t="inlineStr">
        <is>
          <t>bulbocapnine</t>
        </is>
      </c>
      <c r="B254" s="68" t="inlineStr">
        <is>
          <t>bulbocapnine</t>
        </is>
      </c>
    </row>
    <row r="255">
      <c r="A255" s="68" t="inlineStr">
        <is>
          <t>protopine</t>
        </is>
      </c>
      <c r="B255" s="68" t="inlineStr">
        <is>
          <t>protopine</t>
        </is>
      </c>
    </row>
    <row r="256">
      <c r="A256" s="68" t="inlineStr">
        <is>
          <t>corydaline</t>
        </is>
      </c>
      <c r="B256" s="68" t="inlineStr">
        <is>
          <t>corydaline</t>
        </is>
      </c>
    </row>
    <row r="257">
      <c r="A257" s="68" t="inlineStr">
        <is>
          <t>isocorypalmine</t>
        </is>
      </c>
      <c r="B257" s="68" t="inlineStr">
        <is>
          <t>isocorypalmine</t>
        </is>
      </c>
    </row>
    <row r="258">
      <c r="A258" s="68" t="inlineStr">
        <is>
          <t>dehydrocorybulbine</t>
        </is>
      </c>
      <c r="B258" s="68" t="inlineStr">
        <is>
          <t>dehydrocorybulbine</t>
        </is>
      </c>
    </row>
    <row r="259">
      <c r="A259" s="68" t="inlineStr">
        <is>
          <t>tetrahydropalmatine</t>
        </is>
      </c>
      <c r="B259" s="68" t="inlineStr">
        <is>
          <t>tetrahydropalmatine</t>
        </is>
      </c>
    </row>
    <row r="260">
      <c r="A260" s="68" t="inlineStr">
        <is>
          <t>picrocrocin</t>
        </is>
      </c>
      <c r="B260" s="68" t="inlineStr">
        <is>
          <t>picrocrocin</t>
        </is>
      </c>
    </row>
    <row r="261">
      <c r="A261" s="68" t="inlineStr">
        <is>
          <t>crocin</t>
        </is>
      </c>
      <c r="B261" s="68" t="inlineStr">
        <is>
          <t>crocin</t>
        </is>
      </c>
    </row>
    <row r="262">
      <c r="A262" s="68" t="inlineStr">
        <is>
          <t>safranal</t>
        </is>
      </c>
      <c r="B262" s="68" t="inlineStr">
        <is>
          <t>safranal</t>
        </is>
      </c>
    </row>
    <row r="263">
      <c r="A263" s="68" t="inlineStr">
        <is>
          <t>crocetin</t>
        </is>
      </c>
      <c r="B263" s="68" t="inlineStr">
        <is>
          <t>crocetin</t>
        </is>
      </c>
    </row>
    <row r="264">
      <c r="A264" s="68" t="inlineStr">
        <is>
          <t>taspine</t>
        </is>
      </c>
      <c r="B264" s="68" t="inlineStr">
        <is>
          <t>taspine</t>
        </is>
      </c>
    </row>
    <row r="265">
      <c r="A265" s="68" t="inlineStr">
        <is>
          <t>turmerone</t>
        </is>
      </c>
      <c r="B265" s="68" t="inlineStr">
        <is>
          <t>turmerone</t>
        </is>
      </c>
    </row>
    <row r="266">
      <c r="A266" s="68" t="inlineStr">
        <is>
          <t>geraniol</t>
        </is>
      </c>
      <c r="B266" s="68" t="inlineStr">
        <is>
          <t>geraniol</t>
        </is>
      </c>
    </row>
    <row r="267">
      <c r="A267" s="68" t="inlineStr">
        <is>
          <t>cynarin</t>
        </is>
      </c>
      <c r="B267" s="68" t="inlineStr">
        <is>
          <t>cynarin</t>
        </is>
      </c>
    </row>
    <row r="268">
      <c r="A268" s="68" t="inlineStr">
        <is>
          <t>cyperene</t>
        </is>
      </c>
      <c r="B268" s="68" t="inlineStr">
        <is>
          <t>cyperene</t>
        </is>
      </c>
    </row>
    <row r="269">
      <c r="A269" s="68" t="inlineStr">
        <is>
          <t>dendrobine</t>
        </is>
      </c>
      <c r="B269" s="68" t="inlineStr">
        <is>
          <t>dendrobine</t>
        </is>
      </c>
    </row>
    <row r="270">
      <c r="A270" s="68" t="inlineStr">
        <is>
          <t>isofebrifugine</t>
        </is>
      </c>
      <c r="B270" s="68" t="inlineStr">
        <is>
          <t>isofebrifugine</t>
        </is>
      </c>
    </row>
    <row r="271">
      <c r="A271" s="68" t="inlineStr">
        <is>
          <t>febrifugine</t>
        </is>
      </c>
      <c r="B271" s="68" t="inlineStr">
        <is>
          <t>febrifugine</t>
        </is>
      </c>
    </row>
    <row r="272">
      <c r="A272" s="68" t="inlineStr">
        <is>
          <t>neral</t>
        </is>
      </c>
      <c r="B272" s="68" t="inlineStr">
        <is>
          <t>neral</t>
        </is>
      </c>
    </row>
    <row r="273">
      <c r="A273" s="68" t="inlineStr">
        <is>
          <t>geranial</t>
        </is>
      </c>
      <c r="B273" s="68" t="inlineStr">
        <is>
          <t>geranial</t>
        </is>
      </c>
    </row>
    <row r="274">
      <c r="A274" s="68" t="inlineStr">
        <is>
          <t>ecliptine</t>
        </is>
      </c>
      <c r="B274" s="68" t="inlineStr">
        <is>
          <t>ecliptine</t>
        </is>
      </c>
    </row>
    <row r="275">
      <c r="A275" s="68" t="inlineStr">
        <is>
          <t>lycopene</t>
        </is>
      </c>
      <c r="B275" s="68" t="inlineStr">
        <is>
          <t>lycopene</t>
        </is>
      </c>
    </row>
    <row r="276">
      <c r="A276" s="68" t="inlineStr">
        <is>
          <t>pseudoephedrine</t>
        </is>
      </c>
      <c r="B276" s="68" t="inlineStr">
        <is>
          <t>pseudoephedrine</t>
        </is>
      </c>
    </row>
    <row r="277">
      <c r="A277" s="68" t="inlineStr">
        <is>
          <t>ephedrine</t>
        </is>
      </c>
      <c r="B277" s="68" t="inlineStr">
        <is>
          <t>ephedrine</t>
        </is>
      </c>
    </row>
    <row r="278">
      <c r="A278" s="68" t="inlineStr">
        <is>
          <t>silica</t>
        </is>
      </c>
      <c r="B278" s="68" t="inlineStr">
        <is>
          <t>silica</t>
        </is>
      </c>
    </row>
    <row r="279">
      <c r="A279" s="68" t="inlineStr">
        <is>
          <t>eryngial</t>
        </is>
      </c>
      <c r="B279" s="68" t="inlineStr">
        <is>
          <t>eryngial</t>
        </is>
      </c>
    </row>
    <row r="280">
      <c r="A280" s="68" t="inlineStr">
        <is>
          <t>cinnamoylcocaine</t>
        </is>
      </c>
      <c r="B280" s="68" t="inlineStr">
        <is>
          <t>cinnamoylcocaine</t>
        </is>
      </c>
    </row>
    <row r="281">
      <c r="A281" s="68" t="inlineStr">
        <is>
          <t>eucalyptol cineole</t>
        </is>
      </c>
      <c r="B281" s="68" t="inlineStr">
        <is>
          <t>eucalyptol cineole</t>
        </is>
      </c>
    </row>
    <row r="282">
      <c r="A282" s="68" t="inlineStr">
        <is>
          <t>ferulenol</t>
        </is>
      </c>
      <c r="B282" s="68" t="inlineStr">
        <is>
          <t>ferulenol</t>
        </is>
      </c>
    </row>
    <row r="283">
      <c r="A283" s="68" t="inlineStr">
        <is>
          <t>fenchone</t>
        </is>
      </c>
      <c r="B283" s="68" t="inlineStr">
        <is>
          <t>fenchone</t>
        </is>
      </c>
    </row>
    <row r="284">
      <c r="A284" s="68" t="inlineStr">
        <is>
          <t>gitoxin</t>
        </is>
      </c>
      <c r="B284" s="68" t="inlineStr">
        <is>
          <t>gitoxin</t>
        </is>
      </c>
    </row>
    <row r="285">
      <c r="A285" s="68" t="inlineStr">
        <is>
          <t>digitoxin</t>
        </is>
      </c>
      <c r="B285" s="68" t="inlineStr">
        <is>
          <t>digitoxin</t>
        </is>
      </c>
    </row>
    <row r="286">
      <c r="A286" s="68" t="inlineStr">
        <is>
          <t>digoxin</t>
        </is>
      </c>
      <c r="B286" s="68" t="inlineStr">
        <is>
          <t>digoxin</t>
        </is>
      </c>
    </row>
    <row r="287">
      <c r="A287" s="68" t="inlineStr">
        <is>
          <t>acetyl-beta-boswellic acid</t>
        </is>
      </c>
      <c r="B287" s="68" t="inlineStr">
        <is>
          <t>acetyl-beta-boswellic acid</t>
        </is>
      </c>
    </row>
    <row r="288">
      <c r="A288" s="68" t="inlineStr">
        <is>
          <t>acetyl-11-keto-beta-boswellic acid</t>
        </is>
      </c>
      <c r="B288" s="68" t="inlineStr">
        <is>
          <t>acetyl-11-keto-beta-boswellic acid</t>
        </is>
      </c>
    </row>
    <row r="289">
      <c r="A289" s="68" t="inlineStr">
        <is>
          <t>11-keto-beta-boswellic acid</t>
        </is>
      </c>
      <c r="B289" s="68" t="inlineStr">
        <is>
          <t>11-keto-beta-boswellic acid</t>
        </is>
      </c>
    </row>
    <row r="290">
      <c r="A290" s="68" t="inlineStr">
        <is>
          <t>iodine</t>
        </is>
      </c>
      <c r="B290" s="68" t="inlineStr">
        <is>
          <t>iodine</t>
        </is>
      </c>
    </row>
    <row r="291">
      <c r="A291" s="68" t="inlineStr">
        <is>
          <t>fucoidan</t>
        </is>
      </c>
      <c r="B291" s="68" t="inlineStr">
        <is>
          <t>fucoidan</t>
        </is>
      </c>
    </row>
    <row r="292">
      <c r="A292" s="68" t="inlineStr">
        <is>
          <t>asperuloside</t>
        </is>
      </c>
      <c r="B292" s="68" t="inlineStr">
        <is>
          <t>asperuloside</t>
        </is>
      </c>
    </row>
    <row r="293">
      <c r="A293" s="68" t="inlineStr">
        <is>
          <t>hydroxycitric acid</t>
        </is>
      </c>
      <c r="B293" s="68" t="inlineStr">
        <is>
          <t>hydroxycitric acid</t>
        </is>
      </c>
    </row>
    <row r="294">
      <c r="A294" s="68" t="inlineStr">
        <is>
          <t>geniposide</t>
        </is>
      </c>
      <c r="B294" s="68" t="inlineStr">
        <is>
          <t>geniposide</t>
        </is>
      </c>
    </row>
    <row r="295">
      <c r="A295" s="68" t="inlineStr">
        <is>
          <t>amarogentin</t>
        </is>
      </c>
      <c r="B295" s="68" t="inlineStr">
        <is>
          <t>amarogentin</t>
        </is>
      </c>
    </row>
    <row r="296">
      <c r="A296" s="68" t="inlineStr">
        <is>
          <t>geraniin</t>
        </is>
      </c>
      <c r="B296" s="68" t="inlineStr">
        <is>
          <t>geraniin</t>
        </is>
      </c>
    </row>
    <row r="297">
      <c r="A297" s="68" t="inlineStr">
        <is>
          <t>6-gingerol</t>
        </is>
      </c>
      <c r="B297" s="68" t="inlineStr">
        <is>
          <t>6-gingerol</t>
        </is>
      </c>
    </row>
    <row r="298">
      <c r="A298" s="68" t="inlineStr">
        <is>
          <t>zingerone</t>
        </is>
      </c>
      <c r="B298" s="68" t="inlineStr">
        <is>
          <t>zingerone</t>
        </is>
      </c>
    </row>
    <row r="299">
      <c r="A299" s="68" t="inlineStr">
        <is>
          <t>bilobalide</t>
        </is>
      </c>
      <c r="B299" s="68" t="inlineStr">
        <is>
          <t>bilobalide</t>
        </is>
      </c>
    </row>
    <row r="300">
      <c r="A300" s="68" t="inlineStr">
        <is>
          <t>glycyrrhizin</t>
        </is>
      </c>
      <c r="B300" s="68" t="inlineStr">
        <is>
          <t>glycyrrhizin</t>
        </is>
      </c>
    </row>
    <row r="301">
      <c r="A301" s="68" t="inlineStr">
        <is>
          <t>madecassic acid</t>
        </is>
      </c>
      <c r="B301" s="68" t="inlineStr">
        <is>
          <t>madecassic acid</t>
        </is>
      </c>
    </row>
    <row r="302">
      <c r="A302" s="68" t="inlineStr">
        <is>
          <t>grindelic acid</t>
        </is>
      </c>
      <c r="B302" s="68" t="inlineStr">
        <is>
          <t>grindelic acid</t>
        </is>
      </c>
    </row>
    <row r="303">
      <c r="A303" s="68" t="inlineStr">
        <is>
          <t>theophylline</t>
        </is>
      </c>
      <c r="B303" s="68" t="inlineStr">
        <is>
          <t>theophylline</t>
        </is>
      </c>
    </row>
    <row r="304">
      <c r="A304" s="68" t="inlineStr">
        <is>
          <t>theobromine</t>
        </is>
      </c>
      <c r="B304" s="68" t="inlineStr">
        <is>
          <t>theobromine</t>
        </is>
      </c>
    </row>
    <row r="305">
      <c r="A305" s="68" t="inlineStr">
        <is>
          <t>gurmarin</t>
        </is>
      </c>
      <c r="B305" s="68" t="inlineStr">
        <is>
          <t>gurmarin</t>
        </is>
      </c>
    </row>
    <row r="306">
      <c r="A306" s="68" t="inlineStr">
        <is>
          <t>gypenosides dammarane-type saponins</t>
        </is>
      </c>
      <c r="B306" s="68" t="inlineStr">
        <is>
          <t>gypenosides dammarane-type saponins</t>
        </is>
      </c>
    </row>
    <row r="307">
      <c r="A307" s="68" t="inlineStr">
        <is>
          <t>harpagoside</t>
        </is>
      </c>
      <c r="B307" s="68" t="inlineStr">
        <is>
          <t>harpagoside</t>
        </is>
      </c>
    </row>
    <row r="308">
      <c r="A308" s="68" t="inlineStr">
        <is>
          <t>saponins hederacoside</t>
        </is>
      </c>
      <c r="B308" s="68" t="inlineStr">
        <is>
          <t>saponins hederacoside</t>
        </is>
      </c>
    </row>
    <row r="309">
      <c r="A309" s="68" t="inlineStr">
        <is>
          <t>cryogenine vertine</t>
        </is>
      </c>
      <c r="B309" s="68" t="inlineStr">
        <is>
          <t>cryogenine vertine</t>
        </is>
      </c>
    </row>
    <row r="310">
      <c r="A310" s="68" t="inlineStr">
        <is>
          <t>lythrine</t>
        </is>
      </c>
      <c r="B310" s="68" t="inlineStr">
        <is>
          <t>lythrine</t>
        </is>
      </c>
    </row>
    <row r="311">
      <c r="A311" s="68" t="inlineStr">
        <is>
          <t>nesodine</t>
        </is>
      </c>
      <c r="B311" s="68" t="inlineStr">
        <is>
          <t>nesodine</t>
        </is>
      </c>
    </row>
    <row r="312">
      <c r="A312" s="68" t="inlineStr">
        <is>
          <t>hibiscus acid</t>
        </is>
      </c>
      <c r="B312" s="68" t="inlineStr">
        <is>
          <t>hibiscus acid</t>
        </is>
      </c>
    </row>
    <row r="313">
      <c r="A313" s="68" t="inlineStr">
        <is>
          <t>anthocyanins delphinidin</t>
        </is>
      </c>
      <c r="B313" s="68" t="inlineStr">
        <is>
          <t>anthocyanins delphinidin</t>
        </is>
      </c>
    </row>
    <row r="314">
      <c r="A314" s="68" t="inlineStr">
        <is>
          <t>cyanidin</t>
        </is>
      </c>
      <c r="B314" s="68" t="inlineStr">
        <is>
          <t>cyanidin</t>
        </is>
      </c>
    </row>
    <row r="315">
      <c r="A315" s="68" t="inlineStr">
        <is>
          <t>ursolic acid</t>
        </is>
      </c>
      <c r="B315" s="68" t="inlineStr">
        <is>
          <t>ursolic acid</t>
        </is>
      </c>
    </row>
    <row r="316">
      <c r="A316" s="68" t="inlineStr">
        <is>
          <t>humulone</t>
        </is>
      </c>
      <c r="B316" s="68" t="inlineStr">
        <is>
          <t>humulone</t>
        </is>
      </c>
    </row>
    <row r="317">
      <c r="A317" s="68" t="inlineStr">
        <is>
          <t>lupulone</t>
        </is>
      </c>
      <c r="B317" s="68" t="inlineStr">
        <is>
          <t>lupulone</t>
        </is>
      </c>
    </row>
    <row r="318">
      <c r="A318" s="68" t="inlineStr">
        <is>
          <t>xanthohumol</t>
        </is>
      </c>
      <c r="B318" s="68" t="inlineStr">
        <is>
          <t>xanthohumol</t>
        </is>
      </c>
    </row>
    <row r="319">
      <c r="A319" s="68" t="inlineStr">
        <is>
          <t>hydrastine</t>
        </is>
      </c>
      <c r="B319" s="68" t="inlineStr">
        <is>
          <t>hydrastine</t>
        </is>
      </c>
    </row>
    <row r="320">
      <c r="A320" s="68" t="inlineStr">
        <is>
          <t>hyperforin</t>
        </is>
      </c>
      <c r="B320" s="68" t="inlineStr">
        <is>
          <t>hyperforin</t>
        </is>
      </c>
    </row>
    <row r="321">
      <c r="A321" s="68" t="inlineStr">
        <is>
          <t>hypericin</t>
        </is>
      </c>
      <c r="B321" s="68" t="inlineStr">
        <is>
          <t>hypericin</t>
        </is>
      </c>
    </row>
    <row r="322">
      <c r="A322" s="68" t="inlineStr">
        <is>
          <t>ibogaine</t>
        </is>
      </c>
      <c r="B322" s="68" t="inlineStr">
        <is>
          <t>ibogaine</t>
        </is>
      </c>
    </row>
    <row r="323">
      <c r="A323" s="68" t="inlineStr">
        <is>
          <t>ergine</t>
        </is>
      </c>
      <c r="B323" s="68" t="inlineStr">
        <is>
          <t>ergine</t>
        </is>
      </c>
    </row>
    <row r="324">
      <c r="A324" s="68" t="inlineStr">
        <is>
          <t>isoergine</t>
        </is>
      </c>
      <c r="B324" s="68" t="inlineStr">
        <is>
          <t>isoergine</t>
        </is>
      </c>
    </row>
    <row r="325">
      <c r="A325" s="68" t="inlineStr">
        <is>
          <t>iridin</t>
        </is>
      </c>
      <c r="B325" s="68" t="inlineStr">
        <is>
          <t>iridin</t>
        </is>
      </c>
    </row>
    <row r="326">
      <c r="A326" s="68" t="inlineStr">
        <is>
          <t>juglone</t>
        </is>
      </c>
      <c r="B326" s="68" t="inlineStr">
        <is>
          <t>juglone</t>
        </is>
      </c>
    </row>
    <row r="327">
      <c r="A327" s="68" t="inlineStr">
        <is>
          <t>alpha-pinene</t>
        </is>
      </c>
      <c r="B327" s="68" t="inlineStr">
        <is>
          <t>alpha-pinene</t>
        </is>
      </c>
    </row>
    <row r="328">
      <c r="A328" s="68" t="inlineStr">
        <is>
          <t>ethyl cinnamate</t>
        </is>
      </c>
      <c r="B328" s="68" t="inlineStr">
        <is>
          <t>ethyl cinnamate</t>
        </is>
      </c>
    </row>
    <row r="329">
      <c r="A329" s="68" t="inlineStr">
        <is>
          <t>kaempferol</t>
        </is>
      </c>
      <c r="B329" s="68" t="inlineStr">
        <is>
          <t>kaempferol</t>
        </is>
      </c>
    </row>
    <row r="330">
      <c r="A330" s="68" t="inlineStr">
        <is>
          <t>kavain</t>
        </is>
      </c>
      <c r="B330" s="68" t="inlineStr">
        <is>
          <t>kavain</t>
        </is>
      </c>
    </row>
    <row r="331">
      <c r="A331" s="68" t="inlineStr">
        <is>
          <t>dihydrokavain</t>
        </is>
      </c>
      <c r="B331" s="68" t="inlineStr">
        <is>
          <t>dihydrokavain</t>
        </is>
      </c>
    </row>
    <row r="332">
      <c r="A332" s="68" t="inlineStr">
        <is>
          <t>yangonin</t>
        </is>
      </c>
      <c r="B332" s="68" t="inlineStr">
        <is>
          <t>yangonin</t>
        </is>
      </c>
    </row>
    <row r="333">
      <c r="A333" s="68" t="inlineStr">
        <is>
          <t>desmethoxyyangonin</t>
        </is>
      </c>
      <c r="B333" s="68" t="inlineStr">
        <is>
          <t>desmethoxyyangonin</t>
        </is>
      </c>
    </row>
    <row r="334">
      <c r="A334" s="68" t="inlineStr">
        <is>
          <t>dihydromethysticin</t>
        </is>
      </c>
      <c r="B334" s="68" t="inlineStr">
        <is>
          <t>dihydromethysticin</t>
        </is>
      </c>
    </row>
    <row r="335">
      <c r="A335" s="68" t="inlineStr">
        <is>
          <t>methysticin</t>
        </is>
      </c>
      <c r="B335" s="68" t="inlineStr">
        <is>
          <t>methysticin</t>
        </is>
      </c>
    </row>
    <row r="336">
      <c r="A336" s="68" t="inlineStr">
        <is>
          <t>7-hydroxymitragynine</t>
        </is>
      </c>
      <c r="B336" s="68" t="inlineStr">
        <is>
          <t>7-hydroxymitragynine</t>
        </is>
      </c>
    </row>
    <row r="337">
      <c r="A337" s="68" t="inlineStr">
        <is>
          <t>mitragynine</t>
        </is>
      </c>
      <c r="B337" s="68" t="inlineStr">
        <is>
          <t>mitragynine</t>
        </is>
      </c>
    </row>
    <row r="338">
      <c r="A338" s="68" t="inlineStr">
        <is>
          <t>lactucopicrin</t>
        </is>
      </c>
      <c r="B338" s="68" t="inlineStr">
        <is>
          <t>lactucopicrin</t>
        </is>
      </c>
    </row>
    <row r="339">
      <c r="A339" s="68" t="inlineStr">
        <is>
          <t>lactucin</t>
        </is>
      </c>
      <c r="B339" s="68" t="inlineStr">
        <is>
          <t>lactucin</t>
        </is>
      </c>
    </row>
    <row r="340">
      <c r="A340" s="68" t="inlineStr">
        <is>
          <t>linalyl acetate</t>
        </is>
      </c>
      <c r="B340" s="68" t="inlineStr">
        <is>
          <t>linalyl acetate</t>
        </is>
      </c>
    </row>
    <row r="341">
      <c r="A341" s="68" t="inlineStr">
        <is>
          <t>linalool</t>
        </is>
      </c>
      <c r="B341" s="68" t="inlineStr">
        <is>
          <t>linalool</t>
        </is>
      </c>
    </row>
    <row r="342">
      <c r="A342" s="68" t="inlineStr">
        <is>
          <t>ledol</t>
        </is>
      </c>
      <c r="B342" s="68" t="inlineStr">
        <is>
          <t>ledol</t>
        </is>
      </c>
    </row>
    <row r="343">
      <c r="A343" s="68" t="inlineStr">
        <is>
          <t>palustrol</t>
        </is>
      </c>
      <c r="B343" s="68" t="inlineStr">
        <is>
          <t>palustrol</t>
        </is>
      </c>
    </row>
    <row r="344">
      <c r="A344" s="68" t="inlineStr">
        <is>
          <t>citronellal</t>
        </is>
      </c>
      <c r="B344" s="68" t="inlineStr">
        <is>
          <t>citronellal</t>
        </is>
      </c>
    </row>
    <row r="345">
      <c r="A345" s="68" t="inlineStr">
        <is>
          <t>stachydrine</t>
        </is>
      </c>
      <c r="B345" s="68" t="inlineStr">
        <is>
          <t>stachydrine</t>
        </is>
      </c>
    </row>
    <row r="346">
      <c r="A346" s="68" t="inlineStr">
        <is>
          <t>leonurine</t>
        </is>
      </c>
      <c r="B346" s="68" t="inlineStr">
        <is>
          <t>leonurine</t>
        </is>
      </c>
    </row>
    <row r="347">
      <c r="A347" s="68" t="inlineStr">
        <is>
          <t>triketones leptospermone</t>
        </is>
      </c>
      <c r="B347" s="68" t="inlineStr">
        <is>
          <t>triketones leptospermone</t>
        </is>
      </c>
    </row>
    <row r="348">
      <c r="A348" s="68" t="inlineStr">
        <is>
          <t>tetramethylpyrazine</t>
        </is>
      </c>
      <c r="B348" s="68" t="inlineStr">
        <is>
          <t>tetramethylpyrazine</t>
        </is>
      </c>
    </row>
    <row r="349">
      <c r="A349" s="68" t="inlineStr">
        <is>
          <t>lobeline</t>
        </is>
      </c>
      <c r="B349" s="68" t="inlineStr">
        <is>
          <t>lobeline</t>
        </is>
      </c>
    </row>
    <row r="350">
      <c r="A350" s="68" t="inlineStr">
        <is>
          <t>lobelanidine</t>
        </is>
      </c>
      <c r="B350" s="68" t="inlineStr">
        <is>
          <t>lobelanidine</t>
        </is>
      </c>
    </row>
    <row r="351">
      <c r="A351" s="68" t="inlineStr">
        <is>
          <t>mescaline</t>
        </is>
      </c>
      <c r="B351" s="68" t="inlineStr">
        <is>
          <t>mescaline</t>
        </is>
      </c>
    </row>
    <row r="352">
      <c r="A352" s="68" t="inlineStr">
        <is>
          <t>lsd ergoline derivative</t>
        </is>
      </c>
      <c r="B352" s="68" t="inlineStr">
        <is>
          <t>lsd ergoline derivative</t>
        </is>
      </c>
    </row>
    <row r="353">
      <c r="A353" s="68" t="inlineStr">
        <is>
          <t>lycopodine</t>
        </is>
      </c>
      <c r="B353" s="68" t="inlineStr">
        <is>
          <t>lycopodine</t>
        </is>
      </c>
    </row>
    <row r="354">
      <c r="A354" s="68" t="inlineStr">
        <is>
          <t>lithospermic acid</t>
        </is>
      </c>
      <c r="B354" s="68" t="inlineStr">
        <is>
          <t>lithospermic acid</t>
        </is>
      </c>
    </row>
    <row r="355">
      <c r="A355" s="68" t="inlineStr">
        <is>
          <t>dillapiole</t>
        </is>
      </c>
      <c r="B355" s="68" t="inlineStr">
        <is>
          <t>dillapiole</t>
        </is>
      </c>
    </row>
    <row r="356">
      <c r="A356" s="68" t="inlineStr">
        <is>
          <t>myristicin</t>
        </is>
      </c>
      <c r="B356" s="68" t="inlineStr">
        <is>
          <t>myristicin</t>
        </is>
      </c>
    </row>
    <row r="357">
      <c r="A357" s="68" t="inlineStr">
        <is>
          <t>bisabolol</t>
        </is>
      </c>
      <c r="B357" s="68" t="inlineStr">
        <is>
          <t>bisabolol</t>
        </is>
      </c>
    </row>
    <row r="358">
      <c r="A358" s="68" t="inlineStr">
        <is>
          <t>terpinen-4-ol</t>
        </is>
      </c>
      <c r="B358" s="68" t="inlineStr">
        <is>
          <t>terpinen-4-ol</t>
        </is>
      </c>
    </row>
    <row r="359">
      <c r="A359" s="68" t="inlineStr">
        <is>
          <t>menthone</t>
        </is>
      </c>
      <c r="B359" s="68" t="inlineStr">
        <is>
          <t>menthone</t>
        </is>
      </c>
    </row>
    <row r="360">
      <c r="A360" s="68" t="inlineStr">
        <is>
          <t>mescaline derivative</t>
        </is>
      </c>
      <c r="B360" s="68" t="inlineStr">
        <is>
          <t>mescaline derivative</t>
        </is>
      </c>
    </row>
    <row r="361">
      <c r="A361" s="68" t="inlineStr">
        <is>
          <t>viscotoxin</t>
        </is>
      </c>
      <c r="B361" s="68" t="inlineStr">
        <is>
          <t>viscotoxin</t>
        </is>
      </c>
    </row>
    <row r="362">
      <c r="A362" s="68" t="inlineStr">
        <is>
          <t>mitrajavine</t>
        </is>
      </c>
      <c r="B362" s="68" t="inlineStr">
        <is>
          <t>mitrajavine</t>
        </is>
      </c>
    </row>
    <row r="363">
      <c r="A363" s="68" t="inlineStr">
        <is>
          <t>mitraphylline</t>
        </is>
      </c>
      <c r="B363" s="68" t="inlineStr">
        <is>
          <t>mitraphylline</t>
        </is>
      </c>
    </row>
    <row r="364">
      <c r="A364" s="68" t="inlineStr">
        <is>
          <t>isomitraphylline</t>
        </is>
      </c>
      <c r="B364" s="68" t="inlineStr">
        <is>
          <t>isomitraphylline</t>
        </is>
      </c>
    </row>
    <row r="365">
      <c r="A365" s="68" t="inlineStr">
        <is>
          <t>charantin</t>
        </is>
      </c>
      <c r="B365" s="68" t="inlineStr">
        <is>
          <t>charantin</t>
        </is>
      </c>
    </row>
    <row r="366">
      <c r="A366" s="68" t="inlineStr">
        <is>
          <t>vicine</t>
        </is>
      </c>
      <c r="B366" s="68" t="inlineStr">
        <is>
          <t>vicine</t>
        </is>
      </c>
    </row>
    <row r="367">
      <c r="A367" s="68" t="inlineStr">
        <is>
          <t>polypeptide-p</t>
        </is>
      </c>
      <c r="B367" s="68" t="inlineStr">
        <is>
          <t>polypeptide-p</t>
        </is>
      </c>
    </row>
    <row r="368">
      <c r="A368" s="68" t="inlineStr">
        <is>
          <t>thymol</t>
        </is>
      </c>
      <c r="B368" s="68" t="inlineStr">
        <is>
          <t>thymol</t>
        </is>
      </c>
    </row>
    <row r="369">
      <c r="A369" s="68" t="inlineStr">
        <is>
          <t>damnacanthal</t>
        </is>
      </c>
      <c r="B369" s="68" t="inlineStr">
        <is>
          <t>damnacanthal</t>
        </is>
      </c>
    </row>
    <row r="370">
      <c r="A370" s="68" t="inlineStr">
        <is>
          <t>scopoletin</t>
        </is>
      </c>
      <c r="B370" s="68" t="inlineStr">
        <is>
          <t>scopoletin</t>
        </is>
      </c>
    </row>
    <row r="371">
      <c r="A371" s="68" t="inlineStr">
        <is>
          <t>vanillin</t>
        </is>
      </c>
      <c r="B371" s="68" t="inlineStr">
        <is>
          <t>vanillin</t>
        </is>
      </c>
    </row>
    <row r="372">
      <c r="A372" s="68" t="inlineStr">
        <is>
          <t>benzyl benzoate</t>
        </is>
      </c>
      <c r="B372" s="68" t="inlineStr">
        <is>
          <t>benzyl benzoate</t>
        </is>
      </c>
    </row>
    <row r="373">
      <c r="A373" s="68" t="inlineStr">
        <is>
          <t>valeranone</t>
        </is>
      </c>
      <c r="B373" s="68" t="inlineStr">
        <is>
          <t>valeranone</t>
        </is>
      </c>
    </row>
    <row r="374">
      <c r="A374" s="68" t="inlineStr">
        <is>
          <t>jatamansone</t>
        </is>
      </c>
      <c r="B374" s="68" t="inlineStr">
        <is>
          <t>jatamansone</t>
        </is>
      </c>
    </row>
    <row r="375">
      <c r="A375" s="68" t="inlineStr">
        <is>
          <t>oleandrin</t>
        </is>
      </c>
      <c r="B375" s="68" t="inlineStr">
        <is>
          <t>oleandrin</t>
        </is>
      </c>
    </row>
    <row r="376">
      <c r="A376" s="68" t="inlineStr">
        <is>
          <t>neriine</t>
        </is>
      </c>
      <c r="B376" s="68" t="inlineStr">
        <is>
          <t>neriine</t>
        </is>
      </c>
    </row>
    <row r="377">
      <c r="A377" s="68" t="inlineStr">
        <is>
          <t>anabasine</t>
        </is>
      </c>
      <c r="B377" s="68" t="inlineStr">
        <is>
          <t>anabasine</t>
        </is>
      </c>
    </row>
    <row r="378">
      <c r="A378" s="68" t="inlineStr">
        <is>
          <t>nornicotine</t>
        </is>
      </c>
      <c r="B378" s="68" t="inlineStr">
        <is>
          <t>nornicotine</t>
        </is>
      </c>
    </row>
    <row r="379">
      <c r="A379" s="68" t="inlineStr">
        <is>
          <t>nicotine</t>
        </is>
      </c>
      <c r="B379" s="68" t="inlineStr">
        <is>
          <t>nicotine</t>
        </is>
      </c>
    </row>
    <row r="380">
      <c r="A380" s="68" t="inlineStr">
        <is>
          <t>thymoquinone</t>
        </is>
      </c>
      <c r="B380" s="68" t="inlineStr">
        <is>
          <t>thymoquinone</t>
        </is>
      </c>
    </row>
    <row r="381">
      <c r="A381" s="68" t="inlineStr">
        <is>
          <t>nigellone</t>
        </is>
      </c>
      <c r="B381" s="68" t="inlineStr">
        <is>
          <t>nigellone</t>
        </is>
      </c>
    </row>
    <row r="382">
      <c r="A382" s="68" t="inlineStr">
        <is>
          <t>linoleic acid</t>
        </is>
      </c>
      <c r="B382" s="68" t="inlineStr">
        <is>
          <t>linoleic acid</t>
        </is>
      </c>
    </row>
    <row r="383">
      <c r="A383" s="68" t="inlineStr">
        <is>
          <t>ginsenosides rb1</t>
        </is>
      </c>
      <c r="B383" s="68" t="inlineStr">
        <is>
          <t>ginsenosides rb1</t>
        </is>
      </c>
    </row>
    <row r="384">
      <c r="A384" s="68" t="inlineStr">
        <is>
          <t>re</t>
        </is>
      </c>
      <c r="B384" s="68" t="inlineStr">
        <is>
          <t>re</t>
        </is>
      </c>
    </row>
    <row r="385">
      <c r="A385" s="68" t="inlineStr">
        <is>
          <t>morphine</t>
        </is>
      </c>
      <c r="B385" s="68" t="inlineStr">
        <is>
          <t>morphine</t>
        </is>
      </c>
    </row>
    <row r="386">
      <c r="A386" s="68" t="inlineStr">
        <is>
          <t>codeine</t>
        </is>
      </c>
      <c r="B386" s="68" t="inlineStr">
        <is>
          <t>codeine</t>
        </is>
      </c>
    </row>
    <row r="387">
      <c r="A387" s="68" t="inlineStr">
        <is>
          <t>thebaine</t>
        </is>
      </c>
      <c r="B387" s="68" t="inlineStr">
        <is>
          <t>thebaine</t>
        </is>
      </c>
    </row>
    <row r="388">
      <c r="A388" s="68" t="inlineStr">
        <is>
          <t>maltol</t>
        </is>
      </c>
      <c r="B388" s="68" t="inlineStr">
        <is>
          <t>maltol</t>
        </is>
      </c>
    </row>
    <row r="389">
      <c r="A389" s="68" t="inlineStr">
        <is>
          <t>harmalol</t>
        </is>
      </c>
      <c r="B389" s="68" t="inlineStr">
        <is>
          <t>harmalol</t>
        </is>
      </c>
    </row>
    <row r="390">
      <c r="A390" s="68" t="inlineStr">
        <is>
          <t>umckalin</t>
        </is>
      </c>
      <c r="B390" s="68" t="inlineStr">
        <is>
          <t>umckalin</t>
        </is>
      </c>
    </row>
    <row r="391">
      <c r="A391" s="68" t="inlineStr">
        <is>
          <t>pellucidin a</t>
        </is>
      </c>
      <c r="B391" s="68" t="inlineStr">
        <is>
          <t>pellucidin a</t>
        </is>
      </c>
    </row>
    <row r="392">
      <c r="A392" s="68" t="inlineStr">
        <is>
          <t>dibenzyl trisulfide</t>
        </is>
      </c>
      <c r="B392" s="68" t="inlineStr">
        <is>
          <t>dibenzyl trisulfide</t>
        </is>
      </c>
    </row>
    <row r="393">
      <c r="A393" s="68" t="inlineStr">
        <is>
          <t>gramine</t>
        </is>
      </c>
      <c r="B393" s="68" t="inlineStr">
        <is>
          <t>gramine</t>
        </is>
      </c>
    </row>
    <row r="394">
      <c r="A394" s="68" t="inlineStr">
        <is>
          <t>kutkoside</t>
        </is>
      </c>
      <c r="B394" s="68" t="inlineStr">
        <is>
          <t>kutkoside</t>
        </is>
      </c>
    </row>
    <row r="395">
      <c r="A395" s="68" t="inlineStr">
        <is>
          <t>myrcene</t>
        </is>
      </c>
      <c r="B395" s="68" t="inlineStr">
        <is>
          <t>myrcene</t>
        </is>
      </c>
    </row>
    <row r="396">
      <c r="A396" s="68" t="inlineStr">
        <is>
          <t>chavicol</t>
        </is>
      </c>
      <c r="B396" s="68" t="inlineStr">
        <is>
          <t>chavicol</t>
        </is>
      </c>
    </row>
    <row r="397">
      <c r="A397" s="68" t="inlineStr">
        <is>
          <t>safrole</t>
        </is>
      </c>
      <c r="B397" s="68" t="inlineStr">
        <is>
          <t>safrole</t>
        </is>
      </c>
    </row>
    <row r="398">
      <c r="A398" s="68" t="inlineStr">
        <is>
          <t>aucubin</t>
        </is>
      </c>
      <c r="B398" s="68" t="inlineStr">
        <is>
          <t>aucubin</t>
        </is>
      </c>
    </row>
    <row r="399">
      <c r="A399" s="68" t="inlineStr">
        <is>
          <t>allantoin</t>
        </is>
      </c>
      <c r="B399" s="68" t="inlineStr">
        <is>
          <t>allantoin</t>
        </is>
      </c>
    </row>
    <row r="400">
      <c r="A400" s="68" t="inlineStr">
        <is>
          <t>podophyllotoxin</t>
        </is>
      </c>
      <c r="B400" s="68" t="inlineStr">
        <is>
          <t>podophyllotoxin</t>
        </is>
      </c>
    </row>
    <row r="401">
      <c r="A401" s="68" t="inlineStr">
        <is>
          <t>pachymic acid</t>
        </is>
      </c>
      <c r="B401" s="68" t="inlineStr">
        <is>
          <t>pachymic acid</t>
        </is>
      </c>
    </row>
    <row r="402">
      <c r="A402" s="68" t="inlineStr">
        <is>
          <t>psilocin</t>
        </is>
      </c>
      <c r="B402" s="68" t="inlineStr">
        <is>
          <t>psilocin</t>
        </is>
      </c>
    </row>
    <row r="403">
      <c r="A403" s="68" t="inlineStr">
        <is>
          <t>psilocybin</t>
        </is>
      </c>
      <c r="B403" s="68" t="inlineStr">
        <is>
          <t>psilocybin</t>
        </is>
      </c>
    </row>
    <row r="404">
      <c r="A404" s="68" t="inlineStr">
        <is>
          <t>miroestrol</t>
        </is>
      </c>
      <c r="B404" s="68" t="inlineStr">
        <is>
          <t>miroestrol</t>
        </is>
      </c>
    </row>
    <row r="405">
      <c r="A405" s="68" t="inlineStr">
        <is>
          <t>deoxymiroestrol</t>
        </is>
      </c>
      <c r="B405" s="68" t="inlineStr">
        <is>
          <t>deoxymiroestrol</t>
        </is>
      </c>
    </row>
    <row r="406">
      <c r="A406" s="68" t="inlineStr">
        <is>
          <t>neoquassin</t>
        </is>
      </c>
      <c r="B406" s="68" t="inlineStr">
        <is>
          <t>neoquassin</t>
        </is>
      </c>
    </row>
    <row r="407">
      <c r="A407" s="68" t="inlineStr">
        <is>
          <t>quassin</t>
        </is>
      </c>
      <c r="B407" s="68" t="inlineStr">
        <is>
          <t>quassin</t>
        </is>
      </c>
    </row>
    <row r="408">
      <c r="A408" s="68" t="inlineStr">
        <is>
          <t>serpentine</t>
        </is>
      </c>
      <c r="B408" s="68" t="inlineStr">
        <is>
          <t>serpentine</t>
        </is>
      </c>
    </row>
    <row r="409">
      <c r="A409" s="68" t="inlineStr">
        <is>
          <t>reserpine</t>
        </is>
      </c>
      <c r="B409" s="68" t="inlineStr">
        <is>
          <t>reserpine</t>
        </is>
      </c>
    </row>
    <row r="410">
      <c r="A410" s="68" t="inlineStr">
        <is>
          <t>ajmaline</t>
        </is>
      </c>
      <c r="B410" s="68" t="inlineStr">
        <is>
          <t>ajmaline</t>
        </is>
      </c>
    </row>
    <row r="411">
      <c r="A411" s="68" t="inlineStr">
        <is>
          <t>rosavin</t>
        </is>
      </c>
      <c r="B411" s="68" t="inlineStr">
        <is>
          <t>rosavin</t>
        </is>
      </c>
    </row>
    <row r="412">
      <c r="A412" s="68" t="inlineStr">
        <is>
          <t>ricin</t>
        </is>
      </c>
      <c r="B412" s="68" t="inlineStr">
        <is>
          <t>ricin</t>
        </is>
      </c>
    </row>
    <row r="413">
      <c r="A413" s="68" t="inlineStr">
        <is>
          <t>ricinoleic acid</t>
        </is>
      </c>
      <c r="B413" s="68" t="inlineStr">
        <is>
          <t>ricinoleic acid</t>
        </is>
      </c>
    </row>
    <row r="414">
      <c r="A414" s="68" t="inlineStr">
        <is>
          <t>vitamin c</t>
        </is>
      </c>
      <c r="B414" s="68" t="inlineStr">
        <is>
          <t>vitamin c</t>
        </is>
      </c>
    </row>
    <row r="415">
      <c r="A415" s="68" t="inlineStr">
        <is>
          <t>carnosic acid</t>
        </is>
      </c>
      <c r="B415" s="68" t="inlineStr">
        <is>
          <t>carnosic acid</t>
        </is>
      </c>
    </row>
    <row r="416">
      <c r="A416" s="68" t="inlineStr">
        <is>
          <t>kotalanol</t>
        </is>
      </c>
      <c r="B416" s="68" t="inlineStr">
        <is>
          <t>kotalanol</t>
        </is>
      </c>
    </row>
    <row r="417">
      <c r="A417" s="68" t="inlineStr">
        <is>
          <t>salacinol</t>
        </is>
      </c>
      <c r="B417" s="68" t="inlineStr">
        <is>
          <t>salacinol</t>
        </is>
      </c>
    </row>
    <row r="418">
      <c r="A418" s="68" t="inlineStr">
        <is>
          <t>salicin</t>
        </is>
      </c>
      <c r="B418" s="68" t="inlineStr">
        <is>
          <t>salicin</t>
        </is>
      </c>
    </row>
    <row r="419">
      <c r="A419" s="68" t="inlineStr">
        <is>
          <t>salvinorin a</t>
        </is>
      </c>
      <c r="B419" s="68" t="inlineStr">
        <is>
          <t>salvinorin a</t>
        </is>
      </c>
    </row>
    <row r="420">
      <c r="A420" s="68" t="inlineStr">
        <is>
          <t>sambunigrin</t>
        </is>
      </c>
      <c r="B420" s="68" t="inlineStr">
        <is>
          <t>sambunigrin</t>
        </is>
      </c>
    </row>
    <row r="421">
      <c r="A421" s="68" t="inlineStr">
        <is>
          <t>sanguinarine</t>
        </is>
      </c>
      <c r="B421" s="68" t="inlineStr">
        <is>
          <t>sanguinarine</t>
        </is>
      </c>
    </row>
    <row r="422">
      <c r="A422" s="68" t="inlineStr">
        <is>
          <t>chelerythrine</t>
        </is>
      </c>
      <c r="B422" s="68" t="inlineStr">
        <is>
          <t>chelerythrine</t>
        </is>
      </c>
    </row>
    <row r="423">
      <c r="A423" s="68" t="inlineStr">
        <is>
          <t>mesembrenone</t>
        </is>
      </c>
      <c r="B423" s="68" t="inlineStr">
        <is>
          <t>mesembrenone</t>
        </is>
      </c>
    </row>
    <row r="424">
      <c r="A424" s="68" t="inlineStr">
        <is>
          <t>mesembranol</t>
        </is>
      </c>
      <c r="B424" s="68" t="inlineStr">
        <is>
          <t>mesembranol</t>
        </is>
      </c>
    </row>
    <row r="425">
      <c r="A425" s="68" t="inlineStr">
        <is>
          <t>mesembrine</t>
        </is>
      </c>
      <c r="B425" s="68" t="inlineStr">
        <is>
          <t>mesembrine</t>
        </is>
      </c>
    </row>
    <row r="426">
      <c r="A426" s="68" t="inlineStr">
        <is>
          <t>mesembrenol</t>
        </is>
      </c>
      <c r="B426" s="68" t="inlineStr">
        <is>
          <t>mesembrenol</t>
        </is>
      </c>
    </row>
    <row r="427">
      <c r="A427" s="68" t="inlineStr">
        <is>
          <t>gomisin</t>
        </is>
      </c>
      <c r="B427" s="68" t="inlineStr">
        <is>
          <t>gomisin</t>
        </is>
      </c>
    </row>
    <row r="428">
      <c r="A428" s="68" t="inlineStr">
        <is>
          <t>schisandrin</t>
        </is>
      </c>
      <c r="B428" s="68" t="inlineStr">
        <is>
          <t>schisandrin</t>
        </is>
      </c>
    </row>
    <row r="429">
      <c r="A429" s="68" t="inlineStr">
        <is>
          <t>scopadulcic acid</t>
        </is>
      </c>
      <c r="B429" s="68" t="inlineStr">
        <is>
          <t>scopadulcic acid</t>
        </is>
      </c>
    </row>
    <row r="430">
      <c r="A430" s="68" t="inlineStr">
        <is>
          <t>scoparin</t>
        </is>
      </c>
      <c r="B430" s="68" t="inlineStr">
        <is>
          <t>scoparin</t>
        </is>
      </c>
    </row>
    <row r="431">
      <c r="A431" s="68" t="inlineStr">
        <is>
          <t>baicalin</t>
        </is>
      </c>
      <c r="B431" s="68" t="inlineStr">
        <is>
          <t>baicalin</t>
        </is>
      </c>
    </row>
    <row r="432">
      <c r="A432" s="68" t="inlineStr">
        <is>
          <t>wogonin</t>
        </is>
      </c>
      <c r="B432" s="68" t="inlineStr">
        <is>
          <t>wogonin</t>
        </is>
      </c>
    </row>
    <row r="433">
      <c r="A433" s="68" t="inlineStr">
        <is>
          <t>scutellarin</t>
        </is>
      </c>
      <c r="B433" s="68" t="inlineStr">
        <is>
          <t>scutellarin</t>
        </is>
      </c>
    </row>
    <row r="434">
      <c r="A434" s="68" t="inlineStr">
        <is>
          <t>amentoflavone</t>
        </is>
      </c>
      <c r="B434" s="68" t="inlineStr">
        <is>
          <t>amentoflavone</t>
        </is>
      </c>
    </row>
    <row r="435">
      <c r="A435" s="68" t="inlineStr">
        <is>
          <t>hinokiflavone</t>
        </is>
      </c>
      <c r="B435" s="68" t="inlineStr">
        <is>
          <t>hinokiflavone</t>
        </is>
      </c>
    </row>
    <row r="436">
      <c r="A436" s="68" t="inlineStr">
        <is>
          <t>zerumbone</t>
        </is>
      </c>
      <c r="B436" s="68" t="inlineStr">
        <is>
          <t>zerumbone</t>
        </is>
      </c>
    </row>
    <row r="437">
      <c r="A437" s="68" t="inlineStr">
        <is>
          <t>hydroxy-beta-sanshool</t>
        </is>
      </c>
      <c r="B437" s="68" t="inlineStr">
        <is>
          <t>hydroxy-beta-sanshool</t>
        </is>
      </c>
    </row>
    <row r="438">
      <c r="A438" s="68" t="inlineStr">
        <is>
          <t>hydroxy-alpha-sanshool</t>
        </is>
      </c>
      <c r="B438" s="68" t="inlineStr">
        <is>
          <t>hydroxy-alpha-sanshool</t>
        </is>
      </c>
    </row>
    <row r="439">
      <c r="A439" s="68" t="inlineStr">
        <is>
          <t>silydianin</t>
        </is>
      </c>
      <c r="B439" s="68" t="inlineStr">
        <is>
          <t>silydianin</t>
        </is>
      </c>
    </row>
    <row r="440">
      <c r="A440" s="68" t="inlineStr">
        <is>
          <t>silychristin</t>
        </is>
      </c>
      <c r="B440" s="68" t="inlineStr">
        <is>
          <t>silychristin</t>
        </is>
      </c>
    </row>
    <row r="441">
      <c r="A441" s="68" t="inlineStr">
        <is>
          <t>silymarin silibinin</t>
        </is>
      </c>
      <c r="B441" s="68" t="inlineStr">
        <is>
          <t>silymarin silibinin</t>
        </is>
      </c>
    </row>
    <row r="442">
      <c r="A442" s="68" t="inlineStr">
        <is>
          <t>sarsaponin</t>
        </is>
      </c>
      <c r="B442" s="68" t="inlineStr">
        <is>
          <t>sarsaponin</t>
        </is>
      </c>
    </row>
    <row r="443">
      <c r="A443" s="68" t="inlineStr">
        <is>
          <t>solanine</t>
        </is>
      </c>
      <c r="B443" s="68" t="inlineStr">
        <is>
          <t>solanine</t>
        </is>
      </c>
    </row>
    <row r="444">
      <c r="A444" s="68" t="inlineStr">
        <is>
          <t>solamargine</t>
        </is>
      </c>
      <c r="B444" s="68" t="inlineStr">
        <is>
          <t>solamargine</t>
        </is>
      </c>
    </row>
    <row r="445">
      <c r="A445" s="68" t="inlineStr">
        <is>
          <t>matrine</t>
        </is>
      </c>
      <c r="B445" s="68" t="inlineStr">
        <is>
          <t>matrine</t>
        </is>
      </c>
    </row>
    <row r="446">
      <c r="A446" s="68" t="inlineStr">
        <is>
          <t>oxymatrine</t>
        </is>
      </c>
      <c r="B446" s="68" t="inlineStr">
        <is>
          <t>oxymatrine</t>
        </is>
      </c>
    </row>
    <row r="447">
      <c r="A447" s="68" t="inlineStr">
        <is>
          <t>kurarinone</t>
        </is>
      </c>
      <c r="B447" s="68" t="inlineStr">
        <is>
          <t>kurarinone</t>
        </is>
      </c>
    </row>
    <row r="448">
      <c r="A448" s="68" t="inlineStr">
        <is>
          <t>verbascoside</t>
        </is>
      </c>
      <c r="B448" s="68" t="inlineStr">
        <is>
          <t>verbascoside</t>
        </is>
      </c>
    </row>
    <row r="449">
      <c r="A449" s="68" t="inlineStr">
        <is>
          <t>tetrandrine</t>
        </is>
      </c>
      <c r="B449" s="68" t="inlineStr">
        <is>
          <t>tetrandrine</t>
        </is>
      </c>
    </row>
    <row r="450">
      <c r="A450" s="68" t="inlineStr">
        <is>
          <t>cepharanthine</t>
        </is>
      </c>
      <c r="B450" s="68" t="inlineStr">
        <is>
          <t>cepharanthine</t>
        </is>
      </c>
    </row>
    <row r="451">
      <c r="A451" s="68" t="inlineStr">
        <is>
          <t>fangchinoline</t>
        </is>
      </c>
      <c r="B451" s="68" t="inlineStr">
        <is>
          <t>fangchinoline</t>
        </is>
      </c>
    </row>
    <row r="452">
      <c r="A452" s="68" t="inlineStr">
        <is>
          <t>beta-lapachone</t>
        </is>
      </c>
      <c r="B452" s="68" t="inlineStr">
        <is>
          <t>beta-lapachone</t>
        </is>
      </c>
    </row>
    <row r="453">
      <c r="A453" s="68" t="inlineStr">
        <is>
          <t>lapachol</t>
        </is>
      </c>
      <c r="B453" s="68" t="inlineStr">
        <is>
          <t>lapachol</t>
        </is>
      </c>
    </row>
    <row r="454">
      <c r="A454" s="68" t="inlineStr">
        <is>
          <t>voacangine</t>
        </is>
      </c>
      <c r="B454" s="68" t="inlineStr">
        <is>
          <t>voacangine</t>
        </is>
      </c>
    </row>
    <row r="455">
      <c r="A455" s="68" t="inlineStr">
        <is>
          <t>coronaridine</t>
        </is>
      </c>
      <c r="B455" s="68" t="inlineStr">
        <is>
          <t>coronaridine</t>
        </is>
      </c>
    </row>
    <row r="456">
      <c r="A456" s="68" t="inlineStr">
        <is>
          <t>taraxasterol</t>
        </is>
      </c>
      <c r="B456" s="68" t="inlineStr">
        <is>
          <t>taraxasterol</t>
        </is>
      </c>
    </row>
    <row r="457">
      <c r="A457" s="68" t="inlineStr">
        <is>
          <t>polygodial</t>
        </is>
      </c>
      <c r="B457" s="68" t="inlineStr">
        <is>
          <t>polygodial</t>
        </is>
      </c>
    </row>
    <row r="458">
      <c r="A458" s="68" t="inlineStr">
        <is>
          <t>rutaecarpine</t>
        </is>
      </c>
      <c r="B458" s="68" t="inlineStr">
        <is>
          <t>rutaecarpine</t>
        </is>
      </c>
    </row>
    <row r="459">
      <c r="A459" s="68" t="inlineStr">
        <is>
          <t>evodiamine</t>
        </is>
      </c>
      <c r="B459" s="68" t="inlineStr">
        <is>
          <t>evodiamine</t>
        </is>
      </c>
    </row>
    <row r="460">
      <c r="A460" s="68" t="inlineStr">
        <is>
          <t>epicatechin</t>
        </is>
      </c>
      <c r="B460" s="68" t="inlineStr">
        <is>
          <t>epicatechin</t>
        </is>
      </c>
    </row>
    <row r="461">
      <c r="A461" s="68" t="inlineStr">
        <is>
          <t>thevetin b</t>
        </is>
      </c>
      <c r="B461" s="68" t="inlineStr">
        <is>
          <t>thevetin b</t>
        </is>
      </c>
    </row>
    <row r="462">
      <c r="A462" s="68" t="inlineStr">
        <is>
          <t>thevetin a</t>
        </is>
      </c>
      <c r="B462" s="68" t="inlineStr">
        <is>
          <t>thevetin a</t>
        </is>
      </c>
    </row>
    <row r="463">
      <c r="A463" s="68" t="inlineStr">
        <is>
          <t>peruvoside</t>
        </is>
      </c>
      <c r="B463" s="68" t="inlineStr">
        <is>
          <t>peruvoside</t>
        </is>
      </c>
    </row>
    <row r="464">
      <c r="A464" s="68" t="inlineStr">
        <is>
          <t>eurycomanone</t>
        </is>
      </c>
      <c r="B464" s="68" t="inlineStr">
        <is>
          <t>eurycomanone</t>
        </is>
      </c>
    </row>
    <row r="465">
      <c r="A465" s="68" t="inlineStr">
        <is>
          <t>isoflavones genistein</t>
        </is>
      </c>
      <c r="B465" s="68" t="inlineStr">
        <is>
          <t>isoflavones genistein</t>
        </is>
      </c>
    </row>
    <row r="466">
      <c r="A466" s="68" t="inlineStr">
        <is>
          <t>daidzein</t>
        </is>
      </c>
      <c r="B466" s="68" t="inlineStr">
        <is>
          <t>daidzein</t>
        </is>
      </c>
    </row>
    <row r="467">
      <c r="A467" s="68" t="inlineStr">
        <is>
          <t>curcuminoids curcumin</t>
        </is>
      </c>
      <c r="B467" s="68" t="inlineStr">
        <is>
          <t>curcuminoids curcumin</t>
        </is>
      </c>
    </row>
    <row r="468">
      <c r="A468" s="68" t="inlineStr">
        <is>
          <t>tussilagone</t>
        </is>
      </c>
      <c r="B468" s="68" t="inlineStr">
        <is>
          <t>tussilagone</t>
        </is>
      </c>
    </row>
    <row r="469">
      <c r="A469" s="68" t="inlineStr">
        <is>
          <t>tylophorine</t>
        </is>
      </c>
      <c r="B469" s="68" t="inlineStr">
        <is>
          <t>tylophorine</t>
        </is>
      </c>
    </row>
    <row r="470">
      <c r="A470" s="68" t="inlineStr">
        <is>
          <t>histamine</t>
        </is>
      </c>
      <c r="B470" s="68" t="inlineStr">
        <is>
          <t>histamine</t>
        </is>
      </c>
    </row>
    <row r="471">
      <c r="A471" s="68" t="inlineStr">
        <is>
          <t>serotonin</t>
        </is>
      </c>
      <c r="B471" s="68" t="inlineStr">
        <is>
          <t>serotonin</t>
        </is>
      </c>
    </row>
    <row r="472">
      <c r="A472" s="68" t="inlineStr">
        <is>
          <t>usnic acid</t>
        </is>
      </c>
      <c r="B472" s="68" t="inlineStr">
        <is>
          <t>usnic acid</t>
        </is>
      </c>
    </row>
    <row r="473">
      <c r="A473" s="68" t="inlineStr">
        <is>
          <t>valerenol</t>
        </is>
      </c>
      <c r="B473" s="68" t="inlineStr">
        <is>
          <t>valerenol</t>
        </is>
      </c>
    </row>
    <row r="474">
      <c r="A474" s="68" t="inlineStr">
        <is>
          <t>valerenic acid</t>
        </is>
      </c>
      <c r="B474" s="68" t="inlineStr">
        <is>
          <t>valerenic acid</t>
        </is>
      </c>
    </row>
    <row r="475">
      <c r="A475" s="68" t="inlineStr">
        <is>
          <t>isovaleric acid</t>
        </is>
      </c>
      <c r="B475" s="68" t="inlineStr">
        <is>
          <t>isovaleric acid</t>
        </is>
      </c>
    </row>
    <row r="476">
      <c r="A476" s="68" t="inlineStr">
        <is>
          <t>vincamine</t>
        </is>
      </c>
      <c r="B476" s="68" t="inlineStr">
        <is>
          <t>vincamine</t>
        </is>
      </c>
    </row>
    <row r="477">
      <c r="A477" s="68" t="inlineStr">
        <is>
          <t>agnuside</t>
        </is>
      </c>
      <c r="B477" s="68" t="inlineStr">
        <is>
          <t>agnuside</t>
        </is>
      </c>
    </row>
    <row r="478">
      <c r="A478" s="68" t="inlineStr">
        <is>
          <t>casticin</t>
        </is>
      </c>
      <c r="B478" s="68" t="inlineStr">
        <is>
          <t>casticin</t>
        </is>
      </c>
    </row>
    <row r="479">
      <c r="A479" s="68" t="inlineStr">
        <is>
          <t>xanthumin</t>
        </is>
      </c>
      <c r="B479" s="68" t="inlineStr">
        <is>
          <t>xanthumin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770"/>
  <sheetViews>
    <sheetView workbookViewId="0">
      <selection activeCell="A1" sqref="A1"/>
    </sheetView>
  </sheetViews>
  <sheetFormatPr baseColWidth="8" defaultRowHeight="15"/>
  <cols>
    <col width="28" customWidth="1" min="1" max="1"/>
    <col width="18" customWidth="1" min="2" max="2"/>
  </cols>
  <sheetData>
    <row r="1">
      <c r="A1" s="6" t="inlineStr">
        <is>
          <t>compound</t>
        </is>
      </c>
      <c r="B1" s="6" t="inlineStr">
        <is>
          <t>normalizedPathway</t>
        </is>
      </c>
    </row>
    <row r="2">
      <c r="A2" s="68" t="inlineStr">
        <is>
          <t>AMPK activation</t>
        </is>
      </c>
      <c r="B2" s="68" t="inlineStr">
        <is>
          <t>berberine</t>
        </is>
      </c>
    </row>
    <row r="3">
      <c r="A3" s="68" t="inlineStr">
        <is>
          <t>NF-kB pathway inhibition</t>
        </is>
      </c>
      <c r="B3" s="68" t="inlineStr">
        <is>
          <t>berberine</t>
        </is>
      </c>
    </row>
    <row r="4">
      <c r="A4" s="68" t="inlineStr">
        <is>
          <t>general or unknown targets</t>
        </is>
      </c>
      <c r="B4" s="68" t="inlineStr">
        <is>
          <t>berberine</t>
        </is>
      </c>
    </row>
    <row r="5">
      <c r="A5" s="68" t="inlineStr">
        <is>
          <t>mitochondrial complex I inhibition</t>
        </is>
      </c>
      <c r="B5" s="68" t="inlineStr">
        <is>
          <t>berberine</t>
        </is>
      </c>
    </row>
    <row r="6">
      <c r="A6" s="68" t="inlineStr">
        <is>
          <t>NF-kB pathway inhibition</t>
        </is>
      </c>
      <c r="B6" s="68" t="inlineStr">
        <is>
          <t>eugenol</t>
        </is>
      </c>
    </row>
    <row r="7">
      <c r="A7" s="68" t="inlineStr">
        <is>
          <t>PLCγ2-PKC pathway inhibition</t>
        </is>
      </c>
      <c r="B7" s="68" t="inlineStr">
        <is>
          <t>eugenol</t>
        </is>
      </c>
    </row>
    <row r="8">
      <c r="A8" s="68" t="inlineStr">
        <is>
          <t>TRPV1 activation</t>
        </is>
      </c>
      <c r="B8" s="68" t="inlineStr">
        <is>
          <t>eugenol</t>
        </is>
      </c>
    </row>
    <row r="9">
      <c r="A9" s="68" t="inlineStr">
        <is>
          <t>cPLA2-TxA2 pathway inhibition</t>
        </is>
      </c>
      <c r="B9" s="68" t="inlineStr">
        <is>
          <t>eugenol</t>
        </is>
      </c>
    </row>
    <row r="10">
      <c r="A10" s="68" t="inlineStr">
        <is>
          <t>gabaergic_modulation</t>
        </is>
      </c>
      <c r="B10" s="68" t="inlineStr">
        <is>
          <t>eugenol</t>
        </is>
      </c>
    </row>
    <row r="11">
      <c r="A11" s="68" t="inlineStr">
        <is>
          <t>general or unknown targets</t>
        </is>
      </c>
      <c r="B11" s="68" t="inlineStr">
        <is>
          <t>eugenol</t>
        </is>
      </c>
    </row>
    <row r="12">
      <c r="A12" s="68" t="inlineStr">
        <is>
          <t>inflammatory_pathway_modulation</t>
        </is>
      </c>
      <c r="B12" s="68" t="inlineStr">
        <is>
          <t>eugenol</t>
        </is>
      </c>
    </row>
    <row r="13">
      <c r="A13" s="68" t="inlineStr">
        <is>
          <t>voltage-gated sodium channel inhibition</t>
        </is>
      </c>
      <c r="B13" s="68" t="inlineStr">
        <is>
          <t>eugenol</t>
        </is>
      </c>
    </row>
    <row r="14">
      <c r="A14" s="68" t="inlineStr">
        <is>
          <t>NF-kB pathway modulation</t>
        </is>
      </c>
      <c r="B14" s="68" t="inlineStr">
        <is>
          <t>carvacrol</t>
        </is>
      </c>
    </row>
    <row r="15">
      <c r="A15" s="68" t="inlineStr">
        <is>
          <t>TRPA1 activation</t>
        </is>
      </c>
      <c r="B15" s="68" t="inlineStr">
        <is>
          <t>carvacrol</t>
        </is>
      </c>
    </row>
    <row r="16">
      <c r="A16" s="68" t="inlineStr">
        <is>
          <t>TRPV3 activation</t>
        </is>
      </c>
      <c r="B16" s="68" t="inlineStr">
        <is>
          <t>carvacrol</t>
        </is>
      </c>
    </row>
    <row r="17">
      <c r="A17" s="68" t="inlineStr">
        <is>
          <t>general or unknown targets</t>
        </is>
      </c>
      <c r="B17" s="68" t="inlineStr">
        <is>
          <t>carvacrol</t>
        </is>
      </c>
    </row>
    <row r="18">
      <c r="A18" s="68" t="inlineStr">
        <is>
          <t>TNF-a reduction</t>
        </is>
      </c>
      <c r="B18" s="68" t="inlineStr">
        <is>
          <t>citral</t>
        </is>
      </c>
    </row>
    <row r="19">
      <c r="A19" s="68" t="inlineStr">
        <is>
          <t>TRPM3 modulation</t>
        </is>
      </c>
      <c r="B19" s="68" t="inlineStr">
        <is>
          <t>citral</t>
        </is>
      </c>
    </row>
    <row r="20">
      <c r="A20" s="68" t="inlineStr">
        <is>
          <t>TRPM8 modulation</t>
        </is>
      </c>
      <c r="B20" s="68" t="inlineStr">
        <is>
          <t>citral</t>
        </is>
      </c>
    </row>
    <row r="21">
      <c r="A21" s="68" t="inlineStr">
        <is>
          <t>TRPV1 modulation</t>
        </is>
      </c>
      <c r="B21" s="68" t="inlineStr">
        <is>
          <t>citral</t>
        </is>
      </c>
    </row>
    <row r="22">
      <c r="A22" s="68" t="inlineStr">
        <is>
          <t>gabaergic_modulation</t>
        </is>
      </c>
      <c r="B22" s="68" t="inlineStr">
        <is>
          <t>citral</t>
        </is>
      </c>
    </row>
    <row r="23">
      <c r="A23" s="68" t="inlineStr">
        <is>
          <t>general or unknown targets</t>
        </is>
      </c>
      <c r="B23" s="68" t="inlineStr">
        <is>
          <t>citral</t>
        </is>
      </c>
    </row>
    <row r="24">
      <c r="A24" s="68" t="inlineStr">
        <is>
          <t>TRPM8 agonism</t>
        </is>
      </c>
      <c r="B24" s="68" t="inlineStr">
        <is>
          <t>menthol</t>
        </is>
      </c>
    </row>
    <row r="25">
      <c r="A25" s="68" t="inlineStr">
        <is>
          <t>general or unknown targets</t>
        </is>
      </c>
      <c r="B25" s="68" t="inlineStr">
        <is>
          <t>menthol</t>
        </is>
      </c>
    </row>
    <row r="26">
      <c r="A26" s="68" t="inlineStr">
        <is>
          <t>NF-kB pathway inhibition</t>
        </is>
      </c>
      <c r="B26" s="68" t="inlineStr">
        <is>
          <t>emodin</t>
        </is>
      </c>
    </row>
    <row r="27">
      <c r="A27" s="68" t="inlineStr">
        <is>
          <t>apoptosis/caspase signaling modulation</t>
        </is>
      </c>
      <c r="B27" s="68" t="inlineStr">
        <is>
          <t>emodin</t>
        </is>
      </c>
    </row>
    <row r="28">
      <c r="A28" s="68" t="inlineStr">
        <is>
          <t>general or unknown targets</t>
        </is>
      </c>
      <c r="B28" s="68" t="inlineStr">
        <is>
          <t>emodin</t>
        </is>
      </c>
    </row>
    <row r="29">
      <c r="A29" s="68" t="inlineStr">
        <is>
          <t>tyrosine-kinase-related signaling</t>
        </is>
      </c>
      <c r="B29" s="68" t="inlineStr">
        <is>
          <t>emodin</t>
        </is>
      </c>
    </row>
    <row r="30">
      <c r="A30" s="68" t="inlineStr">
        <is>
          <t>AMPK activation</t>
        </is>
      </c>
      <c r="B30" s="68" t="inlineStr">
        <is>
          <t>salidroside</t>
        </is>
      </c>
    </row>
    <row r="31">
      <c r="A31" s="68" t="inlineStr">
        <is>
          <t>Nrf2/ARE pathway activation</t>
        </is>
      </c>
      <c r="B31" s="68" t="inlineStr">
        <is>
          <t>salidroside</t>
        </is>
      </c>
    </row>
    <row r="32">
      <c r="A32" s="68" t="inlineStr">
        <is>
          <t>PI3K/Akt pathway modulation</t>
        </is>
      </c>
      <c r="B32" s="68" t="inlineStr">
        <is>
          <t>salidroside</t>
        </is>
      </c>
    </row>
    <row r="33">
      <c r="A33" s="68" t="inlineStr">
        <is>
          <t>general or unknown targets</t>
        </is>
      </c>
      <c r="B33" s="68" t="inlineStr">
        <is>
          <t>salidroside</t>
        </is>
      </c>
    </row>
    <row r="34">
      <c r="A34" s="68" t="inlineStr">
        <is>
          <t>NF-kB pathway inhibition</t>
        </is>
      </c>
      <c r="B34" s="68" t="inlineStr">
        <is>
          <t>quercetin</t>
        </is>
      </c>
    </row>
    <row r="35">
      <c r="A35" s="68" t="inlineStr">
        <is>
          <t>Nrf2 pathway activation</t>
        </is>
      </c>
      <c r="B35" s="68" t="inlineStr">
        <is>
          <t>quercetin</t>
        </is>
      </c>
    </row>
    <row r="36">
      <c r="A36" s="68" t="inlineStr">
        <is>
          <t>cholinergic_modulation</t>
        </is>
      </c>
      <c r="B36" s="68" t="inlineStr">
        <is>
          <t>quercetin</t>
        </is>
      </c>
    </row>
    <row r="37">
      <c r="A37" s="68" t="inlineStr">
        <is>
          <t>general or unknown targets</t>
        </is>
      </c>
      <c r="B37" s="68" t="inlineStr">
        <is>
          <t>quercetin</t>
        </is>
      </c>
    </row>
    <row r="38">
      <c r="A38" s="68" t="inlineStr">
        <is>
          <t>xanthine oxidase inhibition</t>
        </is>
      </c>
      <c r="B38" s="68" t="inlineStr">
        <is>
          <t>quercetin</t>
        </is>
      </c>
    </row>
    <row r="39">
      <c r="A39" s="68" t="inlineStr">
        <is>
          <t>AMPK activation</t>
        </is>
      </c>
      <c r="B39" s="68" t="inlineStr">
        <is>
          <t>resveratrol</t>
        </is>
      </c>
    </row>
    <row r="40">
      <c r="A40" s="68" t="inlineStr">
        <is>
          <t>NF-kB pathway inhibition</t>
        </is>
      </c>
      <c r="B40" s="68" t="inlineStr">
        <is>
          <t>resveratrol</t>
        </is>
      </c>
    </row>
    <row r="41">
      <c r="A41" s="68" t="inlineStr">
        <is>
          <t>SIRT1 activation</t>
        </is>
      </c>
      <c r="B41" s="68" t="inlineStr">
        <is>
          <t>resveratrol</t>
        </is>
      </c>
    </row>
    <row r="42">
      <c r="A42" s="68" t="inlineStr">
        <is>
          <t>MT1 receptor agonism</t>
        </is>
      </c>
      <c r="B42" s="68" t="inlineStr">
        <is>
          <t>melatonin</t>
        </is>
      </c>
    </row>
    <row r="43">
      <c r="A43" s="68" t="inlineStr">
        <is>
          <t>MT2 receptor agonism</t>
        </is>
      </c>
      <c r="B43" s="68" t="inlineStr">
        <is>
          <t>melatonin</t>
        </is>
      </c>
    </row>
    <row r="44">
      <c r="A44" s="68" t="inlineStr">
        <is>
          <t>Glutamatergic modulation</t>
        </is>
      </c>
      <c r="B44" s="68" t="inlineStr">
        <is>
          <t>l-theanine</t>
        </is>
      </c>
    </row>
    <row r="45">
      <c r="A45" s="68" t="inlineStr">
        <is>
          <t>alpha-wave/stress-response modulation</t>
        </is>
      </c>
      <c r="B45" s="68" t="inlineStr">
        <is>
          <t>l-theanine</t>
        </is>
      </c>
    </row>
    <row r="46">
      <c r="A46" s="68" t="inlineStr">
        <is>
          <t>COX-2 pathway modulation</t>
        </is>
      </c>
      <c r="B46" s="68" t="inlineStr">
        <is>
          <t>curcumin</t>
        </is>
      </c>
    </row>
    <row r="47">
      <c r="A47" s="68" t="inlineStr">
        <is>
          <t>NF-kB pathway inhibition</t>
        </is>
      </c>
      <c r="B47" s="68" t="inlineStr">
        <is>
          <t>curcumin</t>
        </is>
      </c>
    </row>
    <row r="48">
      <c r="A48" s="68" t="inlineStr">
        <is>
          <t>NFKB1 pathway</t>
        </is>
      </c>
      <c r="B48" s="68" t="inlineStr">
        <is>
          <t>curcumin</t>
        </is>
      </c>
    </row>
    <row r="49">
      <c r="A49" s="68" t="inlineStr">
        <is>
          <t>Nrf2 pathway activation</t>
        </is>
      </c>
      <c r="B49" s="68" t="inlineStr">
        <is>
          <t>curcumin</t>
        </is>
      </c>
    </row>
    <row r="50">
      <c r="A50" s="68" t="inlineStr">
        <is>
          <t>Methylation pathways</t>
        </is>
      </c>
      <c r="B50" s="68" t="inlineStr">
        <is>
          <t>s-adenosyl-l-methionine</t>
        </is>
      </c>
    </row>
    <row r="51">
      <c r="A51" s="68" t="inlineStr">
        <is>
          <t>polyamine biosynthesis</t>
        </is>
      </c>
      <c r="B51" s="68" t="inlineStr">
        <is>
          <t>s-adenosyl-l-methionine</t>
        </is>
      </c>
    </row>
    <row r="52">
      <c r="A52" s="68" t="inlineStr">
        <is>
          <t>transsulfuration pathway</t>
        </is>
      </c>
      <c r="B52" s="68" t="inlineStr">
        <is>
          <t>s-adenosyl-l-methionine</t>
        </is>
      </c>
    </row>
    <row r="53">
      <c r="A53" s="68" t="inlineStr">
        <is>
          <t>Eicosanoid pathway modulation</t>
        </is>
      </c>
      <c r="B53" s="68" t="inlineStr">
        <is>
          <t>omega-3 fatty acids</t>
        </is>
      </c>
    </row>
    <row r="54">
      <c r="A54" s="68" t="inlineStr">
        <is>
          <t>specialized pro-resolving mediator pathways</t>
        </is>
      </c>
      <c r="B54" s="68" t="inlineStr">
        <is>
          <t>omega-3 fatty acids</t>
        </is>
      </c>
    </row>
    <row r="55">
      <c r="A55" s="68" t="inlineStr">
        <is>
          <t>triglyceride synthesis reduction</t>
        </is>
      </c>
      <c r="B55" s="68" t="inlineStr">
        <is>
          <t>omega-3 fatty acids</t>
        </is>
      </c>
    </row>
    <row r="56">
      <c r="A56" s="68" t="inlineStr">
        <is>
          <t>Gut barrier integrity</t>
        </is>
      </c>
      <c r="B56" s="68" t="inlineStr">
        <is>
          <t>probiotics</t>
        </is>
      </c>
    </row>
    <row r="57">
      <c r="A57" s="68" t="inlineStr">
        <is>
          <t>colonization resistance</t>
        </is>
      </c>
      <c r="B57" s="68" t="inlineStr">
        <is>
          <t>probiotics</t>
        </is>
      </c>
    </row>
    <row r="58">
      <c r="A58" s="68" t="inlineStr">
        <is>
          <t>immune modulation</t>
        </is>
      </c>
      <c r="B58" s="68" t="inlineStr">
        <is>
          <t>probiotics</t>
        </is>
      </c>
    </row>
    <row r="59">
      <c r="A59" s="68" t="inlineStr">
        <is>
          <t>short-chain fatty acid production</t>
        </is>
      </c>
      <c r="B59" s="68" t="inlineStr">
        <is>
          <t>probiotics</t>
        </is>
      </c>
    </row>
    <row r="60">
      <c r="A60" s="68" t="inlineStr">
        <is>
          <t>Vitamin D receptor agonism</t>
        </is>
      </c>
      <c r="B60" s="68" t="inlineStr">
        <is>
          <t>vitamin d</t>
        </is>
      </c>
    </row>
    <row r="61">
      <c r="A61" s="68" t="inlineStr">
        <is>
          <t>bone mineralization signaling</t>
        </is>
      </c>
      <c r="B61" s="68" t="inlineStr">
        <is>
          <t>vitamin d</t>
        </is>
      </c>
    </row>
    <row r="62">
      <c r="A62" s="68" t="inlineStr">
        <is>
          <t>calcium absorption regulation</t>
        </is>
      </c>
      <c r="B62" s="68" t="inlineStr">
        <is>
          <t>vitamin d</t>
        </is>
      </c>
    </row>
    <row r="63">
      <c r="A63" s="68" t="inlineStr">
        <is>
          <t>Glutathione replenishment</t>
        </is>
      </c>
      <c r="B63" s="68" t="inlineStr">
        <is>
          <t>n-acetylcysteine</t>
        </is>
      </c>
    </row>
    <row r="64">
      <c r="A64" s="68" t="inlineStr">
        <is>
          <t>mucolytic disulfide-bond reduction</t>
        </is>
      </c>
      <c r="B64" s="68" t="inlineStr">
        <is>
          <t>n-acetylcysteine</t>
        </is>
      </c>
    </row>
    <row r="65">
      <c r="A65" s="68" t="inlineStr">
        <is>
          <t>redox signaling modulation</t>
        </is>
      </c>
      <c r="B65" s="68" t="inlineStr">
        <is>
          <t>n-acetylcysteine</t>
        </is>
      </c>
    </row>
    <row r="66">
      <c r="A66" s="68" t="inlineStr">
        <is>
          <t>ATP-dependent enzymatic reactions</t>
        </is>
      </c>
      <c r="B66" s="68" t="inlineStr">
        <is>
          <t>magnesium</t>
        </is>
      </c>
    </row>
    <row r="67">
      <c r="A67" s="68" t="inlineStr">
        <is>
          <t>calcium/potassium ion transport</t>
        </is>
      </c>
      <c r="B67" s="68" t="inlineStr">
        <is>
          <t>magnesium</t>
        </is>
      </c>
    </row>
    <row r="68">
      <c r="A68" s="68" t="inlineStr">
        <is>
          <t>glycolysis</t>
        </is>
      </c>
      <c r="B68" s="68" t="inlineStr">
        <is>
          <t>magnesium</t>
        </is>
      </c>
    </row>
    <row r="69">
      <c r="A69" s="68" t="inlineStr">
        <is>
          <t>oxidative phosphorylation</t>
        </is>
      </c>
      <c r="B69" s="68" t="inlineStr">
        <is>
          <t>magnesium</t>
        </is>
      </c>
    </row>
    <row r="70">
      <c r="A70" s="68" t="inlineStr">
        <is>
          <t>ATP production</t>
        </is>
      </c>
      <c r="B70" s="68" t="inlineStr">
        <is>
          <t>niacin</t>
        </is>
      </c>
    </row>
    <row r="71">
      <c r="A71" s="68" t="inlineStr">
        <is>
          <t>NAD/NADP-dependent redox metabolism</t>
        </is>
      </c>
      <c r="B71" s="68" t="inlineStr">
        <is>
          <t>niacin</t>
        </is>
      </c>
    </row>
    <row r="72">
      <c r="A72" s="68" t="inlineStr">
        <is>
          <t>tryptophan-to-niacin pathway</t>
        </is>
      </c>
      <c r="B72" s="68" t="inlineStr">
        <is>
          <t>niacin</t>
        </is>
      </c>
    </row>
    <row r="73">
      <c r="A73" s="68" t="inlineStr">
        <is>
          <t>FMN/FAD-dependent redox enzymes</t>
        </is>
      </c>
      <c r="B73" s="68" t="inlineStr">
        <is>
          <t>riboflavin</t>
        </is>
      </c>
    </row>
    <row r="74">
      <c r="A74" s="68" t="inlineStr">
        <is>
          <t>energy production</t>
        </is>
      </c>
      <c r="B74" s="68" t="inlineStr">
        <is>
          <t>riboflavin</t>
        </is>
      </c>
    </row>
    <row r="75">
      <c r="A75" s="68" t="inlineStr">
        <is>
          <t>tryptophan-to-niacin conversion</t>
        </is>
      </c>
      <c r="B75" s="68" t="inlineStr">
        <is>
          <t>riboflavin</t>
        </is>
      </c>
    </row>
    <row r="76">
      <c r="A76" s="68" t="inlineStr">
        <is>
          <t>vitamin B6 activation</t>
        </is>
      </c>
      <c r="B76" s="68" t="inlineStr">
        <is>
          <t>riboflavin</t>
        </is>
      </c>
    </row>
    <row r="77">
      <c r="A77" s="68" t="inlineStr">
        <is>
          <t>PLP/PMP-dependent amino-acid metabolism</t>
        </is>
      </c>
      <c r="B77" s="68" t="inlineStr">
        <is>
          <t>pyridoxine</t>
        </is>
      </c>
    </row>
    <row r="78">
      <c r="A78" s="68" t="inlineStr">
        <is>
          <t>glycogenolysis</t>
        </is>
      </c>
      <c r="B78" s="68" t="inlineStr">
        <is>
          <t>pyridoxine</t>
        </is>
      </c>
    </row>
    <row r="79">
      <c r="A79" s="68" t="inlineStr">
        <is>
          <t>neurotransmitter biosynthesis</t>
        </is>
      </c>
      <c r="B79" s="68" t="inlineStr">
        <is>
          <t>pyridoxine</t>
        </is>
      </c>
    </row>
    <row r="80">
      <c r="A80" s="68" t="inlineStr">
        <is>
          <t>one-carbon metabolism</t>
        </is>
      </c>
      <c r="B80" s="68" t="inlineStr">
        <is>
          <t>pyridoxine</t>
        </is>
      </c>
    </row>
    <row r="81">
      <c r="A81" s="68" t="inlineStr">
        <is>
          <t>Glutathione peroxidase systems</t>
        </is>
      </c>
      <c r="B81" s="68" t="inlineStr">
        <is>
          <t>selenium</t>
        </is>
      </c>
    </row>
    <row r="82">
      <c r="A82" s="68" t="inlineStr">
        <is>
          <t>selenoprotein P</t>
        </is>
      </c>
      <c r="B82" s="68" t="inlineStr">
        <is>
          <t>selenium</t>
        </is>
      </c>
    </row>
    <row r="83">
      <c r="A83" s="68" t="inlineStr">
        <is>
          <t>thioredoxin reductase systems</t>
        </is>
      </c>
      <c r="B83" s="68" t="inlineStr">
        <is>
          <t>selenium</t>
        </is>
      </c>
    </row>
    <row r="84">
      <c r="A84" s="68" t="inlineStr">
        <is>
          <t>thyroid hormone T4-to-T3 conversion</t>
        </is>
      </c>
      <c r="B84" s="68" t="inlineStr">
        <is>
          <t>selenium</t>
        </is>
      </c>
    </row>
    <row r="85">
      <c r="A85" s="68" t="inlineStr">
        <is>
          <t>GABA-A modulation</t>
        </is>
      </c>
      <c r="B85" s="68" t="inlineStr">
        <is>
          <t>ashwagandha withanolides</t>
        </is>
      </c>
    </row>
    <row r="86">
      <c r="A86" s="68" t="inlineStr">
        <is>
          <t>cortisol regulation</t>
        </is>
      </c>
      <c r="B86" s="68" t="inlineStr">
        <is>
          <t>ashwagandha withanolides</t>
        </is>
      </c>
    </row>
    <row r="87">
      <c r="A87" s="68" t="inlineStr">
        <is>
          <t>AMPK activation</t>
        </is>
      </c>
      <c r="B87" s="68" t="inlineStr">
        <is>
          <t>rhodiola salidroside rosavin</t>
        </is>
      </c>
    </row>
    <row r="88">
      <c r="A88" s="68" t="inlineStr">
        <is>
          <t>HPA-axis modulation</t>
        </is>
      </c>
      <c r="B88" s="68" t="inlineStr">
        <is>
          <t>rhodiola salidroside rosavin</t>
        </is>
      </c>
    </row>
    <row r="89">
      <c r="A89" s="68" t="inlineStr">
        <is>
          <t>PAF receptor antagonism</t>
        </is>
      </c>
      <c r="B89" s="68" t="inlineStr">
        <is>
          <t>ginkgo biloba ginkgolides</t>
        </is>
      </c>
    </row>
    <row r="90">
      <c r="A90" s="68" t="inlineStr">
        <is>
          <t>GABA-A modulation</t>
        </is>
      </c>
      <c r="B90" s="68" t="inlineStr">
        <is>
          <t>kava kavalactones</t>
        </is>
      </c>
    </row>
    <row r="91">
      <c r="A91" s="68" t="inlineStr">
        <is>
          <t>GABA-A modulation</t>
        </is>
      </c>
      <c r="B91" s="68" t="inlineStr">
        <is>
          <t>valerian valerenic acid</t>
        </is>
      </c>
    </row>
    <row r="92">
      <c r="A92" s="68" t="inlineStr">
        <is>
          <t>COX-2 inhibition</t>
        </is>
      </c>
      <c r="B92" s="68" t="inlineStr">
        <is>
          <t>curcuminoids</t>
        </is>
      </c>
    </row>
    <row r="93">
      <c r="A93" s="68" t="inlineStr">
        <is>
          <t>NF-kB inhibition</t>
        </is>
      </c>
      <c r="B93" s="68" t="inlineStr">
        <is>
          <t>curcuminoids</t>
        </is>
      </c>
    </row>
    <row r="94">
      <c r="A94" s="68" t="inlineStr">
        <is>
          <t>MAPK pathway</t>
        </is>
      </c>
      <c r="B94" s="68" t="inlineStr">
        <is>
          <t>aloe-emodin</t>
        </is>
      </c>
    </row>
    <row r="95">
      <c r="A95" s="68" t="inlineStr">
        <is>
          <t>NF-kB inhibition</t>
        </is>
      </c>
      <c r="B95" s="68" t="inlineStr">
        <is>
          <t>aloe-emodin</t>
        </is>
      </c>
    </row>
    <row r="96">
      <c r="A96" s="68" t="inlineStr">
        <is>
          <t>general or unknown targets</t>
        </is>
      </c>
      <c r="B96" s="68" t="inlineStr">
        <is>
          <t>aloe-emodin</t>
        </is>
      </c>
    </row>
    <row r="97">
      <c r="A97" s="68" t="inlineStr">
        <is>
          <t>TRPV1 activation</t>
        </is>
      </c>
      <c r="B97" s="68" t="inlineStr">
        <is>
          <t>capsaicin</t>
        </is>
      </c>
    </row>
    <row r="98">
      <c r="A98" s="68" t="inlineStr">
        <is>
          <t>general or unknown targets</t>
        </is>
      </c>
      <c r="B98" s="68" t="inlineStr">
        <is>
          <t>capsaicin</t>
        </is>
      </c>
    </row>
    <row r="99">
      <c r="A99" s="68" t="inlineStr">
        <is>
          <t>LOX inhibition</t>
        </is>
      </c>
      <c r="B99" s="68" t="inlineStr">
        <is>
          <t>baicalein</t>
        </is>
      </c>
    </row>
    <row r="100">
      <c r="A100" s="68" t="inlineStr">
        <is>
          <t>NF-kB inhibition</t>
        </is>
      </c>
      <c r="B100" s="68" t="inlineStr">
        <is>
          <t>baicalein</t>
        </is>
      </c>
    </row>
    <row r="101">
      <c r="A101" s="68" t="inlineStr">
        <is>
          <t>gabaergic_modulation</t>
        </is>
      </c>
      <c r="B101" s="68" t="inlineStr">
        <is>
          <t>baicalein</t>
        </is>
      </c>
    </row>
    <row r="102">
      <c r="A102" s="68" t="inlineStr">
        <is>
          <t>general or unknown targets</t>
        </is>
      </c>
      <c r="B102" s="68" t="inlineStr">
        <is>
          <t>baicalein</t>
        </is>
      </c>
    </row>
    <row r="103">
      <c r="A103" s="68" t="inlineStr">
        <is>
          <t>NF-kB modulation</t>
        </is>
      </c>
      <c r="B103" s="68" t="inlineStr">
        <is>
          <t>hesperidin</t>
        </is>
      </c>
    </row>
    <row r="104">
      <c r="A104" s="68" t="inlineStr">
        <is>
          <t>cytokine suppression</t>
        </is>
      </c>
      <c r="B104" s="68" t="inlineStr">
        <is>
          <t>hesperidin</t>
        </is>
      </c>
    </row>
    <row r="105">
      <c r="A105" s="68" t="inlineStr">
        <is>
          <t>MTF-1</t>
        </is>
      </c>
      <c r="B105" s="68" t="inlineStr">
        <is>
          <t>zinc</t>
        </is>
      </c>
    </row>
    <row r="106">
      <c r="A106" s="68" t="inlineStr">
        <is>
          <t>Metallothionein</t>
        </is>
      </c>
      <c r="B106" s="68" t="inlineStr">
        <is>
          <t>zinc</t>
        </is>
      </c>
    </row>
    <row r="107">
      <c r="A107" s="68" t="inlineStr">
        <is>
          <t>ZIP</t>
        </is>
      </c>
      <c r="B107" s="68" t="inlineStr">
        <is>
          <t>zinc</t>
        </is>
      </c>
    </row>
    <row r="108">
      <c r="A108" s="68" t="inlineStr">
        <is>
          <t>ZnT</t>
        </is>
      </c>
      <c r="B108" s="68" t="inlineStr">
        <is>
          <t>zinc</t>
        </is>
      </c>
    </row>
    <row r="109">
      <c r="A109" s="68" t="inlineStr">
        <is>
          <t>MAPK pathway inhibition</t>
        </is>
      </c>
      <c r="B109" s="68" t="inlineStr">
        <is>
          <t>luteolin</t>
        </is>
      </c>
    </row>
    <row r="110">
      <c r="A110" s="68" t="inlineStr">
        <is>
          <t>NF-kB inhibition</t>
        </is>
      </c>
      <c r="B110" s="68" t="inlineStr">
        <is>
          <t>luteolin</t>
        </is>
      </c>
    </row>
    <row r="111">
      <c r="A111" s="68" t="inlineStr">
        <is>
          <t>general or unknown targets</t>
        </is>
      </c>
      <c r="B111" s="68" t="inlineStr">
        <is>
          <t>luteolin</t>
        </is>
      </c>
    </row>
    <row r="112">
      <c r="A112" s="68" t="inlineStr">
        <is>
          <t>ER modulation</t>
        </is>
      </c>
      <c r="B112" s="68" t="inlineStr">
        <is>
          <t>genistein</t>
        </is>
      </c>
    </row>
    <row r="113">
      <c r="A113" s="68" t="inlineStr">
        <is>
          <t>Tyrosine kinase inhibition</t>
        </is>
      </c>
      <c r="B113" s="68" t="inlineStr">
        <is>
          <t>genistein</t>
        </is>
      </c>
    </row>
    <row r="114">
      <c r="A114" s="68" t="inlineStr">
        <is>
          <t>Nrf2 activation</t>
        </is>
      </c>
      <c r="B114" s="68" t="inlineStr">
        <is>
          <t>sulforaphane</t>
        </is>
      </c>
    </row>
    <row r="115">
      <c r="A115" s="68" t="inlineStr">
        <is>
          <t>phase II enzyme induction</t>
        </is>
      </c>
      <c r="B115" s="68" t="inlineStr">
        <is>
          <t>sulforaphane</t>
        </is>
      </c>
    </row>
    <row r="116">
      <c r="A116" s="68" t="inlineStr">
        <is>
          <t>CYP3A4 inhibition</t>
        </is>
      </c>
      <c r="B116" s="68" t="inlineStr">
        <is>
          <t>piperine</t>
        </is>
      </c>
    </row>
    <row r="117">
      <c r="A117" s="68" t="inlineStr">
        <is>
          <t>P-gp inhibition</t>
        </is>
      </c>
      <c r="B117" s="68" t="inlineStr">
        <is>
          <t>piperine</t>
        </is>
      </c>
    </row>
    <row r="118">
      <c r="A118" s="68" t="inlineStr">
        <is>
          <t>NF-kB modulation</t>
        </is>
      </c>
      <c r="B118" s="68" t="inlineStr">
        <is>
          <t>ellagic acid</t>
        </is>
      </c>
    </row>
    <row r="119">
      <c r="A119" s="68" t="inlineStr">
        <is>
          <t>general or unknown targets</t>
        </is>
      </c>
      <c r="B119" s="68" t="inlineStr">
        <is>
          <t>ellagic acid</t>
        </is>
      </c>
    </row>
    <row r="120">
      <c r="A120" s="68" t="inlineStr">
        <is>
          <t>oxidative stress pathways</t>
        </is>
      </c>
      <c r="B120" s="68" t="inlineStr">
        <is>
          <t>ellagic acid</t>
        </is>
      </c>
    </row>
    <row r="121">
      <c r="A121" s="68" t="inlineStr">
        <is>
          <t>GABA-A receptor activation</t>
        </is>
      </c>
      <c r="B121" s="68" t="inlineStr">
        <is>
          <t>gamma-aminobutyric acid</t>
        </is>
      </c>
    </row>
    <row r="122">
      <c r="A122" s="68" t="inlineStr">
        <is>
          <t>GABA-B receptor activation</t>
        </is>
      </c>
      <c r="B122" s="68" t="inlineStr">
        <is>
          <t>gamma-aminobutyric acid</t>
        </is>
      </c>
    </row>
    <row r="123">
      <c r="A123" s="68" t="inlineStr">
        <is>
          <t>general or unknown targets</t>
        </is>
      </c>
      <c r="B123" s="68" t="inlineStr">
        <is>
          <t>gamma-aminobutyric acid</t>
        </is>
      </c>
    </row>
    <row r="124">
      <c r="A124" s="68" t="inlineStr">
        <is>
          <t>GABA receptor modulation</t>
        </is>
      </c>
      <c r="B124" s="68" t="inlineStr">
        <is>
          <t>taurine</t>
        </is>
      </c>
    </row>
    <row r="125">
      <c r="A125" s="68" t="inlineStr">
        <is>
          <t>Glycine receptor modulation</t>
        </is>
      </c>
      <c r="B125" s="68" t="inlineStr">
        <is>
          <t>taurine</t>
        </is>
      </c>
    </row>
    <row r="126">
      <c r="A126" s="68" t="inlineStr">
        <is>
          <t>Osmoregulation pathways</t>
        </is>
      </c>
      <c r="B126" s="68" t="inlineStr">
        <is>
          <t>taurine</t>
        </is>
      </c>
    </row>
    <row r="127">
      <c r="A127" s="68" t="inlineStr">
        <is>
          <t>Carnitine shuttle system</t>
        </is>
      </c>
      <c r="B127" s="68" t="inlineStr">
        <is>
          <t>acetyl-l-carnitine</t>
        </is>
      </c>
    </row>
    <row r="128">
      <c r="A128" s="68" t="inlineStr">
        <is>
          <t>Mitochondrial beta-oxidation</t>
        </is>
      </c>
      <c r="B128" s="68" t="inlineStr">
        <is>
          <t>acetyl-l-carnitine</t>
        </is>
      </c>
    </row>
    <row r="129">
      <c r="A129" s="68" t="inlineStr">
        <is>
          <t>Acetylcholine synthesis pathway</t>
        </is>
      </c>
      <c r="B129" s="68" t="inlineStr">
        <is>
          <t>choline</t>
        </is>
      </c>
    </row>
    <row r="130">
      <c r="A130" s="68" t="inlineStr">
        <is>
          <t>Methylation pathways</t>
        </is>
      </c>
      <c r="B130" s="68" t="inlineStr">
        <is>
          <t>choline</t>
        </is>
      </c>
    </row>
    <row r="131">
      <c r="A131" s="68" t="inlineStr">
        <is>
          <t>Phospholipid metabolism</t>
        </is>
      </c>
      <c r="B131" s="68" t="inlineStr">
        <is>
          <t>choline</t>
        </is>
      </c>
    </row>
    <row r="132">
      <c r="A132" s="68" t="inlineStr">
        <is>
          <t>general or unknown targets</t>
        </is>
      </c>
      <c r="B132" s="68" t="inlineStr">
        <is>
          <t>choline</t>
        </is>
      </c>
    </row>
    <row r="133">
      <c r="A133" s="68" t="inlineStr">
        <is>
          <t>Inositol phosphate signaling</t>
        </is>
      </c>
      <c r="B133" s="68" t="inlineStr">
        <is>
          <t>myo-inositol</t>
        </is>
      </c>
    </row>
    <row r="134">
      <c r="A134" s="68" t="inlineStr">
        <is>
          <t>PI3K signaling pathway</t>
        </is>
      </c>
      <c r="B134" s="68" t="inlineStr">
        <is>
          <t>myo-inositol</t>
        </is>
      </c>
    </row>
    <row r="135">
      <c r="A135" s="68" t="inlineStr">
        <is>
          <t>Tyrosine pool replenishment</t>
        </is>
      </c>
      <c r="B135" s="68" t="inlineStr">
        <is>
          <t>n-acetyl-l-tyrosine</t>
        </is>
      </c>
    </row>
    <row r="136">
      <c r="A136" s="68" t="inlineStr">
        <is>
          <t>catecholamine biosynthesis support</t>
        </is>
      </c>
      <c r="B136" s="68" t="inlineStr">
        <is>
          <t>n-acetyl-l-tyrosine</t>
        </is>
      </c>
    </row>
    <row r="137">
      <c r="A137" s="68" t="inlineStr">
        <is>
          <t>thyroid hormone precursor biology</t>
        </is>
      </c>
      <c r="B137" s="68" t="inlineStr">
        <is>
          <t>n-acetyl-l-tyrosine</t>
        </is>
      </c>
    </row>
    <row r="138">
      <c r="A138" s="68" t="inlineStr">
        <is>
          <t>Phenylalanine hydroxylase pathway</t>
        </is>
      </c>
      <c r="B138" s="68" t="inlineStr">
        <is>
          <t>l-phenylalanine</t>
        </is>
      </c>
    </row>
    <row r="139">
      <c r="A139" s="68" t="inlineStr">
        <is>
          <t>catecholamine precursor biology</t>
        </is>
      </c>
      <c r="B139" s="68" t="inlineStr">
        <is>
          <t>l-phenylalanine</t>
        </is>
      </c>
    </row>
    <row r="140">
      <c r="A140" s="68" t="inlineStr">
        <is>
          <t>tyrosine biosynthesis</t>
        </is>
      </c>
      <c r="B140" s="68" t="inlineStr">
        <is>
          <t>l-phenylalanine</t>
        </is>
      </c>
    </row>
    <row r="141">
      <c r="A141" s="68" t="inlineStr">
        <is>
          <t>Tryptophan hydroxylase pathway</t>
        </is>
      </c>
      <c r="B141" s="68" t="inlineStr">
        <is>
          <t>l-tryptophan</t>
        </is>
      </c>
    </row>
    <row r="142">
      <c r="A142" s="68" t="inlineStr">
        <is>
          <t>kynurenine pathway</t>
        </is>
      </c>
      <c r="B142" s="68" t="inlineStr">
        <is>
          <t>l-tryptophan</t>
        </is>
      </c>
    </row>
    <row r="143">
      <c r="A143" s="68" t="inlineStr">
        <is>
          <t>serotonin biosynthesis</t>
        </is>
      </c>
      <c r="B143" s="68" t="inlineStr">
        <is>
          <t>l-tryptophan</t>
        </is>
      </c>
    </row>
    <row r="144">
      <c r="A144" s="68" t="inlineStr">
        <is>
          <t>Aromatic L-amino-acid decarboxylase pathway</t>
        </is>
      </c>
      <c r="B144" s="68" t="inlineStr">
        <is>
          <t>5-hydroxytryptophan</t>
        </is>
      </c>
    </row>
    <row r="145">
      <c r="A145" s="68" t="inlineStr">
        <is>
          <t>HTR1A, HTR2A (serotonin receptors)</t>
        </is>
      </c>
      <c r="B145" s="68" t="inlineStr">
        <is>
          <t>5-hydroxytryptophan</t>
        </is>
      </c>
    </row>
    <row r="146">
      <c r="A146" s="68" t="inlineStr">
        <is>
          <t>melatonin precursor biology</t>
        </is>
      </c>
      <c r="B146" s="68" t="inlineStr">
        <is>
          <t>5-hydroxytryptophan</t>
        </is>
      </c>
    </row>
    <row r="147">
      <c r="A147" s="68" t="inlineStr">
        <is>
          <t>serotonin biosynthesis</t>
        </is>
      </c>
      <c r="B147" s="68" t="inlineStr">
        <is>
          <t>5-hydroxytryptophan</t>
        </is>
      </c>
    </row>
    <row r="148">
      <c r="A148" s="68" t="inlineStr">
        <is>
          <t>Tyrosine hydroxylase pathway</t>
        </is>
      </c>
      <c r="B148" s="68" t="inlineStr">
        <is>
          <t>l-tyrosine</t>
        </is>
      </c>
    </row>
    <row r="149">
      <c r="A149" s="68" t="inlineStr">
        <is>
          <t>catecholamine biosynthesis</t>
        </is>
      </c>
      <c r="B149" s="68" t="inlineStr">
        <is>
          <t>l-tyrosine</t>
        </is>
      </c>
    </row>
    <row r="150">
      <c r="A150" s="68" t="inlineStr">
        <is>
          <t>melanin synthesis</t>
        </is>
      </c>
      <c r="B150" s="68" t="inlineStr">
        <is>
          <t>l-tyrosine</t>
        </is>
      </c>
    </row>
    <row r="151">
      <c r="A151" s="68" t="inlineStr">
        <is>
          <t>Kennedy pathway / phosphatidylcholine biosynthesis</t>
        </is>
      </c>
      <c r="B151" s="68" t="inlineStr">
        <is>
          <t>citicoline cdp-choline</t>
        </is>
      </c>
    </row>
    <row r="152">
      <c r="A152" s="68" t="inlineStr">
        <is>
          <t>acetylcholine precursor biology</t>
        </is>
      </c>
      <c r="B152" s="68" t="inlineStr">
        <is>
          <t>citicoline cdp-choline</t>
        </is>
      </c>
    </row>
    <row r="153">
      <c r="A153" s="68" t="inlineStr">
        <is>
          <t>membrane phospholipid turnover</t>
        </is>
      </c>
      <c r="B153" s="68" t="inlineStr">
        <is>
          <t>citicoline cdp-choline</t>
        </is>
      </c>
    </row>
    <row r="154">
      <c r="A154" s="68" t="inlineStr">
        <is>
          <t>Acetylcholine synthesis pathway</t>
        </is>
      </c>
      <c r="B154" s="68" t="inlineStr">
        <is>
          <t>alpha-gpc l-alpha-glycerylphosphorylcholine</t>
        </is>
      </c>
    </row>
    <row r="155">
      <c r="A155" s="68" t="inlineStr">
        <is>
          <t>choline pool replenishment</t>
        </is>
      </c>
      <c r="B155" s="68" t="inlineStr">
        <is>
          <t>alpha-gpc l-alpha-glycerylphosphorylcholine</t>
        </is>
      </c>
    </row>
    <row r="156">
      <c r="A156" s="68" t="inlineStr">
        <is>
          <t>phospholipid metabolism</t>
        </is>
      </c>
      <c r="B156" s="68" t="inlineStr">
        <is>
          <t>alpha-gpc l-alpha-glycerylphosphorylcholine</t>
        </is>
      </c>
    </row>
    <row r="157">
      <c r="A157" s="68" t="inlineStr">
        <is>
          <t>Cell-membrane phospholipid signaling</t>
        </is>
      </c>
      <c r="B157" s="68" t="inlineStr">
        <is>
          <t>phosphatidylserine</t>
        </is>
      </c>
    </row>
    <row r="158">
      <c r="A158" s="68" t="inlineStr">
        <is>
          <t>apoptotic membrane signaling</t>
        </is>
      </c>
      <c r="B158" s="68" t="inlineStr">
        <is>
          <t>phosphatidylserine</t>
        </is>
      </c>
    </row>
    <row r="159">
      <c r="A159" s="68" t="inlineStr">
        <is>
          <t>cortisol/stress-response modulation</t>
        </is>
      </c>
      <c r="B159" s="68" t="inlineStr">
        <is>
          <t>phosphatidylserine</t>
        </is>
      </c>
    </row>
    <row r="160">
      <c r="A160" s="68" t="inlineStr">
        <is>
          <t>Pyrimidine salvage pathway</t>
        </is>
      </c>
      <c r="B160" s="68" t="inlineStr">
        <is>
          <t>uridine monophosphate</t>
        </is>
      </c>
    </row>
    <row r="161">
      <c r="A161" s="68" t="inlineStr">
        <is>
          <t>membrane phosphatide synthesis</t>
        </is>
      </c>
      <c r="B161" s="68" t="inlineStr">
        <is>
          <t>uridine monophosphate</t>
        </is>
      </c>
    </row>
    <row r="162">
      <c r="A162" s="68" t="inlineStr">
        <is>
          <t>uridine/cytidine nucleotide metabolism</t>
        </is>
      </c>
      <c r="B162" s="68" t="inlineStr">
        <is>
          <t>uridine monophosphate</t>
        </is>
      </c>
    </row>
    <row r="163">
      <c r="A163" s="68" t="inlineStr">
        <is>
          <t>Acetylcholinesterase inhibition</t>
        </is>
      </c>
      <c r="B163" s="68" t="inlineStr">
        <is>
          <t>huperzine a</t>
        </is>
      </c>
    </row>
    <row r="164">
      <c r="A164" s="68" t="inlineStr">
        <is>
          <t>cholinergic_modulation</t>
        </is>
      </c>
      <c r="B164" s="68" t="inlineStr">
        <is>
          <t>huperzine a</t>
        </is>
      </c>
    </row>
    <row r="165">
      <c r="A165" s="68" t="inlineStr">
        <is>
          <t>synaptic acetylcholine increase</t>
        </is>
      </c>
      <c r="B165" s="68" t="inlineStr">
        <is>
          <t>huperzine a</t>
        </is>
      </c>
    </row>
    <row r="166">
      <c r="A166" s="68" t="inlineStr">
        <is>
          <t>serotonergic_5HT2A_agonism</t>
        </is>
      </c>
      <c r="B166" s="68" t="inlineStr">
        <is>
          <t>n-methyltryptamine</t>
        </is>
      </c>
    </row>
    <row r="167">
      <c r="A167" s="68" t="inlineStr">
        <is>
          <t>HTR1A, HTR2A (serotonin receptors)</t>
        </is>
      </c>
      <c r="B167" s="68" t="inlineStr">
        <is>
          <t>tryptamine</t>
        </is>
      </c>
    </row>
    <row r="168">
      <c r="A168" s="68" t="inlineStr">
        <is>
          <t>serotonergic_5HT2A_agonism</t>
        </is>
      </c>
      <c r="B168" s="68" t="inlineStr">
        <is>
          <t>tryptamine</t>
        </is>
      </c>
    </row>
    <row r="169">
      <c r="A169" s="68" t="inlineStr">
        <is>
          <t>serotonergic_5HT2A_agonism</t>
        </is>
      </c>
      <c r="B169" s="68" t="inlineStr">
        <is>
          <t>n-dimethyltryptamine</t>
        </is>
      </c>
    </row>
    <row r="170">
      <c r="A170" s="68" t="inlineStr">
        <is>
          <t>general or unknown targets</t>
        </is>
      </c>
      <c r="B170" s="68" t="inlineStr">
        <is>
          <t>gallic acid</t>
        </is>
      </c>
    </row>
    <row r="171">
      <c r="A171" s="68" t="inlineStr">
        <is>
          <t>general or unknown targets</t>
        </is>
      </c>
      <c r="B171" s="68" t="inlineStr">
        <is>
          <t>spilanthol</t>
        </is>
      </c>
    </row>
    <row r="172">
      <c r="A172" s="68" t="inlineStr">
        <is>
          <t>general or unknown targets</t>
        </is>
      </c>
      <c r="B172" s="68" t="inlineStr">
        <is>
          <t>hypaconitine</t>
        </is>
      </c>
    </row>
    <row r="173">
      <c r="A173" s="68" t="inlineStr">
        <is>
          <t>general or unknown targets</t>
        </is>
      </c>
      <c r="B173" s="68" t="inlineStr">
        <is>
          <t>mesaconitine</t>
        </is>
      </c>
    </row>
    <row r="174">
      <c r="A174" s="68" t="inlineStr">
        <is>
          <t>general or unknown targets</t>
        </is>
      </c>
      <c r="B174" s="68" t="inlineStr">
        <is>
          <t>aconitine</t>
        </is>
      </c>
    </row>
    <row r="175">
      <c r="A175" s="68" t="inlineStr">
        <is>
          <t>general or unknown targets</t>
        </is>
      </c>
      <c r="B175" s="68" t="inlineStr">
        <is>
          <t>beta-asarone low levels</t>
        </is>
      </c>
    </row>
    <row r="176">
      <c r="A176" s="68" t="inlineStr">
        <is>
          <t>gabaergic_modulation</t>
        </is>
      </c>
      <c r="B176" s="68" t="inlineStr">
        <is>
          <t>alpha-asarone</t>
        </is>
      </c>
    </row>
    <row r="177">
      <c r="A177" s="68" t="inlineStr">
        <is>
          <t>general or unknown targets</t>
        </is>
      </c>
      <c r="B177" s="68" t="inlineStr">
        <is>
          <t>alpha-asarone</t>
        </is>
      </c>
    </row>
    <row r="178">
      <c r="A178" s="68" t="inlineStr">
        <is>
          <t>gabaergic_modulation</t>
        </is>
      </c>
      <c r="B178" s="68" t="inlineStr">
        <is>
          <t>beta-asarone</t>
        </is>
      </c>
    </row>
    <row r="179">
      <c r="A179" s="68" t="inlineStr">
        <is>
          <t>general or unknown targets</t>
        </is>
      </c>
      <c r="B179" s="68" t="inlineStr">
        <is>
          <t>beta-asarone</t>
        </is>
      </c>
    </row>
    <row r="180">
      <c r="A180" s="68" t="inlineStr">
        <is>
          <t>general or unknown targets</t>
        </is>
      </c>
      <c r="B180" s="68" t="inlineStr">
        <is>
          <t>vasicine</t>
        </is>
      </c>
    </row>
    <row r="181">
      <c r="A181" s="68" t="inlineStr">
        <is>
          <t>general or unknown targets</t>
        </is>
      </c>
      <c r="B181" s="68" t="inlineStr">
        <is>
          <t>vasicinone</t>
        </is>
      </c>
    </row>
    <row r="182">
      <c r="A182" s="68" t="inlineStr">
        <is>
          <t>general or unknown targets</t>
        </is>
      </c>
      <c r="B182" s="68" t="inlineStr">
        <is>
          <t>skimmianine</t>
        </is>
      </c>
    </row>
    <row r="183">
      <c r="A183" s="68" t="inlineStr">
        <is>
          <t>general or unknown targets</t>
        </is>
      </c>
      <c r="B183" s="68" t="inlineStr">
        <is>
          <t>aegeline</t>
        </is>
      </c>
    </row>
    <row r="184">
      <c r="A184" s="68" t="inlineStr">
        <is>
          <t>general or unknown targets</t>
        </is>
      </c>
      <c r="B184" s="68" t="inlineStr">
        <is>
          <t>marmelosin</t>
        </is>
      </c>
    </row>
    <row r="185">
      <c r="A185" s="68" t="inlineStr">
        <is>
          <t>general or unknown targets</t>
        </is>
      </c>
      <c r="B185" s="68" t="inlineStr">
        <is>
          <t>unresolved herb level entry</t>
        </is>
      </c>
    </row>
    <row r="186">
      <c r="A186" s="68" t="inlineStr">
        <is>
          <t>inflammatory_pathway_modulation</t>
        </is>
      </c>
      <c r="B186" s="68" t="inlineStr">
        <is>
          <t>unresolved herb level entry</t>
        </is>
      </c>
    </row>
    <row r="187">
      <c r="A187" s="68" t="inlineStr">
        <is>
          <t>general or unknown targets</t>
        </is>
      </c>
      <c r="B187" s="68" t="inlineStr">
        <is>
          <t>aesculin</t>
        </is>
      </c>
    </row>
    <row r="188">
      <c r="A188" s="68" t="inlineStr">
        <is>
          <t>general or unknown targets</t>
        </is>
      </c>
      <c r="B188" s="68" t="inlineStr">
        <is>
          <t>aescin</t>
        </is>
      </c>
    </row>
    <row r="189">
      <c r="A189" s="68" t="inlineStr">
        <is>
          <t>general or unknown targets</t>
        </is>
      </c>
      <c r="B189" s="68" t="inlineStr">
        <is>
          <t>fraxin</t>
        </is>
      </c>
    </row>
    <row r="190">
      <c r="A190" s="68" t="inlineStr">
        <is>
          <t>endocannabinoid_modulation</t>
        </is>
      </c>
      <c r="B190" s="68" t="inlineStr">
        <is>
          <t>limonene</t>
        </is>
      </c>
    </row>
    <row r="191">
      <c r="A191" s="68" t="inlineStr">
        <is>
          <t>general or unknown targets</t>
        </is>
      </c>
      <c r="B191" s="68" t="inlineStr">
        <is>
          <t>limonene</t>
        </is>
      </c>
    </row>
    <row r="192">
      <c r="A192" s="68" t="inlineStr">
        <is>
          <t>general or unknown targets</t>
        </is>
      </c>
      <c r="B192" s="68" t="inlineStr">
        <is>
          <t>anethole</t>
        </is>
      </c>
    </row>
    <row r="193">
      <c r="A193" s="68" t="inlineStr">
        <is>
          <t>general or unknown targets</t>
        </is>
      </c>
      <c r="B193" s="68" t="inlineStr">
        <is>
          <t>estragole</t>
        </is>
      </c>
    </row>
    <row r="194">
      <c r="A194" s="68" t="inlineStr">
        <is>
          <t>general or unknown targets</t>
        </is>
      </c>
      <c r="B194" s="68" t="inlineStr">
        <is>
          <t>agrimoniin</t>
        </is>
      </c>
    </row>
    <row r="195">
      <c r="A195" s="68" t="inlineStr">
        <is>
          <t>general or unknown targets</t>
        </is>
      </c>
      <c r="B195" s="68" t="inlineStr">
        <is>
          <t>alangine</t>
        </is>
      </c>
    </row>
    <row r="196">
      <c r="A196" s="68" t="inlineStr">
        <is>
          <t>PTGS1, PTGS2 (COX-1, COX-2)</t>
        </is>
      </c>
      <c r="B196" s="68" t="inlineStr">
        <is>
          <t>salicylic acid</t>
        </is>
      </c>
    </row>
    <row r="197">
      <c r="A197" s="68" t="inlineStr">
        <is>
          <t>general or unknown targets</t>
        </is>
      </c>
      <c r="B197" s="68" t="inlineStr">
        <is>
          <t>alchorneine</t>
        </is>
      </c>
    </row>
    <row r="198">
      <c r="A198" s="68" t="inlineStr">
        <is>
          <t>general or unknown targets</t>
        </is>
      </c>
      <c r="B198" s="68" t="inlineStr">
        <is>
          <t>allicin</t>
        </is>
      </c>
    </row>
    <row r="199">
      <c r="A199" s="68" t="inlineStr">
        <is>
          <t>general or unknown targets</t>
        </is>
      </c>
      <c r="B199" s="68" t="inlineStr">
        <is>
          <t>ajoene</t>
        </is>
      </c>
    </row>
    <row r="200">
      <c r="A200" s="68" t="inlineStr">
        <is>
          <t>general or unknown targets</t>
        </is>
      </c>
      <c r="B200" s="68" t="inlineStr">
        <is>
          <t>aloin</t>
        </is>
      </c>
    </row>
    <row r="201">
      <c r="A201" s="68" t="inlineStr">
        <is>
          <t>general or unknown targets</t>
        </is>
      </c>
      <c r="B201" s="68" t="inlineStr">
        <is>
          <t>pectin</t>
        </is>
      </c>
    </row>
    <row r="202">
      <c r="A202" s="68" t="inlineStr">
        <is>
          <t>gabaergic_modulation</t>
        </is>
      </c>
      <c r="B202" s="68" t="inlineStr">
        <is>
          <t>muscimol</t>
        </is>
      </c>
    </row>
    <row r="203">
      <c r="A203" s="68" t="inlineStr">
        <is>
          <t>general or unknown targets</t>
        </is>
      </c>
      <c r="B203" s="68" t="inlineStr">
        <is>
          <t>muscimol</t>
        </is>
      </c>
    </row>
    <row r="204">
      <c r="A204" s="68" t="inlineStr">
        <is>
          <t>gabaergic_modulation</t>
        </is>
      </c>
      <c r="B204" s="68" t="inlineStr">
        <is>
          <t>ibotenic acid</t>
        </is>
      </c>
    </row>
    <row r="205">
      <c r="A205" s="68" t="inlineStr">
        <is>
          <t>general or unknown targets</t>
        </is>
      </c>
      <c r="B205" s="68" t="inlineStr">
        <is>
          <t>ibotenic acid</t>
        </is>
      </c>
    </row>
    <row r="206">
      <c r="A206" s="68" t="inlineStr">
        <is>
          <t>gabaergic_modulation</t>
        </is>
      </c>
      <c r="B206" s="68" t="inlineStr">
        <is>
          <t>ginsenosides including rb1</t>
        </is>
      </c>
    </row>
    <row r="207">
      <c r="A207" s="68" t="inlineStr">
        <is>
          <t>inflammatory_pathway_modulation</t>
        </is>
      </c>
      <c r="B207" s="68" t="inlineStr">
        <is>
          <t>ginsenosides including rb1</t>
        </is>
      </c>
    </row>
    <row r="208">
      <c r="A208" s="68" t="inlineStr">
        <is>
          <t>gabaergic_modulation</t>
        </is>
      </c>
      <c r="B208" s="68" t="inlineStr">
        <is>
          <t>rg1</t>
        </is>
      </c>
    </row>
    <row r="209">
      <c r="A209" s="68" t="inlineStr">
        <is>
          <t>inflammatory_pathway_modulation</t>
        </is>
      </c>
      <c r="B209" s="68" t="inlineStr">
        <is>
          <t>rg1</t>
        </is>
      </c>
    </row>
    <row r="210">
      <c r="A210" s="68" t="inlineStr">
        <is>
          <t>gabaergic_modulation</t>
        </is>
      </c>
      <c r="B210" s="68" t="inlineStr">
        <is>
          <t>rb2</t>
        </is>
      </c>
    </row>
    <row r="211">
      <c r="A211" s="68" t="inlineStr">
        <is>
          <t>inflammatory_pathway_modulation</t>
        </is>
      </c>
      <c r="B211" s="68" t="inlineStr">
        <is>
          <t>rb2</t>
        </is>
      </c>
    </row>
    <row r="212">
      <c r="A212" s="68" t="inlineStr">
        <is>
          <t>general or unknown targets</t>
        </is>
      </c>
      <c r="B212" s="68" t="inlineStr">
        <is>
          <t>roemerine</t>
        </is>
      </c>
    </row>
    <row r="213">
      <c r="A213" s="68" t="inlineStr">
        <is>
          <t>general or unknown targets</t>
        </is>
      </c>
      <c r="B213" s="68" t="inlineStr">
        <is>
          <t>n-methylasimilobine</t>
        </is>
      </c>
    </row>
    <row r="214">
      <c r="A214" s="68" t="inlineStr">
        <is>
          <t>general or unknown targets</t>
        </is>
      </c>
      <c r="B214" s="68" t="inlineStr">
        <is>
          <t>armepavine</t>
        </is>
      </c>
    </row>
    <row r="215">
      <c r="A215" s="68" t="inlineStr">
        <is>
          <t>general or unknown targets</t>
        </is>
      </c>
      <c r="B215" s="68" t="inlineStr">
        <is>
          <t>anonaine</t>
        </is>
      </c>
    </row>
    <row r="216">
      <c r="A216" s="68" t="inlineStr">
        <is>
          <t>dopaminergic_modulation</t>
        </is>
      </c>
      <c r="B216" s="68" t="inlineStr">
        <is>
          <t>nuciferine</t>
        </is>
      </c>
    </row>
    <row r="217">
      <c r="A217" s="68" t="inlineStr">
        <is>
          <t>general or unknown targets</t>
        </is>
      </c>
      <c r="B217" s="68" t="inlineStr">
        <is>
          <t>nuciferine</t>
        </is>
      </c>
    </row>
    <row r="218">
      <c r="A218" s="68" t="inlineStr">
        <is>
          <t>cholinergic_modulation</t>
        </is>
      </c>
      <c r="B218" s="68" t="inlineStr">
        <is>
          <t>formononetin</t>
        </is>
      </c>
    </row>
    <row r="219">
      <c r="A219" s="68" t="inlineStr">
        <is>
          <t>cholinergic_modulation</t>
        </is>
      </c>
      <c r="B219" s="68" t="inlineStr">
        <is>
          <t>apigenin</t>
        </is>
      </c>
    </row>
    <row r="220">
      <c r="A220" s="68" t="inlineStr">
        <is>
          <t>gabaergic_modulation</t>
        </is>
      </c>
      <c r="B220" s="68" t="inlineStr">
        <is>
          <t>apigenin</t>
        </is>
      </c>
    </row>
    <row r="221">
      <c r="A221" s="68" t="inlineStr">
        <is>
          <t>general or unknown targets</t>
        </is>
      </c>
      <c r="B221" s="68" t="inlineStr">
        <is>
          <t>apigenin</t>
        </is>
      </c>
    </row>
    <row r="222">
      <c r="A222" s="68" t="inlineStr">
        <is>
          <t>inflammatory_pathway_modulation</t>
        </is>
      </c>
      <c r="B222" s="68" t="inlineStr">
        <is>
          <t>apigenin</t>
        </is>
      </c>
    </row>
    <row r="223">
      <c r="A223" s="68" t="inlineStr">
        <is>
          <t>cholinergic_modulation</t>
        </is>
      </c>
      <c r="B223" s="68" t="inlineStr">
        <is>
          <t>tephrosin</t>
        </is>
      </c>
    </row>
    <row r="224">
      <c r="A224" s="68" t="inlineStr">
        <is>
          <t>cholinergic_modulation</t>
        </is>
      </c>
      <c r="B224" s="68" t="inlineStr">
        <is>
          <t>rutin</t>
        </is>
      </c>
    </row>
    <row r="225">
      <c r="A225" s="68" t="inlineStr">
        <is>
          <t>general or unknown targets</t>
        </is>
      </c>
      <c r="B225" s="68" t="inlineStr">
        <is>
          <t>rutin</t>
        </is>
      </c>
    </row>
    <row r="226">
      <c r="A226" s="68" t="inlineStr">
        <is>
          <t>cholinergic_modulation</t>
        </is>
      </c>
      <c r="B226" s="68" t="inlineStr">
        <is>
          <t>vitexin</t>
        </is>
      </c>
    </row>
    <row r="227">
      <c r="A227" s="68" t="inlineStr">
        <is>
          <t>gabaergic_modulation</t>
        </is>
      </c>
      <c r="B227" s="68" t="inlineStr">
        <is>
          <t>vitexin</t>
        </is>
      </c>
    </row>
    <row r="228">
      <c r="A228" s="68" t="inlineStr">
        <is>
          <t>monoamine_oxidase_inhibition</t>
        </is>
      </c>
      <c r="B228" s="68" t="inlineStr">
        <is>
          <t>vitexin</t>
        </is>
      </c>
    </row>
    <row r="229">
      <c r="A229" s="68" t="inlineStr">
        <is>
          <t>cholinergic_modulation</t>
        </is>
      </c>
      <c r="B229" s="68" t="inlineStr">
        <is>
          <t>chrysoeriol</t>
        </is>
      </c>
    </row>
    <row r="230">
      <c r="A230" s="68" t="inlineStr">
        <is>
          <t>general or unknown targets</t>
        </is>
      </c>
      <c r="B230" s="68" t="inlineStr">
        <is>
          <t>cardanol</t>
        </is>
      </c>
    </row>
    <row r="231">
      <c r="A231" s="68" t="inlineStr">
        <is>
          <t>general or unknown targets</t>
        </is>
      </c>
      <c r="B231" s="68" t="inlineStr">
        <is>
          <t>cardol</t>
        </is>
      </c>
    </row>
    <row r="232">
      <c r="A232" s="68" t="inlineStr">
        <is>
          <t>serotonergic_5HT2A_agonism</t>
        </is>
      </c>
      <c r="B232" s="68" t="inlineStr">
        <is>
          <t>bufotenin</t>
        </is>
      </c>
    </row>
    <row r="233">
      <c r="A233" s="68" t="inlineStr">
        <is>
          <t>serotonergic_5HT2A_agonism</t>
        </is>
      </c>
      <c r="B233" s="68" t="inlineStr">
        <is>
          <t>5-meo-dmt</t>
        </is>
      </c>
    </row>
    <row r="234">
      <c r="A234" s="68" t="inlineStr">
        <is>
          <t>serotonergic_5HT2A_agonism</t>
        </is>
      </c>
      <c r="B234" s="68" t="inlineStr">
        <is>
          <t>dmt</t>
        </is>
      </c>
    </row>
    <row r="235">
      <c r="A235" s="68" t="inlineStr">
        <is>
          <t>general or unknown targets</t>
        </is>
      </c>
      <c r="B235" s="68" t="inlineStr">
        <is>
          <t>timosaponin aiii</t>
        </is>
      </c>
    </row>
    <row r="236">
      <c r="A236" s="68" t="inlineStr">
        <is>
          <t>general or unknown targets</t>
        </is>
      </c>
      <c r="B236" s="68" t="inlineStr">
        <is>
          <t>mangiferin</t>
        </is>
      </c>
    </row>
    <row r="237">
      <c r="A237" s="68" t="inlineStr">
        <is>
          <t>general or unknown targets</t>
        </is>
      </c>
      <c r="B237" s="68" t="inlineStr">
        <is>
          <t>ligustilide</t>
        </is>
      </c>
    </row>
    <row r="238">
      <c r="A238" s="68" t="inlineStr">
        <is>
          <t>general or unknown targets</t>
        </is>
      </c>
      <c r="B238" s="68" t="inlineStr">
        <is>
          <t>ferulic acid</t>
        </is>
      </c>
    </row>
    <row r="239">
      <c r="A239" s="68" t="inlineStr">
        <is>
          <t>general or unknown targets</t>
        </is>
      </c>
      <c r="B239" s="68" t="inlineStr">
        <is>
          <t>anisomelic acid</t>
        </is>
      </c>
    </row>
    <row r="240">
      <c r="A240" s="68" t="inlineStr">
        <is>
          <t>general or unknown targets</t>
        </is>
      </c>
      <c r="B240" s="68" t="inlineStr">
        <is>
          <t>annonacin</t>
        </is>
      </c>
    </row>
    <row r="241">
      <c r="A241" s="68" t="inlineStr">
        <is>
          <t>general or unknown targets</t>
        </is>
      </c>
      <c r="B241" s="68" t="inlineStr">
        <is>
          <t>inulin</t>
        </is>
      </c>
    </row>
    <row r="242">
      <c r="A242" s="68" t="inlineStr">
        <is>
          <t>general or unknown targets</t>
        </is>
      </c>
      <c r="B242" s="68" t="inlineStr">
        <is>
          <t>arctiin</t>
        </is>
      </c>
    </row>
    <row r="243">
      <c r="A243" s="68" t="inlineStr">
        <is>
          <t>general or unknown targets</t>
        </is>
      </c>
      <c r="B243" s="68" t="inlineStr">
        <is>
          <t>arecoline</t>
        </is>
      </c>
    </row>
    <row r="244">
      <c r="A244" s="68" t="inlineStr">
        <is>
          <t>general or unknown targets</t>
        </is>
      </c>
      <c r="B244" s="68" t="inlineStr">
        <is>
          <t>arecaidine</t>
        </is>
      </c>
    </row>
    <row r="245">
      <c r="A245" s="68" t="inlineStr">
        <is>
          <t>general or unknown targets</t>
        </is>
      </c>
      <c r="B245" s="68" t="inlineStr">
        <is>
          <t>guvacoline</t>
        </is>
      </c>
    </row>
    <row r="246">
      <c r="A246" s="68" t="inlineStr">
        <is>
          <t>general or unknown targets</t>
        </is>
      </c>
      <c r="B246" s="68" t="inlineStr">
        <is>
          <t>guvacine</t>
        </is>
      </c>
    </row>
    <row r="247">
      <c r="A247" s="68" t="inlineStr">
        <is>
          <t>general or unknown targets</t>
        </is>
      </c>
      <c r="B247" s="68" t="inlineStr">
        <is>
          <t>oxyberberine</t>
        </is>
      </c>
    </row>
    <row r="248">
      <c r="A248" s="68" t="inlineStr">
        <is>
          <t>general or unknown targets</t>
        </is>
      </c>
      <c r="B248" s="68" t="inlineStr">
        <is>
          <t>columbamine</t>
        </is>
      </c>
    </row>
    <row r="249">
      <c r="A249" s="68" t="inlineStr">
        <is>
          <t>general or unknown targets</t>
        </is>
      </c>
      <c r="B249" s="68" t="inlineStr">
        <is>
          <t>jatrorrhizine</t>
        </is>
      </c>
    </row>
    <row r="250">
      <c r="A250" s="68" t="inlineStr">
        <is>
          <t>general or unknown targets</t>
        </is>
      </c>
      <c r="B250" s="68" t="inlineStr">
        <is>
          <t>dehydrocorydalmine</t>
        </is>
      </c>
    </row>
    <row r="251">
      <c r="A251" s="68" t="inlineStr">
        <is>
          <t>general or unknown targets</t>
        </is>
      </c>
      <c r="B251" s="68" t="inlineStr">
        <is>
          <t>quercitrin</t>
        </is>
      </c>
    </row>
    <row r="252">
      <c r="A252" s="68" t="inlineStr">
        <is>
          <t>general or unknown targets</t>
        </is>
      </c>
      <c r="B252" s="68" t="inlineStr">
        <is>
          <t>lsa</t>
        </is>
      </c>
    </row>
    <row r="253">
      <c r="A253" s="68" t="inlineStr">
        <is>
          <t>general or unknown targets</t>
        </is>
      </c>
      <c r="B253" s="68" t="inlineStr">
        <is>
          <t>allyl isothiocyanate</t>
        </is>
      </c>
    </row>
    <row r="254">
      <c r="A254" s="68" t="inlineStr">
        <is>
          <t>general or unknown targets</t>
        </is>
      </c>
      <c r="B254" s="68" t="inlineStr">
        <is>
          <t>sinigrin</t>
        </is>
      </c>
    </row>
    <row r="255">
      <c r="A255" s="68" t="inlineStr">
        <is>
          <t>general or unknown targets</t>
        </is>
      </c>
      <c r="B255" s="68" t="inlineStr">
        <is>
          <t>helenalin</t>
        </is>
      </c>
    </row>
    <row r="256">
      <c r="A256" s="68" t="inlineStr">
        <is>
          <t>general or unknown targets</t>
        </is>
      </c>
      <c r="B256" s="68" t="inlineStr">
        <is>
          <t>dihydrohelenalin</t>
        </is>
      </c>
    </row>
    <row r="257">
      <c r="A257" s="68" t="inlineStr">
        <is>
          <t>gabaergic_modulation</t>
        </is>
      </c>
      <c r="B257" s="68" t="inlineStr">
        <is>
          <t>alpha-thujone</t>
        </is>
      </c>
    </row>
    <row r="258">
      <c r="A258" s="68" t="inlineStr">
        <is>
          <t>gabaergic_modulation</t>
        </is>
      </c>
      <c r="B258" s="68" t="inlineStr">
        <is>
          <t>absinthin</t>
        </is>
      </c>
    </row>
    <row r="259">
      <c r="A259" s="68" t="inlineStr">
        <is>
          <t>gabaergic_modulation</t>
        </is>
      </c>
      <c r="B259" s="68" t="inlineStr">
        <is>
          <t>beta-thujone</t>
        </is>
      </c>
    </row>
    <row r="260">
      <c r="A260" s="68" t="inlineStr">
        <is>
          <t>general or unknown targets</t>
        </is>
      </c>
      <c r="B260" s="68" t="inlineStr">
        <is>
          <t>artemisinin</t>
        </is>
      </c>
    </row>
    <row r="261">
      <c r="A261" s="68" t="inlineStr">
        <is>
          <t>general or unknown targets</t>
        </is>
      </c>
      <c r="B261" s="68" t="inlineStr">
        <is>
          <t>8-cineole</t>
        </is>
      </c>
    </row>
    <row r="262">
      <c r="A262" s="68" t="inlineStr">
        <is>
          <t>general or unknown targets</t>
        </is>
      </c>
      <c r="B262" s="68" t="inlineStr">
        <is>
          <t>camphor</t>
        </is>
      </c>
    </row>
    <row r="263">
      <c r="A263" s="68" t="inlineStr">
        <is>
          <t>general or unknown targets</t>
        </is>
      </c>
      <c r="B263" s="68" t="inlineStr">
        <is>
          <t>thujone</t>
        </is>
      </c>
    </row>
    <row r="264">
      <c r="A264" s="68" t="inlineStr">
        <is>
          <t>general or unknown targets</t>
        </is>
      </c>
      <c r="B264" s="68" t="inlineStr">
        <is>
          <t>cineole</t>
        </is>
      </c>
    </row>
    <row r="265">
      <c r="A265" s="68" t="inlineStr">
        <is>
          <t>general or unknown targets</t>
        </is>
      </c>
      <c r="B265" s="68" t="inlineStr">
        <is>
          <t>asclepiadin</t>
        </is>
      </c>
    </row>
    <row r="266">
      <c r="A266" s="68" t="inlineStr">
        <is>
          <t>gabaergic_modulation</t>
        </is>
      </c>
      <c r="B266" s="68" t="inlineStr">
        <is>
          <t>withanolides withaferin a</t>
        </is>
      </c>
    </row>
    <row r="267">
      <c r="A267" s="68" t="inlineStr">
        <is>
          <t>inflammatory_pathway_modulation</t>
        </is>
      </c>
      <c r="B267" s="68" t="inlineStr">
        <is>
          <t>withanolides withaferin a</t>
        </is>
      </c>
    </row>
    <row r="268">
      <c r="A268" s="68" t="inlineStr">
        <is>
          <t>gabaergic_modulation</t>
        </is>
      </c>
      <c r="B268" s="68" t="inlineStr">
        <is>
          <t>withanolide d</t>
        </is>
      </c>
    </row>
    <row r="269">
      <c r="A269" s="68" t="inlineStr">
        <is>
          <t>inflammatory_pathway_modulation</t>
        </is>
      </c>
      <c r="B269" s="68" t="inlineStr">
        <is>
          <t>withanolide d</t>
        </is>
      </c>
    </row>
    <row r="270">
      <c r="A270" s="68" t="inlineStr">
        <is>
          <t>general or unknown targets</t>
        </is>
      </c>
      <c r="B270" s="68" t="inlineStr">
        <is>
          <t>quebrachine</t>
        </is>
      </c>
    </row>
    <row r="271">
      <c r="A271" s="68" t="inlineStr">
        <is>
          <t>general or unknown targets</t>
        </is>
      </c>
      <c r="B271" s="68" t="inlineStr">
        <is>
          <t>aspidospermine</t>
        </is>
      </c>
    </row>
    <row r="272">
      <c r="A272" s="68" t="inlineStr">
        <is>
          <t>general or unknown targets</t>
        </is>
      </c>
      <c r="B272" s="68" t="inlineStr">
        <is>
          <t>astragaloside iv</t>
        </is>
      </c>
    </row>
    <row r="273">
      <c r="A273" s="68" t="inlineStr">
        <is>
          <t>general or unknown targets</t>
        </is>
      </c>
      <c r="B273" s="68" t="inlineStr">
        <is>
          <t>atractylenolide iii</t>
        </is>
      </c>
    </row>
    <row r="274">
      <c r="A274" s="68" t="inlineStr">
        <is>
          <t>general or unknown targets</t>
        </is>
      </c>
      <c r="B274" s="68" t="inlineStr">
        <is>
          <t>atractylenolide ii</t>
        </is>
      </c>
    </row>
    <row r="275">
      <c r="A275" s="68" t="inlineStr">
        <is>
          <t>general or unknown targets</t>
        </is>
      </c>
      <c r="B275" s="68" t="inlineStr">
        <is>
          <t>atractylon</t>
        </is>
      </c>
    </row>
    <row r="276">
      <c r="A276" s="68" t="inlineStr">
        <is>
          <t>general or unknown targets</t>
        </is>
      </c>
      <c r="B276" s="68" t="inlineStr">
        <is>
          <t>atractylenolide i</t>
        </is>
      </c>
    </row>
    <row r="277">
      <c r="A277" s="68" t="inlineStr">
        <is>
          <t>CHRM1, CHRM2 (muscarinic receptors)</t>
        </is>
      </c>
      <c r="B277" s="68" t="inlineStr">
        <is>
          <t>hyoscyamine</t>
        </is>
      </c>
    </row>
    <row r="278">
      <c r="A278" s="68" t="inlineStr">
        <is>
          <t>cholinergic_modulation</t>
        </is>
      </c>
      <c r="B278" s="68" t="inlineStr">
        <is>
          <t>hyoscyamine</t>
        </is>
      </c>
    </row>
    <row r="279">
      <c r="A279" s="68" t="inlineStr">
        <is>
          <t>CHRM1, CHRM2 (muscarinic receptors)</t>
        </is>
      </c>
      <c r="B279" s="68" t="inlineStr">
        <is>
          <t>scopolamine</t>
        </is>
      </c>
    </row>
    <row r="280">
      <c r="A280" s="68" t="inlineStr">
        <is>
          <t>cholinergic_modulation</t>
        </is>
      </c>
      <c r="B280" s="68" t="inlineStr">
        <is>
          <t>scopolamine</t>
        </is>
      </c>
    </row>
    <row r="281">
      <c r="A281" s="68" t="inlineStr">
        <is>
          <t>CHRM1, CHRM2 (muscarinic receptors)</t>
        </is>
      </c>
      <c r="B281" s="68" t="inlineStr">
        <is>
          <t>atropine</t>
        </is>
      </c>
    </row>
    <row r="282">
      <c r="A282" s="68" t="inlineStr">
        <is>
          <t>cholinergic_modulation</t>
        </is>
      </c>
      <c r="B282" s="68" t="inlineStr">
        <is>
          <t>atropine</t>
        </is>
      </c>
    </row>
    <row r="283">
      <c r="A283" s="68" t="inlineStr">
        <is>
          <t>general or unknown targets</t>
        </is>
      </c>
      <c r="B283" s="68" t="inlineStr">
        <is>
          <t>nimbin</t>
        </is>
      </c>
    </row>
    <row r="284">
      <c r="A284" s="68" t="inlineStr">
        <is>
          <t>general or unknown targets</t>
        </is>
      </c>
      <c r="B284" s="68" t="inlineStr">
        <is>
          <t>azadirachtin</t>
        </is>
      </c>
    </row>
    <row r="285">
      <c r="A285" s="68" t="inlineStr">
        <is>
          <t>general or unknown targets</t>
        </is>
      </c>
      <c r="B285" s="68" t="inlineStr">
        <is>
          <t>harmaline</t>
        </is>
      </c>
    </row>
    <row r="286">
      <c r="A286" s="68" t="inlineStr">
        <is>
          <t>monoamine_oxidase_inhibition</t>
        </is>
      </c>
      <c r="B286" s="68" t="inlineStr">
        <is>
          <t>harmaline</t>
        </is>
      </c>
    </row>
    <row r="287">
      <c r="A287" s="68" t="inlineStr">
        <is>
          <t>serotonergic_5HT2A_agonism</t>
        </is>
      </c>
      <c r="B287" s="68" t="inlineStr">
        <is>
          <t>harmaline</t>
        </is>
      </c>
    </row>
    <row r="288">
      <c r="A288" s="68" t="inlineStr">
        <is>
          <t>general or unknown targets</t>
        </is>
      </c>
      <c r="B288" s="68" t="inlineStr">
        <is>
          <t>harmine</t>
        </is>
      </c>
    </row>
    <row r="289">
      <c r="A289" s="68" t="inlineStr">
        <is>
          <t>monoamine_oxidase_inhibition</t>
        </is>
      </c>
      <c r="B289" s="68" t="inlineStr">
        <is>
          <t>harmine</t>
        </is>
      </c>
    </row>
    <row r="290">
      <c r="A290" s="68" t="inlineStr">
        <is>
          <t>serotonergic_5HT2A_agonism</t>
        </is>
      </c>
      <c r="B290" s="68" t="inlineStr">
        <is>
          <t>harmine</t>
        </is>
      </c>
    </row>
    <row r="291">
      <c r="A291" s="68" t="inlineStr">
        <is>
          <t>monoamine_oxidase_inhibition</t>
        </is>
      </c>
      <c r="B291" s="68" t="inlineStr">
        <is>
          <t>tetrahydroharmine</t>
        </is>
      </c>
    </row>
    <row r="292">
      <c r="A292" s="68" t="inlineStr">
        <is>
          <t>serotonergic_5HT2A_agonism</t>
        </is>
      </c>
      <c r="B292" s="68" t="inlineStr">
        <is>
          <t>tetrahydroharmine</t>
        </is>
      </c>
    </row>
    <row r="293">
      <c r="A293" s="68" t="inlineStr">
        <is>
          <t>general or unknown targets</t>
        </is>
      </c>
      <c r="B293" s="68" t="inlineStr">
        <is>
          <t>oxyacanthine</t>
        </is>
      </c>
    </row>
    <row r="294">
      <c r="A294" s="68" t="inlineStr">
        <is>
          <t>general or unknown targets</t>
        </is>
      </c>
      <c r="B294" s="68" t="inlineStr">
        <is>
          <t>berbamine</t>
        </is>
      </c>
    </row>
    <row r="295">
      <c r="A295" s="68" t="inlineStr">
        <is>
          <t>dopaminergic_modulation</t>
        </is>
      </c>
      <c r="B295" s="68" t="inlineStr">
        <is>
          <t>apomorphine</t>
        </is>
      </c>
    </row>
    <row r="296">
      <c r="A296" s="68" t="inlineStr">
        <is>
          <t>general or unknown targets</t>
        </is>
      </c>
      <c r="B296" s="68" t="inlineStr">
        <is>
          <t>punarnavine</t>
        </is>
      </c>
    </row>
    <row r="297">
      <c r="A297" s="68" t="inlineStr">
        <is>
          <t>general or unknown targets</t>
        </is>
      </c>
      <c r="B297" s="68" t="inlineStr">
        <is>
          <t>pinostrobin</t>
        </is>
      </c>
    </row>
    <row r="298">
      <c r="A298" s="68" t="inlineStr">
        <is>
          <t>general or unknown targets</t>
        </is>
      </c>
      <c r="B298" s="68" t="inlineStr">
        <is>
          <t>pinocembrin</t>
        </is>
      </c>
    </row>
    <row r="299">
      <c r="A299" s="68" t="inlineStr">
        <is>
          <t>general or unknown targets</t>
        </is>
      </c>
      <c r="B299" s="68" t="inlineStr">
        <is>
          <t>panduratin a</t>
        </is>
      </c>
    </row>
    <row r="300">
      <c r="A300" s="68" t="inlineStr">
        <is>
          <t>general or unknown targets</t>
        </is>
      </c>
      <c r="B300" s="68" t="inlineStr">
        <is>
          <t>buphanidrine</t>
        </is>
      </c>
    </row>
    <row r="301">
      <c r="A301" s="68" t="inlineStr">
        <is>
          <t>general or unknown targets</t>
        </is>
      </c>
      <c r="B301" s="68" t="inlineStr">
        <is>
          <t>lycorine</t>
        </is>
      </c>
    </row>
    <row r="302">
      <c r="A302" s="68" t="inlineStr">
        <is>
          <t>PPARA, PPARG</t>
        </is>
      </c>
      <c r="B302" s="68" t="inlineStr">
        <is>
          <t>gamma-linolenic acid</t>
        </is>
      </c>
    </row>
    <row r="303">
      <c r="A303" s="68" t="inlineStr">
        <is>
          <t>general or unknown targets</t>
        </is>
      </c>
      <c r="B303" s="68" t="inlineStr">
        <is>
          <t>beta-boswellic acid</t>
        </is>
      </c>
    </row>
    <row r="304">
      <c r="A304" s="68" t="inlineStr">
        <is>
          <t>general or unknown targets</t>
        </is>
      </c>
      <c r="B304" s="68" t="inlineStr">
        <is>
          <t>akba</t>
        </is>
      </c>
    </row>
    <row r="305">
      <c r="A305" s="68" t="inlineStr">
        <is>
          <t>general or unknown targets</t>
        </is>
      </c>
      <c r="B305" s="68" t="inlineStr">
        <is>
          <t>brunfelsamidine</t>
        </is>
      </c>
    </row>
    <row r="306">
      <c r="A306" s="68" t="inlineStr">
        <is>
          <t>general or unknown targets</t>
        </is>
      </c>
      <c r="B306" s="68" t="inlineStr">
        <is>
          <t>bryonin</t>
        </is>
      </c>
    </row>
    <row r="307">
      <c r="A307" s="68" t="inlineStr">
        <is>
          <t>general or unknown targets</t>
        </is>
      </c>
      <c r="B307" s="68" t="inlineStr">
        <is>
          <t>alpha-terpineol</t>
        </is>
      </c>
    </row>
    <row r="308">
      <c r="A308" s="68" t="inlineStr">
        <is>
          <t>general or unknown targets</t>
        </is>
      </c>
      <c r="B308" s="68" t="inlineStr">
        <is>
          <t>carvone</t>
        </is>
      </c>
    </row>
    <row r="309">
      <c r="A309" s="68" t="inlineStr">
        <is>
          <t>general or unknown targets</t>
        </is>
      </c>
      <c r="B309" s="68" t="inlineStr">
        <is>
          <t>bonducin</t>
        </is>
      </c>
    </row>
    <row r="310">
      <c r="A310" s="68" t="inlineStr">
        <is>
          <t>general or unknown targets</t>
        </is>
      </c>
      <c r="B310" s="68" t="inlineStr">
        <is>
          <t>uscharin</t>
        </is>
      </c>
    </row>
    <row r="311">
      <c r="A311" s="68" t="inlineStr">
        <is>
          <t>general or unknown targets</t>
        </is>
      </c>
      <c r="B311" s="68" t="inlineStr">
        <is>
          <t>calotropin</t>
        </is>
      </c>
    </row>
    <row r="312">
      <c r="A312" s="68" t="inlineStr">
        <is>
          <t>adenosine_antagonism</t>
        </is>
      </c>
      <c r="B312" s="68" t="inlineStr">
        <is>
          <t>theanine</t>
        </is>
      </c>
    </row>
    <row r="313">
      <c r="A313" s="68" t="inlineStr">
        <is>
          <t>ADORA1, ADORA2A (adenosine receptors)</t>
        </is>
      </c>
      <c r="B313" s="68" t="inlineStr">
        <is>
          <t>caffeine</t>
        </is>
      </c>
    </row>
    <row r="314">
      <c r="A314" s="68" t="inlineStr">
        <is>
          <t>adenosine_antagonism</t>
        </is>
      </c>
      <c r="B314" s="68" t="inlineStr">
        <is>
          <t>caffeine</t>
        </is>
      </c>
    </row>
    <row r="315">
      <c r="A315" s="68" t="inlineStr">
        <is>
          <t>dopaminergic_modulation</t>
        </is>
      </c>
      <c r="B315" s="68" t="inlineStr">
        <is>
          <t>caffeine</t>
        </is>
      </c>
    </row>
    <row r="316">
      <c r="A316" s="68" t="inlineStr">
        <is>
          <t>adenosine_antagonism</t>
        </is>
      </c>
      <c r="B316" s="68" t="inlineStr">
        <is>
          <t>catechins</t>
        </is>
      </c>
    </row>
    <row r="317">
      <c r="A317" s="68" t="inlineStr">
        <is>
          <t>endocannabinoid_modulation</t>
        </is>
      </c>
      <c r="B317" s="68" t="inlineStr">
        <is>
          <t>cbd</t>
        </is>
      </c>
    </row>
    <row r="318">
      <c r="A318" s="68" t="inlineStr">
        <is>
          <t>endocannabinoid_modulation</t>
        </is>
      </c>
      <c r="B318" s="68" t="inlineStr">
        <is>
          <t>thc</t>
        </is>
      </c>
    </row>
    <row r="319">
      <c r="A319" s="68" t="inlineStr">
        <is>
          <t>endocannabinoid_modulation</t>
        </is>
      </c>
      <c r="B319" s="68" t="inlineStr">
        <is>
          <t>pinene</t>
        </is>
      </c>
    </row>
    <row r="320">
      <c r="A320" s="68" t="inlineStr">
        <is>
          <t>general or unknown targets</t>
        </is>
      </c>
      <c r="B320" s="68" t="inlineStr">
        <is>
          <t>capsorubin</t>
        </is>
      </c>
    </row>
    <row r="321">
      <c r="A321" s="68" t="inlineStr">
        <is>
          <t>general or unknown targets</t>
        </is>
      </c>
      <c r="B321" s="68" t="inlineStr">
        <is>
          <t>dihydrocapsaicin</t>
        </is>
      </c>
    </row>
    <row r="322">
      <c r="A322" s="68" t="inlineStr">
        <is>
          <t>general or unknown targets</t>
        </is>
      </c>
      <c r="B322" s="68" t="inlineStr">
        <is>
          <t>capsanthin</t>
        </is>
      </c>
    </row>
    <row r="323">
      <c r="A323" s="68" t="inlineStr">
        <is>
          <t>general or unknown targets</t>
        </is>
      </c>
      <c r="B323" s="68" t="inlineStr">
        <is>
          <t>nordihydrocapsaicin</t>
        </is>
      </c>
    </row>
    <row r="324">
      <c r="A324" s="68" t="inlineStr">
        <is>
          <t>general or unknown targets</t>
        </is>
      </c>
      <c r="B324" s="68" t="inlineStr">
        <is>
          <t>carpaine</t>
        </is>
      </c>
    </row>
    <row r="325">
      <c r="A325" s="68" t="inlineStr">
        <is>
          <t>general or unknown targets</t>
        </is>
      </c>
      <c r="B325" s="68" t="inlineStr">
        <is>
          <t>papain</t>
        </is>
      </c>
    </row>
    <row r="326">
      <c r="A326" s="68" t="inlineStr">
        <is>
          <t>general or unknown targets</t>
        </is>
      </c>
      <c r="B326" s="68" t="inlineStr">
        <is>
          <t>benzyl isothiocyanate</t>
        </is>
      </c>
    </row>
    <row r="327">
      <c r="A327" s="68" t="inlineStr">
        <is>
          <t>general or unknown targets</t>
        </is>
      </c>
      <c r="B327" s="68" t="inlineStr">
        <is>
          <t>chymopapain</t>
        </is>
      </c>
    </row>
    <row r="328">
      <c r="A328" s="68" t="inlineStr">
        <is>
          <t>general or unknown targets</t>
        </is>
      </c>
      <c r="B328" s="68" t="inlineStr">
        <is>
          <t>gelsemine</t>
        </is>
      </c>
    </row>
    <row r="329">
      <c r="A329" s="68" t="inlineStr">
        <is>
          <t>general or unknown targets</t>
        </is>
      </c>
      <c r="B329" s="68" t="inlineStr">
        <is>
          <t>gelseminine</t>
        </is>
      </c>
    </row>
    <row r="330">
      <c r="A330" s="68" t="inlineStr">
        <is>
          <t>general or unknown targets</t>
        </is>
      </c>
      <c r="B330" s="68" t="inlineStr">
        <is>
          <t>gelsemicine</t>
        </is>
      </c>
    </row>
    <row r="331">
      <c r="A331" s="68" t="inlineStr">
        <is>
          <t>general or unknown targets</t>
        </is>
      </c>
      <c r="B331" s="68" t="inlineStr">
        <is>
          <t>sempervirine</t>
        </is>
      </c>
    </row>
    <row r="332">
      <c r="A332" s="68" t="inlineStr">
        <is>
          <t>general or unknown targets</t>
        </is>
      </c>
      <c r="B332" s="68" t="inlineStr">
        <is>
          <t>gelseverine</t>
        </is>
      </c>
    </row>
    <row r="333">
      <c r="A333" s="68" t="inlineStr">
        <is>
          <t>general or unknown targets</t>
        </is>
      </c>
      <c r="B333" s="68" t="inlineStr">
        <is>
          <t>gelsedine</t>
        </is>
      </c>
    </row>
    <row r="334">
      <c r="A334" s="68" t="inlineStr">
        <is>
          <t>general or unknown targets</t>
        </is>
      </c>
      <c r="B334" s="68" t="inlineStr">
        <is>
          <t>imperatorin</t>
        </is>
      </c>
    </row>
    <row r="335">
      <c r="A335" s="68" t="inlineStr">
        <is>
          <t>general or unknown targets</t>
        </is>
      </c>
      <c r="B335" s="68" t="inlineStr">
        <is>
          <t>casimiroedine</t>
        </is>
      </c>
    </row>
    <row r="336">
      <c r="A336" s="68" t="inlineStr">
        <is>
          <t>general or unknown targets</t>
        </is>
      </c>
      <c r="B336" s="68" t="inlineStr">
        <is>
          <t>esculetin</t>
        </is>
      </c>
    </row>
    <row r="337">
      <c r="A337" s="68" t="inlineStr">
        <is>
          <t>general or unknown targets</t>
        </is>
      </c>
      <c r="B337" s="68" t="inlineStr">
        <is>
          <t>umbelliferone</t>
        </is>
      </c>
    </row>
    <row r="338">
      <c r="A338" s="68" t="inlineStr">
        <is>
          <t>general or unknown targets</t>
        </is>
      </c>
      <c r="B338" s="68" t="inlineStr">
        <is>
          <t>n-dimethylhistamine</t>
        </is>
      </c>
    </row>
    <row r="339">
      <c r="A339" s="68" t="inlineStr">
        <is>
          <t>general or unknown targets</t>
        </is>
      </c>
      <c r="B339" s="68" t="inlineStr">
        <is>
          <t>xanthotoxol</t>
        </is>
      </c>
    </row>
    <row r="340">
      <c r="A340" s="68" t="inlineStr">
        <is>
          <t>general or unknown targets</t>
        </is>
      </c>
      <c r="B340" s="68" t="inlineStr">
        <is>
          <t>n-monomethylhistamine</t>
        </is>
      </c>
    </row>
    <row r="341">
      <c r="A341" s="68" t="inlineStr">
        <is>
          <t>general or unknown targets</t>
        </is>
      </c>
      <c r="B341" s="68" t="inlineStr">
        <is>
          <t>chrysophanol</t>
        </is>
      </c>
    </row>
    <row r="342">
      <c r="A342" s="68" t="inlineStr">
        <is>
          <t>dopaminergic_modulation</t>
        </is>
      </c>
      <c r="B342" s="68" t="inlineStr">
        <is>
          <t>cathinone</t>
        </is>
      </c>
    </row>
    <row r="343">
      <c r="A343" s="68" t="inlineStr">
        <is>
          <t>dopaminergic_modulation</t>
        </is>
      </c>
      <c r="B343" s="68" t="inlineStr">
        <is>
          <t>norephedrine</t>
        </is>
      </c>
    </row>
    <row r="344">
      <c r="A344" s="68" t="inlineStr">
        <is>
          <t>dopaminergic_modulation</t>
        </is>
      </c>
      <c r="B344" s="68" t="inlineStr">
        <is>
          <t>cathine</t>
        </is>
      </c>
    </row>
    <row r="345">
      <c r="A345" s="68" t="inlineStr">
        <is>
          <t>general or unknown targets</t>
        </is>
      </c>
      <c r="B345" s="68" t="inlineStr">
        <is>
          <t>beta-caryophyllene</t>
        </is>
      </c>
    </row>
    <row r="346">
      <c r="A346" s="68" t="inlineStr">
        <is>
          <t>gabaergic_modulation</t>
        </is>
      </c>
      <c r="B346" s="68" t="inlineStr">
        <is>
          <t>rosmarinic acid</t>
        </is>
      </c>
    </row>
    <row r="347">
      <c r="A347" s="68" t="inlineStr">
        <is>
          <t>general or unknown targets</t>
        </is>
      </c>
      <c r="B347" s="68" t="inlineStr">
        <is>
          <t>rosmarinic acid</t>
        </is>
      </c>
    </row>
    <row r="348">
      <c r="A348" s="68" t="inlineStr">
        <is>
          <t>inflammatory_pathway_modulation</t>
        </is>
      </c>
      <c r="B348" s="68" t="inlineStr">
        <is>
          <t>rosmarinic acid</t>
        </is>
      </c>
    </row>
    <row r="349">
      <c r="A349" s="68" t="inlineStr">
        <is>
          <t>endocannabinoid_modulation</t>
        </is>
      </c>
      <c r="B349" s="68" t="inlineStr">
        <is>
          <t>cannabidiol</t>
        </is>
      </c>
    </row>
    <row r="350">
      <c r="A350" s="68" t="inlineStr">
        <is>
          <t>general or unknown targets</t>
        </is>
      </c>
      <c r="B350" s="68" t="inlineStr">
        <is>
          <t>chlorogenic acid</t>
        </is>
      </c>
    </row>
    <row r="351">
      <c r="A351" s="68" t="inlineStr">
        <is>
          <t>general or unknown targets</t>
        </is>
      </c>
      <c r="B351" s="68" t="inlineStr">
        <is>
          <t>beta-amyrin</t>
        </is>
      </c>
    </row>
    <row r="352">
      <c r="A352" s="68" t="inlineStr">
        <is>
          <t>general or unknown targets</t>
        </is>
      </c>
      <c r="B352" s="68" t="inlineStr">
        <is>
          <t>celastrine</t>
        </is>
      </c>
    </row>
    <row r="353">
      <c r="A353" s="68" t="inlineStr">
        <is>
          <t>general or unknown targets</t>
        </is>
      </c>
      <c r="B353" s="68" t="inlineStr">
        <is>
          <t>lupeol</t>
        </is>
      </c>
    </row>
    <row r="354">
      <c r="A354" s="68" t="inlineStr">
        <is>
          <t>general or unknown targets</t>
        </is>
      </c>
      <c r="B354" s="68" t="inlineStr">
        <is>
          <t>celapanin</t>
        </is>
      </c>
    </row>
    <row r="355">
      <c r="A355" s="68" t="inlineStr">
        <is>
          <t>general or unknown targets</t>
        </is>
      </c>
      <c r="B355" s="68" t="inlineStr">
        <is>
          <t>celapagin</t>
        </is>
      </c>
    </row>
    <row r="356">
      <c r="A356" s="68" t="inlineStr">
        <is>
          <t>general or unknown targets</t>
        </is>
      </c>
      <c r="B356" s="68" t="inlineStr">
        <is>
          <t>paniculatin</t>
        </is>
      </c>
    </row>
    <row r="357">
      <c r="A357" s="68" t="inlineStr">
        <is>
          <t>general or unknown targets</t>
        </is>
      </c>
      <c r="B357" s="68" t="inlineStr">
        <is>
          <t>pristimerin</t>
        </is>
      </c>
    </row>
    <row r="358">
      <c r="A358" s="68" t="inlineStr">
        <is>
          <t>general or unknown targets</t>
        </is>
      </c>
      <c r="B358" s="68" t="inlineStr">
        <is>
          <t>gentiopicroside</t>
        </is>
      </c>
    </row>
    <row r="359">
      <c r="A359" s="68" t="inlineStr">
        <is>
          <t>general or unknown targets</t>
        </is>
      </c>
      <c r="B359" s="68" t="inlineStr">
        <is>
          <t>swertiamarin</t>
        </is>
      </c>
    </row>
    <row r="360">
      <c r="A360" s="68" t="inlineStr">
        <is>
          <t>general or unknown targets</t>
        </is>
      </c>
      <c r="B360" s="68" t="inlineStr">
        <is>
          <t>madecassoside</t>
        </is>
      </c>
    </row>
    <row r="361">
      <c r="A361" s="68" t="inlineStr">
        <is>
          <t>inflammatory_pathway_modulation</t>
        </is>
      </c>
      <c r="B361" s="68" t="inlineStr">
        <is>
          <t>madecassoside</t>
        </is>
      </c>
    </row>
    <row r="362">
      <c r="A362" s="68" t="inlineStr">
        <is>
          <t>general or unknown targets</t>
        </is>
      </c>
      <c r="B362" s="68" t="inlineStr">
        <is>
          <t>asiatic acid</t>
        </is>
      </c>
    </row>
    <row r="363">
      <c r="A363" s="68" t="inlineStr">
        <is>
          <t>inflammatory_pathway_modulation</t>
        </is>
      </c>
      <c r="B363" s="68" t="inlineStr">
        <is>
          <t>asiatic acid</t>
        </is>
      </c>
    </row>
    <row r="364">
      <c r="A364" s="68" t="inlineStr">
        <is>
          <t>general or unknown targets</t>
        </is>
      </c>
      <c r="B364" s="68" t="inlineStr">
        <is>
          <t>asiaticoside</t>
        </is>
      </c>
    </row>
    <row r="365">
      <c r="A365" s="68" t="inlineStr">
        <is>
          <t>inflammatory_pathway_modulation</t>
        </is>
      </c>
      <c r="B365" s="68" t="inlineStr">
        <is>
          <t>asiaticoside</t>
        </is>
      </c>
    </row>
    <row r="366">
      <c r="A366" s="68" t="inlineStr">
        <is>
          <t>general or unknown targets</t>
        </is>
      </c>
      <c r="B366" s="68" t="inlineStr">
        <is>
          <t>emetine</t>
        </is>
      </c>
    </row>
    <row r="367">
      <c r="A367" s="68" t="inlineStr">
        <is>
          <t>general or unknown targets</t>
        </is>
      </c>
      <c r="B367" s="68" t="inlineStr">
        <is>
          <t>cephaeline</t>
        </is>
      </c>
    </row>
    <row r="368">
      <c r="A368" s="68" t="inlineStr">
        <is>
          <t>general or unknown targets</t>
        </is>
      </c>
      <c r="B368" s="68" t="inlineStr">
        <is>
          <t>inotodiol</t>
        </is>
      </c>
    </row>
    <row r="369">
      <c r="A369" s="68" t="inlineStr">
        <is>
          <t>general or unknown targets</t>
        </is>
      </c>
      <c r="B369" s="68" t="inlineStr">
        <is>
          <t>betulinic acid</t>
        </is>
      </c>
    </row>
    <row r="370">
      <c r="A370" s="68" t="inlineStr">
        <is>
          <t>gabaergic_modulation</t>
        </is>
      </c>
      <c r="B370" s="68" t="inlineStr">
        <is>
          <t>alpha-bisabolol</t>
        </is>
      </c>
    </row>
    <row r="371">
      <c r="A371" s="68" t="inlineStr">
        <is>
          <t>inflammatory_pathway_modulation</t>
        </is>
      </c>
      <c r="B371" s="68" t="inlineStr">
        <is>
          <t>alpha-bisabolol</t>
        </is>
      </c>
    </row>
    <row r="372">
      <c r="A372" s="68" t="inlineStr">
        <is>
          <t>gabaergic_modulation</t>
        </is>
      </c>
      <c r="B372" s="68" t="inlineStr">
        <is>
          <t>chamazulene</t>
        </is>
      </c>
    </row>
    <row r="373">
      <c r="A373" s="68" t="inlineStr">
        <is>
          <t>general or unknown targets</t>
        </is>
      </c>
      <c r="B373" s="68" t="inlineStr">
        <is>
          <t>chamazulene</t>
        </is>
      </c>
    </row>
    <row r="374">
      <c r="A374" s="68" t="inlineStr">
        <is>
          <t>inflammatory_pathway_modulation</t>
        </is>
      </c>
      <c r="B374" s="68" t="inlineStr">
        <is>
          <t>chamazulene</t>
        </is>
      </c>
    </row>
    <row r="375">
      <c r="A375" s="68" t="inlineStr">
        <is>
          <t>general or unknown targets</t>
        </is>
      </c>
      <c r="B375" s="68" t="inlineStr">
        <is>
          <t>chelidonine</t>
        </is>
      </c>
    </row>
    <row r="376">
      <c r="A376" s="68" t="inlineStr">
        <is>
          <t>PTGS1, PTGS2 (COX-1, COX-2)</t>
        </is>
      </c>
      <c r="B376" s="68" t="inlineStr">
        <is>
          <t>methyl salicylate</t>
        </is>
      </c>
    </row>
    <row r="377">
      <c r="A377" s="68" t="inlineStr">
        <is>
          <t>gabaergic_modulation</t>
        </is>
      </c>
      <c r="B377" s="68" t="inlineStr">
        <is>
          <t>arbutin</t>
        </is>
      </c>
    </row>
    <row r="378">
      <c r="A378" s="68" t="inlineStr">
        <is>
          <t>general or unknown targets</t>
        </is>
      </c>
      <c r="B378" s="68" t="inlineStr">
        <is>
          <t>arbutin</t>
        </is>
      </c>
    </row>
    <row r="379">
      <c r="A379" s="68" t="inlineStr">
        <is>
          <t>general or unknown targets</t>
        </is>
      </c>
      <c r="B379" s="68" t="inlineStr">
        <is>
          <t>cinnamaldehyde</t>
        </is>
      </c>
    </row>
    <row r="380">
      <c r="A380" s="68" t="inlineStr">
        <is>
          <t>general or unknown targets</t>
        </is>
      </c>
      <c r="B380" s="68" t="inlineStr">
        <is>
          <t>synephrine</t>
        </is>
      </c>
    </row>
    <row r="381">
      <c r="A381" s="68" t="inlineStr">
        <is>
          <t>general or unknown targets</t>
        </is>
      </c>
      <c r="B381" s="68" t="inlineStr">
        <is>
          <t>citric acid</t>
        </is>
      </c>
    </row>
    <row r="382">
      <c r="A382" s="68" t="inlineStr">
        <is>
          <t>general or unknown targets</t>
        </is>
      </c>
      <c r="B382" s="68" t="inlineStr">
        <is>
          <t>protoanemonin</t>
        </is>
      </c>
    </row>
    <row r="383">
      <c r="A383" s="68" t="inlineStr">
        <is>
          <t>general or unknown targets</t>
        </is>
      </c>
      <c r="B383" s="68" t="inlineStr">
        <is>
          <t>osthole</t>
        </is>
      </c>
    </row>
    <row r="384">
      <c r="A384" s="68" t="inlineStr">
        <is>
          <t>dopaminergic_modulation</t>
        </is>
      </c>
      <c r="B384" s="68" t="inlineStr">
        <is>
          <t>cis-cinnamoylcocaine</t>
        </is>
      </c>
    </row>
    <row r="385">
      <c r="A385" s="68" t="inlineStr">
        <is>
          <t>dopaminergic_modulation</t>
        </is>
      </c>
      <c r="B385" s="68" t="inlineStr">
        <is>
          <t>tropacocaine</t>
        </is>
      </c>
    </row>
    <row r="386">
      <c r="A386" s="68" t="inlineStr">
        <is>
          <t>general or unknown targets</t>
        </is>
      </c>
      <c r="B386" s="68" t="inlineStr">
        <is>
          <t>tropacocaine</t>
        </is>
      </c>
    </row>
    <row r="387">
      <c r="A387" s="68" t="inlineStr">
        <is>
          <t>dopaminergic_modulation</t>
        </is>
      </c>
      <c r="B387" s="68" t="inlineStr">
        <is>
          <t>cuscohygrine</t>
        </is>
      </c>
    </row>
    <row r="388">
      <c r="A388" s="68" t="inlineStr">
        <is>
          <t>dopaminergic_modulation</t>
        </is>
      </c>
      <c r="B388" s="68" t="inlineStr">
        <is>
          <t>cocaine</t>
        </is>
      </c>
    </row>
    <row r="389">
      <c r="A389" s="68" t="inlineStr">
        <is>
          <t>general or unknown targets</t>
        </is>
      </c>
      <c r="B389" s="68" t="inlineStr">
        <is>
          <t>cocaine</t>
        </is>
      </c>
    </row>
    <row r="390">
      <c r="A390" s="68" t="inlineStr">
        <is>
          <t>dopaminergic_modulation</t>
        </is>
      </c>
      <c r="B390" s="68" t="inlineStr">
        <is>
          <t>trans-cinnamoylcocaine</t>
        </is>
      </c>
    </row>
    <row r="391">
      <c r="A391" s="68" t="inlineStr">
        <is>
          <t>adenosine_antagonism</t>
        </is>
      </c>
      <c r="B391" s="68" t="inlineStr">
        <is>
          <t>trigonelline</t>
        </is>
      </c>
    </row>
    <row r="392">
      <c r="A392" s="68" t="inlineStr">
        <is>
          <t>adenosine_antagonism</t>
        </is>
      </c>
      <c r="B392" s="68" t="inlineStr">
        <is>
          <t>cafestol</t>
        </is>
      </c>
    </row>
    <row r="393">
      <c r="A393" s="68" t="inlineStr">
        <is>
          <t>adenosine_antagonism</t>
        </is>
      </c>
      <c r="B393" s="68" t="inlineStr">
        <is>
          <t>kahweol</t>
        </is>
      </c>
    </row>
    <row r="394">
      <c r="A394" s="68" t="inlineStr">
        <is>
          <t>general or unknown targets</t>
        </is>
      </c>
      <c r="B394" s="68" t="inlineStr">
        <is>
          <t>coniine</t>
        </is>
      </c>
    </row>
    <row r="395">
      <c r="A395" s="68" t="inlineStr">
        <is>
          <t>general or unknown targets</t>
        </is>
      </c>
      <c r="B395" s="68" t="inlineStr">
        <is>
          <t>conhydrine</t>
        </is>
      </c>
    </row>
    <row r="396">
      <c r="A396" s="68" t="inlineStr">
        <is>
          <t>general or unknown targets</t>
        </is>
      </c>
      <c r="B396" s="68" t="inlineStr">
        <is>
          <t>convallatoxin</t>
        </is>
      </c>
    </row>
    <row r="397">
      <c r="A397" s="68" t="inlineStr">
        <is>
          <t>general or unknown targets</t>
        </is>
      </c>
      <c r="B397" s="68" t="inlineStr">
        <is>
          <t>convalloside cardiac glycosides</t>
        </is>
      </c>
    </row>
    <row r="398">
      <c r="A398" s="68" t="inlineStr">
        <is>
          <t>general or unknown targets</t>
        </is>
      </c>
      <c r="B398" s="68" t="inlineStr">
        <is>
          <t>copalic acid</t>
        </is>
      </c>
    </row>
    <row r="399">
      <c r="A399" s="68" t="inlineStr">
        <is>
          <t>general or unknown targets</t>
        </is>
      </c>
      <c r="B399" s="68" t="inlineStr">
        <is>
          <t>palmatine</t>
        </is>
      </c>
    </row>
    <row r="400">
      <c r="A400" s="68" t="inlineStr">
        <is>
          <t>general or unknown targets</t>
        </is>
      </c>
      <c r="B400" s="68" t="inlineStr">
        <is>
          <t>coptisine</t>
        </is>
      </c>
    </row>
    <row r="401">
      <c r="A401" s="68" t="inlineStr">
        <is>
          <t>adenosine_antagonism</t>
        </is>
      </c>
      <c r="B401" s="68" t="inlineStr">
        <is>
          <t>adenosine</t>
        </is>
      </c>
    </row>
    <row r="402">
      <c r="A402" s="68" t="inlineStr">
        <is>
          <t>adenosine_antagonism</t>
        </is>
      </c>
      <c r="B402" s="68" t="inlineStr">
        <is>
          <t>cordycepin</t>
        </is>
      </c>
    </row>
    <row r="403">
      <c r="A403" s="68" t="inlineStr">
        <is>
          <t>general or unknown targets</t>
        </is>
      </c>
      <c r="B403" s="68" t="inlineStr">
        <is>
          <t>morroniside</t>
        </is>
      </c>
    </row>
    <row r="404">
      <c r="A404" s="68" t="inlineStr">
        <is>
          <t>general or unknown targets</t>
        </is>
      </c>
      <c r="B404" s="68" t="inlineStr">
        <is>
          <t>loganin</t>
        </is>
      </c>
    </row>
    <row r="405">
      <c r="A405" s="68" t="inlineStr">
        <is>
          <t>general or unknown targets</t>
        </is>
      </c>
      <c r="B405" s="68" t="inlineStr">
        <is>
          <t>bulbocapnine</t>
        </is>
      </c>
    </row>
    <row r="406">
      <c r="A406" s="68" t="inlineStr">
        <is>
          <t>general or unknown targets</t>
        </is>
      </c>
      <c r="B406" s="68" t="inlineStr">
        <is>
          <t>protopine</t>
        </is>
      </c>
    </row>
    <row r="407">
      <c r="A407" s="68" t="inlineStr">
        <is>
          <t>dopaminergic_modulation</t>
        </is>
      </c>
      <c r="B407" s="68" t="inlineStr">
        <is>
          <t>corydaline</t>
        </is>
      </c>
    </row>
    <row r="408">
      <c r="A408" s="68" t="inlineStr">
        <is>
          <t>general or unknown targets</t>
        </is>
      </c>
      <c r="B408" s="68" t="inlineStr">
        <is>
          <t>corydaline</t>
        </is>
      </c>
    </row>
    <row r="409">
      <c r="A409" s="68" t="inlineStr">
        <is>
          <t>dopaminergic_modulation</t>
        </is>
      </c>
      <c r="B409" s="68" t="inlineStr">
        <is>
          <t>isocorypalmine</t>
        </is>
      </c>
    </row>
    <row r="410">
      <c r="A410" s="68" t="inlineStr">
        <is>
          <t>dopaminergic_modulation</t>
        </is>
      </c>
      <c r="B410" s="68" t="inlineStr">
        <is>
          <t>dehydrocorybulbine</t>
        </is>
      </c>
    </row>
    <row r="411">
      <c r="A411" s="68" t="inlineStr">
        <is>
          <t>dopaminergic_modulation</t>
        </is>
      </c>
      <c r="B411" s="68" t="inlineStr">
        <is>
          <t>tetrahydropalmatine</t>
        </is>
      </c>
    </row>
    <row r="412">
      <c r="A412" s="68" t="inlineStr">
        <is>
          <t>general or unknown targets</t>
        </is>
      </c>
      <c r="B412" s="68" t="inlineStr">
        <is>
          <t>picrocrocin</t>
        </is>
      </c>
    </row>
    <row r="413">
      <c r="A413" s="68" t="inlineStr">
        <is>
          <t>general or unknown targets</t>
        </is>
      </c>
      <c r="B413" s="68" t="inlineStr">
        <is>
          <t>crocin</t>
        </is>
      </c>
    </row>
    <row r="414">
      <c r="A414" s="68" t="inlineStr">
        <is>
          <t>general or unknown targets</t>
        </is>
      </c>
      <c r="B414" s="68" t="inlineStr">
        <is>
          <t>safranal</t>
        </is>
      </c>
    </row>
    <row r="415">
      <c r="A415" s="68" t="inlineStr">
        <is>
          <t>general or unknown targets</t>
        </is>
      </c>
      <c r="B415" s="68" t="inlineStr">
        <is>
          <t>crocetin</t>
        </is>
      </c>
    </row>
    <row r="416">
      <c r="A416" s="68" t="inlineStr">
        <is>
          <t>general or unknown targets</t>
        </is>
      </c>
      <c r="B416" s="68" t="inlineStr">
        <is>
          <t>taspine</t>
        </is>
      </c>
    </row>
    <row r="417">
      <c r="A417" s="68" t="inlineStr">
        <is>
          <t>general or unknown targets</t>
        </is>
      </c>
      <c r="B417" s="68" t="inlineStr">
        <is>
          <t>turmerone</t>
        </is>
      </c>
    </row>
    <row r="418">
      <c r="A418" s="68" t="inlineStr">
        <is>
          <t>general or unknown targets</t>
        </is>
      </c>
      <c r="B418" s="68" t="inlineStr">
        <is>
          <t>geraniol</t>
        </is>
      </c>
    </row>
    <row r="419">
      <c r="A419" s="68" t="inlineStr">
        <is>
          <t>general or unknown targets</t>
        </is>
      </c>
      <c r="B419" s="68" t="inlineStr">
        <is>
          <t>cynarin</t>
        </is>
      </c>
    </row>
    <row r="420">
      <c r="A420" s="68" t="inlineStr">
        <is>
          <t>general or unknown targets</t>
        </is>
      </c>
      <c r="B420" s="68" t="inlineStr">
        <is>
          <t>cyperene</t>
        </is>
      </c>
    </row>
    <row r="421">
      <c r="A421" s="68" t="inlineStr">
        <is>
          <t>general or unknown targets</t>
        </is>
      </c>
      <c r="B421" s="68" t="inlineStr">
        <is>
          <t>dendrobine</t>
        </is>
      </c>
    </row>
    <row r="422">
      <c r="A422" s="68" t="inlineStr">
        <is>
          <t>general or unknown targets</t>
        </is>
      </c>
      <c r="B422" s="68" t="inlineStr">
        <is>
          <t>isofebrifugine</t>
        </is>
      </c>
    </row>
    <row r="423">
      <c r="A423" s="68" t="inlineStr">
        <is>
          <t>general or unknown targets</t>
        </is>
      </c>
      <c r="B423" s="68" t="inlineStr">
        <is>
          <t>febrifugine</t>
        </is>
      </c>
    </row>
    <row r="424">
      <c r="A424" s="68" t="inlineStr">
        <is>
          <t>general or unknown targets</t>
        </is>
      </c>
      <c r="B424" s="68" t="inlineStr">
        <is>
          <t>neral</t>
        </is>
      </c>
    </row>
    <row r="425">
      <c r="A425" s="68" t="inlineStr">
        <is>
          <t>general or unknown targets</t>
        </is>
      </c>
      <c r="B425" s="68" t="inlineStr">
        <is>
          <t>geranial</t>
        </is>
      </c>
    </row>
    <row r="426">
      <c r="A426" s="68" t="inlineStr">
        <is>
          <t>general or unknown targets</t>
        </is>
      </c>
      <c r="B426" s="68" t="inlineStr">
        <is>
          <t>ecliptine</t>
        </is>
      </c>
    </row>
    <row r="427">
      <c r="A427" s="68" t="inlineStr">
        <is>
          <t>general or unknown targets</t>
        </is>
      </c>
      <c r="B427" s="68" t="inlineStr">
        <is>
          <t>lycopene</t>
        </is>
      </c>
    </row>
    <row r="428">
      <c r="A428" s="68" t="inlineStr">
        <is>
          <t>dopaminergic_modulation</t>
        </is>
      </c>
      <c r="B428" s="68" t="inlineStr">
        <is>
          <t>pseudoephedrine</t>
        </is>
      </c>
    </row>
    <row r="429">
      <c r="A429" s="68" t="inlineStr">
        <is>
          <t>general or unknown targets</t>
        </is>
      </c>
      <c r="B429" s="68" t="inlineStr">
        <is>
          <t>pseudoephedrine</t>
        </is>
      </c>
    </row>
    <row r="430">
      <c r="A430" s="68" t="inlineStr">
        <is>
          <t>dopaminergic_modulation</t>
        </is>
      </c>
      <c r="B430" s="68" t="inlineStr">
        <is>
          <t>ephedrine</t>
        </is>
      </c>
    </row>
    <row r="431">
      <c r="A431" s="68" t="inlineStr">
        <is>
          <t>general or unknown targets</t>
        </is>
      </c>
      <c r="B431" s="68" t="inlineStr">
        <is>
          <t>ephedrine</t>
        </is>
      </c>
    </row>
    <row r="432">
      <c r="A432" s="68" t="inlineStr">
        <is>
          <t>general or unknown targets</t>
        </is>
      </c>
      <c r="B432" s="68" t="inlineStr">
        <is>
          <t>silica</t>
        </is>
      </c>
    </row>
    <row r="433">
      <c r="A433" s="68" t="inlineStr">
        <is>
          <t>general or unknown targets</t>
        </is>
      </c>
      <c r="B433" s="68" t="inlineStr">
        <is>
          <t>eryngial</t>
        </is>
      </c>
    </row>
    <row r="434">
      <c r="A434" s="68" t="inlineStr">
        <is>
          <t>dopaminergic_modulation</t>
        </is>
      </c>
      <c r="B434" s="68" t="inlineStr">
        <is>
          <t>cinnamoylcocaine</t>
        </is>
      </c>
    </row>
    <row r="435">
      <c r="A435" s="68" t="inlineStr">
        <is>
          <t>general or unknown targets</t>
        </is>
      </c>
      <c r="B435" s="68" t="inlineStr">
        <is>
          <t>cinnamoylcocaine</t>
        </is>
      </c>
    </row>
    <row r="436">
      <c r="A436" s="68" t="inlineStr">
        <is>
          <t>general or unknown targets</t>
        </is>
      </c>
      <c r="B436" s="68" t="inlineStr">
        <is>
          <t>eucalyptol cineole</t>
        </is>
      </c>
    </row>
    <row r="437">
      <c r="A437" s="68" t="inlineStr">
        <is>
          <t>general or unknown targets</t>
        </is>
      </c>
      <c r="B437" s="68" t="inlineStr">
        <is>
          <t>ferulenol</t>
        </is>
      </c>
    </row>
    <row r="438">
      <c r="A438" s="68" t="inlineStr">
        <is>
          <t>general or unknown targets</t>
        </is>
      </c>
      <c r="B438" s="68" t="inlineStr">
        <is>
          <t>fenchone</t>
        </is>
      </c>
    </row>
    <row r="439">
      <c r="A439" s="68" t="inlineStr">
        <is>
          <t>general or unknown targets</t>
        </is>
      </c>
      <c r="B439" s="68" t="inlineStr">
        <is>
          <t>gitoxin</t>
        </is>
      </c>
    </row>
    <row r="440">
      <c r="A440" s="68" t="inlineStr">
        <is>
          <t>general or unknown targets</t>
        </is>
      </c>
      <c r="B440" s="68" t="inlineStr">
        <is>
          <t>digitoxin</t>
        </is>
      </c>
    </row>
    <row r="441">
      <c r="A441" s="68" t="inlineStr">
        <is>
          <t>general or unknown targets</t>
        </is>
      </c>
      <c r="B441" s="68" t="inlineStr">
        <is>
          <t>digoxin</t>
        </is>
      </c>
    </row>
    <row r="442">
      <c r="A442" s="68" t="inlineStr">
        <is>
          <t>general or unknown targets</t>
        </is>
      </c>
      <c r="B442" s="68" t="inlineStr">
        <is>
          <t>acetyl-beta-boswellic acid</t>
        </is>
      </c>
    </row>
    <row r="443">
      <c r="A443" s="68" t="inlineStr">
        <is>
          <t>general or unknown targets</t>
        </is>
      </c>
      <c r="B443" s="68" t="inlineStr">
        <is>
          <t>acetyl-11-keto-beta-boswellic acid</t>
        </is>
      </c>
    </row>
    <row r="444">
      <c r="A444" s="68" t="inlineStr">
        <is>
          <t>general or unknown targets</t>
        </is>
      </c>
      <c r="B444" s="68" t="inlineStr">
        <is>
          <t>11-keto-beta-boswellic acid</t>
        </is>
      </c>
    </row>
    <row r="445">
      <c r="A445" s="68" t="inlineStr">
        <is>
          <t>general or unknown targets</t>
        </is>
      </c>
      <c r="B445" s="68" t="inlineStr">
        <is>
          <t>iodine</t>
        </is>
      </c>
    </row>
    <row r="446">
      <c r="A446" s="68" t="inlineStr">
        <is>
          <t>general or unknown targets</t>
        </is>
      </c>
      <c r="B446" s="68" t="inlineStr">
        <is>
          <t>fucoidan</t>
        </is>
      </c>
    </row>
    <row r="447">
      <c r="A447" s="68" t="inlineStr">
        <is>
          <t>general or unknown targets</t>
        </is>
      </c>
      <c r="B447" s="68" t="inlineStr">
        <is>
          <t>asperuloside</t>
        </is>
      </c>
    </row>
    <row r="448">
      <c r="A448" s="68" t="inlineStr">
        <is>
          <t>general or unknown targets</t>
        </is>
      </c>
      <c r="B448" s="68" t="inlineStr">
        <is>
          <t>hydroxycitric acid</t>
        </is>
      </c>
    </row>
    <row r="449">
      <c r="A449" s="68" t="inlineStr">
        <is>
          <t>general or unknown targets</t>
        </is>
      </c>
      <c r="B449" s="68" t="inlineStr">
        <is>
          <t>geniposide</t>
        </is>
      </c>
    </row>
    <row r="450">
      <c r="A450" s="68" t="inlineStr">
        <is>
          <t>general or unknown targets</t>
        </is>
      </c>
      <c r="B450" s="68" t="inlineStr">
        <is>
          <t>amarogentin</t>
        </is>
      </c>
    </row>
    <row r="451">
      <c r="A451" s="68" t="inlineStr">
        <is>
          <t>general or unknown targets</t>
        </is>
      </c>
      <c r="B451" s="68" t="inlineStr">
        <is>
          <t>geraniin</t>
        </is>
      </c>
    </row>
    <row r="452">
      <c r="A452" s="68" t="inlineStr">
        <is>
          <t>inflammatory_pathway_modulation</t>
        </is>
      </c>
      <c r="B452" s="68" t="inlineStr">
        <is>
          <t>6-gingerol</t>
        </is>
      </c>
    </row>
    <row r="453">
      <c r="A453" s="68" t="inlineStr">
        <is>
          <t>inflammatory_pathway_modulation</t>
        </is>
      </c>
      <c r="B453" s="68" t="inlineStr">
        <is>
          <t>zingerone</t>
        </is>
      </c>
    </row>
    <row r="454">
      <c r="A454" s="68" t="inlineStr">
        <is>
          <t>gabaergic_modulation</t>
        </is>
      </c>
      <c r="B454" s="68" t="inlineStr">
        <is>
          <t>bilobalide</t>
        </is>
      </c>
    </row>
    <row r="455">
      <c r="A455" s="68" t="inlineStr">
        <is>
          <t>general or unknown targets</t>
        </is>
      </c>
      <c r="B455" s="68" t="inlineStr">
        <is>
          <t>glycyrrhizin</t>
        </is>
      </c>
    </row>
    <row r="456">
      <c r="A456" s="68" t="inlineStr">
        <is>
          <t>inflammatory_pathway_modulation</t>
        </is>
      </c>
      <c r="B456" s="68" t="inlineStr">
        <is>
          <t>madecassic acid</t>
        </is>
      </c>
    </row>
    <row r="457">
      <c r="A457" s="68" t="inlineStr">
        <is>
          <t>general or unknown targets</t>
        </is>
      </c>
      <c r="B457" s="68" t="inlineStr">
        <is>
          <t>grindelic acid</t>
        </is>
      </c>
    </row>
    <row r="458">
      <c r="A458" s="68" t="inlineStr">
        <is>
          <t>adenosine_antagonism</t>
        </is>
      </c>
      <c r="B458" s="68" t="inlineStr">
        <is>
          <t>theophylline</t>
        </is>
      </c>
    </row>
    <row r="459">
      <c r="A459" s="68" t="inlineStr">
        <is>
          <t>ADORA1, ADORA2A (adenosine receptors)</t>
        </is>
      </c>
      <c r="B459" s="68" t="inlineStr">
        <is>
          <t>theobromine</t>
        </is>
      </c>
    </row>
    <row r="460">
      <c r="A460" s="68" t="inlineStr">
        <is>
          <t>adenosine_antagonism</t>
        </is>
      </c>
      <c r="B460" s="68" t="inlineStr">
        <is>
          <t>theobromine</t>
        </is>
      </c>
    </row>
    <row r="461">
      <c r="A461" s="68" t="inlineStr">
        <is>
          <t>dopaminergic_modulation</t>
        </is>
      </c>
      <c r="B461" s="68" t="inlineStr">
        <is>
          <t>theobromine</t>
        </is>
      </c>
    </row>
    <row r="462">
      <c r="A462" s="68" t="inlineStr">
        <is>
          <t>general or unknown targets</t>
        </is>
      </c>
      <c r="B462" s="68" t="inlineStr">
        <is>
          <t>gurmarin</t>
        </is>
      </c>
    </row>
    <row r="463">
      <c r="A463" s="68" t="inlineStr">
        <is>
          <t>general or unknown targets</t>
        </is>
      </c>
      <c r="B463" s="68" t="inlineStr">
        <is>
          <t>gypenosides dammarane-type saponins</t>
        </is>
      </c>
    </row>
    <row r="464">
      <c r="A464" s="68" t="inlineStr">
        <is>
          <t>general or unknown targets</t>
        </is>
      </c>
      <c r="B464" s="68" t="inlineStr">
        <is>
          <t>harpagoside</t>
        </is>
      </c>
    </row>
    <row r="465">
      <c r="A465" s="68" t="inlineStr">
        <is>
          <t>general or unknown targets</t>
        </is>
      </c>
      <c r="B465" s="68" t="inlineStr">
        <is>
          <t>saponins hederacoside</t>
        </is>
      </c>
    </row>
    <row r="466">
      <c r="A466" s="68" t="inlineStr">
        <is>
          <t>general or unknown targets</t>
        </is>
      </c>
      <c r="B466" s="68" t="inlineStr">
        <is>
          <t>cryogenine vertine</t>
        </is>
      </c>
    </row>
    <row r="467">
      <c r="A467" s="68" t="inlineStr">
        <is>
          <t>inflammatory_pathway_modulation</t>
        </is>
      </c>
      <c r="B467" s="68" t="inlineStr">
        <is>
          <t>cryogenine vertine</t>
        </is>
      </c>
    </row>
    <row r="468">
      <c r="A468" s="68" t="inlineStr">
        <is>
          <t>general or unknown targets</t>
        </is>
      </c>
      <c r="B468" s="68" t="inlineStr">
        <is>
          <t>lythrine</t>
        </is>
      </c>
    </row>
    <row r="469">
      <c r="A469" s="68" t="inlineStr">
        <is>
          <t>general or unknown targets</t>
        </is>
      </c>
      <c r="B469" s="68" t="inlineStr">
        <is>
          <t>nesodine</t>
        </is>
      </c>
    </row>
    <row r="470">
      <c r="A470" s="68" t="inlineStr">
        <is>
          <t>general or unknown targets</t>
        </is>
      </c>
      <c r="B470" s="68" t="inlineStr">
        <is>
          <t>hibiscus acid</t>
        </is>
      </c>
    </row>
    <row r="471">
      <c r="A471" s="68" t="inlineStr">
        <is>
          <t>general or unknown targets</t>
        </is>
      </c>
      <c r="B471" s="68" t="inlineStr">
        <is>
          <t>anthocyanins delphinidin</t>
        </is>
      </c>
    </row>
    <row r="472">
      <c r="A472" s="68" t="inlineStr">
        <is>
          <t>general or unknown targets</t>
        </is>
      </c>
      <c r="B472" s="68" t="inlineStr">
        <is>
          <t>cyanidin</t>
        </is>
      </c>
    </row>
    <row r="473">
      <c r="A473" s="68" t="inlineStr">
        <is>
          <t>general or unknown targets</t>
        </is>
      </c>
      <c r="B473" s="68" t="inlineStr">
        <is>
          <t>ursolic acid</t>
        </is>
      </c>
    </row>
    <row r="474">
      <c r="A474" s="68" t="inlineStr">
        <is>
          <t>inflammatory_pathway_modulation</t>
        </is>
      </c>
      <c r="B474" s="68" t="inlineStr">
        <is>
          <t>ursolic acid</t>
        </is>
      </c>
    </row>
    <row r="475">
      <c r="A475" s="68" t="inlineStr">
        <is>
          <t>general or unknown targets</t>
        </is>
      </c>
      <c r="B475" s="68" t="inlineStr">
        <is>
          <t>humulone</t>
        </is>
      </c>
    </row>
    <row r="476">
      <c r="A476" s="68" t="inlineStr">
        <is>
          <t>general or unknown targets</t>
        </is>
      </c>
      <c r="B476" s="68" t="inlineStr">
        <is>
          <t>lupulone</t>
        </is>
      </c>
    </row>
    <row r="477">
      <c r="A477" s="68" t="inlineStr">
        <is>
          <t>general or unknown targets</t>
        </is>
      </c>
      <c r="B477" s="68" t="inlineStr">
        <is>
          <t>xanthohumol</t>
        </is>
      </c>
    </row>
    <row r="478">
      <c r="A478" s="68" t="inlineStr">
        <is>
          <t>general or unknown targets</t>
        </is>
      </c>
      <c r="B478" s="68" t="inlineStr">
        <is>
          <t>hydrastine</t>
        </is>
      </c>
    </row>
    <row r="479">
      <c r="A479" s="68" t="inlineStr">
        <is>
          <t>general or unknown targets</t>
        </is>
      </c>
      <c r="B479" s="68" t="inlineStr">
        <is>
          <t>hyperforin</t>
        </is>
      </c>
    </row>
    <row r="480">
      <c r="A480" s="68" t="inlineStr">
        <is>
          <t>general or unknown targets</t>
        </is>
      </c>
      <c r="B480" s="68" t="inlineStr">
        <is>
          <t>hypericin</t>
        </is>
      </c>
    </row>
    <row r="481">
      <c r="A481" s="68" t="inlineStr">
        <is>
          <t>general or unknown targets</t>
        </is>
      </c>
      <c r="B481" s="68" t="inlineStr">
        <is>
          <t>ibogaine</t>
        </is>
      </c>
    </row>
    <row r="482">
      <c r="A482" s="68" t="inlineStr">
        <is>
          <t>general or unknown targets</t>
        </is>
      </c>
      <c r="B482" s="68" t="inlineStr">
        <is>
          <t>ergine</t>
        </is>
      </c>
    </row>
    <row r="483">
      <c r="A483" s="68" t="inlineStr">
        <is>
          <t>general or unknown targets</t>
        </is>
      </c>
      <c r="B483" s="68" t="inlineStr">
        <is>
          <t>isoergine</t>
        </is>
      </c>
    </row>
    <row r="484">
      <c r="A484" s="68" t="inlineStr">
        <is>
          <t>general or unknown targets</t>
        </is>
      </c>
      <c r="B484" s="68" t="inlineStr">
        <is>
          <t>iridin</t>
        </is>
      </c>
    </row>
    <row r="485">
      <c r="A485" s="68" t="inlineStr">
        <is>
          <t>general or unknown targets</t>
        </is>
      </c>
      <c r="B485" s="68" t="inlineStr">
        <is>
          <t>juglone</t>
        </is>
      </c>
    </row>
    <row r="486">
      <c r="A486" s="68" t="inlineStr">
        <is>
          <t>general or unknown targets</t>
        </is>
      </c>
      <c r="B486" s="68" t="inlineStr">
        <is>
          <t>alpha-pinene</t>
        </is>
      </c>
    </row>
    <row r="487">
      <c r="A487" s="68" t="inlineStr">
        <is>
          <t>general or unknown targets</t>
        </is>
      </c>
      <c r="B487" s="68" t="inlineStr">
        <is>
          <t>ethyl cinnamate</t>
        </is>
      </c>
    </row>
    <row r="488">
      <c r="A488" s="68" t="inlineStr">
        <is>
          <t>general or unknown targets</t>
        </is>
      </c>
      <c r="B488" s="68" t="inlineStr">
        <is>
          <t>kaempferol</t>
        </is>
      </c>
    </row>
    <row r="489">
      <c r="A489" s="68" t="inlineStr">
        <is>
          <t>dopaminergic_modulation</t>
        </is>
      </c>
      <c r="B489" s="68" t="inlineStr">
        <is>
          <t>kavain</t>
        </is>
      </c>
    </row>
    <row r="490">
      <c r="A490" s="68" t="inlineStr">
        <is>
          <t>gabaergic_modulation</t>
        </is>
      </c>
      <c r="B490" s="68" t="inlineStr">
        <is>
          <t>kavain</t>
        </is>
      </c>
    </row>
    <row r="491">
      <c r="A491" s="68" t="inlineStr">
        <is>
          <t>dopaminergic_modulation</t>
        </is>
      </c>
      <c r="B491" s="68" t="inlineStr">
        <is>
          <t>dihydrokavain</t>
        </is>
      </c>
    </row>
    <row r="492">
      <c r="A492" s="68" t="inlineStr">
        <is>
          <t>gabaergic_modulation</t>
        </is>
      </c>
      <c r="B492" s="68" t="inlineStr">
        <is>
          <t>dihydrokavain</t>
        </is>
      </c>
    </row>
    <row r="493">
      <c r="A493" s="68" t="inlineStr">
        <is>
          <t>dopaminergic_modulation</t>
        </is>
      </c>
      <c r="B493" s="68" t="inlineStr">
        <is>
          <t>yangonin</t>
        </is>
      </c>
    </row>
    <row r="494">
      <c r="A494" s="68" t="inlineStr">
        <is>
          <t>gabaergic_modulation</t>
        </is>
      </c>
      <c r="B494" s="68" t="inlineStr">
        <is>
          <t>yangonin</t>
        </is>
      </c>
    </row>
    <row r="495">
      <c r="A495" s="68" t="inlineStr">
        <is>
          <t>dopaminergic_modulation</t>
        </is>
      </c>
      <c r="B495" s="68" t="inlineStr">
        <is>
          <t>desmethoxyyangonin</t>
        </is>
      </c>
    </row>
    <row r="496">
      <c r="A496" s="68" t="inlineStr">
        <is>
          <t>gabaergic_modulation</t>
        </is>
      </c>
      <c r="B496" s="68" t="inlineStr">
        <is>
          <t>desmethoxyyangonin</t>
        </is>
      </c>
    </row>
    <row r="497">
      <c r="A497" s="68" t="inlineStr">
        <is>
          <t>dopaminergic_modulation</t>
        </is>
      </c>
      <c r="B497" s="68" t="inlineStr">
        <is>
          <t>dihydromethysticin</t>
        </is>
      </c>
    </row>
    <row r="498">
      <c r="A498" s="68" t="inlineStr">
        <is>
          <t>gabaergic_modulation</t>
        </is>
      </c>
      <c r="B498" s="68" t="inlineStr">
        <is>
          <t>dihydromethysticin</t>
        </is>
      </c>
    </row>
    <row r="499">
      <c r="A499" s="68" t="inlineStr">
        <is>
          <t>dopaminergic_modulation</t>
        </is>
      </c>
      <c r="B499" s="68" t="inlineStr">
        <is>
          <t>methysticin</t>
        </is>
      </c>
    </row>
    <row r="500">
      <c r="A500" s="68" t="inlineStr">
        <is>
          <t>gabaergic_modulation</t>
        </is>
      </c>
      <c r="B500" s="68" t="inlineStr">
        <is>
          <t>methysticin</t>
        </is>
      </c>
    </row>
    <row r="501">
      <c r="A501" s="68" t="inlineStr">
        <is>
          <t>general or unknown targets</t>
        </is>
      </c>
      <c r="B501" s="68" t="inlineStr">
        <is>
          <t>7-hydroxymitragynine</t>
        </is>
      </c>
    </row>
    <row r="502">
      <c r="A502" s="68" t="inlineStr">
        <is>
          <t>general or unknown targets</t>
        </is>
      </c>
      <c r="B502" s="68" t="inlineStr">
        <is>
          <t>mitragynine</t>
        </is>
      </c>
    </row>
    <row r="503">
      <c r="A503" s="68" t="inlineStr">
        <is>
          <t>general or unknown targets</t>
        </is>
      </c>
      <c r="B503" s="68" t="inlineStr">
        <is>
          <t>lactucopicrin</t>
        </is>
      </c>
    </row>
    <row r="504">
      <c r="A504" s="68" t="inlineStr">
        <is>
          <t>general or unknown targets</t>
        </is>
      </c>
      <c r="B504" s="68" t="inlineStr">
        <is>
          <t>lactucin</t>
        </is>
      </c>
    </row>
    <row r="505">
      <c r="A505" s="68" t="inlineStr">
        <is>
          <t>gabaergic_modulation</t>
        </is>
      </c>
      <c r="B505" s="68" t="inlineStr">
        <is>
          <t>linalyl acetate</t>
        </is>
      </c>
    </row>
    <row r="506">
      <c r="A506" s="68" t="inlineStr">
        <is>
          <t>gabaergic_modulation</t>
        </is>
      </c>
      <c r="B506" s="68" t="inlineStr">
        <is>
          <t>linalool</t>
        </is>
      </c>
    </row>
    <row r="507">
      <c r="A507" s="68" t="inlineStr">
        <is>
          <t>general or unknown targets</t>
        </is>
      </c>
      <c r="B507" s="68" t="inlineStr">
        <is>
          <t>ledol</t>
        </is>
      </c>
    </row>
    <row r="508">
      <c r="A508" s="68" t="inlineStr">
        <is>
          <t>general or unknown targets</t>
        </is>
      </c>
      <c r="B508" s="68" t="inlineStr">
        <is>
          <t>palustrol</t>
        </is>
      </c>
    </row>
    <row r="509">
      <c r="A509" s="68" t="inlineStr">
        <is>
          <t>gabaergic_modulation</t>
        </is>
      </c>
      <c r="B509" s="68" t="inlineStr">
        <is>
          <t>citronellal</t>
        </is>
      </c>
    </row>
    <row r="510">
      <c r="A510" s="68" t="inlineStr">
        <is>
          <t>general or unknown targets</t>
        </is>
      </c>
      <c r="B510" s="68" t="inlineStr">
        <is>
          <t>stachydrine</t>
        </is>
      </c>
    </row>
    <row r="511">
      <c r="A511" s="68" t="inlineStr">
        <is>
          <t>general or unknown targets</t>
        </is>
      </c>
      <c r="B511" s="68" t="inlineStr">
        <is>
          <t>leonurine</t>
        </is>
      </c>
    </row>
    <row r="512">
      <c r="A512" s="68" t="inlineStr">
        <is>
          <t>general or unknown targets</t>
        </is>
      </c>
      <c r="B512" s="68" t="inlineStr">
        <is>
          <t>triketones leptospermone</t>
        </is>
      </c>
    </row>
    <row r="513">
      <c r="A513" s="68" t="inlineStr">
        <is>
          <t>general or unknown targets</t>
        </is>
      </c>
      <c r="B513" s="68" t="inlineStr">
        <is>
          <t>tetramethylpyrazine</t>
        </is>
      </c>
    </row>
    <row r="514">
      <c r="A514" s="68" t="inlineStr">
        <is>
          <t>cholinergic_modulation</t>
        </is>
      </c>
      <c r="B514" s="68" t="inlineStr">
        <is>
          <t>lobeline</t>
        </is>
      </c>
    </row>
    <row r="515">
      <c r="A515" s="68" t="inlineStr">
        <is>
          <t>dopaminergic_modulation</t>
        </is>
      </c>
      <c r="B515" s="68" t="inlineStr">
        <is>
          <t>lobeline</t>
        </is>
      </c>
    </row>
    <row r="516">
      <c r="A516" s="68" t="inlineStr">
        <is>
          <t>cholinergic_modulation</t>
        </is>
      </c>
      <c r="B516" s="68" t="inlineStr">
        <is>
          <t>lobelanidine</t>
        </is>
      </c>
    </row>
    <row r="517">
      <c r="A517" s="68" t="inlineStr">
        <is>
          <t>dopaminergic_modulation</t>
        </is>
      </c>
      <c r="B517" s="68" t="inlineStr">
        <is>
          <t>lobelanidine</t>
        </is>
      </c>
    </row>
    <row r="518">
      <c r="A518" s="68" t="inlineStr">
        <is>
          <t>serotonergic_5HT2A_agonism</t>
        </is>
      </c>
      <c r="B518" s="68" t="inlineStr">
        <is>
          <t>mescaline</t>
        </is>
      </c>
    </row>
    <row r="519">
      <c r="A519" s="68" t="inlineStr">
        <is>
          <t>dopaminergic_modulation</t>
        </is>
      </c>
      <c r="B519" s="68" t="inlineStr">
        <is>
          <t>lsd ergoline derivative</t>
        </is>
      </c>
    </row>
    <row r="520">
      <c r="A520" s="68" t="inlineStr">
        <is>
          <t>serotonergic_5HT2A_agonism</t>
        </is>
      </c>
      <c r="B520" s="68" t="inlineStr">
        <is>
          <t>lsd ergoline derivative</t>
        </is>
      </c>
    </row>
    <row r="521">
      <c r="A521" s="68" t="inlineStr">
        <is>
          <t>general or unknown targets</t>
        </is>
      </c>
      <c r="B521" s="68" t="inlineStr">
        <is>
          <t>lycopodine</t>
        </is>
      </c>
    </row>
    <row r="522">
      <c r="A522" s="68" t="inlineStr">
        <is>
          <t>general or unknown targets</t>
        </is>
      </c>
      <c r="B522" s="68" t="inlineStr">
        <is>
          <t>lithospermic acid</t>
        </is>
      </c>
    </row>
    <row r="523">
      <c r="A523" s="68" t="inlineStr">
        <is>
          <t>general or unknown targets</t>
        </is>
      </c>
      <c r="B523" s="68" t="inlineStr">
        <is>
          <t>dillapiole</t>
        </is>
      </c>
    </row>
    <row r="524">
      <c r="A524" s="68" t="inlineStr">
        <is>
          <t>general or unknown targets</t>
        </is>
      </c>
      <c r="B524" s="68" t="inlineStr">
        <is>
          <t>myristicin</t>
        </is>
      </c>
    </row>
    <row r="525">
      <c r="A525" s="68" t="inlineStr">
        <is>
          <t>general or unknown targets</t>
        </is>
      </c>
      <c r="B525" s="68" t="inlineStr">
        <is>
          <t>bisabolol</t>
        </is>
      </c>
    </row>
    <row r="526">
      <c r="A526" s="68" t="inlineStr">
        <is>
          <t>general or unknown targets</t>
        </is>
      </c>
      <c r="B526" s="68" t="inlineStr">
        <is>
          <t>terpinen-4-ol</t>
        </is>
      </c>
    </row>
    <row r="527">
      <c r="A527" s="68" t="inlineStr">
        <is>
          <t>general or unknown targets</t>
        </is>
      </c>
      <c r="B527" s="68" t="inlineStr">
        <is>
          <t>menthone</t>
        </is>
      </c>
    </row>
    <row r="528">
      <c r="A528" s="68" t="inlineStr">
        <is>
          <t>dopaminergic_modulation</t>
        </is>
      </c>
      <c r="B528" s="68" t="inlineStr">
        <is>
          <t>mescaline derivative</t>
        </is>
      </c>
    </row>
    <row r="529">
      <c r="A529" s="68" t="inlineStr">
        <is>
          <t>serotonergic_5HT2A_agonism</t>
        </is>
      </c>
      <c r="B529" s="68" t="inlineStr">
        <is>
          <t>mescaline derivative</t>
        </is>
      </c>
    </row>
    <row r="530">
      <c r="A530" s="68" t="inlineStr">
        <is>
          <t>general or unknown targets</t>
        </is>
      </c>
      <c r="B530" s="68" t="inlineStr">
        <is>
          <t>viscotoxin</t>
        </is>
      </c>
    </row>
    <row r="531">
      <c r="A531" s="68" t="inlineStr">
        <is>
          <t>general or unknown targets</t>
        </is>
      </c>
      <c r="B531" s="68" t="inlineStr">
        <is>
          <t>mitrajavine</t>
        </is>
      </c>
    </row>
    <row r="532">
      <c r="A532" s="68" t="inlineStr">
        <is>
          <t>general or unknown targets</t>
        </is>
      </c>
      <c r="B532" s="68" t="inlineStr">
        <is>
          <t>mitraphylline</t>
        </is>
      </c>
    </row>
    <row r="533">
      <c r="A533" s="68" t="inlineStr">
        <is>
          <t>general or unknown targets</t>
        </is>
      </c>
      <c r="B533" s="68" t="inlineStr">
        <is>
          <t>isomitraphylline</t>
        </is>
      </c>
    </row>
    <row r="534">
      <c r="A534" s="68" t="inlineStr">
        <is>
          <t>general or unknown targets</t>
        </is>
      </c>
      <c r="B534" s="68" t="inlineStr">
        <is>
          <t>charantin</t>
        </is>
      </c>
    </row>
    <row r="535">
      <c r="A535" s="68" t="inlineStr">
        <is>
          <t>general or unknown targets</t>
        </is>
      </c>
      <c r="B535" s="68" t="inlineStr">
        <is>
          <t>vicine</t>
        </is>
      </c>
    </row>
    <row r="536">
      <c r="A536" s="68" t="inlineStr">
        <is>
          <t>general or unknown targets</t>
        </is>
      </c>
      <c r="B536" s="68" t="inlineStr">
        <is>
          <t>polypeptide-p</t>
        </is>
      </c>
    </row>
    <row r="537">
      <c r="A537" s="68" t="inlineStr">
        <is>
          <t>general or unknown targets</t>
        </is>
      </c>
      <c r="B537" s="68" t="inlineStr">
        <is>
          <t>thymol</t>
        </is>
      </c>
    </row>
    <row r="538">
      <c r="A538" s="68" t="inlineStr">
        <is>
          <t>general or unknown targets</t>
        </is>
      </c>
      <c r="B538" s="68" t="inlineStr">
        <is>
          <t>damnacanthal</t>
        </is>
      </c>
    </row>
    <row r="539">
      <c r="A539" s="68" t="inlineStr">
        <is>
          <t>general or unknown targets</t>
        </is>
      </c>
      <c r="B539" s="68" t="inlineStr">
        <is>
          <t>scopoletin</t>
        </is>
      </c>
    </row>
    <row r="540">
      <c r="A540" s="68" t="inlineStr">
        <is>
          <t>general or unknown targets</t>
        </is>
      </c>
      <c r="B540" s="68" t="inlineStr">
        <is>
          <t>vanillin</t>
        </is>
      </c>
    </row>
    <row r="541">
      <c r="A541" s="68" t="inlineStr">
        <is>
          <t>general or unknown targets</t>
        </is>
      </c>
      <c r="B541" s="68" t="inlineStr">
        <is>
          <t>benzyl benzoate</t>
        </is>
      </c>
    </row>
    <row r="542">
      <c r="A542" s="68" t="inlineStr">
        <is>
          <t>general or unknown targets</t>
        </is>
      </c>
      <c r="B542" s="68" t="inlineStr">
        <is>
          <t>valeranone</t>
        </is>
      </c>
    </row>
    <row r="543">
      <c r="A543" s="68" t="inlineStr">
        <is>
          <t>general or unknown targets</t>
        </is>
      </c>
      <c r="B543" s="68" t="inlineStr">
        <is>
          <t>jatamansone</t>
        </is>
      </c>
    </row>
    <row r="544">
      <c r="A544" s="68" t="inlineStr">
        <is>
          <t>general or unknown targets</t>
        </is>
      </c>
      <c r="B544" s="68" t="inlineStr">
        <is>
          <t>oleandrin</t>
        </is>
      </c>
    </row>
    <row r="545">
      <c r="A545" s="68" t="inlineStr">
        <is>
          <t>general or unknown targets</t>
        </is>
      </c>
      <c r="B545" s="68" t="inlineStr">
        <is>
          <t>neriine</t>
        </is>
      </c>
    </row>
    <row r="546">
      <c r="A546" s="68" t="inlineStr">
        <is>
          <t>cholinergic_modulation</t>
        </is>
      </c>
      <c r="B546" s="68" t="inlineStr">
        <is>
          <t>anabasine</t>
        </is>
      </c>
    </row>
    <row r="547">
      <c r="A547" s="68" t="inlineStr">
        <is>
          <t>dopaminergic_modulation</t>
        </is>
      </c>
      <c r="B547" s="68" t="inlineStr">
        <is>
          <t>anabasine</t>
        </is>
      </c>
    </row>
    <row r="548">
      <c r="A548" s="68" t="inlineStr">
        <is>
          <t>cholinergic_modulation</t>
        </is>
      </c>
      <c r="B548" s="68" t="inlineStr">
        <is>
          <t>nornicotine</t>
        </is>
      </c>
    </row>
    <row r="549">
      <c r="A549" s="68" t="inlineStr">
        <is>
          <t>dopaminergic_modulation</t>
        </is>
      </c>
      <c r="B549" s="68" t="inlineStr">
        <is>
          <t>nornicotine</t>
        </is>
      </c>
    </row>
    <row r="550">
      <c r="A550" s="68" t="inlineStr">
        <is>
          <t>general or unknown targets</t>
        </is>
      </c>
      <c r="B550" s="68" t="inlineStr">
        <is>
          <t>nornicotine</t>
        </is>
      </c>
    </row>
    <row r="551">
      <c r="A551" s="68" t="inlineStr">
        <is>
          <t>cholinergic_modulation</t>
        </is>
      </c>
      <c r="B551" s="68" t="inlineStr">
        <is>
          <t>nicotine</t>
        </is>
      </c>
    </row>
    <row r="552">
      <c r="A552" s="68" t="inlineStr">
        <is>
          <t>dopaminergic_modulation</t>
        </is>
      </c>
      <c r="B552" s="68" t="inlineStr">
        <is>
          <t>nicotine</t>
        </is>
      </c>
    </row>
    <row r="553">
      <c r="A553" s="68" t="inlineStr">
        <is>
          <t>general or unknown targets</t>
        </is>
      </c>
      <c r="B553" s="68" t="inlineStr">
        <is>
          <t>nicotine</t>
        </is>
      </c>
    </row>
    <row r="554">
      <c r="A554" s="68" t="inlineStr">
        <is>
          <t>general or unknown targets</t>
        </is>
      </c>
      <c r="B554" s="68" t="inlineStr">
        <is>
          <t>thymoquinone</t>
        </is>
      </c>
    </row>
    <row r="555">
      <c r="A555" s="68" t="inlineStr">
        <is>
          <t>general or unknown targets</t>
        </is>
      </c>
      <c r="B555" s="68" t="inlineStr">
        <is>
          <t>nigellone</t>
        </is>
      </c>
    </row>
    <row r="556">
      <c r="A556" s="68" t="inlineStr">
        <is>
          <t>general or unknown targets</t>
        </is>
      </c>
      <c r="B556" s="68" t="inlineStr">
        <is>
          <t>linoleic acid</t>
        </is>
      </c>
    </row>
    <row r="557">
      <c r="A557" s="68" t="inlineStr">
        <is>
          <t>general or unknown targets</t>
        </is>
      </c>
      <c r="B557" s="68" t="inlineStr">
        <is>
          <t>ginsenosides rb1</t>
        </is>
      </c>
    </row>
    <row r="558">
      <c r="A558" s="68" t="inlineStr">
        <is>
          <t>general or unknown targets</t>
        </is>
      </c>
      <c r="B558" s="68" t="inlineStr">
        <is>
          <t>re</t>
        </is>
      </c>
    </row>
    <row r="559">
      <c r="A559" s="68" t="inlineStr">
        <is>
          <t>general or unknown targets</t>
        </is>
      </c>
      <c r="B559" s="68" t="inlineStr">
        <is>
          <t>morphine</t>
        </is>
      </c>
    </row>
    <row r="560">
      <c r="A560" s="68" t="inlineStr">
        <is>
          <t>general or unknown targets</t>
        </is>
      </c>
      <c r="B560" s="68" t="inlineStr">
        <is>
          <t>codeine</t>
        </is>
      </c>
    </row>
    <row r="561">
      <c r="A561" s="68" t="inlineStr">
        <is>
          <t>general or unknown targets</t>
        </is>
      </c>
      <c r="B561" s="68" t="inlineStr">
        <is>
          <t>thebaine</t>
        </is>
      </c>
    </row>
    <row r="562">
      <c r="A562" s="68" t="inlineStr">
        <is>
          <t>general or unknown targets</t>
        </is>
      </c>
      <c r="B562" s="68" t="inlineStr">
        <is>
          <t>maltol</t>
        </is>
      </c>
    </row>
    <row r="563">
      <c r="A563" s="68" t="inlineStr">
        <is>
          <t>general or unknown targets</t>
        </is>
      </c>
      <c r="B563" s="68" t="inlineStr">
        <is>
          <t>harmalol</t>
        </is>
      </c>
    </row>
    <row r="564">
      <c r="A564" s="68" t="inlineStr">
        <is>
          <t>general or unknown targets</t>
        </is>
      </c>
      <c r="B564" s="68" t="inlineStr">
        <is>
          <t>umckalin</t>
        </is>
      </c>
    </row>
    <row r="565">
      <c r="A565" s="68" t="inlineStr">
        <is>
          <t>general or unknown targets</t>
        </is>
      </c>
      <c r="B565" s="68" t="inlineStr">
        <is>
          <t>pellucidin a</t>
        </is>
      </c>
    </row>
    <row r="566">
      <c r="A566" s="68" t="inlineStr">
        <is>
          <t>general or unknown targets</t>
        </is>
      </c>
      <c r="B566" s="68" t="inlineStr">
        <is>
          <t>dibenzyl trisulfide</t>
        </is>
      </c>
    </row>
    <row r="567">
      <c r="A567" s="68" t="inlineStr">
        <is>
          <t>general or unknown targets</t>
        </is>
      </c>
      <c r="B567" s="68" t="inlineStr">
        <is>
          <t>gramine</t>
        </is>
      </c>
    </row>
    <row r="568">
      <c r="A568" s="68" t="inlineStr">
        <is>
          <t>general or unknown targets</t>
        </is>
      </c>
      <c r="B568" s="68" t="inlineStr">
        <is>
          <t>kutkoside</t>
        </is>
      </c>
    </row>
    <row r="569">
      <c r="A569" s="68" t="inlineStr">
        <is>
          <t>general or unknown targets</t>
        </is>
      </c>
      <c r="B569" s="68" t="inlineStr">
        <is>
          <t>myrcene</t>
        </is>
      </c>
    </row>
    <row r="570">
      <c r="A570" s="68" t="inlineStr">
        <is>
          <t>general or unknown targets</t>
        </is>
      </c>
      <c r="B570" s="68" t="inlineStr">
        <is>
          <t>chavicol</t>
        </is>
      </c>
    </row>
    <row r="571">
      <c r="A571" s="68" t="inlineStr">
        <is>
          <t>general or unknown targets</t>
        </is>
      </c>
      <c r="B571" s="68" t="inlineStr">
        <is>
          <t>safrole</t>
        </is>
      </c>
    </row>
    <row r="572">
      <c r="A572" s="68" t="inlineStr">
        <is>
          <t>general or unknown targets</t>
        </is>
      </c>
      <c r="B572" s="68" t="inlineStr">
        <is>
          <t>aucubin</t>
        </is>
      </c>
    </row>
    <row r="573">
      <c r="A573" s="68" t="inlineStr">
        <is>
          <t>general or unknown targets</t>
        </is>
      </c>
      <c r="B573" s="68" t="inlineStr">
        <is>
          <t>allantoin</t>
        </is>
      </c>
    </row>
    <row r="574">
      <c r="A574" s="68" t="inlineStr">
        <is>
          <t>general or unknown targets</t>
        </is>
      </c>
      <c r="B574" s="68" t="inlineStr">
        <is>
          <t>podophyllotoxin</t>
        </is>
      </c>
    </row>
    <row r="575">
      <c r="A575" s="68" t="inlineStr">
        <is>
          <t>general or unknown targets</t>
        </is>
      </c>
      <c r="B575" s="68" t="inlineStr">
        <is>
          <t>pachymic acid</t>
        </is>
      </c>
    </row>
    <row r="576">
      <c r="A576" s="68" t="inlineStr">
        <is>
          <t>serotonergic_5HT2A_agonism</t>
        </is>
      </c>
      <c r="B576" s="68" t="inlineStr">
        <is>
          <t>psilocin</t>
        </is>
      </c>
    </row>
    <row r="577">
      <c r="A577" s="68" t="inlineStr">
        <is>
          <t>serotonergic_5HT2A_agonism</t>
        </is>
      </c>
      <c r="B577" s="68" t="inlineStr">
        <is>
          <t>psilocybin</t>
        </is>
      </c>
    </row>
    <row r="578">
      <c r="A578" s="68" t="inlineStr">
        <is>
          <t>general or unknown targets</t>
        </is>
      </c>
      <c r="B578" s="68" t="inlineStr">
        <is>
          <t>miroestrol</t>
        </is>
      </c>
    </row>
    <row r="579">
      <c r="A579" s="68" t="inlineStr">
        <is>
          <t>general or unknown targets</t>
        </is>
      </c>
      <c r="B579" s="68" t="inlineStr">
        <is>
          <t>deoxymiroestrol</t>
        </is>
      </c>
    </row>
    <row r="580">
      <c r="A580" s="68" t="inlineStr">
        <is>
          <t>general or unknown targets</t>
        </is>
      </c>
      <c r="B580" s="68" t="inlineStr">
        <is>
          <t>neoquassin</t>
        </is>
      </c>
    </row>
    <row r="581">
      <c r="A581" s="68" t="inlineStr">
        <is>
          <t>general or unknown targets</t>
        </is>
      </c>
      <c r="B581" s="68" t="inlineStr">
        <is>
          <t>quassin</t>
        </is>
      </c>
    </row>
    <row r="582">
      <c r="A582" s="68" t="inlineStr">
        <is>
          <t>general or unknown targets</t>
        </is>
      </c>
      <c r="B582" s="68" t="inlineStr">
        <is>
          <t>serpentine</t>
        </is>
      </c>
    </row>
    <row r="583">
      <c r="A583" s="68" t="inlineStr">
        <is>
          <t>general or unknown targets</t>
        </is>
      </c>
      <c r="B583" s="68" t="inlineStr">
        <is>
          <t>reserpine</t>
        </is>
      </c>
    </row>
    <row r="584">
      <c r="A584" s="68" t="inlineStr">
        <is>
          <t>general or unknown targets</t>
        </is>
      </c>
      <c r="B584" s="68" t="inlineStr">
        <is>
          <t>ajmaline</t>
        </is>
      </c>
    </row>
    <row r="585">
      <c r="A585" s="68" t="inlineStr">
        <is>
          <t>general or unknown targets</t>
        </is>
      </c>
      <c r="B585" s="68" t="inlineStr">
        <is>
          <t>rosavin</t>
        </is>
      </c>
    </row>
    <row r="586">
      <c r="A586" s="68" t="inlineStr">
        <is>
          <t>general or unknown targets</t>
        </is>
      </c>
      <c r="B586" s="68" t="inlineStr">
        <is>
          <t>ricin</t>
        </is>
      </c>
    </row>
    <row r="587">
      <c r="A587" s="68" t="inlineStr">
        <is>
          <t>general or unknown targets</t>
        </is>
      </c>
      <c r="B587" s="68" t="inlineStr">
        <is>
          <t>ricinoleic acid</t>
        </is>
      </c>
    </row>
    <row r="588">
      <c r="A588" s="68" t="inlineStr">
        <is>
          <t>general or unknown targets</t>
        </is>
      </c>
      <c r="B588" s="68" t="inlineStr">
        <is>
          <t>vitamin c</t>
        </is>
      </c>
    </row>
    <row r="589">
      <c r="A589" s="68" t="inlineStr">
        <is>
          <t>general or unknown targets</t>
        </is>
      </c>
      <c r="B589" s="68" t="inlineStr">
        <is>
          <t>carnosic acid</t>
        </is>
      </c>
    </row>
    <row r="590">
      <c r="A590" s="68" t="inlineStr">
        <is>
          <t>general or unknown targets</t>
        </is>
      </c>
      <c r="B590" s="68" t="inlineStr">
        <is>
          <t>kotalanol</t>
        </is>
      </c>
    </row>
    <row r="591">
      <c r="A591" s="68" t="inlineStr">
        <is>
          <t>general or unknown targets</t>
        </is>
      </c>
      <c r="B591" s="68" t="inlineStr">
        <is>
          <t>salacinol</t>
        </is>
      </c>
    </row>
    <row r="592">
      <c r="A592" s="68" t="inlineStr">
        <is>
          <t>general or unknown targets</t>
        </is>
      </c>
      <c r="B592" s="68" t="inlineStr">
        <is>
          <t>salicin</t>
        </is>
      </c>
    </row>
    <row r="593">
      <c r="A593" s="68" t="inlineStr">
        <is>
          <t>general or unknown targets</t>
        </is>
      </c>
      <c r="B593" s="68" t="inlineStr">
        <is>
          <t>salvinorin a</t>
        </is>
      </c>
    </row>
    <row r="594">
      <c r="A594" s="68" t="inlineStr">
        <is>
          <t>general or unknown targets</t>
        </is>
      </c>
      <c r="B594" s="68" t="inlineStr">
        <is>
          <t>sambunigrin</t>
        </is>
      </c>
    </row>
    <row r="595">
      <c r="A595" s="68" t="inlineStr">
        <is>
          <t>general or unknown targets</t>
        </is>
      </c>
      <c r="B595" s="68" t="inlineStr">
        <is>
          <t>sanguinarine</t>
        </is>
      </c>
    </row>
    <row r="596">
      <c r="A596" s="68" t="inlineStr">
        <is>
          <t>general or unknown targets</t>
        </is>
      </c>
      <c r="B596" s="68" t="inlineStr">
        <is>
          <t>chelerythrine</t>
        </is>
      </c>
    </row>
    <row r="597">
      <c r="A597" s="68" t="inlineStr">
        <is>
          <t>general or unknown targets</t>
        </is>
      </c>
      <c r="B597" s="68" t="inlineStr">
        <is>
          <t>mesembrenone</t>
        </is>
      </c>
    </row>
    <row r="598">
      <c r="A598" s="68" t="inlineStr">
        <is>
          <t>general or unknown targets</t>
        </is>
      </c>
      <c r="B598" s="68" t="inlineStr">
        <is>
          <t>mesembranol</t>
        </is>
      </c>
    </row>
    <row r="599">
      <c r="A599" s="68" t="inlineStr">
        <is>
          <t>general or unknown targets</t>
        </is>
      </c>
      <c r="B599" s="68" t="inlineStr">
        <is>
          <t>mesembrine</t>
        </is>
      </c>
    </row>
    <row r="600">
      <c r="A600" s="68" t="inlineStr">
        <is>
          <t>general or unknown targets</t>
        </is>
      </c>
      <c r="B600" s="68" t="inlineStr">
        <is>
          <t>mesembrenol</t>
        </is>
      </c>
    </row>
    <row r="601">
      <c r="A601" s="68" t="inlineStr">
        <is>
          <t>general or unknown targets</t>
        </is>
      </c>
      <c r="B601" s="68" t="inlineStr">
        <is>
          <t>gomisin</t>
        </is>
      </c>
    </row>
    <row r="602">
      <c r="A602" s="68" t="inlineStr">
        <is>
          <t>general or unknown targets</t>
        </is>
      </c>
      <c r="B602" s="68" t="inlineStr">
        <is>
          <t>schisandrin</t>
        </is>
      </c>
    </row>
    <row r="603">
      <c r="A603" s="68" t="inlineStr">
        <is>
          <t>general or unknown targets</t>
        </is>
      </c>
      <c r="B603" s="68" t="inlineStr">
        <is>
          <t>scopadulcic acid</t>
        </is>
      </c>
    </row>
    <row r="604">
      <c r="A604" s="68" t="inlineStr">
        <is>
          <t>general or unknown targets</t>
        </is>
      </c>
      <c r="B604" s="68" t="inlineStr">
        <is>
          <t>scoparin</t>
        </is>
      </c>
    </row>
    <row r="605">
      <c r="A605" s="68" t="inlineStr">
        <is>
          <t>gabaergic_modulation</t>
        </is>
      </c>
      <c r="B605" s="68" t="inlineStr">
        <is>
          <t>baicalin</t>
        </is>
      </c>
    </row>
    <row r="606">
      <c r="A606" s="68" t="inlineStr">
        <is>
          <t>general or unknown targets</t>
        </is>
      </c>
      <c r="B606" s="68" t="inlineStr">
        <is>
          <t>baicalin</t>
        </is>
      </c>
    </row>
    <row r="607">
      <c r="A607" s="68" t="inlineStr">
        <is>
          <t>gabaergic_modulation</t>
        </is>
      </c>
      <c r="B607" s="68" t="inlineStr">
        <is>
          <t>wogonin</t>
        </is>
      </c>
    </row>
    <row r="608">
      <c r="A608" s="68" t="inlineStr">
        <is>
          <t>general or unknown targets</t>
        </is>
      </c>
      <c r="B608" s="68" t="inlineStr">
        <is>
          <t>wogonin</t>
        </is>
      </c>
    </row>
    <row r="609">
      <c r="A609" s="68" t="inlineStr">
        <is>
          <t>gabaergic_modulation</t>
        </is>
      </c>
      <c r="B609" s="68" t="inlineStr">
        <is>
          <t>scutellarin</t>
        </is>
      </c>
    </row>
    <row r="610">
      <c r="A610" s="68" t="inlineStr">
        <is>
          <t>general or unknown targets</t>
        </is>
      </c>
      <c r="B610" s="68" t="inlineStr">
        <is>
          <t>amentoflavone</t>
        </is>
      </c>
    </row>
    <row r="611">
      <c r="A611" s="68" t="inlineStr">
        <is>
          <t>general or unknown targets</t>
        </is>
      </c>
      <c r="B611" s="68" t="inlineStr">
        <is>
          <t>hinokiflavone</t>
        </is>
      </c>
    </row>
    <row r="612">
      <c r="A612" s="68" t="inlineStr">
        <is>
          <t>inflammatory_pathway_modulation</t>
        </is>
      </c>
      <c r="B612" s="68" t="inlineStr">
        <is>
          <t>zerumbone</t>
        </is>
      </c>
    </row>
    <row r="613">
      <c r="A613" s="68" t="inlineStr">
        <is>
          <t>general or unknown targets</t>
        </is>
      </c>
      <c r="B613" s="68" t="inlineStr">
        <is>
          <t>hydroxy-beta-sanshool</t>
        </is>
      </c>
    </row>
    <row r="614">
      <c r="A614" s="68" t="inlineStr">
        <is>
          <t>general or unknown targets</t>
        </is>
      </c>
      <c r="B614" s="68" t="inlineStr">
        <is>
          <t>hydroxy-alpha-sanshool</t>
        </is>
      </c>
    </row>
    <row r="615">
      <c r="A615" s="68" t="inlineStr">
        <is>
          <t>general or unknown targets</t>
        </is>
      </c>
      <c r="B615" s="68" t="inlineStr">
        <is>
          <t>silydianin</t>
        </is>
      </c>
    </row>
    <row r="616">
      <c r="A616" s="68" t="inlineStr">
        <is>
          <t>general or unknown targets</t>
        </is>
      </c>
      <c r="B616" s="68" t="inlineStr">
        <is>
          <t>silychristin</t>
        </is>
      </c>
    </row>
    <row r="617">
      <c r="A617" s="68" t="inlineStr">
        <is>
          <t>general or unknown targets</t>
        </is>
      </c>
      <c r="B617" s="68" t="inlineStr">
        <is>
          <t>silymarin silibinin</t>
        </is>
      </c>
    </row>
    <row r="618">
      <c r="A618" s="68" t="inlineStr">
        <is>
          <t>general or unknown targets</t>
        </is>
      </c>
      <c r="B618" s="68" t="inlineStr">
        <is>
          <t>sarsaponin</t>
        </is>
      </c>
    </row>
    <row r="619">
      <c r="A619" s="68" t="inlineStr">
        <is>
          <t>general or unknown targets</t>
        </is>
      </c>
      <c r="B619" s="68" t="inlineStr">
        <is>
          <t>solanine</t>
        </is>
      </c>
    </row>
    <row r="620">
      <c r="A620" s="68" t="inlineStr">
        <is>
          <t>general or unknown targets</t>
        </is>
      </c>
      <c r="B620" s="68" t="inlineStr">
        <is>
          <t>solamargine</t>
        </is>
      </c>
    </row>
    <row r="621">
      <c r="A621" s="68" t="inlineStr">
        <is>
          <t>general or unknown targets</t>
        </is>
      </c>
      <c r="B621" s="68" t="inlineStr">
        <is>
          <t>matrine</t>
        </is>
      </c>
    </row>
    <row r="622">
      <c r="A622" s="68" t="inlineStr">
        <is>
          <t>general or unknown targets</t>
        </is>
      </c>
      <c r="B622" s="68" t="inlineStr">
        <is>
          <t>oxymatrine</t>
        </is>
      </c>
    </row>
    <row r="623">
      <c r="A623" s="68" t="inlineStr">
        <is>
          <t>general or unknown targets</t>
        </is>
      </c>
      <c r="B623" s="68" t="inlineStr">
        <is>
          <t>kurarinone</t>
        </is>
      </c>
    </row>
    <row r="624">
      <c r="A624" s="68" t="inlineStr">
        <is>
          <t>general or unknown targets</t>
        </is>
      </c>
      <c r="B624" s="68" t="inlineStr">
        <is>
          <t>verbascoside</t>
        </is>
      </c>
    </row>
    <row r="625">
      <c r="A625" s="68" t="inlineStr">
        <is>
          <t>general or unknown targets</t>
        </is>
      </c>
      <c r="B625" s="68" t="inlineStr">
        <is>
          <t>tetrandrine</t>
        </is>
      </c>
    </row>
    <row r="626">
      <c r="A626" s="68" t="inlineStr">
        <is>
          <t>general or unknown targets</t>
        </is>
      </c>
      <c r="B626" s="68" t="inlineStr">
        <is>
          <t>cepharanthine</t>
        </is>
      </c>
    </row>
    <row r="627">
      <c r="A627" s="68" t="inlineStr">
        <is>
          <t>general or unknown targets</t>
        </is>
      </c>
      <c r="B627" s="68" t="inlineStr">
        <is>
          <t>fangchinoline</t>
        </is>
      </c>
    </row>
    <row r="628">
      <c r="A628" s="68" t="inlineStr">
        <is>
          <t>general or unknown targets</t>
        </is>
      </c>
      <c r="B628" s="68" t="inlineStr">
        <is>
          <t>beta-lapachone</t>
        </is>
      </c>
    </row>
    <row r="629">
      <c r="A629" s="68" t="inlineStr">
        <is>
          <t>general or unknown targets</t>
        </is>
      </c>
      <c r="B629" s="68" t="inlineStr">
        <is>
          <t>lapachol</t>
        </is>
      </c>
    </row>
    <row r="630">
      <c r="A630" s="68" t="inlineStr">
        <is>
          <t>general or unknown targets</t>
        </is>
      </c>
      <c r="B630" s="68" t="inlineStr">
        <is>
          <t>voacangine</t>
        </is>
      </c>
    </row>
    <row r="631">
      <c r="A631" s="68" t="inlineStr">
        <is>
          <t>general or unknown targets</t>
        </is>
      </c>
      <c r="B631" s="68" t="inlineStr">
        <is>
          <t>coronaridine</t>
        </is>
      </c>
    </row>
    <row r="632">
      <c r="A632" s="68" t="inlineStr">
        <is>
          <t>general or unknown targets</t>
        </is>
      </c>
      <c r="B632" s="68" t="inlineStr">
        <is>
          <t>taraxasterol</t>
        </is>
      </c>
    </row>
    <row r="633">
      <c r="A633" s="68" t="inlineStr">
        <is>
          <t>general or unknown targets</t>
        </is>
      </c>
      <c r="B633" s="68" t="inlineStr">
        <is>
          <t>polygodial</t>
        </is>
      </c>
    </row>
    <row r="634">
      <c r="A634" s="68" t="inlineStr">
        <is>
          <t>general or unknown targets</t>
        </is>
      </c>
      <c r="B634" s="68" t="inlineStr">
        <is>
          <t>rutaecarpine</t>
        </is>
      </c>
    </row>
    <row r="635">
      <c r="A635" s="68" t="inlineStr">
        <is>
          <t>general or unknown targets</t>
        </is>
      </c>
      <c r="B635" s="68" t="inlineStr">
        <is>
          <t>evodiamine</t>
        </is>
      </c>
    </row>
    <row r="636">
      <c r="A636" s="68" t="inlineStr">
        <is>
          <t>adenosine_antagonism</t>
        </is>
      </c>
      <c r="B636" s="68" t="inlineStr">
        <is>
          <t>epicatechin</t>
        </is>
      </c>
    </row>
    <row r="637">
      <c r="A637" s="68" t="inlineStr">
        <is>
          <t>general or unknown targets</t>
        </is>
      </c>
      <c r="B637" s="68" t="inlineStr">
        <is>
          <t>thevetin b</t>
        </is>
      </c>
    </row>
    <row r="638">
      <c r="A638" s="68" t="inlineStr">
        <is>
          <t>general or unknown targets</t>
        </is>
      </c>
      <c r="B638" s="68" t="inlineStr">
        <is>
          <t>thevetin a</t>
        </is>
      </c>
    </row>
    <row r="639">
      <c r="A639" s="68" t="inlineStr">
        <is>
          <t>general or unknown targets</t>
        </is>
      </c>
      <c r="B639" s="68" t="inlineStr">
        <is>
          <t>peruvoside</t>
        </is>
      </c>
    </row>
    <row r="640">
      <c r="A640" s="68" t="inlineStr">
        <is>
          <t>general or unknown targets</t>
        </is>
      </c>
      <c r="B640" s="68" t="inlineStr">
        <is>
          <t>eurycomanone</t>
        </is>
      </c>
    </row>
    <row r="641">
      <c r="A641" s="68" t="inlineStr">
        <is>
          <t>general or unknown targets</t>
        </is>
      </c>
      <c r="B641" s="68" t="inlineStr">
        <is>
          <t>isoflavones genistein</t>
        </is>
      </c>
    </row>
    <row r="642">
      <c r="A642" s="68" t="inlineStr">
        <is>
          <t>general or unknown targets</t>
        </is>
      </c>
      <c r="B642" s="68" t="inlineStr">
        <is>
          <t>daidzein</t>
        </is>
      </c>
    </row>
    <row r="643">
      <c r="A643" s="68" t="inlineStr">
        <is>
          <t>inflammatory_pathway_modulation</t>
        </is>
      </c>
      <c r="B643" s="68" t="inlineStr">
        <is>
          <t>curcuminoids curcumin</t>
        </is>
      </c>
    </row>
    <row r="644">
      <c r="A644" s="68" t="inlineStr">
        <is>
          <t>general or unknown targets</t>
        </is>
      </c>
      <c r="B644" s="68" t="inlineStr">
        <is>
          <t>tussilagone</t>
        </is>
      </c>
    </row>
    <row r="645">
      <c r="A645" s="68" t="inlineStr">
        <is>
          <t>inflammatory_pathway_modulation</t>
        </is>
      </c>
      <c r="B645" s="68" t="inlineStr">
        <is>
          <t>tylophorine</t>
        </is>
      </c>
    </row>
    <row r="646">
      <c r="A646" s="68" t="inlineStr">
        <is>
          <t>general or unknown targets</t>
        </is>
      </c>
      <c r="B646" s="68" t="inlineStr">
        <is>
          <t>histamine</t>
        </is>
      </c>
    </row>
    <row r="647">
      <c r="A647" s="68" t="inlineStr">
        <is>
          <t>HTR1A, HTR2A (serotonin receptors)</t>
        </is>
      </c>
      <c r="B647" s="68" t="inlineStr">
        <is>
          <t>serotonin</t>
        </is>
      </c>
    </row>
    <row r="648">
      <c r="A648" s="68" t="inlineStr">
        <is>
          <t>general or unknown targets</t>
        </is>
      </c>
      <c r="B648" s="68" t="inlineStr">
        <is>
          <t>usnic acid</t>
        </is>
      </c>
    </row>
    <row r="649">
      <c r="A649" s="68" t="inlineStr">
        <is>
          <t>gabaergic_modulation</t>
        </is>
      </c>
      <c r="B649" s="68" t="inlineStr">
        <is>
          <t>valerenol</t>
        </is>
      </c>
    </row>
    <row r="650">
      <c r="A650" s="68" t="inlineStr">
        <is>
          <t>gabaergic_modulation</t>
        </is>
      </c>
      <c r="B650" s="68" t="inlineStr">
        <is>
          <t>valerenic acid</t>
        </is>
      </c>
    </row>
    <row r="651">
      <c r="A651" s="68" t="inlineStr">
        <is>
          <t>general or unknown targets</t>
        </is>
      </c>
      <c r="B651" s="68" t="inlineStr">
        <is>
          <t>valerenic acid</t>
        </is>
      </c>
    </row>
    <row r="652">
      <c r="A652" s="68" t="inlineStr">
        <is>
          <t>general or unknown targets</t>
        </is>
      </c>
      <c r="B652" s="68" t="inlineStr">
        <is>
          <t>isovaleric acid</t>
        </is>
      </c>
    </row>
    <row r="653">
      <c r="A653" s="68" t="inlineStr">
        <is>
          <t>general or unknown targets</t>
        </is>
      </c>
      <c r="B653" s="68" t="inlineStr">
        <is>
          <t>vincamine</t>
        </is>
      </c>
    </row>
    <row r="654">
      <c r="A654" s="68" t="inlineStr">
        <is>
          <t>general or unknown targets</t>
        </is>
      </c>
      <c r="B654" s="68" t="inlineStr">
        <is>
          <t>agnuside</t>
        </is>
      </c>
    </row>
    <row r="655">
      <c r="A655" s="68" t="inlineStr">
        <is>
          <t>general or unknown targets</t>
        </is>
      </c>
      <c r="B655" s="68" t="inlineStr">
        <is>
          <t>casticin</t>
        </is>
      </c>
    </row>
    <row r="656">
      <c r="A656" s="68" t="inlineStr">
        <is>
          <t>general or unknown targets</t>
        </is>
      </c>
      <c r="B656" s="68" t="inlineStr">
        <is>
          <t>xanthumin</t>
        </is>
      </c>
    </row>
    <row r="657">
      <c r="A657" s="68" t="inlineStr">
        <is>
          <t>mitochondrial complex I inhibition</t>
        </is>
      </c>
      <c r="B657" s="68" t="inlineStr">
        <is>
          <t>antioxidant</t>
        </is>
      </c>
    </row>
    <row r="658">
      <c r="A658" s="68" t="inlineStr">
        <is>
          <t>PLCγ2-PKC pathway inhibition</t>
        </is>
      </c>
      <c r="B658" s="68" t="inlineStr">
        <is>
          <t>antioxidant</t>
        </is>
      </c>
    </row>
    <row r="659">
      <c r="A659" s="68" t="inlineStr">
        <is>
          <t>cPLA2-TxA2 pathway inhibition</t>
        </is>
      </c>
      <c r="B659" s="68" t="inlineStr">
        <is>
          <t>antioxidant</t>
        </is>
      </c>
    </row>
    <row r="660">
      <c r="A660" s="68" t="inlineStr">
        <is>
          <t>voltage-gated sodium channel inhibition</t>
        </is>
      </c>
      <c r="B660" s="68" t="inlineStr">
        <is>
          <t>antioxidant</t>
        </is>
      </c>
    </row>
    <row r="661">
      <c r="A661" s="68" t="inlineStr">
        <is>
          <t>NF-kB pathway modulation</t>
        </is>
      </c>
      <c r="B661" s="68" t="inlineStr">
        <is>
          <t>antioxidant</t>
        </is>
      </c>
    </row>
    <row r="662">
      <c r="A662" s="68" t="inlineStr">
        <is>
          <t>TRPA1 activation</t>
        </is>
      </c>
      <c r="B662" s="68" t="inlineStr">
        <is>
          <t>antioxidant</t>
        </is>
      </c>
    </row>
    <row r="663">
      <c r="A663" s="68" t="inlineStr">
        <is>
          <t>TRPV3 activation</t>
        </is>
      </c>
      <c r="B663" s="68" t="inlineStr">
        <is>
          <t>antioxidant</t>
        </is>
      </c>
    </row>
    <row r="664">
      <c r="A664" s="68" t="inlineStr">
        <is>
          <t>TNF-a reduction</t>
        </is>
      </c>
      <c r="B664" s="68" t="inlineStr">
        <is>
          <t>antioxidant</t>
        </is>
      </c>
    </row>
    <row r="665">
      <c r="A665" s="68" t="inlineStr">
        <is>
          <t>TRPM3 modulation</t>
        </is>
      </c>
      <c r="B665" s="68" t="inlineStr">
        <is>
          <t>antioxidant</t>
        </is>
      </c>
    </row>
    <row r="666">
      <c r="A666" s="68" t="inlineStr">
        <is>
          <t>TRPM8 modulation</t>
        </is>
      </c>
      <c r="B666" s="68" t="inlineStr">
        <is>
          <t>antioxidant</t>
        </is>
      </c>
    </row>
    <row r="667">
      <c r="A667" s="68" t="inlineStr">
        <is>
          <t>TRPV1 modulation</t>
        </is>
      </c>
      <c r="B667" s="68" t="inlineStr">
        <is>
          <t>antioxidant</t>
        </is>
      </c>
    </row>
    <row r="668">
      <c r="A668" s="68" t="inlineStr">
        <is>
          <t>TRPM8 agonism</t>
        </is>
      </c>
      <c r="B668" s="68" t="inlineStr">
        <is>
          <t>antioxidant</t>
        </is>
      </c>
    </row>
    <row r="669">
      <c r="A669" s="68" t="inlineStr">
        <is>
          <t>apoptosis/caspase signaling modulation</t>
        </is>
      </c>
      <c r="B669" s="68" t="inlineStr">
        <is>
          <t>antioxidant</t>
        </is>
      </c>
    </row>
    <row r="670">
      <c r="A670" s="68" t="inlineStr">
        <is>
          <t>tyrosine-kinase-related signaling</t>
        </is>
      </c>
      <c r="B670" s="68" t="inlineStr">
        <is>
          <t>antioxidant</t>
        </is>
      </c>
    </row>
    <row r="671">
      <c r="A671" s="68" t="inlineStr">
        <is>
          <t>Nrf2/ARE pathway activation</t>
        </is>
      </c>
      <c r="B671" s="68" t="inlineStr">
        <is>
          <t>antioxidant</t>
        </is>
      </c>
    </row>
    <row r="672">
      <c r="A672" s="68" t="inlineStr">
        <is>
          <t>PI3K/Akt pathway modulation</t>
        </is>
      </c>
      <c r="B672" s="68" t="inlineStr">
        <is>
          <t>antioxidant</t>
        </is>
      </c>
    </row>
    <row r="673">
      <c r="A673" s="68" t="inlineStr">
        <is>
          <t>xanthine oxidase inhibition</t>
        </is>
      </c>
      <c r="B673" s="68" t="inlineStr">
        <is>
          <t>antioxidant</t>
        </is>
      </c>
    </row>
    <row r="674">
      <c r="A674" s="68" t="inlineStr">
        <is>
          <t>SIRT1 activation</t>
        </is>
      </c>
      <c r="B674" s="68" t="inlineStr">
        <is>
          <t>antioxidant</t>
        </is>
      </c>
    </row>
    <row r="675">
      <c r="A675" s="68" t="inlineStr">
        <is>
          <t>MT1 receptor agonism</t>
        </is>
      </c>
      <c r="B675" s="68" t="inlineStr">
        <is>
          <t>antioxidant</t>
        </is>
      </c>
    </row>
    <row r="676">
      <c r="A676" s="68" t="inlineStr">
        <is>
          <t>MT2 receptor agonism</t>
        </is>
      </c>
      <c r="B676" s="68" t="inlineStr">
        <is>
          <t>antioxidant</t>
        </is>
      </c>
    </row>
    <row r="677">
      <c r="A677" s="68" t="inlineStr">
        <is>
          <t>Glutamatergic modulation</t>
        </is>
      </c>
      <c r="B677" s="68" t="inlineStr">
        <is>
          <t>antioxidant</t>
        </is>
      </c>
    </row>
    <row r="678">
      <c r="A678" s="68" t="inlineStr">
        <is>
          <t>alpha-wave/stress-response modulation</t>
        </is>
      </c>
      <c r="B678" s="68" t="inlineStr">
        <is>
          <t>antioxidant</t>
        </is>
      </c>
    </row>
    <row r="679">
      <c r="A679" s="68" t="inlineStr">
        <is>
          <t>COX-2 pathway modulation</t>
        </is>
      </c>
      <c r="B679" s="68" t="inlineStr">
        <is>
          <t>antioxidant</t>
        </is>
      </c>
    </row>
    <row r="680">
      <c r="A680" s="68" t="inlineStr">
        <is>
          <t>NFKB1 pathway</t>
        </is>
      </c>
      <c r="B680" s="68" t="inlineStr">
        <is>
          <t>antioxidant</t>
        </is>
      </c>
    </row>
    <row r="681">
      <c r="A681" s="68" t="inlineStr">
        <is>
          <t>polyamine biosynthesis</t>
        </is>
      </c>
      <c r="B681" s="68" t="inlineStr">
        <is>
          <t>antioxidant</t>
        </is>
      </c>
    </row>
    <row r="682">
      <c r="A682" s="68" t="inlineStr">
        <is>
          <t>transsulfuration pathway</t>
        </is>
      </c>
      <c r="B682" s="68" t="inlineStr">
        <is>
          <t>antioxidant</t>
        </is>
      </c>
    </row>
    <row r="683">
      <c r="A683" s="68" t="inlineStr">
        <is>
          <t>Eicosanoid pathway modulation</t>
        </is>
      </c>
      <c r="B683" s="68" t="inlineStr">
        <is>
          <t>antioxidant</t>
        </is>
      </c>
    </row>
    <row r="684">
      <c r="A684" s="68" t="inlineStr">
        <is>
          <t>specialized pro-resolving mediator pathways</t>
        </is>
      </c>
      <c r="B684" s="68" t="inlineStr">
        <is>
          <t>antioxidant</t>
        </is>
      </c>
    </row>
    <row r="685">
      <c r="A685" s="68" t="inlineStr">
        <is>
          <t>triglyceride synthesis reduction</t>
        </is>
      </c>
      <c r="B685" s="68" t="inlineStr">
        <is>
          <t>antioxidant</t>
        </is>
      </c>
    </row>
    <row r="686">
      <c r="A686" s="68" t="inlineStr">
        <is>
          <t>Gut barrier integrity</t>
        </is>
      </c>
      <c r="B686" s="68" t="inlineStr">
        <is>
          <t>antioxidant</t>
        </is>
      </c>
    </row>
    <row r="687">
      <c r="A687" s="68" t="inlineStr">
        <is>
          <t>colonization resistance</t>
        </is>
      </c>
      <c r="B687" s="68" t="inlineStr">
        <is>
          <t>antioxidant</t>
        </is>
      </c>
    </row>
    <row r="688">
      <c r="A688" s="68" t="inlineStr">
        <is>
          <t>immune modulation</t>
        </is>
      </c>
      <c r="B688" s="68" t="inlineStr">
        <is>
          <t>antioxidant</t>
        </is>
      </c>
    </row>
    <row r="689">
      <c r="A689" s="68" t="inlineStr">
        <is>
          <t>short-chain fatty acid production</t>
        </is>
      </c>
      <c r="B689" s="68" t="inlineStr">
        <is>
          <t>antioxidant</t>
        </is>
      </c>
    </row>
    <row r="690">
      <c r="A690" s="68" t="inlineStr">
        <is>
          <t>Vitamin D receptor agonism</t>
        </is>
      </c>
      <c r="B690" s="68" t="inlineStr">
        <is>
          <t>antioxidant</t>
        </is>
      </c>
    </row>
    <row r="691">
      <c r="A691" s="68" t="inlineStr">
        <is>
          <t>bone mineralization signaling</t>
        </is>
      </c>
      <c r="B691" s="68" t="inlineStr">
        <is>
          <t>antioxidant</t>
        </is>
      </c>
    </row>
    <row r="692">
      <c r="A692" s="68" t="inlineStr">
        <is>
          <t>calcium absorption regulation</t>
        </is>
      </c>
      <c r="B692" s="68" t="inlineStr">
        <is>
          <t>antioxidant</t>
        </is>
      </c>
    </row>
    <row r="693">
      <c r="A693" s="68" t="inlineStr">
        <is>
          <t>Glutathione replenishment</t>
        </is>
      </c>
      <c r="B693" s="68" t="inlineStr">
        <is>
          <t>antioxidant</t>
        </is>
      </c>
    </row>
    <row r="694">
      <c r="A694" s="68" t="inlineStr">
        <is>
          <t>mucolytic disulfide-bond reduction</t>
        </is>
      </c>
      <c r="B694" s="68" t="inlineStr">
        <is>
          <t>antioxidant</t>
        </is>
      </c>
    </row>
    <row r="695">
      <c r="A695" s="68" t="inlineStr">
        <is>
          <t>redox signaling modulation</t>
        </is>
      </c>
      <c r="B695" s="68" t="inlineStr">
        <is>
          <t>antioxidant</t>
        </is>
      </c>
    </row>
    <row r="696">
      <c r="A696" s="68" t="inlineStr">
        <is>
          <t>ATP-dependent enzymatic reactions</t>
        </is>
      </c>
      <c r="B696" s="68" t="inlineStr">
        <is>
          <t>antioxidant</t>
        </is>
      </c>
    </row>
    <row r="697">
      <c r="A697" s="68" t="inlineStr">
        <is>
          <t>calcium/potassium ion transport</t>
        </is>
      </c>
      <c r="B697" s="68" t="inlineStr">
        <is>
          <t>antioxidant</t>
        </is>
      </c>
    </row>
    <row r="698">
      <c r="A698" s="68" t="inlineStr">
        <is>
          <t>glycolysis</t>
        </is>
      </c>
      <c r="B698" s="68" t="inlineStr">
        <is>
          <t>antioxidant</t>
        </is>
      </c>
    </row>
    <row r="699">
      <c r="A699" s="68" t="inlineStr">
        <is>
          <t>oxidative phosphorylation</t>
        </is>
      </c>
      <c r="B699" s="68" t="inlineStr">
        <is>
          <t>antioxidant</t>
        </is>
      </c>
    </row>
    <row r="700">
      <c r="A700" s="68" t="inlineStr">
        <is>
          <t>ATP production</t>
        </is>
      </c>
      <c r="B700" s="68" t="inlineStr">
        <is>
          <t>antioxidant</t>
        </is>
      </c>
    </row>
    <row r="701">
      <c r="A701" s="68" t="inlineStr">
        <is>
          <t>NAD/NADP-dependent redox metabolism</t>
        </is>
      </c>
      <c r="B701" s="68" t="inlineStr">
        <is>
          <t>antioxidant</t>
        </is>
      </c>
    </row>
    <row r="702">
      <c r="A702" s="68" t="inlineStr">
        <is>
          <t>tryptophan-to-niacin pathway</t>
        </is>
      </c>
      <c r="B702" s="68" t="inlineStr">
        <is>
          <t>antioxidant</t>
        </is>
      </c>
    </row>
    <row r="703">
      <c r="A703" s="68" t="inlineStr">
        <is>
          <t>FMN/FAD-dependent redox enzymes</t>
        </is>
      </c>
      <c r="B703" s="68" t="inlineStr">
        <is>
          <t>antioxidant</t>
        </is>
      </c>
    </row>
    <row r="704">
      <c r="A704" s="68" t="inlineStr">
        <is>
          <t>energy production</t>
        </is>
      </c>
      <c r="B704" s="68" t="inlineStr">
        <is>
          <t>antioxidant</t>
        </is>
      </c>
    </row>
    <row r="705">
      <c r="A705" s="68" t="inlineStr">
        <is>
          <t>tryptophan-to-niacin conversion</t>
        </is>
      </c>
      <c r="B705" s="68" t="inlineStr">
        <is>
          <t>antioxidant</t>
        </is>
      </c>
    </row>
    <row r="706">
      <c r="A706" s="68" t="inlineStr">
        <is>
          <t>vitamin B6 activation</t>
        </is>
      </c>
      <c r="B706" s="68" t="inlineStr">
        <is>
          <t>antioxidant</t>
        </is>
      </c>
    </row>
    <row r="707">
      <c r="A707" s="68" t="inlineStr">
        <is>
          <t>PLP/PMP-dependent amino-acid metabolism</t>
        </is>
      </c>
      <c r="B707" s="68" t="inlineStr">
        <is>
          <t>antioxidant</t>
        </is>
      </c>
    </row>
    <row r="708">
      <c r="A708" s="68" t="inlineStr">
        <is>
          <t>glycogenolysis</t>
        </is>
      </c>
      <c r="B708" s="68" t="inlineStr">
        <is>
          <t>antioxidant</t>
        </is>
      </c>
    </row>
    <row r="709">
      <c r="A709" s="68" t="inlineStr">
        <is>
          <t>neurotransmitter biosynthesis</t>
        </is>
      </c>
      <c r="B709" s="68" t="inlineStr">
        <is>
          <t>antioxidant</t>
        </is>
      </c>
    </row>
    <row r="710">
      <c r="A710" s="68" t="inlineStr">
        <is>
          <t>one-carbon metabolism</t>
        </is>
      </c>
      <c r="B710" s="68" t="inlineStr">
        <is>
          <t>antioxidant</t>
        </is>
      </c>
    </row>
    <row r="711">
      <c r="A711" s="68" t="inlineStr">
        <is>
          <t>Glutathione peroxidase systems</t>
        </is>
      </c>
      <c r="B711" s="68" t="inlineStr">
        <is>
          <t>antioxidant</t>
        </is>
      </c>
    </row>
    <row r="712">
      <c r="A712" s="68" t="inlineStr">
        <is>
          <t>selenoprotein P</t>
        </is>
      </c>
      <c r="B712" s="68" t="inlineStr">
        <is>
          <t>antioxidant</t>
        </is>
      </c>
    </row>
    <row r="713">
      <c r="A713" s="68" t="inlineStr">
        <is>
          <t>thioredoxin reductase systems</t>
        </is>
      </c>
      <c r="B713" s="68" t="inlineStr">
        <is>
          <t>antioxidant</t>
        </is>
      </c>
    </row>
    <row r="714">
      <c r="A714" s="68" t="inlineStr">
        <is>
          <t>thyroid hormone T4-to-T3 conversion</t>
        </is>
      </c>
      <c r="B714" s="68" t="inlineStr">
        <is>
          <t>antioxidant</t>
        </is>
      </c>
    </row>
    <row r="715">
      <c r="A715" s="68" t="inlineStr">
        <is>
          <t>cortisol regulation</t>
        </is>
      </c>
      <c r="B715" s="68" t="inlineStr">
        <is>
          <t>antioxidant</t>
        </is>
      </c>
    </row>
    <row r="716">
      <c r="A716" s="68" t="inlineStr">
        <is>
          <t>HPA-axis modulation</t>
        </is>
      </c>
      <c r="B716" s="68" t="inlineStr">
        <is>
          <t>antioxidant</t>
        </is>
      </c>
    </row>
    <row r="717">
      <c r="A717" s="68" t="inlineStr">
        <is>
          <t>PAF receptor antagonism</t>
        </is>
      </c>
      <c r="B717" s="68" t="inlineStr">
        <is>
          <t>antioxidant</t>
        </is>
      </c>
    </row>
    <row r="718">
      <c r="A718" s="68" t="inlineStr">
        <is>
          <t>COX-2 inhibition</t>
        </is>
      </c>
      <c r="B718" s="68" t="inlineStr">
        <is>
          <t>antioxidant</t>
        </is>
      </c>
    </row>
    <row r="719">
      <c r="A719" s="68" t="inlineStr">
        <is>
          <t>MAPK pathway</t>
        </is>
      </c>
      <c r="B719" s="68" t="inlineStr">
        <is>
          <t>antioxidant</t>
        </is>
      </c>
    </row>
    <row r="720">
      <c r="A720" s="68" t="inlineStr">
        <is>
          <t>LOX inhibition</t>
        </is>
      </c>
      <c r="B720" s="68" t="inlineStr">
        <is>
          <t>antioxidant</t>
        </is>
      </c>
    </row>
    <row r="721">
      <c r="A721" s="68" t="inlineStr">
        <is>
          <t>cytokine suppression</t>
        </is>
      </c>
      <c r="B721" s="68" t="inlineStr">
        <is>
          <t>antioxidant</t>
        </is>
      </c>
    </row>
    <row r="722">
      <c r="A722" s="68" t="inlineStr">
        <is>
          <t>MTF-1</t>
        </is>
      </c>
      <c r="B722" s="68" t="inlineStr">
        <is>
          <t>antioxidant</t>
        </is>
      </c>
    </row>
    <row r="723">
      <c r="A723" s="68" t="inlineStr">
        <is>
          <t>Metallothionein</t>
        </is>
      </c>
      <c r="B723" s="68" t="inlineStr">
        <is>
          <t>antioxidant</t>
        </is>
      </c>
    </row>
    <row r="724">
      <c r="A724" s="68" t="inlineStr">
        <is>
          <t>ZIP</t>
        </is>
      </c>
      <c r="B724" s="68" t="inlineStr">
        <is>
          <t>antioxidant</t>
        </is>
      </c>
    </row>
    <row r="725">
      <c r="A725" s="68" t="inlineStr">
        <is>
          <t>ZnT</t>
        </is>
      </c>
      <c r="B725" s="68" t="inlineStr">
        <is>
          <t>antioxidant</t>
        </is>
      </c>
    </row>
    <row r="726">
      <c r="A726" s="68" t="inlineStr">
        <is>
          <t>MAPK pathway inhibition</t>
        </is>
      </c>
      <c r="B726" s="68" t="inlineStr">
        <is>
          <t>antioxidant</t>
        </is>
      </c>
    </row>
    <row r="727">
      <c r="A727" s="68" t="inlineStr">
        <is>
          <t>ER modulation</t>
        </is>
      </c>
      <c r="B727" s="68" t="inlineStr">
        <is>
          <t>antioxidant</t>
        </is>
      </c>
    </row>
    <row r="728">
      <c r="A728" s="68" t="inlineStr">
        <is>
          <t>Tyrosine kinase inhibition</t>
        </is>
      </c>
      <c r="B728" s="68" t="inlineStr">
        <is>
          <t>antioxidant</t>
        </is>
      </c>
    </row>
    <row r="729">
      <c r="A729" s="68" t="inlineStr">
        <is>
          <t>Nrf2 activation</t>
        </is>
      </c>
      <c r="B729" s="68" t="inlineStr">
        <is>
          <t>antioxidant</t>
        </is>
      </c>
    </row>
    <row r="730">
      <c r="A730" s="68" t="inlineStr">
        <is>
          <t>phase II enzyme induction</t>
        </is>
      </c>
      <c r="B730" s="68" t="inlineStr">
        <is>
          <t>antioxidant</t>
        </is>
      </c>
    </row>
    <row r="731">
      <c r="A731" s="68" t="inlineStr">
        <is>
          <t>CYP3A4 inhibition</t>
        </is>
      </c>
      <c r="B731" s="68" t="inlineStr">
        <is>
          <t>antioxidant</t>
        </is>
      </c>
    </row>
    <row r="732">
      <c r="A732" s="68" t="inlineStr">
        <is>
          <t>P-gp inhibition</t>
        </is>
      </c>
      <c r="B732" s="68" t="inlineStr">
        <is>
          <t>antioxidant</t>
        </is>
      </c>
    </row>
    <row r="733">
      <c r="A733" s="68" t="inlineStr">
        <is>
          <t>oxidative stress pathways</t>
        </is>
      </c>
      <c r="B733" s="68" t="inlineStr">
        <is>
          <t>antioxidant</t>
        </is>
      </c>
    </row>
    <row r="734">
      <c r="A734" s="68" t="inlineStr">
        <is>
          <t>GABA-A receptor activation</t>
        </is>
      </c>
      <c r="B734" s="68" t="inlineStr">
        <is>
          <t>antioxidant</t>
        </is>
      </c>
    </row>
    <row r="735">
      <c r="A735" s="68" t="inlineStr">
        <is>
          <t>GABA-B receptor activation</t>
        </is>
      </c>
      <c r="B735" s="68" t="inlineStr">
        <is>
          <t>antioxidant</t>
        </is>
      </c>
    </row>
    <row r="736">
      <c r="A736" s="68" t="inlineStr">
        <is>
          <t>GABA receptor modulation</t>
        </is>
      </c>
      <c r="B736" s="68" t="inlineStr">
        <is>
          <t>antioxidant</t>
        </is>
      </c>
    </row>
    <row r="737">
      <c r="A737" s="68" t="inlineStr">
        <is>
          <t>Glycine receptor modulation</t>
        </is>
      </c>
      <c r="B737" s="68" t="inlineStr">
        <is>
          <t>antioxidant</t>
        </is>
      </c>
    </row>
    <row r="738">
      <c r="A738" s="68" t="inlineStr">
        <is>
          <t>Osmoregulation pathways</t>
        </is>
      </c>
      <c r="B738" s="68" t="inlineStr">
        <is>
          <t>antioxidant</t>
        </is>
      </c>
    </row>
    <row r="739">
      <c r="A739" s="68" t="inlineStr">
        <is>
          <t>Carnitine shuttle system</t>
        </is>
      </c>
      <c r="B739" s="68" t="inlineStr">
        <is>
          <t>antioxidant</t>
        </is>
      </c>
    </row>
    <row r="740">
      <c r="A740" s="68" t="inlineStr">
        <is>
          <t>Mitochondrial beta-oxidation</t>
        </is>
      </c>
      <c r="B740" s="68" t="inlineStr">
        <is>
          <t>antioxidant</t>
        </is>
      </c>
    </row>
    <row r="741">
      <c r="A741" s="68" t="inlineStr">
        <is>
          <t>Phospholipid metabolism</t>
        </is>
      </c>
      <c r="B741" s="68" t="inlineStr">
        <is>
          <t>antioxidant</t>
        </is>
      </c>
    </row>
    <row r="742">
      <c r="A742" s="68" t="inlineStr">
        <is>
          <t>Inositol phosphate signaling</t>
        </is>
      </c>
      <c r="B742" s="68" t="inlineStr">
        <is>
          <t>antioxidant</t>
        </is>
      </c>
    </row>
    <row r="743">
      <c r="A743" s="68" t="inlineStr">
        <is>
          <t>PI3K signaling pathway</t>
        </is>
      </c>
      <c r="B743" s="68" t="inlineStr">
        <is>
          <t>antioxidant</t>
        </is>
      </c>
    </row>
    <row r="744">
      <c r="A744" s="68" t="inlineStr">
        <is>
          <t>Tyrosine pool replenishment</t>
        </is>
      </c>
      <c r="B744" s="68" t="inlineStr">
        <is>
          <t>antioxidant</t>
        </is>
      </c>
    </row>
    <row r="745">
      <c r="A745" s="68" t="inlineStr">
        <is>
          <t>catecholamine biosynthesis support</t>
        </is>
      </c>
      <c r="B745" s="68" t="inlineStr">
        <is>
          <t>antioxidant</t>
        </is>
      </c>
    </row>
    <row r="746">
      <c r="A746" s="68" t="inlineStr">
        <is>
          <t>thyroid hormone precursor biology</t>
        </is>
      </c>
      <c r="B746" s="68" t="inlineStr">
        <is>
          <t>antioxidant</t>
        </is>
      </c>
    </row>
    <row r="747">
      <c r="A747" s="68" t="inlineStr">
        <is>
          <t>Phenylalanine hydroxylase pathway</t>
        </is>
      </c>
      <c r="B747" s="68" t="inlineStr">
        <is>
          <t>antioxidant</t>
        </is>
      </c>
    </row>
    <row r="748">
      <c r="A748" s="68" t="inlineStr">
        <is>
          <t>catecholamine precursor biology</t>
        </is>
      </c>
      <c r="B748" s="68" t="inlineStr">
        <is>
          <t>antioxidant</t>
        </is>
      </c>
    </row>
    <row r="749">
      <c r="A749" s="68" t="inlineStr">
        <is>
          <t>tyrosine biosynthesis</t>
        </is>
      </c>
      <c r="B749" s="68" t="inlineStr">
        <is>
          <t>antioxidant</t>
        </is>
      </c>
    </row>
    <row r="750">
      <c r="A750" s="68" t="inlineStr">
        <is>
          <t>Tryptophan hydroxylase pathway</t>
        </is>
      </c>
      <c r="B750" s="68" t="inlineStr">
        <is>
          <t>antioxidant</t>
        </is>
      </c>
    </row>
    <row r="751">
      <c r="A751" s="68" t="inlineStr">
        <is>
          <t>kynurenine pathway</t>
        </is>
      </c>
      <c r="B751" s="68" t="inlineStr">
        <is>
          <t>antioxidant</t>
        </is>
      </c>
    </row>
    <row r="752">
      <c r="A752" s="68" t="inlineStr">
        <is>
          <t>Aromatic L-amino-acid decarboxylase pathway</t>
        </is>
      </c>
      <c r="B752" s="68" t="inlineStr">
        <is>
          <t>antioxidant</t>
        </is>
      </c>
    </row>
    <row r="753">
      <c r="A753" s="68" t="inlineStr">
        <is>
          <t>melatonin precursor biology</t>
        </is>
      </c>
      <c r="B753" s="68" t="inlineStr">
        <is>
          <t>antioxidant</t>
        </is>
      </c>
    </row>
    <row r="754">
      <c r="A754" s="68" t="inlineStr">
        <is>
          <t>Tyrosine hydroxylase pathway</t>
        </is>
      </c>
      <c r="B754" s="68" t="inlineStr">
        <is>
          <t>antioxidant</t>
        </is>
      </c>
    </row>
    <row r="755">
      <c r="A755" s="68" t="inlineStr">
        <is>
          <t>catecholamine biosynthesis</t>
        </is>
      </c>
      <c r="B755" s="68" t="inlineStr">
        <is>
          <t>antioxidant</t>
        </is>
      </c>
    </row>
    <row r="756">
      <c r="A756" s="68" t="inlineStr">
        <is>
          <t>melanin synthesis</t>
        </is>
      </c>
      <c r="B756" s="68" t="inlineStr">
        <is>
          <t>antioxidant</t>
        </is>
      </c>
    </row>
    <row r="757">
      <c r="A757" s="68" t="inlineStr">
        <is>
          <t>Kennedy pathway / phosphatidylcholine biosynthesis</t>
        </is>
      </c>
      <c r="B757" s="68" t="inlineStr">
        <is>
          <t>antioxidant</t>
        </is>
      </c>
    </row>
    <row r="758">
      <c r="A758" s="68" t="inlineStr">
        <is>
          <t>acetylcholine precursor biology</t>
        </is>
      </c>
      <c r="B758" s="68" t="inlineStr">
        <is>
          <t>antioxidant</t>
        </is>
      </c>
    </row>
    <row r="759">
      <c r="A759" s="68" t="inlineStr">
        <is>
          <t>membrane phospholipid turnover</t>
        </is>
      </c>
      <c r="B759" s="68" t="inlineStr">
        <is>
          <t>antioxidant</t>
        </is>
      </c>
    </row>
    <row r="760">
      <c r="A760" s="68" t="inlineStr">
        <is>
          <t>choline pool replenishment</t>
        </is>
      </c>
      <c r="B760" s="68" t="inlineStr">
        <is>
          <t>antioxidant</t>
        </is>
      </c>
    </row>
    <row r="761">
      <c r="A761" s="68" t="inlineStr">
        <is>
          <t>phospholipid metabolism</t>
        </is>
      </c>
      <c r="B761" s="68" t="inlineStr">
        <is>
          <t>antioxidant</t>
        </is>
      </c>
    </row>
    <row r="762">
      <c r="A762" s="68" t="inlineStr">
        <is>
          <t>Cell-membrane phospholipid signaling</t>
        </is>
      </c>
      <c r="B762" s="68" t="inlineStr">
        <is>
          <t>antioxidant</t>
        </is>
      </c>
    </row>
    <row r="763">
      <c r="A763" s="68" t="inlineStr">
        <is>
          <t>apoptotic membrane signaling</t>
        </is>
      </c>
      <c r="B763" s="68" t="inlineStr">
        <is>
          <t>antioxidant</t>
        </is>
      </c>
    </row>
    <row r="764">
      <c r="A764" s="68" t="inlineStr">
        <is>
          <t>cortisol/stress-response modulation</t>
        </is>
      </c>
      <c r="B764" s="68" t="inlineStr">
        <is>
          <t>antioxidant</t>
        </is>
      </c>
    </row>
    <row r="765">
      <c r="A765" s="68" t="inlineStr">
        <is>
          <t>Pyrimidine salvage pathway</t>
        </is>
      </c>
      <c r="B765" s="68" t="inlineStr">
        <is>
          <t>antioxidant</t>
        </is>
      </c>
    </row>
    <row r="766">
      <c r="A766" s="68" t="inlineStr">
        <is>
          <t>membrane phosphatide synthesis</t>
        </is>
      </c>
      <c r="B766" s="68" t="inlineStr">
        <is>
          <t>antioxidant</t>
        </is>
      </c>
    </row>
    <row r="767">
      <c r="A767" s="68" t="inlineStr">
        <is>
          <t>uridine/cytidine nucleotide metabolism</t>
        </is>
      </c>
      <c r="B767" s="68" t="inlineStr">
        <is>
          <t>antioxidant</t>
        </is>
      </c>
    </row>
    <row r="768">
      <c r="A768" s="68" t="inlineStr">
        <is>
          <t>Acetylcholinesterase inhibition</t>
        </is>
      </c>
      <c r="B768" s="68" t="inlineStr">
        <is>
          <t>antioxidant</t>
        </is>
      </c>
    </row>
    <row r="769">
      <c r="A769" s="68" t="inlineStr">
        <is>
          <t>synaptic acetylcholine increase</t>
        </is>
      </c>
      <c r="B769" s="68" t="inlineStr">
        <is>
          <t>antioxidant</t>
        </is>
      </c>
    </row>
    <row r="770">
      <c r="A770" s="68" t="inlineStr">
        <is>
          <t>PPARA, PPARG</t>
        </is>
      </c>
      <c r="B770" s="68" t="inlineStr">
        <is>
          <t>antioxidant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H28"/>
  <sheetViews>
    <sheetView workbookViewId="0">
      <selection activeCell="A1" sqref="A1"/>
    </sheetView>
  </sheetViews>
  <sheetFormatPr baseColWidth="8" defaultRowHeight="15"/>
  <cols>
    <col width="14" customWidth="1" min="1" max="1"/>
    <col width="28" customWidth="1" min="2" max="2"/>
    <col width="10" customWidth="1" min="3" max="3"/>
    <col width="11" customWidth="1" min="4" max="4"/>
    <col width="12" customWidth="1" min="5" max="5"/>
    <col width="12" customWidth="1" min="6" max="6"/>
    <col width="11" customWidth="1" min="7" max="7"/>
    <col width="13" customWidth="1" min="8" max="8"/>
    <col width="11" customWidth="1" min="9" max="9"/>
    <col width="12" customWidth="1" min="10" max="10"/>
    <col width="44" customWidth="1" min="11" max="11"/>
    <col width="34" customWidth="1" min="12" max="12"/>
    <col width="26" customWidth="1" min="13" max="13"/>
    <col width="11" customWidth="1" min="14" max="14"/>
    <col width="10" customWidth="1" min="15" max="15"/>
    <col width="10" customWidth="1" min="16" max="16"/>
    <col width="10" customWidth="1" min="17" max="17"/>
    <col width="16" customWidth="1" min="18" max="18"/>
    <col width="22" customWidth="1" min="19" max="19"/>
    <col width="20" customWidth="1" min="20" max="20"/>
    <col width="24" customWidth="1" min="21" max="21"/>
    <col width="24" customWidth="1" min="22" max="22"/>
    <col width="22" customWidth="1" min="23" max="23"/>
    <col width="12" customWidth="1" min="24" max="24"/>
    <col width="20" customWidth="1" min="25" max="25"/>
    <col width="11" customWidth="1" min="26" max="26"/>
    <col width="14" customWidth="1" min="27" max="27"/>
    <col width="18" customWidth="1" min="28" max="28"/>
    <col width="12" customWidth="1" min="29" max="29"/>
    <col width="28" customWidth="1" min="30" max="30"/>
    <col width="28" customWidth="1" min="31" max="31"/>
    <col width="9" customWidth="1" min="32" max="32"/>
    <col width="11" customWidth="1" min="33" max="33"/>
    <col width="14" customWidth="1" min="34" max="34"/>
  </cols>
  <sheetData>
    <row r="1" ht="24" customHeight="1">
      <c r="A1" s="36" t="inlineStr">
        <is>
          <t>goal</t>
        </is>
      </c>
      <c r="B1" s="36" t="inlineStr">
        <is>
          <t>stack</t>
        </is>
      </c>
      <c r="C1" s="36" t="inlineStr">
        <is>
          <t>type</t>
        </is>
      </c>
      <c r="D1" s="36" t="inlineStr">
        <is>
          <t>final_score</t>
        </is>
      </c>
      <c r="E1" s="36" t="inlineStr">
        <is>
          <t>goal_support_score</t>
        </is>
      </c>
      <c r="F1" s="36" t="inlineStr">
        <is>
          <t>quality_score</t>
        </is>
      </c>
      <c r="G1" s="36" t="inlineStr">
        <is>
          <t>synergy_score</t>
        </is>
      </c>
      <c r="H1" s="36" t="inlineStr">
        <is>
          <t>personalization_score</t>
        </is>
      </c>
      <c r="I1" s="36" t="inlineStr">
        <is>
          <t>intent_fit_score</t>
        </is>
      </c>
      <c r="J1" s="36" t="inlineStr">
        <is>
          <t>conflict_penalty</t>
        </is>
      </c>
      <c r="K1" s="36" t="inlineStr">
        <is>
          <t>rationale</t>
        </is>
      </c>
      <c r="L1" s="36" t="inlineStr">
        <is>
          <t>caution</t>
        </is>
      </c>
      <c r="M1" s="36" t="inlineStr">
        <is>
          <t>user_intent</t>
        </is>
      </c>
      <c r="N1" s="36" t="inlineStr">
        <is>
          <t>time_of_day</t>
        </is>
      </c>
      <c r="O1" s="36" t="inlineStr">
        <is>
          <t>am_pm_fit</t>
        </is>
      </c>
      <c r="P1" s="36" t="inlineStr">
        <is>
          <t>stimulation_score</t>
        </is>
      </c>
      <c r="Q1" s="36" t="inlineStr">
        <is>
          <t>sedation_score</t>
        </is>
      </c>
      <c r="R1" s="36" t="inlineStr">
        <is>
          <t>balance_profile</t>
        </is>
      </c>
      <c r="S1" s="36" t="inlineStr">
        <is>
          <t>stacking_conflicts</t>
        </is>
      </c>
      <c r="T1" s="36" t="inlineStr">
        <is>
          <t>duplicate_overlap_signal</t>
        </is>
      </c>
      <c r="U1" s="36" t="inlineStr">
        <is>
          <t>shared_pathways</t>
        </is>
      </c>
      <c r="V1" s="36" t="inlineStr">
        <is>
          <t>shared_compounds</t>
        </is>
      </c>
      <c r="W1" s="36" t="inlineStr">
        <is>
          <t>shared_compound_effects</t>
        </is>
      </c>
      <c r="X1" s="36" t="inlineStr">
        <is>
          <t>user_segment</t>
        </is>
      </c>
      <c r="Y1" s="36" t="inlineStr">
        <is>
          <t>condition_profile</t>
        </is>
      </c>
      <c r="Z1" s="36" t="inlineStr">
        <is>
          <t>lineup_slot</t>
        </is>
      </c>
      <c r="AA1" s="36" t="inlineStr">
        <is>
          <t>safety_band</t>
        </is>
      </c>
      <c r="AB1" s="36" t="inlineStr">
        <is>
          <t>recommendation_class</t>
        </is>
      </c>
      <c r="AC1" s="36" t="inlineStr">
        <is>
          <t>confidence_tier</t>
        </is>
      </c>
      <c r="AD1" s="36" t="inlineStr">
        <is>
          <t>constraint_profile</t>
        </is>
      </c>
      <c r="AE1" s="36" t="inlineStr">
        <is>
          <t>dynamic_bundle_rule</t>
        </is>
      </c>
      <c r="AF1" s="36" t="inlineStr">
        <is>
          <t>goal_rank</t>
        </is>
      </c>
      <c r="AG1" s="36" t="inlineStr">
        <is>
          <t>goal_winner_flag</t>
        </is>
      </c>
      <c r="AH1" s="36" t="inlineStr">
        <is>
          <t>tag</t>
        </is>
      </c>
    </row>
    <row r="2">
      <c r="A2" t="inlineStr">
        <is>
          <t>Anxiety</t>
        </is>
      </c>
      <c r="B2" t="inlineStr">
        <is>
          <t>Rhodiola + Milk Oats</t>
        </is>
      </c>
      <c r="C2" t="inlineStr">
        <is>
          <t>2-herb</t>
        </is>
      </c>
      <c r="D2" s="54" t="n">
        <v>163.6</v>
      </c>
      <c r="E2" s="54" t="n">
        <v>16</v>
      </c>
      <c r="F2" s="54" t="n">
        <v>76.8</v>
      </c>
      <c r="G2" s="54" t="n">
        <v>12</v>
      </c>
      <c r="H2" s="54" t="n">
        <v>26</v>
      </c>
      <c r="I2" s="54" t="n">
        <v>10</v>
      </c>
      <c r="J2" s="54" t="n">
        <v>0</v>
      </c>
      <c r="K2" s="68" t="inlineStr">
        <is>
          <t>Rhodiola + Milk Oats matches the calm without sedation use-case. shared pathways: general or unknown targets. lightly calming profile with AM/PM fit.</t>
        </is>
      </c>
      <c r="L2" s="68" t="inlineStr">
        <is>
          <t>General context screen; low apparent stacking conflict.</t>
        </is>
      </c>
      <c r="M2" s="68" t="inlineStr">
        <is>
          <t>calm without sedation</t>
        </is>
      </c>
      <c r="N2" s="68" t="inlineStr">
        <is>
          <t>AM/PM</t>
        </is>
      </c>
      <c r="O2" s="68" t="inlineStr">
        <is>
          <t>AM/PM</t>
        </is>
      </c>
      <c r="P2" s="68" t="n">
        <v>0</v>
      </c>
      <c r="Q2" s="68" t="n">
        <v>4</v>
      </c>
      <c r="R2" s="68" t="inlineStr">
        <is>
          <t>lightly calming</t>
        </is>
      </c>
      <c r="S2" s="68" t="inlineStr">
        <is>
          <t>none_material</t>
        </is>
      </c>
      <c r="T2" s="68" t="inlineStr">
        <is>
          <t>1 shared pathways</t>
        </is>
      </c>
      <c r="U2" s="68" t="inlineStr">
        <is>
          <t>general or unknown targets</t>
        </is>
      </c>
      <c r="V2" s="68" t="n"/>
      <c r="W2" s="68" t="n"/>
      <c r="X2" s="68" t="inlineStr">
        <is>
          <t>beginner</t>
        </is>
      </c>
      <c r="Y2" s="68" t="inlineStr">
        <is>
          <t>anxiety_sleep</t>
        </is>
      </c>
      <c r="Z2" s="68" t="inlineStr">
        <is>
          <t>winner</t>
        </is>
      </c>
      <c r="AA2" s="68" t="inlineStr">
        <is>
          <t>low_caution</t>
        </is>
      </c>
      <c r="AB2" s="68" t="inlineStr">
        <is>
          <t>flagship_pair</t>
        </is>
      </c>
      <c r="AC2" s="68" t="inlineStr">
        <is>
          <t>high</t>
        </is>
      </c>
      <c r="AD2" s="68" t="inlineStr">
        <is>
          <t>pair|AM/PM|lightly_calming|risk≤18</t>
        </is>
      </c>
      <c r="AE2" t="inlineStr">
        <is>
          <t>winner_slot|intent=calm without sedation|balance=lightly_calming|conflict_guardrails</t>
        </is>
      </c>
      <c r="AF2" t="n">
        <v>1</v>
      </c>
      <c r="AG2" t="inlineStr">
        <is>
          <t>TRUE</t>
        </is>
      </c>
      <c r="AH2" t="inlineStr">
        <is>
          <t>anxiety_v26</t>
        </is>
      </c>
    </row>
    <row r="3">
      <c r="A3" t="inlineStr">
        <is>
          <t>Anxiety</t>
        </is>
      </c>
      <c r="B3" t="inlineStr">
        <is>
          <t>Lemon Balm + Chamomile</t>
        </is>
      </c>
      <c r="C3" t="inlineStr">
        <is>
          <t>2-herb</t>
        </is>
      </c>
      <c r="D3" s="54" t="n">
        <v>156.3</v>
      </c>
      <c r="E3" s="54" t="n">
        <v>25</v>
      </c>
      <c r="F3" s="54" t="n">
        <v>79.8</v>
      </c>
      <c r="G3" s="54" t="n">
        <v>15</v>
      </c>
      <c r="H3" s="54" t="n">
        <v>30</v>
      </c>
      <c r="I3" s="54" t="n">
        <v>12</v>
      </c>
      <c r="J3" s="54" t="n">
        <v>0</v>
      </c>
      <c r="K3" s="68" t="inlineStr">
        <is>
          <t>Lemon Balm + Chamomile matches the deeper unwind and tension release use-case. shared pathways: general or unknown targets. sedating profile with PM fit.</t>
        </is>
      </c>
      <c r="L3" s="68" t="inlineStr">
        <is>
          <t>Context screen required for sedative considerations.</t>
        </is>
      </c>
      <c r="M3" s="68" t="inlineStr">
        <is>
          <t>deeper unwind and tension release</t>
        </is>
      </c>
      <c r="N3" s="68" t="inlineStr">
        <is>
          <t>PM</t>
        </is>
      </c>
      <c r="O3" s="68" t="inlineStr">
        <is>
          <t>PM</t>
        </is>
      </c>
      <c r="P3" s="68" t="n">
        <v>3</v>
      </c>
      <c r="Q3" s="68" t="n">
        <v>36</v>
      </c>
      <c r="R3" s="68" t="inlineStr">
        <is>
          <t>sedating</t>
        </is>
      </c>
      <c r="S3" s="68" t="inlineStr">
        <is>
          <t>none_material</t>
        </is>
      </c>
      <c r="T3" s="68" t="inlineStr">
        <is>
          <t>1 shared pathways</t>
        </is>
      </c>
      <c r="U3" s="68" t="inlineStr">
        <is>
          <t>general or unknown targets</t>
        </is>
      </c>
      <c r="V3" s="68" t="n"/>
      <c r="W3" s="68" t="n"/>
      <c r="X3" s="68" t="inlineStr">
        <is>
          <t>intermediate</t>
        </is>
      </c>
      <c r="Y3" s="68" t="inlineStr">
        <is>
          <t>anxiety_sleep</t>
        </is>
      </c>
      <c r="Z3" s="68" t="inlineStr">
        <is>
          <t>backup</t>
        </is>
      </c>
      <c r="AA3" s="68" t="inlineStr">
        <is>
          <t>low_caution</t>
        </is>
      </c>
      <c r="AB3" s="68" t="inlineStr">
        <is>
          <t>adaptive_alternative</t>
        </is>
      </c>
      <c r="AC3" s="68" t="inlineStr">
        <is>
          <t>high</t>
        </is>
      </c>
      <c r="AD3" s="68" t="inlineStr">
        <is>
          <t>pair|PM|sedating|risk≤24</t>
        </is>
      </c>
      <c r="AE3" t="inlineStr">
        <is>
          <t>backup_slot|intent=deeper unwind and tension release|balance=sedating|conflict_guardrails</t>
        </is>
      </c>
      <c r="AF3" t="n">
        <v>2</v>
      </c>
      <c r="AG3" t="inlineStr">
        <is>
          <t>FALSE</t>
        </is>
      </c>
      <c r="AH3" t="inlineStr">
        <is>
          <t>anxiety_v26</t>
        </is>
      </c>
    </row>
    <row r="4">
      <c r="A4" t="inlineStr">
        <is>
          <t>Anxiety</t>
        </is>
      </c>
      <c r="B4" t="inlineStr">
        <is>
          <t>Ashwagandha</t>
        </is>
      </c>
      <c r="C4" t="inlineStr">
        <is>
          <t>single</t>
        </is>
      </c>
      <c r="D4" s="54" t="n">
        <v>122</v>
      </c>
      <c r="E4" s="54" t="n">
        <v>23</v>
      </c>
      <c r="F4" s="54" t="n">
        <v>88.59999999999999</v>
      </c>
      <c r="G4" s="54" t="n">
        <v>0</v>
      </c>
      <c r="H4" s="54" t="n">
        <v>22</v>
      </c>
      <c r="I4" s="54" t="n">
        <v>8</v>
      </c>
      <c r="J4" s="54" t="n">
        <v>0</v>
      </c>
      <c r="K4" s="68" t="inlineStr">
        <is>
          <t>Ashwagandha matches the adaptogenic stress smoothing use-case. shared compounds: sitoindoside ix, sitoindoside x, withaferin a. sedating profile with PM fit.</t>
        </is>
      </c>
      <c r="L4" s="68" t="inlineStr">
        <is>
          <t>Context screen required for pregnancy-sensitive, autoimmune, sedative considerations.</t>
        </is>
      </c>
      <c r="M4" s="68" t="inlineStr">
        <is>
          <t>adaptogenic stress smoothing</t>
        </is>
      </c>
      <c r="N4" s="68" t="inlineStr">
        <is>
          <t>AM/PM</t>
        </is>
      </c>
      <c r="O4" s="68" t="inlineStr">
        <is>
          <t>PM</t>
        </is>
      </c>
      <c r="P4" s="68" t="n">
        <v>3</v>
      </c>
      <c r="Q4" s="68" t="n">
        <v>17</v>
      </c>
      <c r="R4" s="68" t="inlineStr">
        <is>
          <t>sedating</t>
        </is>
      </c>
      <c r="S4" s="68" t="inlineStr">
        <is>
          <t>none_material</t>
        </is>
      </c>
      <c r="T4" s="68" t="inlineStr">
        <is>
          <t>7 shared compounds</t>
        </is>
      </c>
      <c r="U4" s="68" t="n"/>
      <c r="V4" s="68" t="inlineStr">
        <is>
          <t>sitoindoside ix; sitoindoside x; withaferin a; withanolide a; withanolide d; withanone; withanoside iv</t>
        </is>
      </c>
      <c r="W4" s="68" t="inlineStr">
        <is>
          <t>adaptogen; anti-inflammatory; antioxidant; cox/nf-kb inhibition; gabaergic modulation; immunomodulatory; multi-target signaling modulation; neuroprotective</t>
        </is>
      </c>
      <c r="X4" s="68" t="inlineStr">
        <is>
          <t>advanced</t>
        </is>
      </c>
      <c r="Y4" s="68" t="inlineStr">
        <is>
          <t>anxiety_sleep</t>
        </is>
      </c>
      <c r="Z4" s="68" t="inlineStr">
        <is>
          <t>reserve</t>
        </is>
      </c>
      <c r="AA4" s="68" t="inlineStr">
        <is>
          <t>high_caution</t>
        </is>
      </c>
      <c r="AB4" s="68" t="inlineStr">
        <is>
          <t>clean_single</t>
        </is>
      </c>
      <c r="AC4" s="68" t="inlineStr">
        <is>
          <t>low</t>
        </is>
      </c>
      <c r="AD4" s="68" t="inlineStr">
        <is>
          <t>single|AM/PM|lightly_calming|risk≤contextual</t>
        </is>
      </c>
      <c r="AE4" t="inlineStr">
        <is>
          <t>reserve_slot|intent=adaptogenic stress smoothing|balance=lightly_calming|conflict_guardrails</t>
        </is>
      </c>
      <c r="AF4" t="n">
        <v>3</v>
      </c>
      <c r="AG4" t="inlineStr">
        <is>
          <t>FALSE</t>
        </is>
      </c>
      <c r="AH4" t="inlineStr">
        <is>
          <t>anxiety_v26</t>
        </is>
      </c>
    </row>
    <row r="5">
      <c r="A5" t="inlineStr">
        <is>
          <t>Cardiovascular</t>
        </is>
      </c>
      <c r="B5" t="inlineStr">
        <is>
          <t>Hawthorn + Arjuna</t>
        </is>
      </c>
      <c r="C5" t="inlineStr">
        <is>
          <t>2-herb</t>
        </is>
      </c>
      <c r="D5" s="54" t="n">
        <v>178.6</v>
      </c>
      <c r="E5" s="54" t="n">
        <v>22</v>
      </c>
      <c r="F5" s="54" t="n">
        <v>76.5</v>
      </c>
      <c r="G5" s="54" t="n">
        <v>15</v>
      </c>
      <c r="H5" s="54" t="n">
        <v>26</v>
      </c>
      <c r="I5" s="54" t="n">
        <v>10</v>
      </c>
      <c r="J5" s="54" t="n">
        <v>0</v>
      </c>
      <c r="K5" s="68" t="inlineStr">
        <is>
          <t>Hawthorn + Arjuna matches the vascular support without overstimulation use-case. shared pathways: general or unknown targets. balanced profile with AM/PM fit.</t>
        </is>
      </c>
      <c r="L5" s="68" t="inlineStr">
        <is>
          <t>General context screen; low apparent stacking conflict.</t>
        </is>
      </c>
      <c r="M5" s="68" t="inlineStr">
        <is>
          <t>vascular support without overstimulation</t>
        </is>
      </c>
      <c r="N5" s="68" t="inlineStr">
        <is>
          <t>AM/PM</t>
        </is>
      </c>
      <c r="O5" s="68" t="inlineStr">
        <is>
          <t>AM/PM</t>
        </is>
      </c>
      <c r="P5" s="68" t="n">
        <v>0</v>
      </c>
      <c r="Q5" s="68" t="n">
        <v>0</v>
      </c>
      <c r="R5" s="68" t="inlineStr">
        <is>
          <t>balanced</t>
        </is>
      </c>
      <c r="S5" s="68" t="inlineStr">
        <is>
          <t>none_material</t>
        </is>
      </c>
      <c r="T5" s="68" t="inlineStr">
        <is>
          <t>1 shared pathways</t>
        </is>
      </c>
      <c r="U5" s="68" t="inlineStr">
        <is>
          <t>general or unknown targets</t>
        </is>
      </c>
      <c r="V5" s="68" t="n"/>
      <c r="W5" s="68" t="inlineStr">
        <is>
          <t>cardiovascular support; vascular support</t>
        </is>
      </c>
      <c r="X5" s="68" t="inlineStr">
        <is>
          <t>beginner</t>
        </is>
      </c>
      <c r="Y5" s="68" t="inlineStr">
        <is>
          <t>cardiovascular_inflammation</t>
        </is>
      </c>
      <c r="Z5" s="68" t="inlineStr">
        <is>
          <t>winner</t>
        </is>
      </c>
      <c r="AA5" s="68" t="inlineStr">
        <is>
          <t>low_caution</t>
        </is>
      </c>
      <c r="AB5" s="68" t="inlineStr">
        <is>
          <t>flagship_pair</t>
        </is>
      </c>
      <c r="AC5" s="68" t="inlineStr">
        <is>
          <t>high</t>
        </is>
      </c>
      <c r="AD5" s="68" t="inlineStr">
        <is>
          <t>pair|AM/PM|balanced|risk≤18</t>
        </is>
      </c>
      <c r="AE5" t="inlineStr">
        <is>
          <t>winner_slot|intent=vascular support without overstimulation|balance=balanced|conflict_guardrails</t>
        </is>
      </c>
      <c r="AF5" t="n">
        <v>1</v>
      </c>
      <c r="AG5" t="inlineStr">
        <is>
          <t>TRUE</t>
        </is>
      </c>
      <c r="AH5" t="inlineStr">
        <is>
          <t>cardiovascular_v26</t>
        </is>
      </c>
    </row>
    <row r="6">
      <c r="A6" t="inlineStr">
        <is>
          <t>Cardiovascular</t>
        </is>
      </c>
      <c r="B6" t="inlineStr">
        <is>
          <t>Hawthorn + Danshen</t>
        </is>
      </c>
      <c r="C6" t="inlineStr">
        <is>
          <t>2-herb</t>
        </is>
      </c>
      <c r="D6" s="54" t="n">
        <v>146.2</v>
      </c>
      <c r="E6" s="54" t="n">
        <v>22</v>
      </c>
      <c r="F6" s="54" t="n">
        <v>75.2</v>
      </c>
      <c r="G6" s="54" t="n">
        <v>15</v>
      </c>
      <c r="H6" s="54" t="n">
        <v>30</v>
      </c>
      <c r="I6" s="54" t="n">
        <v>12</v>
      </c>
      <c r="J6" s="54" t="n">
        <v>0</v>
      </c>
      <c r="K6" s="68" t="inlineStr">
        <is>
          <t>Hawthorn + Danshen matches the circulation plus inflammatory moderation use-case. shared pathways: general or unknown targets. balanced profile with AM/PM fit.</t>
        </is>
      </c>
      <c r="L6" s="68" t="inlineStr">
        <is>
          <t>Context screen required for bleeding considerations.</t>
        </is>
      </c>
      <c r="M6" s="68" t="inlineStr">
        <is>
          <t>circulation plus inflammatory moderation</t>
        </is>
      </c>
      <c r="N6" s="68" t="inlineStr">
        <is>
          <t>AM</t>
        </is>
      </c>
      <c r="O6" s="68" t="inlineStr">
        <is>
          <t>AM/PM</t>
        </is>
      </c>
      <c r="P6" s="68" t="n">
        <v>0</v>
      </c>
      <c r="Q6" s="68" t="n">
        <v>0</v>
      </c>
      <c r="R6" s="68" t="inlineStr">
        <is>
          <t>balanced</t>
        </is>
      </c>
      <c r="S6" s="68" t="inlineStr">
        <is>
          <t>none_material</t>
        </is>
      </c>
      <c r="T6" s="68" t="inlineStr">
        <is>
          <t>1 shared pathways</t>
        </is>
      </c>
      <c r="U6" s="68" t="inlineStr">
        <is>
          <t>general or unknown targets</t>
        </is>
      </c>
      <c r="V6" s="68" t="n"/>
      <c r="W6" s="68" t="inlineStr">
        <is>
          <t>cardiovascular support; vascular support</t>
        </is>
      </c>
      <c r="X6" s="68" t="inlineStr">
        <is>
          <t>intermediate</t>
        </is>
      </c>
      <c r="Y6" s="68" t="inlineStr">
        <is>
          <t>cardiovascular_inflammation</t>
        </is>
      </c>
      <c r="Z6" s="68" t="inlineStr">
        <is>
          <t>backup</t>
        </is>
      </c>
      <c r="AA6" s="68" t="inlineStr">
        <is>
          <t>general_caution</t>
        </is>
      </c>
      <c r="AB6" s="68" t="inlineStr">
        <is>
          <t>adaptive_alternative</t>
        </is>
      </c>
      <c r="AC6" s="68" t="inlineStr">
        <is>
          <t>medium</t>
        </is>
      </c>
      <c r="AD6" s="68" t="inlineStr">
        <is>
          <t>pair|AM|balanced|risk≤24</t>
        </is>
      </c>
      <c r="AE6" t="inlineStr">
        <is>
          <t>backup_slot|intent=circulation plus inflammatory moderation|balance=balanced|conflict_guardrails</t>
        </is>
      </c>
      <c r="AF6" t="n">
        <v>2</v>
      </c>
      <c r="AG6" t="inlineStr">
        <is>
          <t>FALSE</t>
        </is>
      </c>
      <c r="AH6" t="inlineStr">
        <is>
          <t>cardiovascular_v26</t>
        </is>
      </c>
    </row>
    <row r="7">
      <c r="A7" t="inlineStr">
        <is>
          <t>Cardiovascular</t>
        </is>
      </c>
      <c r="B7" t="inlineStr">
        <is>
          <t>Horse Chestnut</t>
        </is>
      </c>
      <c r="C7" t="inlineStr">
        <is>
          <t>single</t>
        </is>
      </c>
      <c r="D7" s="54" t="n">
        <v>97.59999999999999</v>
      </c>
      <c r="E7" s="54" t="n">
        <v>14</v>
      </c>
      <c r="F7" s="54" t="n">
        <v>76.40000000000001</v>
      </c>
      <c r="G7" s="54" t="n">
        <v>0</v>
      </c>
      <c r="H7" s="54" t="n">
        <v>26</v>
      </c>
      <c r="I7" s="54" t="n">
        <v>10</v>
      </c>
      <c r="J7" s="54" t="n">
        <v>0</v>
      </c>
      <c r="K7" s="68" t="inlineStr">
        <is>
          <t>Horse Chestnut matches the clean single-herb vascular support use-case. single-herb fallback keeps the stack clean and constraint-light. balanced profile with AM/PM fit.</t>
        </is>
      </c>
      <c r="L7" s="68" t="inlineStr">
        <is>
          <t>Context screen required for bleeding considerations.</t>
        </is>
      </c>
      <c r="M7" s="68" t="inlineStr">
        <is>
          <t>clean single-herb vascular support</t>
        </is>
      </c>
      <c r="N7" s="68" t="inlineStr">
        <is>
          <t>AM/PM</t>
        </is>
      </c>
      <c r="O7" s="68" t="inlineStr">
        <is>
          <t>AM/PM</t>
        </is>
      </c>
      <c r="P7" s="68" t="n">
        <v>0</v>
      </c>
      <c r="Q7" s="68" t="n">
        <v>0</v>
      </c>
      <c r="R7" s="68" t="inlineStr">
        <is>
          <t>balanced</t>
        </is>
      </c>
      <c r="S7" s="68" t="inlineStr">
        <is>
          <t>none_material</t>
        </is>
      </c>
      <c r="T7" s="68" t="inlineStr">
        <is>
          <t>complementary rather than duplicate</t>
        </is>
      </c>
      <c r="U7" s="68" t="n"/>
      <c r="V7" s="68" t="n"/>
      <c r="W7" s="68" t="n"/>
      <c r="X7" s="68" t="inlineStr">
        <is>
          <t>advanced</t>
        </is>
      </c>
      <c r="Y7" s="68" t="inlineStr">
        <is>
          <t>cardiovascular_inflammation</t>
        </is>
      </c>
      <c r="Z7" s="68" t="inlineStr">
        <is>
          <t>reserve</t>
        </is>
      </c>
      <c r="AA7" s="68" t="inlineStr">
        <is>
          <t>low_caution</t>
        </is>
      </c>
      <c r="AB7" s="68" t="inlineStr">
        <is>
          <t>clean_single</t>
        </is>
      </c>
      <c r="AC7" s="68" t="inlineStr">
        <is>
          <t>high</t>
        </is>
      </c>
      <c r="AD7" s="68" t="inlineStr">
        <is>
          <t>single|AM/PM|balanced|risk≤contextual</t>
        </is>
      </c>
      <c r="AE7" t="inlineStr">
        <is>
          <t>reserve_slot|intent=clean single-herb vascular support|balance=balanced|conflict_guardrails</t>
        </is>
      </c>
      <c r="AF7" t="n">
        <v>3</v>
      </c>
      <c r="AG7" t="inlineStr">
        <is>
          <t>FALSE</t>
        </is>
      </c>
      <c r="AH7" t="inlineStr">
        <is>
          <t>cardiovascular_v26</t>
        </is>
      </c>
    </row>
    <row r="8">
      <c r="A8" t="inlineStr">
        <is>
          <t>Cognition</t>
        </is>
      </c>
      <c r="B8" t="inlineStr">
        <is>
          <t>Bacopa + Sage</t>
        </is>
      </c>
      <c r="C8" t="inlineStr">
        <is>
          <t>2-herb</t>
        </is>
      </c>
      <c r="D8" s="54" t="n">
        <v>189.5</v>
      </c>
      <c r="E8" s="54" t="n">
        <v>30</v>
      </c>
      <c r="F8" s="54" t="n">
        <v>78</v>
      </c>
      <c r="G8" s="54" t="n">
        <v>9</v>
      </c>
      <c r="H8" s="54" t="n">
        <v>30</v>
      </c>
      <c r="I8" s="54" t="n">
        <v>12</v>
      </c>
      <c r="J8" s="54" t="n">
        <v>0</v>
      </c>
      <c r="K8" s="68" t="inlineStr">
        <is>
          <t>Bacopa + Sage matches the focus without anxiety use-case. the pair stays complementary instead of collapsing into one pathway lane. balanced profile with AM/PM fit.</t>
        </is>
      </c>
      <c r="L8" s="68" t="inlineStr">
        <is>
          <t>General context screen; low apparent stacking conflict.</t>
        </is>
      </c>
      <c r="M8" s="68" t="inlineStr">
        <is>
          <t>focus without anxiety</t>
        </is>
      </c>
      <c r="N8" s="68" t="inlineStr">
        <is>
          <t>AM</t>
        </is>
      </c>
      <c r="O8" s="68" t="inlineStr">
        <is>
          <t>AM/PM</t>
        </is>
      </c>
      <c r="P8" s="68" t="n">
        <v>5</v>
      </c>
      <c r="Q8" s="68" t="n">
        <v>4</v>
      </c>
      <c r="R8" s="68" t="inlineStr">
        <is>
          <t>balanced</t>
        </is>
      </c>
      <c r="S8" s="68" t="inlineStr">
        <is>
          <t>none_material</t>
        </is>
      </c>
      <c r="T8" s="68" t="inlineStr">
        <is>
          <t>complementary rather than duplicate</t>
        </is>
      </c>
      <c r="U8" s="68" t="n"/>
      <c r="V8" s="68" t="n"/>
      <c r="W8" s="68" t="n"/>
      <c r="X8" s="68" t="inlineStr">
        <is>
          <t>beginner</t>
        </is>
      </c>
      <c r="Y8" s="68" t="inlineStr">
        <is>
          <t>cognition_energy</t>
        </is>
      </c>
      <c r="Z8" s="68" t="inlineStr">
        <is>
          <t>winner</t>
        </is>
      </c>
      <c r="AA8" s="68" t="inlineStr">
        <is>
          <t>low_caution</t>
        </is>
      </c>
      <c r="AB8" s="68" t="inlineStr">
        <is>
          <t>flagship_pair</t>
        </is>
      </c>
      <c r="AC8" s="68" t="inlineStr">
        <is>
          <t>high</t>
        </is>
      </c>
      <c r="AD8" s="68" t="inlineStr">
        <is>
          <t>pair|AM|balanced|risk≤18</t>
        </is>
      </c>
      <c r="AE8" t="inlineStr">
        <is>
          <t>winner_slot|intent=focus without anxiety|balance=balanced|conflict_guardrails</t>
        </is>
      </c>
      <c r="AF8" t="n">
        <v>1</v>
      </c>
      <c r="AG8" t="inlineStr">
        <is>
          <t>TRUE</t>
        </is>
      </c>
      <c r="AH8" t="inlineStr">
        <is>
          <t>cognition_v26</t>
        </is>
      </c>
    </row>
    <row r="9">
      <c r="A9" t="inlineStr">
        <is>
          <t>Cognition</t>
        </is>
      </c>
      <c r="B9" t="inlineStr">
        <is>
          <t>Rhodiola + Bacopa</t>
        </is>
      </c>
      <c r="C9" t="inlineStr">
        <is>
          <t>2-herb</t>
        </is>
      </c>
      <c r="D9" s="54" t="n">
        <v>166.7</v>
      </c>
      <c r="E9" s="54" t="n">
        <v>34</v>
      </c>
      <c r="F9" s="54" t="n">
        <v>77.5</v>
      </c>
      <c r="G9" s="54" t="n">
        <v>18</v>
      </c>
      <c r="H9" s="54" t="n">
        <v>25</v>
      </c>
      <c r="I9" s="54" t="n">
        <v>10</v>
      </c>
      <c r="J9" s="54" t="n">
        <v>4</v>
      </c>
      <c r="K9" s="68" t="inlineStr">
        <is>
          <t>Rhodiola + Bacopa matches the memory plus learning support use-case. shared pathways: acetylcholine, general or unknown targets, neuroprotection. lightly calming profile with AM/PM fit.</t>
        </is>
      </c>
      <c r="L9" s="68" t="inlineStr">
        <is>
          <t>General context screen; low apparent stacking conflict.</t>
        </is>
      </c>
      <c r="M9" s="68" t="inlineStr">
        <is>
          <t>memory plus learning support</t>
        </is>
      </c>
      <c r="N9" s="68" t="inlineStr">
        <is>
          <t>AM/PM</t>
        </is>
      </c>
      <c r="O9" s="68" t="inlineStr">
        <is>
          <t>AM/PM</t>
        </is>
      </c>
      <c r="P9" s="68" t="n">
        <v>0</v>
      </c>
      <c r="Q9" s="68" t="n">
        <v>4</v>
      </c>
      <c r="R9" s="68" t="inlineStr">
        <is>
          <t>lightly calming</t>
        </is>
      </c>
      <c r="S9" s="68" t="inlineStr">
        <is>
          <t>none_material</t>
        </is>
      </c>
      <c r="T9" s="68" t="inlineStr">
        <is>
          <t>3 shared pathways</t>
        </is>
      </c>
      <c r="U9" s="68" t="inlineStr">
        <is>
          <t>acetylcholine; general or unknown targets; neuroprotection</t>
        </is>
      </c>
      <c r="V9" s="68" t="n"/>
      <c r="W9" s="68" t="n"/>
      <c r="X9" s="68" t="inlineStr">
        <is>
          <t>intermediate</t>
        </is>
      </c>
      <c r="Y9" s="68" t="inlineStr">
        <is>
          <t>cognition_energy</t>
        </is>
      </c>
      <c r="Z9" s="68" t="inlineStr">
        <is>
          <t>backup</t>
        </is>
      </c>
      <c r="AA9" s="68" t="inlineStr">
        <is>
          <t>low_caution</t>
        </is>
      </c>
      <c r="AB9" s="68" t="inlineStr">
        <is>
          <t>adaptive_alternative</t>
        </is>
      </c>
      <c r="AC9" s="68" t="inlineStr">
        <is>
          <t>high</t>
        </is>
      </c>
      <c r="AD9" s="68" t="inlineStr">
        <is>
          <t>pair|AM/PM|lightly_calming|risk≤24</t>
        </is>
      </c>
      <c r="AE9" t="inlineStr">
        <is>
          <t>backup_slot|intent=memory plus learning support|balance=lightly_calming|conflict_guardrails</t>
        </is>
      </c>
      <c r="AF9" t="n">
        <v>2</v>
      </c>
      <c r="AG9" t="inlineStr">
        <is>
          <t>FALSE</t>
        </is>
      </c>
      <c r="AH9" t="inlineStr">
        <is>
          <t>cognition_v26</t>
        </is>
      </c>
    </row>
    <row r="10">
      <c r="A10" t="inlineStr">
        <is>
          <t>Cognition</t>
        </is>
      </c>
      <c r="B10" t="inlineStr">
        <is>
          <t>Bacopa</t>
        </is>
      </c>
      <c r="C10" t="inlineStr">
        <is>
          <t>single</t>
        </is>
      </c>
      <c r="D10" s="54" t="n">
        <v>104.5</v>
      </c>
      <c r="E10" s="54" t="n">
        <v>17</v>
      </c>
      <c r="F10" s="54" t="n">
        <v>77.90000000000001</v>
      </c>
      <c r="G10" s="54" t="n">
        <v>0</v>
      </c>
      <c r="H10" s="54" t="n">
        <v>26</v>
      </c>
      <c r="I10" s="54" t="n">
        <v>10</v>
      </c>
      <c r="J10" s="54" t="n">
        <v>0</v>
      </c>
      <c r="K10" s="68" t="inlineStr">
        <is>
          <t>Bacopa matches the cognitive calm single use-case. shared compounds: bacoside a. lightly calming profile with AM/PM fit.</t>
        </is>
      </c>
      <c r="L10" s="68" t="inlineStr">
        <is>
          <t>General context screen; low apparent stacking conflict.</t>
        </is>
      </c>
      <c r="M10" s="68" t="inlineStr">
        <is>
          <t>cognitive calm single</t>
        </is>
      </c>
      <c r="N10" s="68" t="inlineStr">
        <is>
          <t>AM/PM</t>
        </is>
      </c>
      <c r="O10" s="68" t="inlineStr">
        <is>
          <t>AM/PM</t>
        </is>
      </c>
      <c r="P10" s="68" t="n">
        <v>0</v>
      </c>
      <c r="Q10" s="68" t="n">
        <v>4</v>
      </c>
      <c r="R10" s="68" t="inlineStr">
        <is>
          <t>lightly calming</t>
        </is>
      </c>
      <c r="S10" s="68" t="inlineStr">
        <is>
          <t>none_material</t>
        </is>
      </c>
      <c r="T10" s="68" t="inlineStr">
        <is>
          <t>1 shared compounds</t>
        </is>
      </c>
      <c r="U10" s="68" t="n"/>
      <c r="V10" s="68" t="inlineStr">
        <is>
          <t>bacoside a</t>
        </is>
      </c>
      <c r="W10" s="68" t="inlineStr">
        <is>
          <t>calming support; cognitive support</t>
        </is>
      </c>
      <c r="X10" s="68" t="inlineStr">
        <is>
          <t>advanced</t>
        </is>
      </c>
      <c r="Y10" s="68" t="inlineStr">
        <is>
          <t>cognition_energy</t>
        </is>
      </c>
      <c r="Z10" s="68" t="inlineStr">
        <is>
          <t>reserve</t>
        </is>
      </c>
      <c r="AA10" s="68" t="inlineStr">
        <is>
          <t>low_caution</t>
        </is>
      </c>
      <c r="AB10" s="68" t="inlineStr">
        <is>
          <t>clean_single</t>
        </is>
      </c>
      <c r="AC10" s="68" t="inlineStr">
        <is>
          <t>high</t>
        </is>
      </c>
      <c r="AD10" s="68" t="inlineStr">
        <is>
          <t>single|AM/PM|lightly_calming|risk≤contextual</t>
        </is>
      </c>
      <c r="AE10" t="inlineStr">
        <is>
          <t>reserve_slot|intent=cognitive calm single|balance=lightly_calming|conflict_guardrails</t>
        </is>
      </c>
      <c r="AF10" t="n">
        <v>3</v>
      </c>
      <c r="AG10" t="inlineStr">
        <is>
          <t>FALSE</t>
        </is>
      </c>
      <c r="AH10" t="inlineStr">
        <is>
          <t>cognition_v26</t>
        </is>
      </c>
    </row>
    <row r="11">
      <c r="A11" t="inlineStr">
        <is>
          <t>Digestive</t>
        </is>
      </c>
      <c r="B11" t="inlineStr">
        <is>
          <t>Peppermint + Fennel</t>
        </is>
      </c>
      <c r="C11" t="inlineStr">
        <is>
          <t>2-herb</t>
        </is>
      </c>
      <c r="D11" s="54" t="n">
        <v>217.7</v>
      </c>
      <c r="E11" s="54" t="n">
        <v>45</v>
      </c>
      <c r="F11" s="54" t="n">
        <v>72.2</v>
      </c>
      <c r="G11" s="54" t="n">
        <v>19</v>
      </c>
      <c r="H11" s="54" t="n">
        <v>25</v>
      </c>
      <c r="I11" s="54" t="n">
        <v>10</v>
      </c>
      <c r="J11" s="54" t="n">
        <v>4</v>
      </c>
      <c r="K11" s="68" t="inlineStr">
        <is>
          <t>Peppermint + Fennel matches the post-meal settle and motility use-case. shared pathways: enzyme-support, gastric-motility, general or unknown targets. balanced profile with AM/PM fit.</t>
        </is>
      </c>
      <c r="L11" s="68" t="inlineStr">
        <is>
          <t>Review reflux, concentrated-oil, pediatric-use, and medication-metabolism context.</t>
        </is>
      </c>
      <c r="M11" s="68" t="inlineStr">
        <is>
          <t>post-meal settle and motility</t>
        </is>
      </c>
      <c r="N11" s="68" t="inlineStr">
        <is>
          <t>AM/PM</t>
        </is>
      </c>
      <c r="O11" s="68" t="inlineStr">
        <is>
          <t>AM/PM</t>
        </is>
      </c>
      <c r="P11" s="68" t="n">
        <v>3</v>
      </c>
      <c r="Q11" s="68" t="n">
        <v>3</v>
      </c>
      <c r="R11" s="68" t="inlineStr">
        <is>
          <t>balanced</t>
        </is>
      </c>
      <c r="S11" s="68" t="inlineStr">
        <is>
          <t>none_material</t>
        </is>
      </c>
      <c r="T11" s="68" t="inlineStr">
        <is>
          <t>3 shared pathways</t>
        </is>
      </c>
      <c r="U11" s="68" t="inlineStr">
        <is>
          <t>enzyme-support; gastric-motility; general or unknown targets</t>
        </is>
      </c>
      <c r="V11" s="68" t="n"/>
      <c r="W11" s="68" t="n"/>
      <c r="X11" s="68" t="inlineStr">
        <is>
          <t>beginner</t>
        </is>
      </c>
      <c r="Y11" s="68" t="inlineStr">
        <is>
          <t>inflammation_gut</t>
        </is>
      </c>
      <c r="Z11" s="68" t="inlineStr">
        <is>
          <t>winner</t>
        </is>
      </c>
      <c r="AA11" s="68" t="inlineStr">
        <is>
          <t>general_caution</t>
        </is>
      </c>
      <c r="AB11" s="68" t="inlineStr">
        <is>
          <t>flagship_pair</t>
        </is>
      </c>
      <c r="AC11" s="68" t="inlineStr">
        <is>
          <t>medium</t>
        </is>
      </c>
      <c r="AD11" s="68" t="inlineStr">
        <is>
          <t>pair|AM/PM|balanced|risk≤18</t>
        </is>
      </c>
      <c r="AE11" t="inlineStr">
        <is>
          <t>winner_slot|intent=post-meal settle and motility|balance=balanced|conflict_guardrails</t>
        </is>
      </c>
      <c r="AF11" t="n">
        <v>1</v>
      </c>
      <c r="AG11" t="inlineStr">
        <is>
          <t>TRUE</t>
        </is>
      </c>
      <c r="AH11" t="inlineStr">
        <is>
          <t>digestive_v26</t>
        </is>
      </c>
    </row>
    <row r="12">
      <c r="A12" t="inlineStr">
        <is>
          <t>Digestive</t>
        </is>
      </c>
      <c r="B12" t="inlineStr">
        <is>
          <t>Aloe Vera + Marshmallow</t>
        </is>
      </c>
      <c r="C12" t="inlineStr">
        <is>
          <t>2-herb</t>
        </is>
      </c>
      <c r="D12" s="54" t="n">
        <v>177.9</v>
      </c>
      <c r="E12" s="54" t="n">
        <v>44</v>
      </c>
      <c r="F12" s="54" t="n">
        <v>74.7</v>
      </c>
      <c r="G12" s="54" t="n">
        <v>18</v>
      </c>
      <c r="H12" s="54" t="n">
        <v>21</v>
      </c>
      <c r="I12" s="54" t="n">
        <v>8</v>
      </c>
      <c r="J12" s="54" t="n">
        <v>4</v>
      </c>
      <c r="K12" s="68" t="inlineStr">
        <is>
          <t>Aloe Vera + Marshmallow matches the soothe irritated gut lining use-case. shared pathways: enzyme-support, gastric-motility. lightly stimulating profile with AM fit.</t>
        </is>
      </c>
      <c r="L12" s="68" t="inlineStr">
        <is>
          <t>Screen laxative load, diarrhea-prone, pregnancy-sensitive, and glucose-lowering context.</t>
        </is>
      </c>
      <c r="M12" s="68" t="inlineStr">
        <is>
          <t>soothe irritated gut lining</t>
        </is>
      </c>
      <c r="N12" s="68" t="inlineStr">
        <is>
          <t>AM/PM</t>
        </is>
      </c>
      <c r="O12" s="68" t="inlineStr">
        <is>
          <t>AM</t>
        </is>
      </c>
      <c r="P12" s="68" t="n">
        <v>6</v>
      </c>
      <c r="Q12" s="68" t="n">
        <v>0</v>
      </c>
      <c r="R12" s="68" t="inlineStr">
        <is>
          <t>lightly stimulating</t>
        </is>
      </c>
      <c r="S12" s="68" t="inlineStr">
        <is>
          <t>none_material</t>
        </is>
      </c>
      <c r="T12" s="68" t="inlineStr">
        <is>
          <t>2 shared pathways</t>
        </is>
      </c>
      <c r="U12" s="68" t="inlineStr">
        <is>
          <t>enzyme-support; gastric-motility</t>
        </is>
      </c>
      <c r="V12" s="68" t="n"/>
      <c r="W12" s="68" t="n"/>
      <c r="X12" s="68" t="inlineStr">
        <is>
          <t>intermediate</t>
        </is>
      </c>
      <c r="Y12" s="68" t="inlineStr">
        <is>
          <t>inflammation_gut</t>
        </is>
      </c>
      <c r="Z12" s="68" t="inlineStr">
        <is>
          <t>backup</t>
        </is>
      </c>
      <c r="AA12" s="68" t="inlineStr">
        <is>
          <t>general_caution</t>
        </is>
      </c>
      <c r="AB12" s="68" t="inlineStr">
        <is>
          <t>adaptive_alternative</t>
        </is>
      </c>
      <c r="AC12" s="68" t="inlineStr">
        <is>
          <t>medium</t>
        </is>
      </c>
      <c r="AD12" s="68" t="inlineStr">
        <is>
          <t>pair|AM/PM|balanced|risk≤24</t>
        </is>
      </c>
      <c r="AE12" t="inlineStr">
        <is>
          <t>backup_slot|intent=soothe irritated gut lining|balance=balanced|conflict_guardrails</t>
        </is>
      </c>
      <c r="AF12" t="n">
        <v>2</v>
      </c>
      <c r="AG12" t="inlineStr">
        <is>
          <t>FALSE</t>
        </is>
      </c>
      <c r="AH12" t="inlineStr">
        <is>
          <t>digestive_v26</t>
        </is>
      </c>
    </row>
    <row r="13">
      <c r="A13" t="inlineStr">
        <is>
          <t>Digestive</t>
        </is>
      </c>
      <c r="B13" t="inlineStr">
        <is>
          <t>Marshmallow</t>
        </is>
      </c>
      <c r="C13" t="inlineStr">
        <is>
          <t>single</t>
        </is>
      </c>
      <c r="D13" s="54" t="n">
        <v>104.6</v>
      </c>
      <c r="E13" s="54" t="n">
        <v>22</v>
      </c>
      <c r="F13" s="54" t="n">
        <v>69</v>
      </c>
      <c r="G13" s="54" t="n">
        <v>0</v>
      </c>
      <c r="H13" s="54" t="n">
        <v>26</v>
      </c>
      <c r="I13" s="54" t="n">
        <v>10</v>
      </c>
      <c r="J13" s="54" t="n">
        <v>0</v>
      </c>
      <c r="K13" s="68" t="inlineStr">
        <is>
          <t>Marshmallow matches the gentle gut-soothing single use-case. single-herb fallback keeps the stack clean and constraint-light. balanced profile with AM/PM fit.</t>
        </is>
      </c>
      <c r="L13" s="68" t="inlineStr">
        <is>
          <t>General context screen; low apparent stacking conflict.</t>
        </is>
      </c>
      <c r="M13" s="68" t="inlineStr">
        <is>
          <t>gentle gut-soothing single</t>
        </is>
      </c>
      <c r="N13" s="68" t="inlineStr">
        <is>
          <t>AM/PM</t>
        </is>
      </c>
      <c r="O13" s="68" t="inlineStr">
        <is>
          <t>AM/PM</t>
        </is>
      </c>
      <c r="P13" s="68" t="n">
        <v>0</v>
      </c>
      <c r="Q13" s="68" t="n">
        <v>0</v>
      </c>
      <c r="R13" s="68" t="inlineStr">
        <is>
          <t>balanced</t>
        </is>
      </c>
      <c r="S13" s="68" t="inlineStr">
        <is>
          <t>none_material</t>
        </is>
      </c>
      <c r="T13" s="68" t="inlineStr">
        <is>
          <t>complementary rather than duplicate</t>
        </is>
      </c>
      <c r="U13" s="68" t="n"/>
      <c r="V13" s="68" t="n"/>
      <c r="W13" s="68" t="n"/>
      <c r="X13" s="68" t="inlineStr">
        <is>
          <t>advanced</t>
        </is>
      </c>
      <c r="Y13" s="68" t="inlineStr">
        <is>
          <t>inflammation_gut</t>
        </is>
      </c>
      <c r="Z13" s="68" t="inlineStr">
        <is>
          <t>reserve</t>
        </is>
      </c>
      <c r="AA13" s="68" t="inlineStr">
        <is>
          <t>low_caution</t>
        </is>
      </c>
      <c r="AB13" s="68" t="inlineStr">
        <is>
          <t>clean_single</t>
        </is>
      </c>
      <c r="AC13" s="68" t="inlineStr">
        <is>
          <t>low</t>
        </is>
      </c>
      <c r="AD13" s="68" t="inlineStr">
        <is>
          <t>single|AM/PM|balanced|risk≤contextual</t>
        </is>
      </c>
      <c r="AE13" t="inlineStr">
        <is>
          <t>reserve_slot|intent=gentle gut-soothing single|balance=balanced|conflict_guardrails</t>
        </is>
      </c>
      <c r="AF13" t="n">
        <v>3</v>
      </c>
      <c r="AG13" t="inlineStr">
        <is>
          <t>FALSE</t>
        </is>
      </c>
      <c r="AH13" t="inlineStr">
        <is>
          <t>digestive_v26</t>
        </is>
      </c>
    </row>
    <row r="14">
      <c r="A14" t="inlineStr">
        <is>
          <t>Energy</t>
        </is>
      </c>
      <c r="B14" t="inlineStr">
        <is>
          <t>Rhodiola Rosea + Schisandra Berry</t>
        </is>
      </c>
      <c r="C14" t="inlineStr">
        <is>
          <t>2-herb</t>
        </is>
      </c>
      <c r="D14" s="54" t="n">
        <v>184.2</v>
      </c>
      <c r="E14" s="54" t="n">
        <v>24</v>
      </c>
      <c r="F14" s="54" t="n">
        <v>83</v>
      </c>
      <c r="G14" s="54" t="n">
        <v>16</v>
      </c>
      <c r="H14" s="54" t="n">
        <v>27.5</v>
      </c>
      <c r="I14" s="54" t="n">
        <v>12</v>
      </c>
      <c r="J14" s="54" t="n">
        <v>10</v>
      </c>
      <c r="K14" s="68" t="inlineStr">
        <is>
          <t>Rhodiola Rosea + Schisandra Berry matches the energy without anxiety use-case. shared pathways: cortisol-regulation, hpa-axis. stimulating profile with AM fit.</t>
        </is>
      </c>
      <c r="L14" s="68" t="inlineStr">
        <is>
          <t>Context screen required for serotonergic, stimulant considerations.</t>
        </is>
      </c>
      <c r="M14" s="68" t="inlineStr">
        <is>
          <t>energy without anxiety</t>
        </is>
      </c>
      <c r="N14" s="68" t="inlineStr">
        <is>
          <t>AM</t>
        </is>
      </c>
      <c r="O14" s="68" t="inlineStr">
        <is>
          <t>AM</t>
        </is>
      </c>
      <c r="P14" s="68" t="n">
        <v>15</v>
      </c>
      <c r="Q14" s="68" t="n">
        <v>0</v>
      </c>
      <c r="R14" s="68" t="inlineStr">
        <is>
          <t>stimulating</t>
        </is>
      </c>
      <c r="S14" s="68" t="inlineStr">
        <is>
          <t>beginner_safety_penalty</t>
        </is>
      </c>
      <c r="T14" s="68" t="inlineStr">
        <is>
          <t>2 shared pathways</t>
        </is>
      </c>
      <c r="U14" s="68" t="inlineStr">
        <is>
          <t>cortisol-regulation; hpa-axis</t>
        </is>
      </c>
      <c r="V14" s="68" t="n"/>
      <c r="W14" s="68" t="n"/>
      <c r="X14" s="68" t="inlineStr">
        <is>
          <t>beginner</t>
        </is>
      </c>
      <c r="Y14" s="68" t="inlineStr">
        <is>
          <t>cognition_energy</t>
        </is>
      </c>
      <c r="Z14" s="68" t="inlineStr">
        <is>
          <t>winner</t>
        </is>
      </c>
      <c r="AA14" s="68" t="inlineStr">
        <is>
          <t>moderate_caution</t>
        </is>
      </c>
      <c r="AB14" s="68" t="inlineStr">
        <is>
          <t>context_pair</t>
        </is>
      </c>
      <c r="AC14" s="68" t="inlineStr">
        <is>
          <t>medium</t>
        </is>
      </c>
      <c r="AD14" s="68" t="inlineStr">
        <is>
          <t>pair|AM|stimulating|risk≤18</t>
        </is>
      </c>
      <c r="AE14" t="inlineStr">
        <is>
          <t>winner_slot|intent=energy without anxiety|balance=stimulating|conflict_guardrails</t>
        </is>
      </c>
      <c r="AF14" t="n">
        <v>1</v>
      </c>
      <c r="AG14" t="inlineStr">
        <is>
          <t>TRUE</t>
        </is>
      </c>
      <c r="AH14" t="inlineStr">
        <is>
          <t>energy_v26</t>
        </is>
      </c>
    </row>
    <row r="15">
      <c r="A15" t="inlineStr">
        <is>
          <t>Energy</t>
        </is>
      </c>
      <c r="B15" t="inlineStr">
        <is>
          <t>Yerba Mate + Guarana</t>
        </is>
      </c>
      <c r="C15" t="inlineStr">
        <is>
          <t>2-herb</t>
        </is>
      </c>
      <c r="D15" s="54" t="n">
        <v>165.5</v>
      </c>
      <c r="E15" s="54" t="n">
        <v>34</v>
      </c>
      <c r="F15" s="54" t="n">
        <v>75.8</v>
      </c>
      <c r="G15" s="54" t="n">
        <v>17</v>
      </c>
      <c r="H15" s="54" t="n">
        <v>28.5</v>
      </c>
      <c r="I15" s="54" t="n">
        <v>12</v>
      </c>
      <c r="J15" s="54" t="n">
        <v>6</v>
      </c>
      <c r="K15" s="68" t="inlineStr">
        <is>
          <t>Yerba Mate + Guarana matches the acute stimulant lift use-case. shared pathways: unknown. stimulating profile with AM fit.</t>
        </is>
      </c>
      <c r="L15" s="68" t="inlineStr">
        <is>
          <t>Context screen required for stimulant considerations.</t>
        </is>
      </c>
      <c r="M15" s="68" t="inlineStr">
        <is>
          <t>acute stimulant lift</t>
        </is>
      </c>
      <c r="N15" s="68" t="inlineStr">
        <is>
          <t>AM</t>
        </is>
      </c>
      <c r="O15" s="68" t="inlineStr">
        <is>
          <t>AM</t>
        </is>
      </c>
      <c r="P15" s="68" t="n">
        <v>32</v>
      </c>
      <c r="Q15" s="68" t="n">
        <v>0</v>
      </c>
      <c r="R15" s="68" t="inlineStr">
        <is>
          <t>stimulating</t>
        </is>
      </c>
      <c r="S15" s="68" t="inlineStr">
        <is>
          <t>intermediate_safety_penalty</t>
        </is>
      </c>
      <c r="T15" s="68" t="inlineStr">
        <is>
          <t>1 shared pathways</t>
        </is>
      </c>
      <c r="U15" s="68" t="inlineStr">
        <is>
          <t>unknown</t>
        </is>
      </c>
      <c r="V15" s="68" t="n"/>
      <c r="W15" s="68" t="inlineStr">
        <is>
          <t>multi-domain</t>
        </is>
      </c>
      <c r="X15" s="68" t="inlineStr">
        <is>
          <t>intermediate</t>
        </is>
      </c>
      <c r="Y15" s="68" t="inlineStr">
        <is>
          <t>cognition_energy</t>
        </is>
      </c>
      <c r="Z15" s="68" t="inlineStr">
        <is>
          <t>backup</t>
        </is>
      </c>
      <c r="AA15" s="68" t="inlineStr">
        <is>
          <t>high_caution</t>
        </is>
      </c>
      <c r="AB15" s="68" t="inlineStr">
        <is>
          <t>adaptive_alternative</t>
        </is>
      </c>
      <c r="AC15" s="68" t="inlineStr">
        <is>
          <t>low</t>
        </is>
      </c>
      <c r="AD15" s="68" t="inlineStr">
        <is>
          <t>pair|AM|stimulating|risk≤24</t>
        </is>
      </c>
      <c r="AE15" t="inlineStr">
        <is>
          <t>backup_slot|intent=acute stimulant lift|balance=stimulating|conflict_guardrails</t>
        </is>
      </c>
      <c r="AF15" t="n">
        <v>2</v>
      </c>
      <c r="AG15" t="inlineStr">
        <is>
          <t>FALSE</t>
        </is>
      </c>
      <c r="AH15" t="inlineStr">
        <is>
          <t>energy_v26</t>
        </is>
      </c>
    </row>
    <row r="16">
      <c r="A16" t="inlineStr">
        <is>
          <t>Energy</t>
        </is>
      </c>
      <c r="B16" t="inlineStr">
        <is>
          <t>Rhodiola Rosea</t>
        </is>
      </c>
      <c r="C16" t="inlineStr">
        <is>
          <t>single</t>
        </is>
      </c>
      <c r="D16" s="54" t="n">
        <v>118.8</v>
      </c>
      <c r="E16" s="54" t="n">
        <v>17</v>
      </c>
      <c r="F16" s="54" t="n">
        <v>88.09999999999999</v>
      </c>
      <c r="G16" s="54" t="n">
        <v>0</v>
      </c>
      <c r="H16" s="54" t="n">
        <v>30</v>
      </c>
      <c r="I16" s="54" t="n">
        <v>12</v>
      </c>
      <c r="J16" s="54" t="n">
        <v>0</v>
      </c>
      <c r="K16" s="68" t="inlineStr">
        <is>
          <t>Rhodiola Rosea matches the clean single-herb lift use-case. shared compounds: rosarin, rosavin, rosin. stimulating profile with AM fit.</t>
        </is>
      </c>
      <c r="L16" s="68" t="inlineStr">
        <is>
          <t>Context screen required for serotonergic, stimulant considerations.</t>
        </is>
      </c>
      <c r="M16" s="68" t="inlineStr">
        <is>
          <t>clean single-herb lift</t>
        </is>
      </c>
      <c r="N16" s="68" t="inlineStr">
        <is>
          <t>AM</t>
        </is>
      </c>
      <c r="O16" s="68" t="inlineStr">
        <is>
          <t>AM</t>
        </is>
      </c>
      <c r="P16" s="68" t="n">
        <v>15</v>
      </c>
      <c r="Q16" s="68" t="n">
        <v>0</v>
      </c>
      <c r="R16" s="68" t="inlineStr">
        <is>
          <t>stimulating</t>
        </is>
      </c>
      <c r="S16" s="68" t="inlineStr">
        <is>
          <t>none_material</t>
        </is>
      </c>
      <c r="T16" s="68" t="inlineStr">
        <is>
          <t>6 shared compounds</t>
        </is>
      </c>
      <c r="U16" s="68" t="n"/>
      <c r="V16" s="68" t="inlineStr">
        <is>
          <t>rosarin; rosavin; rosin; salidroside; triandrin; tyrosol</t>
        </is>
      </c>
      <c r="W16" s="68" t="inlineStr">
        <is>
          <t>adaptogen; antioxidant; cytoprotective; dopaminergic; multi-target signaling modulation; serotonergic</t>
        </is>
      </c>
      <c r="X16" s="68" t="inlineStr">
        <is>
          <t>advanced</t>
        </is>
      </c>
      <c r="Y16" s="68" t="inlineStr">
        <is>
          <t>cognition_energy</t>
        </is>
      </c>
      <c r="Z16" s="68" t="inlineStr">
        <is>
          <t>reserve</t>
        </is>
      </c>
      <c r="AA16" s="68" t="inlineStr">
        <is>
          <t>moderate_caution</t>
        </is>
      </c>
      <c r="AB16" s="68" t="inlineStr">
        <is>
          <t>clean_single</t>
        </is>
      </c>
      <c r="AC16" s="68" t="inlineStr">
        <is>
          <t>medium</t>
        </is>
      </c>
      <c r="AD16" s="68" t="inlineStr">
        <is>
          <t>single|AM|lightly_stimulating|risk≤contextual</t>
        </is>
      </c>
      <c r="AE16" t="inlineStr">
        <is>
          <t>reserve_slot|intent=clean single-herb lift|balance=lightly_stimulating|conflict_guardrails</t>
        </is>
      </c>
      <c r="AF16" t="n">
        <v>3</v>
      </c>
      <c r="AG16" t="inlineStr">
        <is>
          <t>FALSE</t>
        </is>
      </c>
      <c r="AH16" t="inlineStr">
        <is>
          <t>energy_v26</t>
        </is>
      </c>
    </row>
    <row r="17">
      <c r="A17" t="inlineStr">
        <is>
          <t>Immune</t>
        </is>
      </c>
      <c r="B17" t="inlineStr">
        <is>
          <t>Elderberry + Astragalus</t>
        </is>
      </c>
      <c r="C17" t="inlineStr">
        <is>
          <t>2-herb</t>
        </is>
      </c>
      <c r="D17" s="54" t="n">
        <v>171.9</v>
      </c>
      <c r="E17" s="54" t="n">
        <v>23</v>
      </c>
      <c r="F17" s="54" t="n">
        <v>77</v>
      </c>
      <c r="G17" s="54" t="n">
        <v>9</v>
      </c>
      <c r="H17" s="54" t="n">
        <v>26</v>
      </c>
      <c r="I17" s="54" t="n">
        <v>10</v>
      </c>
      <c r="J17" s="54" t="n">
        <v>0</v>
      </c>
      <c r="K17" s="68" t="inlineStr">
        <is>
          <t>Elderberry + Astragalus matches the immune resilience without overstimulation use-case. shared pathways: cytokine-modulation. balanced profile with AM/PM fit.</t>
        </is>
      </c>
      <c r="L17" s="68" t="inlineStr">
        <is>
          <t>Context screen required for autoimmune considerations.</t>
        </is>
      </c>
      <c r="M17" s="68" t="inlineStr">
        <is>
          <t>immune resilience without overstimulation</t>
        </is>
      </c>
      <c r="N17" s="68" t="inlineStr">
        <is>
          <t>AM/PM</t>
        </is>
      </c>
      <c r="O17" s="68" t="inlineStr">
        <is>
          <t>AM/PM</t>
        </is>
      </c>
      <c r="P17" s="68" t="n">
        <v>0</v>
      </c>
      <c r="Q17" s="68" t="n">
        <v>0</v>
      </c>
      <c r="R17" s="68" t="inlineStr">
        <is>
          <t>balanced</t>
        </is>
      </c>
      <c r="S17" s="68" t="inlineStr">
        <is>
          <t>none_material</t>
        </is>
      </c>
      <c r="T17" s="68" t="inlineStr">
        <is>
          <t>1 shared pathways</t>
        </is>
      </c>
      <c r="U17" s="68" t="inlineStr">
        <is>
          <t>cytokine-modulation</t>
        </is>
      </c>
      <c r="V17" s="68" t="n"/>
      <c r="W17" s="68" t="n"/>
      <c r="X17" s="68" t="inlineStr">
        <is>
          <t>beginner</t>
        </is>
      </c>
      <c r="Y17" s="68" t="inlineStr">
        <is>
          <t>immune_resilience</t>
        </is>
      </c>
      <c r="Z17" s="68" t="inlineStr">
        <is>
          <t>winner</t>
        </is>
      </c>
      <c r="AA17" s="68" t="inlineStr">
        <is>
          <t>low_caution</t>
        </is>
      </c>
      <c r="AB17" s="68" t="inlineStr">
        <is>
          <t>flagship_pair</t>
        </is>
      </c>
      <c r="AC17" s="68" t="inlineStr">
        <is>
          <t>high</t>
        </is>
      </c>
      <c r="AD17" s="68" t="inlineStr">
        <is>
          <t>pair|AM/PM|balanced|risk≤18</t>
        </is>
      </c>
      <c r="AE17" t="inlineStr">
        <is>
          <t>winner_slot|intent=immune resilience without overstimulation|balance=balanced|conflict_guardrails</t>
        </is>
      </c>
      <c r="AF17" t="n">
        <v>1</v>
      </c>
      <c r="AG17" t="inlineStr">
        <is>
          <t>TRUE</t>
        </is>
      </c>
      <c r="AH17" t="inlineStr">
        <is>
          <t>immune_v26</t>
        </is>
      </c>
    </row>
    <row r="18">
      <c r="A18" t="inlineStr">
        <is>
          <t>Immune</t>
        </is>
      </c>
      <c r="B18" t="inlineStr">
        <is>
          <t>Artemisia Annua + Elderberry</t>
        </is>
      </c>
      <c r="C18" t="inlineStr">
        <is>
          <t>2-herb</t>
        </is>
      </c>
      <c r="D18" s="54" t="n">
        <v>154.4</v>
      </c>
      <c r="E18" s="54" t="n">
        <v>29</v>
      </c>
      <c r="F18" s="54" t="n">
        <v>76.8</v>
      </c>
      <c r="G18" s="54" t="n">
        <v>11</v>
      </c>
      <c r="H18" s="54" t="n">
        <v>30</v>
      </c>
      <c r="I18" s="54" t="n">
        <v>12</v>
      </c>
      <c r="J18" s="54" t="n">
        <v>0</v>
      </c>
      <c r="K18" s="68" t="inlineStr">
        <is>
          <t>Artemisia Annua + Elderberry matches the seasonal pressure support use-case. shared pathways: cytokine-modulation. balanced profile with AM/PM fit.</t>
        </is>
      </c>
      <c r="L18" s="68" t="inlineStr">
        <is>
          <t>Context screen required for pregnancy-sensitive considerations.</t>
        </is>
      </c>
      <c r="M18" s="68" t="inlineStr">
        <is>
          <t>seasonal pressure support</t>
        </is>
      </c>
      <c r="N18" s="68" t="inlineStr">
        <is>
          <t>AM</t>
        </is>
      </c>
      <c r="O18" s="68" t="inlineStr">
        <is>
          <t>AM/PM</t>
        </is>
      </c>
      <c r="P18" s="68" t="n">
        <v>0</v>
      </c>
      <c r="Q18" s="68" t="n">
        <v>0</v>
      </c>
      <c r="R18" s="68" t="inlineStr">
        <is>
          <t>balanced</t>
        </is>
      </c>
      <c r="S18" s="68" t="inlineStr">
        <is>
          <t>none_material</t>
        </is>
      </c>
      <c r="T18" s="68" t="inlineStr">
        <is>
          <t>1 shared pathways</t>
        </is>
      </c>
      <c r="U18" s="68" t="inlineStr">
        <is>
          <t>cytokine-modulation</t>
        </is>
      </c>
      <c r="V18" s="68" t="n"/>
      <c r="W18" s="68" t="n"/>
      <c r="X18" s="68" t="inlineStr">
        <is>
          <t>intermediate</t>
        </is>
      </c>
      <c r="Y18" s="68" t="inlineStr">
        <is>
          <t>immune_resilience</t>
        </is>
      </c>
      <c r="Z18" s="68" t="inlineStr">
        <is>
          <t>backup</t>
        </is>
      </c>
      <c r="AA18" s="68" t="inlineStr">
        <is>
          <t>low_caution</t>
        </is>
      </c>
      <c r="AB18" s="68" t="inlineStr">
        <is>
          <t>adaptive_alternative</t>
        </is>
      </c>
      <c r="AC18" s="68" t="inlineStr">
        <is>
          <t>high</t>
        </is>
      </c>
      <c r="AD18" s="68" t="inlineStr">
        <is>
          <t>pair|AM|balanced|risk≤24</t>
        </is>
      </c>
      <c r="AE18" t="inlineStr">
        <is>
          <t>backup_slot|intent=seasonal pressure support|balance=balanced|conflict_guardrails</t>
        </is>
      </c>
      <c r="AF18" t="n">
        <v>2</v>
      </c>
      <c r="AG18" t="inlineStr">
        <is>
          <t>FALSE</t>
        </is>
      </c>
      <c r="AH18" t="inlineStr">
        <is>
          <t>immune_v26</t>
        </is>
      </c>
    </row>
    <row r="19">
      <c r="A19" t="inlineStr">
        <is>
          <t>Immune</t>
        </is>
      </c>
      <c r="B19" t="inlineStr">
        <is>
          <t>Astragalus</t>
        </is>
      </c>
      <c r="C19" t="inlineStr">
        <is>
          <t>single</t>
        </is>
      </c>
      <c r="D19" s="54" t="n">
        <v>88</v>
      </c>
      <c r="E19" s="54" t="n">
        <v>9</v>
      </c>
      <c r="F19" s="54" t="n">
        <v>75.8</v>
      </c>
      <c r="G19" s="54" t="n">
        <v>0</v>
      </c>
      <c r="H19" s="54" t="n">
        <v>26</v>
      </c>
      <c r="I19" s="54" t="n">
        <v>10</v>
      </c>
      <c r="J19" s="54" t="n">
        <v>0</v>
      </c>
      <c r="K19" s="68" t="inlineStr">
        <is>
          <t>Astragalus matches the gentle daily immune single use-case. shared compounds: astragaloside iv. balanced profile with AM/PM fit.</t>
        </is>
      </c>
      <c r="L19" s="68" t="inlineStr">
        <is>
          <t>Context screen required for autoimmune considerations.</t>
        </is>
      </c>
      <c r="M19" s="68" t="inlineStr">
        <is>
          <t>gentle daily immune single</t>
        </is>
      </c>
      <c r="N19" s="68" t="inlineStr">
        <is>
          <t>AM/PM</t>
        </is>
      </c>
      <c r="O19" s="68" t="inlineStr">
        <is>
          <t>AM/PM</t>
        </is>
      </c>
      <c r="P19" s="68" t="n">
        <v>0</v>
      </c>
      <c r="Q19" s="68" t="n">
        <v>0</v>
      </c>
      <c r="R19" s="68" t="inlineStr">
        <is>
          <t>balanced</t>
        </is>
      </c>
      <c r="S19" s="68" t="inlineStr">
        <is>
          <t>none_material</t>
        </is>
      </c>
      <c r="T19" s="68" t="inlineStr">
        <is>
          <t>1 shared compounds</t>
        </is>
      </c>
      <c r="U19" s="68" t="n"/>
      <c r="V19" s="68" t="inlineStr">
        <is>
          <t>astragaloside iv</t>
        </is>
      </c>
      <c r="W19" s="68" t="inlineStr">
        <is>
          <t>fatigue support; immune modulation</t>
        </is>
      </c>
      <c r="X19" s="68" t="inlineStr">
        <is>
          <t>advanced</t>
        </is>
      </c>
      <c r="Y19" s="68" t="inlineStr">
        <is>
          <t>immune_resilience</t>
        </is>
      </c>
      <c r="Z19" s="68" t="inlineStr">
        <is>
          <t>reserve</t>
        </is>
      </c>
      <c r="AA19" s="68" t="inlineStr">
        <is>
          <t>low_caution</t>
        </is>
      </c>
      <c r="AB19" s="68" t="inlineStr">
        <is>
          <t>clean_single</t>
        </is>
      </c>
      <c r="AC19" s="68" t="inlineStr">
        <is>
          <t>medium</t>
        </is>
      </c>
      <c r="AD19" s="68" t="inlineStr">
        <is>
          <t>single|AM/PM|balanced|risk≤contextual</t>
        </is>
      </c>
      <c r="AE19" t="inlineStr">
        <is>
          <t>reserve_slot|intent=gentle daily immune single|balance=balanced|conflict_guardrails</t>
        </is>
      </c>
      <c r="AF19" t="n">
        <v>3</v>
      </c>
      <c r="AG19" t="inlineStr">
        <is>
          <t>FALSE</t>
        </is>
      </c>
      <c r="AH19" t="inlineStr">
        <is>
          <t>immune_v26</t>
        </is>
      </c>
    </row>
    <row r="20">
      <c r="A20" t="inlineStr">
        <is>
          <t>Inflammation</t>
        </is>
      </c>
      <c r="B20" t="inlineStr">
        <is>
          <t>Holy Basil + Calendula</t>
        </is>
      </c>
      <c r="C20" t="inlineStr">
        <is>
          <t>2-herb</t>
        </is>
      </c>
      <c r="D20" s="54" t="n">
        <v>208.2</v>
      </c>
      <c r="E20" s="54" t="n">
        <v>38</v>
      </c>
      <c r="F20" s="54" t="n">
        <v>79.3</v>
      </c>
      <c r="G20" s="54" t="n">
        <v>19</v>
      </c>
      <c r="H20" s="54" t="n">
        <v>21</v>
      </c>
      <c r="I20" s="54" t="n">
        <v>8</v>
      </c>
      <c r="J20" s="54" t="n">
        <v>4</v>
      </c>
      <c r="K20" s="68" t="inlineStr">
        <is>
          <t>Holy Basil + Calendula matches the systemic inflammation with gut sensitivity use-case. shared pathways: cox-2, nf-kb. lightly stimulating profile with AM/PM fit.</t>
        </is>
      </c>
      <c r="L20" s="68" t="inlineStr">
        <is>
          <t>Context screen required for pregnancy-sensitive, bleeding considerations.</t>
        </is>
      </c>
      <c r="M20" s="68" t="inlineStr">
        <is>
          <t>systemic inflammation with gut sensitivity</t>
        </is>
      </c>
      <c r="N20" s="68" t="inlineStr">
        <is>
          <t>AM/PM</t>
        </is>
      </c>
      <c r="O20" s="68" t="inlineStr">
        <is>
          <t>AM/PM</t>
        </is>
      </c>
      <c r="P20" s="68" t="n">
        <v>3</v>
      </c>
      <c r="Q20" s="68" t="n">
        <v>0</v>
      </c>
      <c r="R20" s="68" t="inlineStr">
        <is>
          <t>lightly stimulating</t>
        </is>
      </c>
      <c r="S20" s="68" t="inlineStr">
        <is>
          <t>none_material</t>
        </is>
      </c>
      <c r="T20" s="68" t="inlineStr">
        <is>
          <t>2 shared pathways</t>
        </is>
      </c>
      <c r="U20" s="68" t="inlineStr">
        <is>
          <t>cox-2; nf-kb</t>
        </is>
      </c>
      <c r="V20" s="68" t="n"/>
      <c r="W20" s="68" t="inlineStr">
        <is>
          <t>anti-inflammatory</t>
        </is>
      </c>
      <c r="X20" s="68" t="inlineStr">
        <is>
          <t>beginner</t>
        </is>
      </c>
      <c r="Y20" s="68" t="inlineStr">
        <is>
          <t>inflammation_gut</t>
        </is>
      </c>
      <c r="Z20" s="68" t="inlineStr">
        <is>
          <t>winner</t>
        </is>
      </c>
      <c r="AA20" s="68" t="inlineStr">
        <is>
          <t>general_caution</t>
        </is>
      </c>
      <c r="AB20" s="68" t="inlineStr">
        <is>
          <t>flagship_pair</t>
        </is>
      </c>
      <c r="AC20" s="68" t="inlineStr">
        <is>
          <t>high</t>
        </is>
      </c>
      <c r="AD20" s="68" t="inlineStr">
        <is>
          <t>pair|AM/PM|balanced|risk≤18</t>
        </is>
      </c>
      <c r="AE20" t="inlineStr">
        <is>
          <t>winner_slot|intent=systemic inflammation with gut sensitivity|balance=balanced|conflict_guardrails</t>
        </is>
      </c>
      <c r="AF20" t="n">
        <v>1</v>
      </c>
      <c r="AG20" t="inlineStr">
        <is>
          <t>TRUE</t>
        </is>
      </c>
      <c r="AH20" t="inlineStr">
        <is>
          <t>inflammation_v26</t>
        </is>
      </c>
    </row>
    <row r="21">
      <c r="A21" t="inlineStr">
        <is>
          <t>Inflammation</t>
        </is>
      </c>
      <c r="B21" t="inlineStr">
        <is>
          <t>Boswellia + Holy Basil</t>
        </is>
      </c>
      <c r="C21" t="inlineStr">
        <is>
          <t>2-herb</t>
        </is>
      </c>
      <c r="D21" s="54" t="n">
        <v>176.7</v>
      </c>
      <c r="E21" s="54" t="n">
        <v>38</v>
      </c>
      <c r="F21" s="54" t="n">
        <v>78.8</v>
      </c>
      <c r="G21" s="54" t="n">
        <v>19</v>
      </c>
      <c r="H21" s="54" t="n">
        <v>25</v>
      </c>
      <c r="I21" s="54" t="n">
        <v>10</v>
      </c>
      <c r="J21" s="54" t="n">
        <v>4</v>
      </c>
      <c r="K21" s="68" t="inlineStr">
        <is>
          <t>Boswellia + Holy Basil matches the inflammatory burden plus oxidative stress use-case. shared pathways: cox-2, nf-kb. lightly stimulating profile with AM/PM fit.</t>
        </is>
      </c>
      <c r="L21" s="68" t="inlineStr">
        <is>
          <t>Context screen required for pregnancy-sensitive, bleeding considerations.</t>
        </is>
      </c>
      <c r="M21" s="68" t="inlineStr">
        <is>
          <t>inflammatory burden plus oxidative stress</t>
        </is>
      </c>
      <c r="N21" s="68" t="inlineStr">
        <is>
          <t>AM</t>
        </is>
      </c>
      <c r="O21" s="68" t="inlineStr">
        <is>
          <t>AM/PM</t>
        </is>
      </c>
      <c r="P21" s="68" t="n">
        <v>3</v>
      </c>
      <c r="Q21" s="68" t="n">
        <v>0</v>
      </c>
      <c r="R21" s="68" t="inlineStr">
        <is>
          <t>lightly stimulating</t>
        </is>
      </c>
      <c r="S21" s="68" t="inlineStr">
        <is>
          <t>none_material</t>
        </is>
      </c>
      <c r="T21" s="68" t="inlineStr">
        <is>
          <t>2 shared pathways</t>
        </is>
      </c>
      <c r="U21" s="68" t="inlineStr">
        <is>
          <t>cox-2; nf-kb</t>
        </is>
      </c>
      <c r="V21" s="68" t="n"/>
      <c r="W21" s="68" t="inlineStr">
        <is>
          <t>anti-inflammatory</t>
        </is>
      </c>
      <c r="X21" s="68" t="inlineStr">
        <is>
          <t>intermediate</t>
        </is>
      </c>
      <c r="Y21" s="68" t="inlineStr">
        <is>
          <t>inflammation_gut</t>
        </is>
      </c>
      <c r="Z21" s="68" t="inlineStr">
        <is>
          <t>backup</t>
        </is>
      </c>
      <c r="AA21" s="68" t="inlineStr">
        <is>
          <t>general_caution</t>
        </is>
      </c>
      <c r="AB21" s="68" t="inlineStr">
        <is>
          <t>adaptive_alternative</t>
        </is>
      </c>
      <c r="AC21" s="68" t="inlineStr">
        <is>
          <t>high</t>
        </is>
      </c>
      <c r="AD21" s="68" t="inlineStr">
        <is>
          <t>pair|AM|balanced|risk≤24</t>
        </is>
      </c>
      <c r="AE21" t="inlineStr">
        <is>
          <t>backup_slot|intent=inflammatory burden plus oxidative stress|balance=balanced|conflict_guardrails</t>
        </is>
      </c>
      <c r="AF21" t="n">
        <v>2</v>
      </c>
      <c r="AG21" t="inlineStr">
        <is>
          <t>FALSE</t>
        </is>
      </c>
      <c r="AH21" t="inlineStr">
        <is>
          <t>inflammation_v26</t>
        </is>
      </c>
    </row>
    <row r="22">
      <c r="A22" t="inlineStr">
        <is>
          <t>Inflammation</t>
        </is>
      </c>
      <c r="B22" t="inlineStr">
        <is>
          <t>Holy Basil</t>
        </is>
      </c>
      <c r="C22" t="inlineStr">
        <is>
          <t>single</t>
        </is>
      </c>
      <c r="D22" s="54" t="n">
        <v>107.6</v>
      </c>
      <c r="E22" s="54" t="n">
        <v>20</v>
      </c>
      <c r="F22" s="54" t="n">
        <v>79.59999999999999</v>
      </c>
      <c r="G22" s="54" t="n">
        <v>0</v>
      </c>
      <c r="H22" s="54" t="n">
        <v>22</v>
      </c>
      <c r="I22" s="54" t="n">
        <v>8</v>
      </c>
      <c r="J22" s="54" t="n">
        <v>0</v>
      </c>
      <c r="K22" s="68" t="inlineStr">
        <is>
          <t>Holy Basil matches the clean single-herb inflammatory support use-case. shared compounds: eugenol, rosmarinic acid, ursolic acid. lightly stimulating profile with AM/PM fit.</t>
        </is>
      </c>
      <c r="L22" s="68" t="inlineStr">
        <is>
          <t>Context screen required for pregnancy-sensitive, bleeding considerations.</t>
        </is>
      </c>
      <c r="M22" s="68" t="inlineStr">
        <is>
          <t>clean single-herb inflammatory support</t>
        </is>
      </c>
      <c r="N22" s="68" t="inlineStr">
        <is>
          <t>AM/PM</t>
        </is>
      </c>
      <c r="O22" s="68" t="inlineStr">
        <is>
          <t>AM/PM</t>
        </is>
      </c>
      <c r="P22" s="68" t="n">
        <v>3</v>
      </c>
      <c r="Q22" s="68" t="n">
        <v>0</v>
      </c>
      <c r="R22" s="68" t="inlineStr">
        <is>
          <t>lightly stimulating</t>
        </is>
      </c>
      <c r="S22" s="68" t="inlineStr">
        <is>
          <t>none_material</t>
        </is>
      </c>
      <c r="T22" s="68" t="inlineStr">
        <is>
          <t>3 shared compounds</t>
        </is>
      </c>
      <c r="U22" s="68" t="n"/>
      <c r="V22" s="68" t="inlineStr">
        <is>
          <t>eugenol; rosmarinic acid; ursolic acid</t>
        </is>
      </c>
      <c r="W22" s="68" t="inlineStr">
        <is>
          <t>analgesic; anti-inflammatory; antimicrobial; antioxidant; gabaergic modulation; metabolic modulation; multi-target signaling modulation</t>
        </is>
      </c>
      <c r="X22" s="68" t="inlineStr">
        <is>
          <t>advanced</t>
        </is>
      </c>
      <c r="Y22" s="68" t="inlineStr">
        <is>
          <t>inflammation_gut</t>
        </is>
      </c>
      <c r="Z22" s="68" t="inlineStr">
        <is>
          <t>reserve</t>
        </is>
      </c>
      <c r="AA22" s="68" t="inlineStr">
        <is>
          <t>general_caution</t>
        </is>
      </c>
      <c r="AB22" s="68" t="inlineStr">
        <is>
          <t>clean_single</t>
        </is>
      </c>
      <c r="AC22" s="68" t="inlineStr">
        <is>
          <t>high</t>
        </is>
      </c>
      <c r="AD22" s="68" t="inlineStr">
        <is>
          <t>single|AM/PM|balanced|risk≤contextual</t>
        </is>
      </c>
      <c r="AE22" t="inlineStr">
        <is>
          <t>reserve_slot|intent=clean single-herb inflammatory support|balance=balanced|conflict_guardrails</t>
        </is>
      </c>
      <c r="AF22" t="n">
        <v>3</v>
      </c>
      <c r="AG22" t="inlineStr">
        <is>
          <t>FALSE</t>
        </is>
      </c>
      <c r="AH22" t="inlineStr">
        <is>
          <t>inflammation_v26</t>
        </is>
      </c>
    </row>
    <row r="23">
      <c r="A23" t="inlineStr">
        <is>
          <t>Liver</t>
        </is>
      </c>
      <c r="B23" t="inlineStr">
        <is>
          <t>Milk Thistle + Schisandra Berry</t>
        </is>
      </c>
      <c r="C23" t="inlineStr">
        <is>
          <t>2-herb</t>
        </is>
      </c>
      <c r="D23" s="54" t="n">
        <v>192.7</v>
      </c>
      <c r="E23" s="54" t="n">
        <v>32</v>
      </c>
      <c r="F23" s="54" t="n">
        <v>81.09999999999999</v>
      </c>
      <c r="G23" s="54" t="n">
        <v>12</v>
      </c>
      <c r="H23" s="54" t="n">
        <v>22</v>
      </c>
      <c r="I23" s="54" t="n">
        <v>8</v>
      </c>
      <c r="J23" s="54" t="n">
        <v>0</v>
      </c>
      <c r="K23" s="68" t="inlineStr">
        <is>
          <t>Milk Thistle + Schisandra Berry matches the liver support without sedation use-case. shared pathways: general or unknown targets. lightly stimulating profile with AM/PM fit.</t>
        </is>
      </c>
      <c r="L23" s="68" t="inlineStr">
        <is>
          <t>Context screen required for pregnancy-sensitive, bleeding considerations.</t>
        </is>
      </c>
      <c r="M23" s="68" t="inlineStr">
        <is>
          <t>liver support without sedation</t>
        </is>
      </c>
      <c r="N23" s="68" t="inlineStr">
        <is>
          <t>AM/PM</t>
        </is>
      </c>
      <c r="O23" s="68" t="inlineStr">
        <is>
          <t>AM/PM</t>
        </is>
      </c>
      <c r="P23" s="68" t="n">
        <v>3</v>
      </c>
      <c r="Q23" s="68" t="n">
        <v>0</v>
      </c>
      <c r="R23" s="68" t="inlineStr">
        <is>
          <t>lightly stimulating</t>
        </is>
      </c>
      <c r="S23" s="68" t="inlineStr">
        <is>
          <t>none_material</t>
        </is>
      </c>
      <c r="T23" s="68" t="inlineStr">
        <is>
          <t>1 shared pathways</t>
        </is>
      </c>
      <c r="U23" s="68" t="inlineStr">
        <is>
          <t>general or unknown targets</t>
        </is>
      </c>
      <c r="V23" s="68" t="n"/>
      <c r="W23" s="68" t="n"/>
      <c r="X23" s="68" t="inlineStr">
        <is>
          <t>beginner</t>
        </is>
      </c>
      <c r="Y23" s="68" t="inlineStr">
        <is>
          <t>liver_digestive</t>
        </is>
      </c>
      <c r="Z23" s="68" t="inlineStr">
        <is>
          <t>winner</t>
        </is>
      </c>
      <c r="AA23" s="68" t="inlineStr">
        <is>
          <t>general_caution</t>
        </is>
      </c>
      <c r="AB23" s="68" t="inlineStr">
        <is>
          <t>flagship_pair</t>
        </is>
      </c>
      <c r="AC23" s="68" t="inlineStr">
        <is>
          <t>high</t>
        </is>
      </c>
      <c r="AD23" s="68" t="inlineStr">
        <is>
          <t>pair|AM/PM|balanced|risk≤18</t>
        </is>
      </c>
      <c r="AE23" t="inlineStr">
        <is>
          <t>winner_slot|intent=liver support without sedation|balance=balanced|conflict_guardrails</t>
        </is>
      </c>
      <c r="AF23" t="n">
        <v>1</v>
      </c>
      <c r="AG23" t="inlineStr">
        <is>
          <t>TRUE</t>
        </is>
      </c>
      <c r="AH23" t="inlineStr">
        <is>
          <t>liver_v26</t>
        </is>
      </c>
    </row>
    <row r="24">
      <c r="A24" t="inlineStr">
        <is>
          <t>Liver</t>
        </is>
      </c>
      <c r="B24" t="inlineStr">
        <is>
          <t>Milk Thistle + Bupleurum</t>
        </is>
      </c>
      <c r="C24" t="inlineStr">
        <is>
          <t>2-herb</t>
        </is>
      </c>
      <c r="D24" s="54" t="n">
        <v>162.2</v>
      </c>
      <c r="E24" s="54" t="n">
        <v>37</v>
      </c>
      <c r="F24" s="54" t="n">
        <v>78</v>
      </c>
      <c r="G24" s="54" t="n">
        <v>11</v>
      </c>
      <c r="H24" s="54" t="n">
        <v>22</v>
      </c>
      <c r="I24" s="54" t="n">
        <v>8</v>
      </c>
      <c r="J24" s="54" t="n">
        <v>0</v>
      </c>
      <c r="K24" s="68" t="inlineStr">
        <is>
          <t>Milk Thistle + Bupleurum matches the antioxidant plus hepatoprotection use-case. shared pathways: general or unknown targets. lightly stimulating profile with AM/PM fit.</t>
        </is>
      </c>
      <c r="L24" s="68" t="inlineStr">
        <is>
          <t>Context screen required for pregnancy-sensitive, bleeding considerations.</t>
        </is>
      </c>
      <c r="M24" s="68" t="inlineStr">
        <is>
          <t>antioxidant plus hepatoprotection</t>
        </is>
      </c>
      <c r="N24" s="68" t="inlineStr">
        <is>
          <t>AM/PM</t>
        </is>
      </c>
      <c r="O24" s="68" t="inlineStr">
        <is>
          <t>AM/PM</t>
        </is>
      </c>
      <c r="P24" s="68" t="n">
        <v>3</v>
      </c>
      <c r="Q24" s="68" t="n">
        <v>0</v>
      </c>
      <c r="R24" s="68" t="inlineStr">
        <is>
          <t>lightly stimulating</t>
        </is>
      </c>
      <c r="S24" s="68" t="inlineStr">
        <is>
          <t>none_material</t>
        </is>
      </c>
      <c r="T24" s="68" t="inlineStr">
        <is>
          <t>1 shared pathways</t>
        </is>
      </c>
      <c r="U24" s="68" t="inlineStr">
        <is>
          <t>general or unknown targets</t>
        </is>
      </c>
      <c r="V24" s="68" t="n"/>
      <c r="W24" s="68" t="n"/>
      <c r="X24" s="68" t="inlineStr">
        <is>
          <t>intermediate</t>
        </is>
      </c>
      <c r="Y24" s="68" t="inlineStr">
        <is>
          <t>liver_digestive</t>
        </is>
      </c>
      <c r="Z24" s="68" t="inlineStr">
        <is>
          <t>backup</t>
        </is>
      </c>
      <c r="AA24" s="68" t="inlineStr">
        <is>
          <t>general_caution</t>
        </is>
      </c>
      <c r="AB24" s="68" t="inlineStr">
        <is>
          <t>adaptive_alternative</t>
        </is>
      </c>
      <c r="AC24" s="68" t="inlineStr">
        <is>
          <t>high</t>
        </is>
      </c>
      <c r="AD24" s="68" t="inlineStr">
        <is>
          <t>pair|AM/PM|balanced|risk≤24</t>
        </is>
      </c>
      <c r="AE24" t="inlineStr">
        <is>
          <t>backup_slot|intent=antioxidant plus hepatoprotection|balance=balanced|conflict_guardrails</t>
        </is>
      </c>
      <c r="AF24" t="n">
        <v>2</v>
      </c>
      <c r="AG24" t="inlineStr">
        <is>
          <t>FALSE</t>
        </is>
      </c>
      <c r="AH24" t="inlineStr">
        <is>
          <t>liver_v26</t>
        </is>
      </c>
    </row>
    <row r="25">
      <c r="A25" t="inlineStr">
        <is>
          <t>Liver</t>
        </is>
      </c>
      <c r="B25" t="inlineStr">
        <is>
          <t>Milk Thistle</t>
        </is>
      </c>
      <c r="C25" t="inlineStr">
        <is>
          <t>single</t>
        </is>
      </c>
      <c r="D25" s="54" t="n">
        <v>123.1</v>
      </c>
      <c r="E25" s="54" t="n">
        <v>26</v>
      </c>
      <c r="F25" s="54" t="n">
        <v>84.2</v>
      </c>
      <c r="G25" s="54" t="n">
        <v>0</v>
      </c>
      <c r="H25" s="54" t="n">
        <v>22</v>
      </c>
      <c r="I25" s="54" t="n">
        <v>8</v>
      </c>
      <c r="J25" s="54" t="n">
        <v>0</v>
      </c>
      <c r="K25" s="68" t="inlineStr">
        <is>
          <t>Milk Thistle matches the clean single-herb hepatoprotection use-case. shared compounds: isosilybin a, isosilybin b, isosilychristin. lightly stimulating profile with AM/PM fit.</t>
        </is>
      </c>
      <c r="L25" s="68" t="inlineStr">
        <is>
          <t>Context screen required for pregnancy-sensitive, bleeding considerations.</t>
        </is>
      </c>
      <c r="M25" s="68" t="inlineStr">
        <is>
          <t>clean single-herb hepatoprotection</t>
        </is>
      </c>
      <c r="N25" s="68" t="inlineStr">
        <is>
          <t>AM/PM</t>
        </is>
      </c>
      <c r="O25" s="68" t="inlineStr">
        <is>
          <t>AM/PM</t>
        </is>
      </c>
      <c r="P25" s="68" t="n">
        <v>3</v>
      </c>
      <c r="Q25" s="68" t="n">
        <v>0</v>
      </c>
      <c r="R25" s="68" t="inlineStr">
        <is>
          <t>lightly stimulating</t>
        </is>
      </c>
      <c r="S25" s="68" t="inlineStr">
        <is>
          <t>none_material</t>
        </is>
      </c>
      <c r="T25" s="68" t="inlineStr">
        <is>
          <t>8 shared compounds</t>
        </is>
      </c>
      <c r="U25" s="68" t="n"/>
      <c r="V25" s="68" t="inlineStr">
        <is>
          <t>isosilybin a; isosilybin b; isosilychristin; silybin a; silybin b; silychristin; silydianin; silymarin</t>
        </is>
      </c>
      <c r="W25" s="68" t="inlineStr">
        <is>
          <t>anti-inflammatory; antioxidant; cytoprotective; hepatoprotective; multi-target signaling modulation; redox modulation</t>
        </is>
      </c>
      <c r="X25" s="68" t="inlineStr">
        <is>
          <t>advanced</t>
        </is>
      </c>
      <c r="Y25" s="68" t="inlineStr">
        <is>
          <t>liver_digestive</t>
        </is>
      </c>
      <c r="Z25" s="68" t="inlineStr">
        <is>
          <t>reserve</t>
        </is>
      </c>
      <c r="AA25" s="68" t="inlineStr">
        <is>
          <t>general_caution</t>
        </is>
      </c>
      <c r="AB25" s="68" t="inlineStr">
        <is>
          <t>clean_single</t>
        </is>
      </c>
      <c r="AC25" s="68" t="inlineStr">
        <is>
          <t>high</t>
        </is>
      </c>
      <c r="AD25" s="68" t="inlineStr">
        <is>
          <t>single|AM/PM|balanced|risk≤contextual</t>
        </is>
      </c>
      <c r="AE25" t="inlineStr">
        <is>
          <t>reserve_slot|intent=clean single-herb hepatoprotection|balance=balanced|conflict_guardrails</t>
        </is>
      </c>
      <c r="AF25" t="n">
        <v>3</v>
      </c>
      <c r="AG25" t="inlineStr">
        <is>
          <t>FALSE</t>
        </is>
      </c>
      <c r="AH25" t="inlineStr">
        <is>
          <t>liver_v26</t>
        </is>
      </c>
    </row>
    <row r="26">
      <c r="A26" t="inlineStr">
        <is>
          <t>Sleep</t>
        </is>
      </c>
      <c r="B26" t="inlineStr">
        <is>
          <t>Hops + Chamomile</t>
        </is>
      </c>
      <c r="C26" t="inlineStr">
        <is>
          <t>2-herb</t>
        </is>
      </c>
      <c r="D26" s="54" t="n">
        <v>227.1</v>
      </c>
      <c r="E26" s="54" t="n">
        <v>44</v>
      </c>
      <c r="F26" s="54" t="n">
        <v>77.90000000000001</v>
      </c>
      <c r="G26" s="54" t="n">
        <v>20</v>
      </c>
      <c r="H26" s="54" t="n">
        <v>29</v>
      </c>
      <c r="I26" s="54" t="n">
        <v>12</v>
      </c>
      <c r="J26" s="54" t="n">
        <v>4</v>
      </c>
      <c r="K26" s="68" t="inlineStr">
        <is>
          <t>Hops + Chamomile matches the sleep onset plus tension release use-case. shared pathways: gaba, general or unknown targets, melatonin. sedating profile with PM fit.</t>
        </is>
      </c>
      <c r="L26" s="68" t="inlineStr">
        <is>
          <t>Context screen required for sedative considerations.</t>
        </is>
      </c>
      <c r="M26" s="68" t="inlineStr">
        <is>
          <t>sleep onset plus tension release</t>
        </is>
      </c>
      <c r="N26" s="68" t="inlineStr">
        <is>
          <t>PM</t>
        </is>
      </c>
      <c r="O26" s="68" t="inlineStr">
        <is>
          <t>PM</t>
        </is>
      </c>
      <c r="P26" s="68" t="n">
        <v>0</v>
      </c>
      <c r="Q26" s="68" t="n">
        <v>42</v>
      </c>
      <c r="R26" s="68" t="inlineStr">
        <is>
          <t>sedating</t>
        </is>
      </c>
      <c r="S26" s="68" t="inlineStr">
        <is>
          <t>none_material</t>
        </is>
      </c>
      <c r="T26" s="68" t="inlineStr">
        <is>
          <t>3 shared pathways</t>
        </is>
      </c>
      <c r="U26" s="68" t="inlineStr">
        <is>
          <t>gaba; general or unknown targets; melatonin</t>
        </is>
      </c>
      <c r="V26" s="68" t="n"/>
      <c r="W26" s="68" t="inlineStr">
        <is>
          <t>calming support</t>
        </is>
      </c>
      <c r="X26" s="68" t="inlineStr">
        <is>
          <t>beginner</t>
        </is>
      </c>
      <c r="Y26" s="68" t="inlineStr">
        <is>
          <t>anxiety_sleep</t>
        </is>
      </c>
      <c r="Z26" s="68" t="inlineStr">
        <is>
          <t>winner</t>
        </is>
      </c>
      <c r="AA26" s="68" t="inlineStr">
        <is>
          <t>low_caution</t>
        </is>
      </c>
      <c r="AB26" s="68" t="inlineStr">
        <is>
          <t>context_pair</t>
        </is>
      </c>
      <c r="AC26" s="68" t="inlineStr">
        <is>
          <t>high</t>
        </is>
      </c>
      <c r="AD26" s="68" t="inlineStr">
        <is>
          <t>pair|PM|sedating|risk≤18</t>
        </is>
      </c>
      <c r="AE26" t="inlineStr">
        <is>
          <t>winner_slot|intent=sleep onset plus tension release|balance=sedating|conflict_guardrails</t>
        </is>
      </c>
      <c r="AF26" t="n">
        <v>1</v>
      </c>
      <c r="AG26" t="inlineStr">
        <is>
          <t>TRUE</t>
        </is>
      </c>
      <c r="AH26" t="inlineStr">
        <is>
          <t>sleep_v26</t>
        </is>
      </c>
    </row>
    <row r="27">
      <c r="A27" t="inlineStr">
        <is>
          <t>Sleep</t>
        </is>
      </c>
      <c r="B27" t="inlineStr">
        <is>
          <t>Lemon Balm + Chamomile</t>
        </is>
      </c>
      <c r="C27" t="inlineStr">
        <is>
          <t>2-herb</t>
        </is>
      </c>
      <c r="D27" s="54" t="n">
        <v>175.7</v>
      </c>
      <c r="E27" s="54" t="n">
        <v>38</v>
      </c>
      <c r="F27" s="54" t="n">
        <v>79.8</v>
      </c>
      <c r="G27" s="54" t="n">
        <v>15</v>
      </c>
      <c r="H27" s="54" t="n">
        <v>26</v>
      </c>
      <c r="I27" s="54" t="n">
        <v>10</v>
      </c>
      <c r="J27" s="54" t="n">
        <v>0</v>
      </c>
      <c r="K27" s="68" t="inlineStr">
        <is>
          <t>Lemon Balm + Chamomile matches the nighttime calming with less morning fog use-case. shared pathways: general or unknown targets. sedating profile with PM fit.</t>
        </is>
      </c>
      <c r="L27" s="68" t="inlineStr">
        <is>
          <t>Context screen required for sedative considerations.</t>
        </is>
      </c>
      <c r="M27" s="68" t="inlineStr">
        <is>
          <t>nighttime calming with less morning fog</t>
        </is>
      </c>
      <c r="N27" s="68" t="inlineStr">
        <is>
          <t>PM</t>
        </is>
      </c>
      <c r="O27" s="68" t="inlineStr">
        <is>
          <t>PM</t>
        </is>
      </c>
      <c r="P27" s="68" t="n">
        <v>3</v>
      </c>
      <c r="Q27" s="68" t="n">
        <v>36</v>
      </c>
      <c r="R27" s="68" t="inlineStr">
        <is>
          <t>sedating</t>
        </is>
      </c>
      <c r="S27" s="68" t="inlineStr">
        <is>
          <t>none_material</t>
        </is>
      </c>
      <c r="T27" s="68" t="inlineStr">
        <is>
          <t>1 shared pathways</t>
        </is>
      </c>
      <c r="U27" s="68" t="inlineStr">
        <is>
          <t>general or unknown targets</t>
        </is>
      </c>
      <c r="V27" s="68" t="n"/>
      <c r="W27" s="68" t="n"/>
      <c r="X27" s="68" t="inlineStr">
        <is>
          <t>intermediate</t>
        </is>
      </c>
      <c r="Y27" s="68" t="inlineStr">
        <is>
          <t>anxiety_sleep</t>
        </is>
      </c>
      <c r="Z27" s="68" t="inlineStr">
        <is>
          <t>backup</t>
        </is>
      </c>
      <c r="AA27" s="68" t="inlineStr">
        <is>
          <t>low_caution</t>
        </is>
      </c>
      <c r="AB27" s="68" t="inlineStr">
        <is>
          <t>adaptive_alternative</t>
        </is>
      </c>
      <c r="AC27" s="68" t="inlineStr">
        <is>
          <t>high</t>
        </is>
      </c>
      <c r="AD27" s="68" t="inlineStr">
        <is>
          <t>pair|PM|lightly_calming|risk≤24</t>
        </is>
      </c>
      <c r="AE27" t="inlineStr">
        <is>
          <t>backup_slot|intent=nighttime calming with less morning fog|balance=lightly_calming|conflict_guardrails</t>
        </is>
      </c>
      <c r="AF27" t="n">
        <v>2</v>
      </c>
      <c r="AG27" t="inlineStr">
        <is>
          <t>FALSE</t>
        </is>
      </c>
      <c r="AH27" t="inlineStr">
        <is>
          <t>sleep_v26</t>
        </is>
      </c>
    </row>
    <row r="28">
      <c r="A28" t="inlineStr">
        <is>
          <t>Sleep</t>
        </is>
      </c>
      <c r="B28" t="inlineStr">
        <is>
          <t>Chamomile</t>
        </is>
      </c>
      <c r="C28" t="inlineStr">
        <is>
          <t>single</t>
        </is>
      </c>
      <c r="D28" s="54" t="n">
        <v>113.5</v>
      </c>
      <c r="E28" s="54" t="n">
        <v>19</v>
      </c>
      <c r="F28" s="54" t="n">
        <v>79.3</v>
      </c>
      <c r="G28" s="54" t="n">
        <v>0</v>
      </c>
      <c r="H28" s="54" t="n">
        <v>30</v>
      </c>
      <c r="I28" s="54" t="n">
        <v>12</v>
      </c>
      <c r="J28" s="54" t="n">
        <v>0</v>
      </c>
      <c r="K28" s="68" t="inlineStr">
        <is>
          <t>Chamomile matches the gentle bedtime single use-case. shared compounds: apigenin. sedating profile with PM fit.</t>
        </is>
      </c>
      <c r="L28" s="68" t="inlineStr">
        <is>
          <t>General context screen; low apparent stacking conflict.</t>
        </is>
      </c>
      <c r="M28" s="68" t="inlineStr">
        <is>
          <t>gentle bedtime single</t>
        </is>
      </c>
      <c r="N28" s="68" t="inlineStr">
        <is>
          <t>PM</t>
        </is>
      </c>
      <c r="O28" s="68" t="inlineStr">
        <is>
          <t>PM</t>
        </is>
      </c>
      <c r="P28" s="68" t="n">
        <v>0</v>
      </c>
      <c r="Q28" s="68" t="n">
        <v>18</v>
      </c>
      <c r="R28" s="68" t="inlineStr">
        <is>
          <t>sedating</t>
        </is>
      </c>
      <c r="S28" s="68" t="inlineStr">
        <is>
          <t>none_material</t>
        </is>
      </c>
      <c r="T28" s="68" t="inlineStr">
        <is>
          <t>1 shared compounds</t>
        </is>
      </c>
      <c r="U28" s="68" t="n"/>
      <c r="V28" s="68" t="inlineStr">
        <is>
          <t>apigenin</t>
        </is>
      </c>
      <c r="W28" s="68" t="inlineStr">
        <is>
          <t>calming support; digestive support</t>
        </is>
      </c>
      <c r="X28" s="68" t="inlineStr">
        <is>
          <t>advanced</t>
        </is>
      </c>
      <c r="Y28" s="68" t="inlineStr">
        <is>
          <t>anxiety_sleep</t>
        </is>
      </c>
      <c r="Z28" s="68" t="inlineStr">
        <is>
          <t>reserve</t>
        </is>
      </c>
      <c r="AA28" s="68" t="inlineStr">
        <is>
          <t>low_caution</t>
        </is>
      </c>
      <c r="AB28" s="68" t="inlineStr">
        <is>
          <t>clean_single</t>
        </is>
      </c>
      <c r="AC28" s="68" t="inlineStr">
        <is>
          <t>high</t>
        </is>
      </c>
      <c r="AD28" s="68" t="inlineStr">
        <is>
          <t>single|PM|sedating|risk≤contextual</t>
        </is>
      </c>
      <c r="AE28" t="inlineStr">
        <is>
          <t>reserve_slot|intent=gentle bedtime single|balance=sedating|conflict_guardrails</t>
        </is>
      </c>
      <c r="AF28" t="n">
        <v>3</v>
      </c>
      <c r="AG28" t="inlineStr">
        <is>
          <t>FALSE</t>
        </is>
      </c>
      <c r="AH28" t="inlineStr">
        <is>
          <t>sleep_v26</t>
        </is>
      </c>
    </row>
  </sheetData>
  <conditionalFormatting sqref="D2:D28">
    <cfRule type="colorScale" priority="1">
      <colorScale>
        <cfvo type="min"/>
        <cfvo type="percentile" val="50"/>
        <cfvo type="max"/>
        <color rgb="00FEE2E2"/>
        <color rgb="00FEF3C7"/>
        <color rgb="00DCFCE7"/>
      </colorScale>
    </cfRule>
  </conditionalFormatting>
  <conditionalFormatting sqref="AA2:AA28">
    <cfRule type="expression" priority="2" dxfId="0">
      <formula>AA2="high_caution"</formula>
    </cfRule>
    <cfRule type="expression" priority="3" dxfId="1">
      <formula>AA2="moderate_caution"</formula>
    </cfRule>
    <cfRule type="expression" priority="4" dxfId="2">
      <formula>AA2="low_caution"</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8" defaultRowHeight="15"/>
  <cols>
    <col width="14" customWidth="1" min="1" max="1"/>
    <col width="8" customWidth="1" min="2" max="2"/>
    <col width="28" customWidth="1" min="3" max="3"/>
    <col width="10" customWidth="1" min="4" max="4"/>
    <col width="26" customWidth="1" min="5" max="5"/>
    <col width="10" customWidth="1" min="6" max="6"/>
    <col width="16" customWidth="1" min="7" max="7"/>
    <col width="12" customWidth="1" min="8" max="8"/>
    <col width="20" customWidth="1" min="9" max="9"/>
    <col width="11" customWidth="1" min="10" max="10"/>
    <col width="44" customWidth="1" min="11" max="11"/>
    <col width="32" customWidth="1" min="12" max="12"/>
  </cols>
  <sheetData>
    <row r="1" ht="24" customHeight="1">
      <c r="A1" s="36" t="inlineStr">
        <is>
          <t>goal</t>
        </is>
      </c>
      <c r="B1" s="36" t="inlineStr">
        <is>
          <t>rank</t>
        </is>
      </c>
      <c r="C1" s="36" t="inlineStr">
        <is>
          <t>stack</t>
        </is>
      </c>
      <c r="D1" s="36" t="inlineStr">
        <is>
          <t>score</t>
        </is>
      </c>
      <c r="E1" s="36" t="inlineStr">
        <is>
          <t>intent</t>
        </is>
      </c>
      <c r="F1" s="36" t="inlineStr">
        <is>
          <t>time_of_day</t>
        </is>
      </c>
      <c r="G1" s="36" t="inlineStr">
        <is>
          <t>balance_profile</t>
        </is>
      </c>
      <c r="H1" s="36" t="inlineStr">
        <is>
          <t>segment</t>
        </is>
      </c>
      <c r="I1" s="36" t="inlineStr">
        <is>
          <t>condition_profile</t>
        </is>
      </c>
      <c r="J1" s="36" t="inlineStr">
        <is>
          <t>lineup_slot</t>
        </is>
      </c>
      <c r="K1" s="36" t="inlineStr">
        <is>
          <t>why</t>
        </is>
      </c>
      <c r="L1" s="36" t="inlineStr">
        <is>
          <t>caution</t>
        </is>
      </c>
    </row>
    <row r="2">
      <c r="A2" t="inlineStr">
        <is>
          <t>Anxiety</t>
        </is>
      </c>
      <c r="B2" t="n">
        <v>1</v>
      </c>
      <c r="C2" t="inlineStr">
        <is>
          <t>Rhodiola + Milk Oats</t>
        </is>
      </c>
      <c r="D2" s="54" t="n">
        <v>163.6</v>
      </c>
      <c r="E2" s="68" t="inlineStr">
        <is>
          <t>calm without sedation</t>
        </is>
      </c>
      <c r="F2" s="68" t="inlineStr">
        <is>
          <t>AM/PM</t>
        </is>
      </c>
      <c r="G2" s="68" t="inlineStr">
        <is>
          <t>lightly calming</t>
        </is>
      </c>
      <c r="H2" s="68" t="inlineStr">
        <is>
          <t>beginner</t>
        </is>
      </c>
      <c r="I2" s="68" t="inlineStr">
        <is>
          <t>anxiety_sleep</t>
        </is>
      </c>
      <c r="J2" s="68" t="inlineStr">
        <is>
          <t>winner</t>
        </is>
      </c>
      <c r="K2" s="68" t="inlineStr">
        <is>
          <t>Rhodiola + Milk Oats matches the calm without sedation use-case. shared pathways: general or unknown targets. lightly calming profile with AM/PM fit.</t>
        </is>
      </c>
      <c r="L2" s="68" t="inlineStr">
        <is>
          <t>General context screen; low apparent stacking conflict.</t>
        </is>
      </c>
    </row>
    <row r="3">
      <c r="A3" t="inlineStr">
        <is>
          <t>Anxiety</t>
        </is>
      </c>
      <c r="B3" t="n">
        <v>2</v>
      </c>
      <c r="C3" t="inlineStr">
        <is>
          <t>Lemon Balm + Chamomile</t>
        </is>
      </c>
      <c r="D3" s="54" t="n">
        <v>156.3</v>
      </c>
      <c r="E3" s="68" t="inlineStr">
        <is>
          <t>deeper unwind and tension release</t>
        </is>
      </c>
      <c r="F3" s="68" t="inlineStr">
        <is>
          <t>PM</t>
        </is>
      </c>
      <c r="G3" s="68" t="inlineStr">
        <is>
          <t>sedating</t>
        </is>
      </c>
      <c r="H3" s="68" t="inlineStr">
        <is>
          <t>intermediate</t>
        </is>
      </c>
      <c r="I3" s="68" t="inlineStr">
        <is>
          <t>anxiety_sleep</t>
        </is>
      </c>
      <c r="J3" s="68" t="inlineStr">
        <is>
          <t>backup</t>
        </is>
      </c>
      <c r="K3" s="68" t="inlineStr">
        <is>
          <t>Lemon Balm + Chamomile matches the deeper unwind and tension release use-case. shared pathways: general or unknown targets. sedating profile with PM fit.</t>
        </is>
      </c>
      <c r="L3" s="68" t="inlineStr">
        <is>
          <t>Context screen required for sedative considerations.</t>
        </is>
      </c>
    </row>
    <row r="4">
      <c r="A4" t="inlineStr">
        <is>
          <t>Anxiety</t>
        </is>
      </c>
      <c r="B4" t="n">
        <v>3</v>
      </c>
      <c r="C4" t="inlineStr">
        <is>
          <t>Ashwagandha</t>
        </is>
      </c>
      <c r="D4" s="54" t="n">
        <v>122</v>
      </c>
      <c r="E4" s="68" t="inlineStr">
        <is>
          <t>adaptogenic stress smoothing</t>
        </is>
      </c>
      <c r="F4" s="68" t="inlineStr">
        <is>
          <t>AM/PM</t>
        </is>
      </c>
      <c r="G4" s="68" t="inlineStr">
        <is>
          <t>sedating</t>
        </is>
      </c>
      <c r="H4" s="68" t="inlineStr">
        <is>
          <t>advanced</t>
        </is>
      </c>
      <c r="I4" s="68" t="inlineStr">
        <is>
          <t>anxiety_sleep</t>
        </is>
      </c>
      <c r="J4" s="68" t="inlineStr">
        <is>
          <t>reserve</t>
        </is>
      </c>
      <c r="K4" s="68" t="inlineStr">
        <is>
          <t>Ashwagandha matches the adaptogenic stress smoothing use-case. shared compounds: sitoindoside ix, sitoindoside x, withaferin a. sedating profile with PM fit.</t>
        </is>
      </c>
      <c r="L4" s="68" t="inlineStr">
        <is>
          <t>Context screen required for pregnancy-sensitive, autoimmune, sedative considerations.</t>
        </is>
      </c>
    </row>
    <row r="5">
      <c r="A5" t="inlineStr">
        <is>
          <t>Cardiovascular</t>
        </is>
      </c>
      <c r="B5" t="n">
        <v>1</v>
      </c>
      <c r="C5" t="inlineStr">
        <is>
          <t>Hawthorn + Arjuna</t>
        </is>
      </c>
      <c r="D5" s="54" t="n">
        <v>178.6</v>
      </c>
      <c r="E5" s="68" t="inlineStr">
        <is>
          <t>vascular support without overstimulation</t>
        </is>
      </c>
      <c r="F5" s="68" t="inlineStr">
        <is>
          <t>AM/PM</t>
        </is>
      </c>
      <c r="G5" s="68" t="inlineStr">
        <is>
          <t>balanced</t>
        </is>
      </c>
      <c r="H5" s="68" t="inlineStr">
        <is>
          <t>beginner</t>
        </is>
      </c>
      <c r="I5" s="68" t="inlineStr">
        <is>
          <t>cardiovascular_inflammation</t>
        </is>
      </c>
      <c r="J5" s="68" t="inlineStr">
        <is>
          <t>winner</t>
        </is>
      </c>
      <c r="K5" s="68" t="inlineStr">
        <is>
          <t>Hawthorn + Arjuna matches the vascular support without overstimulation use-case. shared pathways: general or unknown targets. balanced profile with AM/PM fit.</t>
        </is>
      </c>
      <c r="L5" s="68" t="inlineStr">
        <is>
          <t>General context screen; low apparent stacking conflict.</t>
        </is>
      </c>
    </row>
    <row r="6">
      <c r="A6" t="inlineStr">
        <is>
          <t>Cardiovascular</t>
        </is>
      </c>
      <c r="B6" t="n">
        <v>2</v>
      </c>
      <c r="C6" t="inlineStr">
        <is>
          <t>Hawthorn + Danshen</t>
        </is>
      </c>
      <c r="D6" s="54" t="n">
        <v>146.2</v>
      </c>
      <c r="E6" s="68" t="inlineStr">
        <is>
          <t>circulation plus inflammatory moderation</t>
        </is>
      </c>
      <c r="F6" s="68" t="inlineStr">
        <is>
          <t>AM</t>
        </is>
      </c>
      <c r="G6" s="68" t="inlineStr">
        <is>
          <t>balanced</t>
        </is>
      </c>
      <c r="H6" s="68" t="inlineStr">
        <is>
          <t>intermediate</t>
        </is>
      </c>
      <c r="I6" s="68" t="inlineStr">
        <is>
          <t>cardiovascular_inflammation</t>
        </is>
      </c>
      <c r="J6" s="68" t="inlineStr">
        <is>
          <t>backup</t>
        </is>
      </c>
      <c r="K6" s="68" t="inlineStr">
        <is>
          <t>Hawthorn + Danshen matches the circulation plus inflammatory moderation use-case. shared pathways: general or unknown targets. balanced profile with AM/PM fit.</t>
        </is>
      </c>
      <c r="L6" s="68" t="inlineStr">
        <is>
          <t>Context screen required for bleeding considerations.</t>
        </is>
      </c>
    </row>
    <row r="7">
      <c r="A7" t="inlineStr">
        <is>
          <t>Cardiovascular</t>
        </is>
      </c>
      <c r="B7" t="n">
        <v>3</v>
      </c>
      <c r="C7" t="inlineStr">
        <is>
          <t>Horse Chestnut</t>
        </is>
      </c>
      <c r="D7" s="54" t="n">
        <v>97.59999999999999</v>
      </c>
      <c r="E7" s="68" t="inlineStr">
        <is>
          <t>clean single-herb vascular support</t>
        </is>
      </c>
      <c r="F7" s="68" t="inlineStr">
        <is>
          <t>AM/PM</t>
        </is>
      </c>
      <c r="G7" s="68" t="inlineStr">
        <is>
          <t>balanced</t>
        </is>
      </c>
      <c r="H7" s="68" t="inlineStr">
        <is>
          <t>advanced</t>
        </is>
      </c>
      <c r="I7" s="68" t="inlineStr">
        <is>
          <t>cardiovascular_inflammation</t>
        </is>
      </c>
      <c r="J7" s="68" t="inlineStr">
        <is>
          <t>reserve</t>
        </is>
      </c>
      <c r="K7" s="68" t="inlineStr">
        <is>
          <t>Horse Chestnut matches the clean single-herb vascular support use-case. single-herb fallback keeps the stack clean and constraint-light. balanced profile with AM/PM fit.</t>
        </is>
      </c>
      <c r="L7" s="68" t="inlineStr">
        <is>
          <t>Context screen required for bleeding considerations.</t>
        </is>
      </c>
    </row>
    <row r="8">
      <c r="A8" t="inlineStr">
        <is>
          <t>Cognition</t>
        </is>
      </c>
      <c r="B8" t="n">
        <v>1</v>
      </c>
      <c r="C8" t="inlineStr">
        <is>
          <t>Bacopa + Sage</t>
        </is>
      </c>
      <c r="D8" s="54" t="n">
        <v>189.5</v>
      </c>
      <c r="E8" s="68" t="inlineStr">
        <is>
          <t>focus without anxiety</t>
        </is>
      </c>
      <c r="F8" s="68" t="inlineStr">
        <is>
          <t>AM</t>
        </is>
      </c>
      <c r="G8" s="68" t="inlineStr">
        <is>
          <t>balanced</t>
        </is>
      </c>
      <c r="H8" s="68" t="inlineStr">
        <is>
          <t>beginner</t>
        </is>
      </c>
      <c r="I8" s="68" t="inlineStr">
        <is>
          <t>cognition_energy</t>
        </is>
      </c>
      <c r="J8" s="68" t="inlineStr">
        <is>
          <t>winner</t>
        </is>
      </c>
      <c r="K8" s="68" t="inlineStr">
        <is>
          <t>Bacopa + Sage matches the focus without anxiety use-case. the pair stays complementary instead of collapsing into one pathway lane. balanced profile with AM/PM fit.</t>
        </is>
      </c>
      <c r="L8" s="68" t="inlineStr">
        <is>
          <t>General context screen; low apparent stacking conflict.</t>
        </is>
      </c>
    </row>
    <row r="9">
      <c r="A9" t="inlineStr">
        <is>
          <t>Cognition</t>
        </is>
      </c>
      <c r="B9" t="n">
        <v>2</v>
      </c>
      <c r="C9" t="inlineStr">
        <is>
          <t>Rhodiola + Bacopa</t>
        </is>
      </c>
      <c r="D9" s="54" t="n">
        <v>166.7</v>
      </c>
      <c r="E9" s="68" t="inlineStr">
        <is>
          <t>memory plus learning support</t>
        </is>
      </c>
      <c r="F9" s="68" t="inlineStr">
        <is>
          <t>AM/PM</t>
        </is>
      </c>
      <c r="G9" s="68" t="inlineStr">
        <is>
          <t>lightly calming</t>
        </is>
      </c>
      <c r="H9" s="68" t="inlineStr">
        <is>
          <t>intermediate</t>
        </is>
      </c>
      <c r="I9" s="68" t="inlineStr">
        <is>
          <t>cognition_energy</t>
        </is>
      </c>
      <c r="J9" s="68" t="inlineStr">
        <is>
          <t>backup</t>
        </is>
      </c>
      <c r="K9" s="68" t="inlineStr">
        <is>
          <t>Rhodiola + Bacopa matches the memory plus learning support use-case. shared pathways: acetylcholine, general or unknown targets, neuroprotection. lightly calming profile with AM/PM fit.</t>
        </is>
      </c>
      <c r="L9" s="68" t="inlineStr">
        <is>
          <t>General context screen; low apparent stacking conflict.</t>
        </is>
      </c>
    </row>
    <row r="10">
      <c r="A10" t="inlineStr">
        <is>
          <t>Cognition</t>
        </is>
      </c>
      <c r="B10" t="n">
        <v>3</v>
      </c>
      <c r="C10" t="inlineStr">
        <is>
          <t>Bacopa</t>
        </is>
      </c>
      <c r="D10" s="54" t="n">
        <v>104.5</v>
      </c>
      <c r="E10" s="68" t="inlineStr">
        <is>
          <t>cognitive calm single</t>
        </is>
      </c>
      <c r="F10" s="68" t="inlineStr">
        <is>
          <t>AM/PM</t>
        </is>
      </c>
      <c r="G10" s="68" t="inlineStr">
        <is>
          <t>lightly calming</t>
        </is>
      </c>
      <c r="H10" s="68" t="inlineStr">
        <is>
          <t>advanced</t>
        </is>
      </c>
      <c r="I10" s="68" t="inlineStr">
        <is>
          <t>cognition_energy</t>
        </is>
      </c>
      <c r="J10" s="68" t="inlineStr">
        <is>
          <t>reserve</t>
        </is>
      </c>
      <c r="K10" s="68" t="inlineStr">
        <is>
          <t>Bacopa matches the cognitive calm single use-case. shared compounds: bacoside a. lightly calming profile with AM/PM fit.</t>
        </is>
      </c>
      <c r="L10" s="68" t="inlineStr">
        <is>
          <t>General context screen; low apparent stacking conflict.</t>
        </is>
      </c>
    </row>
    <row r="11">
      <c r="A11" t="inlineStr">
        <is>
          <t>Digestive</t>
        </is>
      </c>
      <c r="B11" t="n">
        <v>1</v>
      </c>
      <c r="C11" t="inlineStr">
        <is>
          <t>Peppermint + Fennel</t>
        </is>
      </c>
      <c r="D11" s="54" t="n">
        <v>217.7</v>
      </c>
      <c r="E11" s="68" t="inlineStr">
        <is>
          <t>post-meal settle and motility</t>
        </is>
      </c>
      <c r="F11" s="68" t="inlineStr">
        <is>
          <t>AM/PM</t>
        </is>
      </c>
      <c r="G11" s="68" t="inlineStr">
        <is>
          <t>balanced</t>
        </is>
      </c>
      <c r="H11" s="68" t="inlineStr">
        <is>
          <t>beginner</t>
        </is>
      </c>
      <c r="I11" s="68" t="inlineStr">
        <is>
          <t>inflammation_gut</t>
        </is>
      </c>
      <c r="J11" s="68" t="inlineStr">
        <is>
          <t>winner</t>
        </is>
      </c>
      <c r="K11" s="68" t="inlineStr">
        <is>
          <t>Peppermint + Fennel matches the post-meal settle and motility use-case. shared pathways: enzyme-support, gastric-motility, general or unknown targets. balanced profile with AM/PM fit.</t>
        </is>
      </c>
      <c r="L11" s="68" t="inlineStr">
        <is>
          <t>Review reflux, concentrated-oil, pediatric-use, and medication-metabolism context.</t>
        </is>
      </c>
    </row>
    <row r="12">
      <c r="A12" t="inlineStr">
        <is>
          <t>Digestive</t>
        </is>
      </c>
      <c r="B12" t="n">
        <v>2</v>
      </c>
      <c r="C12" t="inlineStr">
        <is>
          <t>Aloe Vera + Marshmallow</t>
        </is>
      </c>
      <c r="D12" s="54" t="n">
        <v>177.9</v>
      </c>
      <c r="E12" s="68" t="inlineStr">
        <is>
          <t>soothe irritated gut lining</t>
        </is>
      </c>
      <c r="F12" s="68" t="inlineStr">
        <is>
          <t>AM/PM</t>
        </is>
      </c>
      <c r="G12" s="68" t="inlineStr">
        <is>
          <t>lightly stimulating</t>
        </is>
      </c>
      <c r="H12" s="68" t="inlineStr">
        <is>
          <t>intermediate</t>
        </is>
      </c>
      <c r="I12" s="68" t="inlineStr">
        <is>
          <t>inflammation_gut</t>
        </is>
      </c>
      <c r="J12" s="68" t="inlineStr">
        <is>
          <t>backup</t>
        </is>
      </c>
      <c r="K12" s="68" t="inlineStr">
        <is>
          <t>Aloe Vera + Marshmallow matches the soothe irritated gut lining use-case. shared pathways: enzyme-support, gastric-motility. lightly stimulating profile with AM fit.</t>
        </is>
      </c>
      <c r="L12" s="68" t="inlineStr">
        <is>
          <t>Screen laxative load, diarrhea-prone, pregnancy-sensitive, and glucose-lowering context.</t>
        </is>
      </c>
    </row>
    <row r="13">
      <c r="A13" t="inlineStr">
        <is>
          <t>Digestive</t>
        </is>
      </c>
      <c r="B13" t="n">
        <v>3</v>
      </c>
      <c r="C13" t="inlineStr">
        <is>
          <t>Marshmallow</t>
        </is>
      </c>
      <c r="D13" s="54" t="n">
        <v>104.6</v>
      </c>
      <c r="E13" s="68" t="inlineStr">
        <is>
          <t>gentle gut-soothing single</t>
        </is>
      </c>
      <c r="F13" s="68" t="inlineStr">
        <is>
          <t>AM/PM</t>
        </is>
      </c>
      <c r="G13" s="68" t="inlineStr">
        <is>
          <t>balanced</t>
        </is>
      </c>
      <c r="H13" s="68" t="inlineStr">
        <is>
          <t>advanced</t>
        </is>
      </c>
      <c r="I13" s="68" t="inlineStr">
        <is>
          <t>inflammation_gut</t>
        </is>
      </c>
      <c r="J13" s="68" t="inlineStr">
        <is>
          <t>reserve</t>
        </is>
      </c>
      <c r="K13" s="68" t="inlineStr">
        <is>
          <t>Marshmallow matches the gentle gut-soothing single use-case. single-herb fallback keeps the stack clean and constraint-light. balanced profile with AM/PM fit.</t>
        </is>
      </c>
      <c r="L13" s="68" t="inlineStr">
        <is>
          <t>General context screen; low apparent stacking conflict.</t>
        </is>
      </c>
    </row>
    <row r="14">
      <c r="A14" t="inlineStr">
        <is>
          <t>Energy</t>
        </is>
      </c>
      <c r="B14" t="n">
        <v>1</v>
      </c>
      <c r="C14" t="inlineStr">
        <is>
          <t>Rhodiola Rosea + Schisandra Berry</t>
        </is>
      </c>
      <c r="D14" s="54" t="n">
        <v>184.2</v>
      </c>
      <c r="E14" s="68" t="inlineStr">
        <is>
          <t>energy without anxiety</t>
        </is>
      </c>
      <c r="F14" s="68" t="inlineStr">
        <is>
          <t>AM</t>
        </is>
      </c>
      <c r="G14" s="68" t="inlineStr">
        <is>
          <t>stimulating</t>
        </is>
      </c>
      <c r="H14" s="68" t="inlineStr">
        <is>
          <t>beginner</t>
        </is>
      </c>
      <c r="I14" s="68" t="inlineStr">
        <is>
          <t>cognition_energy</t>
        </is>
      </c>
      <c r="J14" s="68" t="inlineStr">
        <is>
          <t>winner</t>
        </is>
      </c>
      <c r="K14" s="68" t="inlineStr">
        <is>
          <t>Rhodiola Rosea + Schisandra Berry matches the energy without anxiety use-case. shared pathways: cortisol-regulation, hpa-axis. stimulating profile with AM fit.</t>
        </is>
      </c>
      <c r="L14" s="68" t="inlineStr">
        <is>
          <t>Context screen required for serotonergic, stimulant considerations.</t>
        </is>
      </c>
    </row>
    <row r="15">
      <c r="A15" t="inlineStr">
        <is>
          <t>Energy</t>
        </is>
      </c>
      <c r="B15" t="n">
        <v>2</v>
      </c>
      <c r="C15" t="inlineStr">
        <is>
          <t>Yerba Mate + Guarana</t>
        </is>
      </c>
      <c r="D15" s="54" t="n">
        <v>165.5</v>
      </c>
      <c r="E15" s="68" t="inlineStr">
        <is>
          <t>acute stimulant lift</t>
        </is>
      </c>
      <c r="F15" s="68" t="inlineStr">
        <is>
          <t>AM</t>
        </is>
      </c>
      <c r="G15" s="68" t="inlineStr">
        <is>
          <t>stimulating</t>
        </is>
      </c>
      <c r="H15" s="68" t="inlineStr">
        <is>
          <t>intermediate</t>
        </is>
      </c>
      <c r="I15" s="68" t="inlineStr">
        <is>
          <t>cognition_energy</t>
        </is>
      </c>
      <c r="J15" s="68" t="inlineStr">
        <is>
          <t>backup</t>
        </is>
      </c>
      <c r="K15" s="68" t="inlineStr">
        <is>
          <t>Yerba Mate + Guarana matches the acute stimulant lift use-case. shared pathways: unknown. stimulating profile with AM fit.</t>
        </is>
      </c>
      <c r="L15" s="68" t="inlineStr">
        <is>
          <t>Context screen required for stimulant considerations.</t>
        </is>
      </c>
    </row>
    <row r="16">
      <c r="A16" t="inlineStr">
        <is>
          <t>Energy</t>
        </is>
      </c>
      <c r="B16" t="n">
        <v>3</v>
      </c>
      <c r="C16" t="inlineStr">
        <is>
          <t>Rhodiola Rosea</t>
        </is>
      </c>
      <c r="D16" s="54" t="n">
        <v>118.8</v>
      </c>
      <c r="E16" s="68" t="inlineStr">
        <is>
          <t>clean single-herb lift</t>
        </is>
      </c>
      <c r="F16" s="68" t="inlineStr">
        <is>
          <t>AM</t>
        </is>
      </c>
      <c r="G16" s="68" t="inlineStr">
        <is>
          <t>stimulating</t>
        </is>
      </c>
      <c r="H16" s="68" t="inlineStr">
        <is>
          <t>advanced</t>
        </is>
      </c>
      <c r="I16" s="68" t="inlineStr">
        <is>
          <t>cognition_energy</t>
        </is>
      </c>
      <c r="J16" s="68" t="inlineStr">
        <is>
          <t>reserve</t>
        </is>
      </c>
      <c r="K16" s="68" t="inlineStr">
        <is>
          <t>Rhodiola Rosea matches the clean single-herb lift use-case. shared compounds: rosarin, rosavin, rosin. stimulating profile with AM fit.</t>
        </is>
      </c>
      <c r="L16" s="68" t="inlineStr">
        <is>
          <t>Context screen required for serotonergic, stimulant considerations.</t>
        </is>
      </c>
    </row>
    <row r="17">
      <c r="A17" t="inlineStr">
        <is>
          <t>Immune</t>
        </is>
      </c>
      <c r="B17" t="n">
        <v>1</v>
      </c>
      <c r="C17" t="inlineStr">
        <is>
          <t>Elderberry + Astragalus</t>
        </is>
      </c>
      <c r="D17" s="54" t="n">
        <v>171.9</v>
      </c>
      <c r="E17" s="68" t="inlineStr">
        <is>
          <t>immune resilience without overstimulation</t>
        </is>
      </c>
      <c r="F17" s="68" t="inlineStr">
        <is>
          <t>AM/PM</t>
        </is>
      </c>
      <c r="G17" s="68" t="inlineStr">
        <is>
          <t>balanced</t>
        </is>
      </c>
      <c r="H17" s="68" t="inlineStr">
        <is>
          <t>beginner</t>
        </is>
      </c>
      <c r="I17" s="68" t="inlineStr">
        <is>
          <t>immune_resilience</t>
        </is>
      </c>
      <c r="J17" s="68" t="inlineStr">
        <is>
          <t>winner</t>
        </is>
      </c>
      <c r="K17" s="68" t="inlineStr">
        <is>
          <t>Elderberry + Astragalus matches the immune resilience without overstimulation use-case. shared pathways: cytokine-modulation. balanced profile with AM/PM fit.</t>
        </is>
      </c>
      <c r="L17" s="68" t="inlineStr">
        <is>
          <t>Context screen required for autoimmune considerations.</t>
        </is>
      </c>
    </row>
    <row r="18">
      <c r="A18" t="inlineStr">
        <is>
          <t>Immune</t>
        </is>
      </c>
      <c r="B18" t="n">
        <v>2</v>
      </c>
      <c r="C18" t="inlineStr">
        <is>
          <t>Artemisia Annua + Elderberry</t>
        </is>
      </c>
      <c r="D18" s="54" t="n">
        <v>154.4</v>
      </c>
      <c r="E18" s="68" t="inlineStr">
        <is>
          <t>seasonal pressure support</t>
        </is>
      </c>
      <c r="F18" s="68" t="inlineStr">
        <is>
          <t>AM</t>
        </is>
      </c>
      <c r="G18" s="68" t="inlineStr">
        <is>
          <t>balanced</t>
        </is>
      </c>
      <c r="H18" s="68" t="inlineStr">
        <is>
          <t>intermediate</t>
        </is>
      </c>
      <c r="I18" s="68" t="inlineStr">
        <is>
          <t>immune_resilience</t>
        </is>
      </c>
      <c r="J18" s="68" t="inlineStr">
        <is>
          <t>backup</t>
        </is>
      </c>
      <c r="K18" s="68" t="inlineStr">
        <is>
          <t>Artemisia Annua + Elderberry matches the seasonal pressure support use-case. shared pathways: cytokine-modulation. balanced profile with AM/PM fit.</t>
        </is>
      </c>
      <c r="L18" s="68" t="inlineStr">
        <is>
          <t>Context screen required for pregnancy-sensitive considerations.</t>
        </is>
      </c>
    </row>
    <row r="19">
      <c r="A19" t="inlineStr">
        <is>
          <t>Immune</t>
        </is>
      </c>
      <c r="B19" t="n">
        <v>3</v>
      </c>
      <c r="C19" t="inlineStr">
        <is>
          <t>Astragalus</t>
        </is>
      </c>
      <c r="D19" s="54" t="n">
        <v>88</v>
      </c>
      <c r="E19" s="68" t="inlineStr">
        <is>
          <t>gentle daily immune single</t>
        </is>
      </c>
      <c r="F19" s="68" t="inlineStr">
        <is>
          <t>AM/PM</t>
        </is>
      </c>
      <c r="G19" s="68" t="inlineStr">
        <is>
          <t>balanced</t>
        </is>
      </c>
      <c r="H19" s="68" t="inlineStr">
        <is>
          <t>advanced</t>
        </is>
      </c>
      <c r="I19" s="68" t="inlineStr">
        <is>
          <t>immune_resilience</t>
        </is>
      </c>
      <c r="J19" s="68" t="inlineStr">
        <is>
          <t>reserve</t>
        </is>
      </c>
      <c r="K19" s="68" t="inlineStr">
        <is>
          <t>Astragalus matches the gentle daily immune single use-case. shared compounds: astragaloside iv. balanced profile with AM/PM fit.</t>
        </is>
      </c>
      <c r="L19" s="68" t="inlineStr">
        <is>
          <t>Context screen required for autoimmune considerations.</t>
        </is>
      </c>
    </row>
    <row r="20">
      <c r="A20" t="inlineStr">
        <is>
          <t>Inflammation</t>
        </is>
      </c>
      <c r="B20" t="n">
        <v>1</v>
      </c>
      <c r="C20" t="inlineStr">
        <is>
          <t>Holy Basil + Calendula</t>
        </is>
      </c>
      <c r="D20" s="54" t="n">
        <v>208.2</v>
      </c>
      <c r="E20" s="68" t="inlineStr">
        <is>
          <t>systemic inflammation with gut sensitivity</t>
        </is>
      </c>
      <c r="F20" s="68" t="inlineStr">
        <is>
          <t>AM/PM</t>
        </is>
      </c>
      <c r="G20" s="68" t="inlineStr">
        <is>
          <t>lightly stimulating</t>
        </is>
      </c>
      <c r="H20" s="68" t="inlineStr">
        <is>
          <t>beginner</t>
        </is>
      </c>
      <c r="I20" s="68" t="inlineStr">
        <is>
          <t>inflammation_gut</t>
        </is>
      </c>
      <c r="J20" s="68" t="inlineStr">
        <is>
          <t>winner</t>
        </is>
      </c>
      <c r="K20" s="68" t="inlineStr">
        <is>
          <t>Holy Basil + Calendula matches the systemic inflammation with gut sensitivity use-case. shared pathways: cox-2, nf-kb. lightly stimulating profile with AM/PM fit.</t>
        </is>
      </c>
      <c r="L20" s="68" t="inlineStr">
        <is>
          <t>Context screen required for pregnancy-sensitive, bleeding considerations.</t>
        </is>
      </c>
    </row>
    <row r="21">
      <c r="A21" t="inlineStr">
        <is>
          <t>Inflammation</t>
        </is>
      </c>
      <c r="B21" t="n">
        <v>2</v>
      </c>
      <c r="C21" t="inlineStr">
        <is>
          <t>Boswellia + Holy Basil</t>
        </is>
      </c>
      <c r="D21" s="54" t="n">
        <v>176.7</v>
      </c>
      <c r="E21" s="68" t="inlineStr">
        <is>
          <t>inflammatory burden plus oxidative stress</t>
        </is>
      </c>
      <c r="F21" s="68" t="inlineStr">
        <is>
          <t>AM</t>
        </is>
      </c>
      <c r="G21" s="68" t="inlineStr">
        <is>
          <t>lightly stimulating</t>
        </is>
      </c>
      <c r="H21" s="68" t="inlineStr">
        <is>
          <t>intermediate</t>
        </is>
      </c>
      <c r="I21" s="68" t="inlineStr">
        <is>
          <t>inflammation_gut</t>
        </is>
      </c>
      <c r="J21" s="68" t="inlineStr">
        <is>
          <t>backup</t>
        </is>
      </c>
      <c r="K21" s="68" t="inlineStr">
        <is>
          <t>Boswellia + Holy Basil matches the inflammatory burden plus oxidative stress use-case. shared pathways: cox-2, nf-kb. lightly stimulating profile with AM/PM fit.</t>
        </is>
      </c>
      <c r="L21" s="68" t="inlineStr">
        <is>
          <t>Context screen required for pregnancy-sensitive, bleeding considerations.</t>
        </is>
      </c>
    </row>
    <row r="22">
      <c r="A22" t="inlineStr">
        <is>
          <t>Inflammation</t>
        </is>
      </c>
      <c r="B22" t="n">
        <v>3</v>
      </c>
      <c r="C22" t="inlineStr">
        <is>
          <t>Holy Basil</t>
        </is>
      </c>
      <c r="D22" s="54" t="n">
        <v>107.6</v>
      </c>
      <c r="E22" s="68" t="inlineStr">
        <is>
          <t>clean single-herb inflammatory support</t>
        </is>
      </c>
      <c r="F22" s="68" t="inlineStr">
        <is>
          <t>AM/PM</t>
        </is>
      </c>
      <c r="G22" s="68" t="inlineStr">
        <is>
          <t>lightly stimulating</t>
        </is>
      </c>
      <c r="H22" s="68" t="inlineStr">
        <is>
          <t>advanced</t>
        </is>
      </c>
      <c r="I22" s="68" t="inlineStr">
        <is>
          <t>inflammation_gut</t>
        </is>
      </c>
      <c r="J22" s="68" t="inlineStr">
        <is>
          <t>reserve</t>
        </is>
      </c>
      <c r="K22" s="68" t="inlineStr">
        <is>
          <t>Holy Basil matches the clean single-herb inflammatory support use-case. shared compounds: eugenol, rosmarinic acid, ursolic acid. lightly stimulating profile with AM/PM fit.</t>
        </is>
      </c>
      <c r="L22" s="68" t="inlineStr">
        <is>
          <t>Context screen required for pregnancy-sensitive, bleeding considerations.</t>
        </is>
      </c>
    </row>
    <row r="23">
      <c r="A23" t="inlineStr">
        <is>
          <t>Liver</t>
        </is>
      </c>
      <c r="B23" t="n">
        <v>1</v>
      </c>
      <c r="C23" t="inlineStr">
        <is>
          <t>Milk Thistle + Schisandra Berry</t>
        </is>
      </c>
      <c r="D23" s="54" t="n">
        <v>192.7</v>
      </c>
      <c r="E23" s="68" t="inlineStr">
        <is>
          <t>liver support without sedation</t>
        </is>
      </c>
      <c r="F23" s="68" t="inlineStr">
        <is>
          <t>AM/PM</t>
        </is>
      </c>
      <c r="G23" s="68" t="inlineStr">
        <is>
          <t>lightly stimulating</t>
        </is>
      </c>
      <c r="H23" s="68" t="inlineStr">
        <is>
          <t>beginner</t>
        </is>
      </c>
      <c r="I23" s="68" t="inlineStr">
        <is>
          <t>liver_digestive</t>
        </is>
      </c>
      <c r="J23" s="68" t="inlineStr">
        <is>
          <t>winner</t>
        </is>
      </c>
      <c r="K23" s="68" t="inlineStr">
        <is>
          <t>Milk Thistle + Schisandra Berry matches the liver support without sedation use-case. shared pathways: general or unknown targets. lightly stimulating profile with AM/PM fit.</t>
        </is>
      </c>
      <c r="L23" s="68" t="inlineStr">
        <is>
          <t>Context screen required for pregnancy-sensitive, bleeding considerations.</t>
        </is>
      </c>
    </row>
    <row r="24">
      <c r="A24" t="inlineStr">
        <is>
          <t>Liver</t>
        </is>
      </c>
      <c r="B24" t="n">
        <v>2</v>
      </c>
      <c r="C24" t="inlineStr">
        <is>
          <t>Milk Thistle + Bupleurum</t>
        </is>
      </c>
      <c r="D24" s="54" t="n">
        <v>162.2</v>
      </c>
      <c r="E24" s="68" t="inlineStr">
        <is>
          <t>antioxidant plus hepatoprotection</t>
        </is>
      </c>
      <c r="F24" s="68" t="inlineStr">
        <is>
          <t>AM/PM</t>
        </is>
      </c>
      <c r="G24" s="68" t="inlineStr">
        <is>
          <t>lightly stimulating</t>
        </is>
      </c>
      <c r="H24" s="68" t="inlineStr">
        <is>
          <t>intermediate</t>
        </is>
      </c>
      <c r="I24" s="68" t="inlineStr">
        <is>
          <t>liver_digestive</t>
        </is>
      </c>
      <c r="J24" s="68" t="inlineStr">
        <is>
          <t>backup</t>
        </is>
      </c>
      <c r="K24" s="68" t="inlineStr">
        <is>
          <t>Milk Thistle + Bupleurum matches the antioxidant plus hepatoprotection use-case. shared pathways: general or unknown targets. lightly stimulating profile with AM/PM fit.</t>
        </is>
      </c>
      <c r="L24" s="68" t="inlineStr">
        <is>
          <t>Context screen required for pregnancy-sensitive, bleeding considerations.</t>
        </is>
      </c>
    </row>
    <row r="25">
      <c r="A25" t="inlineStr">
        <is>
          <t>Liver</t>
        </is>
      </c>
      <c r="B25" t="n">
        <v>3</v>
      </c>
      <c r="C25" t="inlineStr">
        <is>
          <t>Milk Thistle</t>
        </is>
      </c>
      <c r="D25" s="54" t="n">
        <v>123.1</v>
      </c>
      <c r="E25" s="68" t="inlineStr">
        <is>
          <t>clean single-herb hepatoprotection</t>
        </is>
      </c>
      <c r="F25" s="68" t="inlineStr">
        <is>
          <t>AM/PM</t>
        </is>
      </c>
      <c r="G25" s="68" t="inlineStr">
        <is>
          <t>lightly stimulating</t>
        </is>
      </c>
      <c r="H25" s="68" t="inlineStr">
        <is>
          <t>advanced</t>
        </is>
      </c>
      <c r="I25" s="68" t="inlineStr">
        <is>
          <t>liver_digestive</t>
        </is>
      </c>
      <c r="J25" s="68" t="inlineStr">
        <is>
          <t>reserve</t>
        </is>
      </c>
      <c r="K25" s="68" t="inlineStr">
        <is>
          <t>Milk Thistle matches the clean single-herb hepatoprotection use-case. shared compounds: isosilybin a, isosilybin b, isosilychristin. lightly stimulating profile with AM/PM fit.</t>
        </is>
      </c>
      <c r="L25" s="68" t="inlineStr">
        <is>
          <t>Context screen required for pregnancy-sensitive, bleeding considerations.</t>
        </is>
      </c>
    </row>
    <row r="26">
      <c r="A26" t="inlineStr">
        <is>
          <t>Sleep</t>
        </is>
      </c>
      <c r="B26" t="n">
        <v>1</v>
      </c>
      <c r="C26" t="inlineStr">
        <is>
          <t>Hops + Chamomile</t>
        </is>
      </c>
      <c r="D26" s="54" t="n">
        <v>227.1</v>
      </c>
      <c r="E26" s="68" t="inlineStr">
        <is>
          <t>sleep onset plus tension release</t>
        </is>
      </c>
      <c r="F26" s="68" t="inlineStr">
        <is>
          <t>PM</t>
        </is>
      </c>
      <c r="G26" s="68" t="inlineStr">
        <is>
          <t>sedating</t>
        </is>
      </c>
      <c r="H26" s="68" t="inlineStr">
        <is>
          <t>beginner</t>
        </is>
      </c>
      <c r="I26" s="68" t="inlineStr">
        <is>
          <t>anxiety_sleep</t>
        </is>
      </c>
      <c r="J26" s="68" t="inlineStr">
        <is>
          <t>winner</t>
        </is>
      </c>
      <c r="K26" s="68" t="inlineStr">
        <is>
          <t>Hops + Chamomile matches the sleep onset plus tension release use-case. shared pathways: gaba, general or unknown targets, melatonin. sedating profile with PM fit.</t>
        </is>
      </c>
      <c r="L26" s="68" t="inlineStr">
        <is>
          <t>Context screen required for sedative considerations.</t>
        </is>
      </c>
    </row>
    <row r="27">
      <c r="A27" t="inlineStr">
        <is>
          <t>Sleep</t>
        </is>
      </c>
      <c r="B27" t="n">
        <v>2</v>
      </c>
      <c r="C27" t="inlineStr">
        <is>
          <t>Lemon Balm + Chamomile</t>
        </is>
      </c>
      <c r="D27" s="54" t="n">
        <v>175.7</v>
      </c>
      <c r="E27" s="68" t="inlineStr">
        <is>
          <t>nighttime calming with less morning fog</t>
        </is>
      </c>
      <c r="F27" s="68" t="inlineStr">
        <is>
          <t>PM</t>
        </is>
      </c>
      <c r="G27" s="68" t="inlineStr">
        <is>
          <t>sedating</t>
        </is>
      </c>
      <c r="H27" s="68" t="inlineStr">
        <is>
          <t>intermediate</t>
        </is>
      </c>
      <c r="I27" s="68" t="inlineStr">
        <is>
          <t>anxiety_sleep</t>
        </is>
      </c>
      <c r="J27" s="68" t="inlineStr">
        <is>
          <t>backup</t>
        </is>
      </c>
      <c r="K27" s="68" t="inlineStr">
        <is>
          <t>Lemon Balm + Chamomile matches the nighttime calming with less morning fog use-case. shared pathways: general or unknown targets. sedating profile with PM fit.</t>
        </is>
      </c>
      <c r="L27" s="68" t="inlineStr">
        <is>
          <t>Context screen required for sedative considerations.</t>
        </is>
      </c>
    </row>
    <row r="28">
      <c r="A28" t="inlineStr">
        <is>
          <t>Sleep</t>
        </is>
      </c>
      <c r="B28" t="n">
        <v>3</v>
      </c>
      <c r="C28" t="inlineStr">
        <is>
          <t>Chamomile</t>
        </is>
      </c>
      <c r="D28" s="54" t="n">
        <v>113.5</v>
      </c>
      <c r="E28" s="68" t="inlineStr">
        <is>
          <t>gentle bedtime single</t>
        </is>
      </c>
      <c r="F28" s="68" t="inlineStr">
        <is>
          <t>PM</t>
        </is>
      </c>
      <c r="G28" s="68" t="inlineStr">
        <is>
          <t>sedating</t>
        </is>
      </c>
      <c r="H28" s="68" t="inlineStr">
        <is>
          <t>advanced</t>
        </is>
      </c>
      <c r="I28" s="68" t="inlineStr">
        <is>
          <t>anxiety_sleep</t>
        </is>
      </c>
      <c r="J28" s="68" t="inlineStr">
        <is>
          <t>reserve</t>
        </is>
      </c>
      <c r="K28" s="68" t="inlineStr">
        <is>
          <t>Chamomile matches the gentle bedtime single use-case. shared compounds: apigenin. sedating profile with PM fit.</t>
        </is>
      </c>
      <c r="L28" s="68" t="inlineStr">
        <is>
          <t>General context screen; low apparent stacking conflict.</t>
        </is>
      </c>
    </row>
  </sheetData>
  <conditionalFormatting sqref="D2:D28">
    <cfRule type="dataBar" priority="1">
      <dataBar>
        <cfvo type="min"/>
        <cfvo type="max"/>
        <color rgb="FFA02B93"/>
      </dataBar>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N28"/>
  <sheetViews>
    <sheetView workbookViewId="0">
      <selection activeCell="A1" sqref="A1"/>
    </sheetView>
  </sheetViews>
  <sheetFormatPr baseColWidth="8" defaultRowHeight="15"/>
  <cols>
    <col width="14" customWidth="1" min="1" max="1"/>
    <col width="8" customWidth="1" min="2" max="2"/>
    <col width="28" customWidth="1" min="3" max="3"/>
    <col width="10" customWidth="1" min="4" max="4"/>
    <col width="12" customWidth="1" min="5" max="5"/>
    <col width="20" customWidth="1" min="6" max="6"/>
    <col width="11" customWidth="1" min="7" max="7"/>
    <col width="24" customWidth="1" min="8" max="8"/>
    <col width="10" customWidth="1" min="9" max="9"/>
    <col width="16" customWidth="1" min="10" max="10"/>
    <col width="14" customWidth="1" min="11" max="11"/>
    <col width="18" customWidth="1" min="12" max="12"/>
    <col width="12" customWidth="1" min="13" max="13"/>
    <col width="14" customWidth="1" min="14" max="14"/>
  </cols>
  <sheetData>
    <row r="1" ht="24" customHeight="1">
      <c r="A1" s="46" t="inlineStr">
        <is>
          <t>goal</t>
        </is>
      </c>
      <c r="B1" s="46" t="inlineStr">
        <is>
          <t>rank</t>
        </is>
      </c>
      <c r="C1" s="46" t="inlineStr">
        <is>
          <t>stack</t>
        </is>
      </c>
      <c r="D1" s="46" t="inlineStr">
        <is>
          <t>score</t>
        </is>
      </c>
      <c r="E1" s="46" t="inlineStr">
        <is>
          <t>segment</t>
        </is>
      </c>
      <c r="F1" s="46" t="inlineStr">
        <is>
          <t>condition_profile</t>
        </is>
      </c>
      <c r="G1" s="46" t="inlineStr">
        <is>
          <t>lineup_slot</t>
        </is>
      </c>
      <c r="H1" s="46" t="inlineStr">
        <is>
          <t>intent</t>
        </is>
      </c>
      <c r="I1" s="46" t="inlineStr">
        <is>
          <t>time_of_day</t>
        </is>
      </c>
      <c r="J1" s="46" t="inlineStr">
        <is>
          <t>balance_profile</t>
        </is>
      </c>
      <c r="K1" s="46" t="inlineStr">
        <is>
          <t>safety_band</t>
        </is>
      </c>
      <c r="L1" s="46" t="inlineStr">
        <is>
          <t>recommendation_class</t>
        </is>
      </c>
      <c r="M1" s="46" t="inlineStr">
        <is>
          <t>goal_winner_flag</t>
        </is>
      </c>
      <c r="N1" s="46" t="inlineStr">
        <is>
          <t>tag</t>
        </is>
      </c>
    </row>
    <row r="2">
      <c r="A2" s="68" t="inlineStr">
        <is>
          <t>Anxiety</t>
        </is>
      </c>
      <c r="B2" s="68" t="n">
        <v>1</v>
      </c>
      <c r="C2" s="68" t="inlineStr">
        <is>
          <t>Rhodiola + Milk Oats</t>
        </is>
      </c>
      <c r="D2" s="52" t="n">
        <v>163.6</v>
      </c>
      <c r="E2" s="68" t="inlineStr">
        <is>
          <t>beginner</t>
        </is>
      </c>
      <c r="F2" s="68" t="inlineStr">
        <is>
          <t>anxiety_sleep</t>
        </is>
      </c>
      <c r="G2" s="68" t="inlineStr">
        <is>
          <t>winner</t>
        </is>
      </c>
      <c r="H2" s="68" t="inlineStr">
        <is>
          <t>calm without sedation</t>
        </is>
      </c>
      <c r="I2" s="68" t="inlineStr">
        <is>
          <t>AM/PM</t>
        </is>
      </c>
      <c r="J2" s="68" t="inlineStr">
        <is>
          <t>lightly calming</t>
        </is>
      </c>
      <c r="K2" s="68" t="inlineStr">
        <is>
          <t>low_caution</t>
        </is>
      </c>
      <c r="L2" s="68" t="inlineStr">
        <is>
          <t>flagship_pair</t>
        </is>
      </c>
      <c r="M2" s="68" t="inlineStr">
        <is>
          <t>TRUE</t>
        </is>
      </c>
      <c r="N2" s="68" t="inlineStr">
        <is>
          <t>anxiety_v26</t>
        </is>
      </c>
    </row>
    <row r="3">
      <c r="A3" s="68" t="inlineStr">
        <is>
          <t>Anxiety</t>
        </is>
      </c>
      <c r="B3" s="68" t="n">
        <v>2</v>
      </c>
      <c r="C3" s="68" t="inlineStr">
        <is>
          <t>Lemon Balm + Chamomile</t>
        </is>
      </c>
      <c r="D3" s="52" t="n">
        <v>156.3</v>
      </c>
      <c r="E3" s="68" t="inlineStr">
        <is>
          <t>intermediate</t>
        </is>
      </c>
      <c r="F3" s="68" t="inlineStr">
        <is>
          <t>anxiety_sleep</t>
        </is>
      </c>
      <c r="G3" s="68" t="inlineStr">
        <is>
          <t>backup</t>
        </is>
      </c>
      <c r="H3" s="68" t="inlineStr">
        <is>
          <t>deeper unwind and tension release</t>
        </is>
      </c>
      <c r="I3" s="68" t="inlineStr">
        <is>
          <t>PM</t>
        </is>
      </c>
      <c r="J3" s="68" t="inlineStr">
        <is>
          <t>sedating</t>
        </is>
      </c>
      <c r="K3" s="68" t="inlineStr">
        <is>
          <t>low_caution</t>
        </is>
      </c>
      <c r="L3" s="68" t="inlineStr">
        <is>
          <t>adaptive_alternative</t>
        </is>
      </c>
      <c r="M3" s="68" t="inlineStr">
        <is>
          <t>FALSE</t>
        </is>
      </c>
      <c r="N3" s="68" t="inlineStr">
        <is>
          <t>anxiety_v26</t>
        </is>
      </c>
    </row>
    <row r="4">
      <c r="A4" s="68" t="inlineStr">
        <is>
          <t>Anxiety</t>
        </is>
      </c>
      <c r="B4" s="68" t="n">
        <v>3</v>
      </c>
      <c r="C4" s="68" t="inlineStr">
        <is>
          <t>Ashwagandha</t>
        </is>
      </c>
      <c r="D4" s="52" t="n">
        <v>122</v>
      </c>
      <c r="E4" s="68" t="inlineStr">
        <is>
          <t>advanced</t>
        </is>
      </c>
      <c r="F4" s="68" t="inlineStr">
        <is>
          <t>anxiety_sleep</t>
        </is>
      </c>
      <c r="G4" s="68" t="inlineStr">
        <is>
          <t>reserve</t>
        </is>
      </c>
      <c r="H4" s="68" t="inlineStr">
        <is>
          <t>adaptogenic stress smoothing</t>
        </is>
      </c>
      <c r="I4" s="68" t="inlineStr">
        <is>
          <t>AM/PM</t>
        </is>
      </c>
      <c r="J4" s="68" t="inlineStr">
        <is>
          <t>sedating</t>
        </is>
      </c>
      <c r="K4" s="68" t="inlineStr">
        <is>
          <t>high_caution</t>
        </is>
      </c>
      <c r="L4" s="68" t="inlineStr">
        <is>
          <t>clean_single</t>
        </is>
      </c>
      <c r="M4" s="68" t="inlineStr">
        <is>
          <t>FALSE</t>
        </is>
      </c>
      <c r="N4" s="68" t="inlineStr">
        <is>
          <t>anxiety_v26</t>
        </is>
      </c>
    </row>
    <row r="5">
      <c r="A5" s="68" t="inlineStr">
        <is>
          <t>Cardiovascular</t>
        </is>
      </c>
      <c r="B5" s="68" t="n">
        <v>1</v>
      </c>
      <c r="C5" s="68" t="inlineStr">
        <is>
          <t>Hawthorn + Arjuna</t>
        </is>
      </c>
      <c r="D5" s="52" t="n">
        <v>178.6</v>
      </c>
      <c r="E5" s="68" t="inlineStr">
        <is>
          <t>beginner</t>
        </is>
      </c>
      <c r="F5" s="68" t="inlineStr">
        <is>
          <t>cardiovascular_inflammation</t>
        </is>
      </c>
      <c r="G5" s="68" t="inlineStr">
        <is>
          <t>winner</t>
        </is>
      </c>
      <c r="H5" s="68" t="inlineStr">
        <is>
          <t>vascular support without overstimulation</t>
        </is>
      </c>
      <c r="I5" s="68" t="inlineStr">
        <is>
          <t>AM/PM</t>
        </is>
      </c>
      <c r="J5" s="68" t="inlineStr">
        <is>
          <t>balanced</t>
        </is>
      </c>
      <c r="K5" s="68" t="inlineStr">
        <is>
          <t>low_caution</t>
        </is>
      </c>
      <c r="L5" s="68" t="inlineStr">
        <is>
          <t>flagship_pair</t>
        </is>
      </c>
      <c r="M5" s="68" t="inlineStr">
        <is>
          <t>TRUE</t>
        </is>
      </c>
      <c r="N5" s="68" t="inlineStr">
        <is>
          <t>cardiovascular_v26</t>
        </is>
      </c>
    </row>
    <row r="6">
      <c r="A6" s="68" t="inlineStr">
        <is>
          <t>Cardiovascular</t>
        </is>
      </c>
      <c r="B6" s="68" t="n">
        <v>2</v>
      </c>
      <c r="C6" s="68" t="inlineStr">
        <is>
          <t>Hawthorn + Danshen</t>
        </is>
      </c>
      <c r="D6" s="52" t="n">
        <v>146.2</v>
      </c>
      <c r="E6" s="68" t="inlineStr">
        <is>
          <t>intermediate</t>
        </is>
      </c>
      <c r="F6" s="68" t="inlineStr">
        <is>
          <t>cardiovascular_inflammation</t>
        </is>
      </c>
      <c r="G6" s="68" t="inlineStr">
        <is>
          <t>backup</t>
        </is>
      </c>
      <c r="H6" s="68" t="inlineStr">
        <is>
          <t>circulation plus inflammatory moderation</t>
        </is>
      </c>
      <c r="I6" s="68" t="inlineStr">
        <is>
          <t>AM</t>
        </is>
      </c>
      <c r="J6" s="68" t="inlineStr">
        <is>
          <t>balanced</t>
        </is>
      </c>
      <c r="K6" s="68" t="inlineStr">
        <is>
          <t>general_caution</t>
        </is>
      </c>
      <c r="L6" s="68" t="inlineStr">
        <is>
          <t>adaptive_alternative</t>
        </is>
      </c>
      <c r="M6" s="68" t="inlineStr">
        <is>
          <t>FALSE</t>
        </is>
      </c>
      <c r="N6" s="68" t="inlineStr">
        <is>
          <t>cardiovascular_v26</t>
        </is>
      </c>
    </row>
    <row r="7">
      <c r="A7" s="68" t="inlineStr">
        <is>
          <t>Cardiovascular</t>
        </is>
      </c>
      <c r="B7" s="68" t="n">
        <v>3</v>
      </c>
      <c r="C7" s="68" t="inlineStr">
        <is>
          <t>Horse Chestnut</t>
        </is>
      </c>
      <c r="D7" s="52" t="n">
        <v>97.59999999999999</v>
      </c>
      <c r="E7" s="68" t="inlineStr">
        <is>
          <t>advanced</t>
        </is>
      </c>
      <c r="F7" s="68" t="inlineStr">
        <is>
          <t>cardiovascular_inflammation</t>
        </is>
      </c>
      <c r="G7" s="68" t="inlineStr">
        <is>
          <t>reserve</t>
        </is>
      </c>
      <c r="H7" s="68" t="inlineStr">
        <is>
          <t>clean single-herb vascular support</t>
        </is>
      </c>
      <c r="I7" s="68" t="inlineStr">
        <is>
          <t>AM/PM</t>
        </is>
      </c>
      <c r="J7" s="68" t="inlineStr">
        <is>
          <t>balanced</t>
        </is>
      </c>
      <c r="K7" s="68" t="inlineStr">
        <is>
          <t>low_caution</t>
        </is>
      </c>
      <c r="L7" s="68" t="inlineStr">
        <is>
          <t>clean_single</t>
        </is>
      </c>
      <c r="M7" s="68" t="inlineStr">
        <is>
          <t>FALSE</t>
        </is>
      </c>
      <c r="N7" s="68" t="inlineStr">
        <is>
          <t>cardiovascular_v26</t>
        </is>
      </c>
    </row>
    <row r="8">
      <c r="A8" s="68" t="inlineStr">
        <is>
          <t>Cognition</t>
        </is>
      </c>
      <c r="B8" s="68" t="n">
        <v>1</v>
      </c>
      <c r="C8" s="68" t="inlineStr">
        <is>
          <t>Bacopa + Sage</t>
        </is>
      </c>
      <c r="D8" s="52" t="n">
        <v>189.5</v>
      </c>
      <c r="E8" s="68" t="inlineStr">
        <is>
          <t>beginner</t>
        </is>
      </c>
      <c r="F8" s="68" t="inlineStr">
        <is>
          <t>cognition_energy</t>
        </is>
      </c>
      <c r="G8" s="68" t="inlineStr">
        <is>
          <t>winner</t>
        </is>
      </c>
      <c r="H8" s="68" t="inlineStr">
        <is>
          <t>focus without anxiety</t>
        </is>
      </c>
      <c r="I8" s="68" t="inlineStr">
        <is>
          <t>AM</t>
        </is>
      </c>
      <c r="J8" s="68" t="inlineStr">
        <is>
          <t>balanced</t>
        </is>
      </c>
      <c r="K8" s="68" t="inlineStr">
        <is>
          <t>low_caution</t>
        </is>
      </c>
      <c r="L8" s="68" t="inlineStr">
        <is>
          <t>flagship_pair</t>
        </is>
      </c>
      <c r="M8" s="68" t="inlineStr">
        <is>
          <t>TRUE</t>
        </is>
      </c>
      <c r="N8" s="68" t="inlineStr">
        <is>
          <t>cognition_v26</t>
        </is>
      </c>
    </row>
    <row r="9">
      <c r="A9" s="68" t="inlineStr">
        <is>
          <t>Cognition</t>
        </is>
      </c>
      <c r="B9" s="68" t="n">
        <v>2</v>
      </c>
      <c r="C9" s="68" t="inlineStr">
        <is>
          <t>Rhodiola + Bacopa</t>
        </is>
      </c>
      <c r="D9" s="52" t="n">
        <v>166.7</v>
      </c>
      <c r="E9" s="68" t="inlineStr">
        <is>
          <t>intermediate</t>
        </is>
      </c>
      <c r="F9" s="68" t="inlineStr">
        <is>
          <t>cognition_energy</t>
        </is>
      </c>
      <c r="G9" s="68" t="inlineStr">
        <is>
          <t>backup</t>
        </is>
      </c>
      <c r="H9" s="68" t="inlineStr">
        <is>
          <t>memory plus learning support</t>
        </is>
      </c>
      <c r="I9" s="68" t="inlineStr">
        <is>
          <t>AM/PM</t>
        </is>
      </c>
      <c r="J9" s="68" t="inlineStr">
        <is>
          <t>lightly calming</t>
        </is>
      </c>
      <c r="K9" s="68" t="inlineStr">
        <is>
          <t>low_caution</t>
        </is>
      </c>
      <c r="L9" s="68" t="inlineStr">
        <is>
          <t>adaptive_alternative</t>
        </is>
      </c>
      <c r="M9" s="68" t="inlineStr">
        <is>
          <t>FALSE</t>
        </is>
      </c>
      <c r="N9" s="68" t="inlineStr">
        <is>
          <t>cognition_v26</t>
        </is>
      </c>
    </row>
    <row r="10">
      <c r="A10" s="68" t="inlineStr">
        <is>
          <t>Cognition</t>
        </is>
      </c>
      <c r="B10" s="68" t="n">
        <v>3</v>
      </c>
      <c r="C10" s="68" t="inlineStr">
        <is>
          <t>Bacopa</t>
        </is>
      </c>
      <c r="D10" s="52" t="n">
        <v>104.5</v>
      </c>
      <c r="E10" s="68" t="inlineStr">
        <is>
          <t>advanced</t>
        </is>
      </c>
      <c r="F10" s="68" t="inlineStr">
        <is>
          <t>cognition_energy</t>
        </is>
      </c>
      <c r="G10" s="68" t="inlineStr">
        <is>
          <t>reserve</t>
        </is>
      </c>
      <c r="H10" s="68" t="inlineStr">
        <is>
          <t>cognitive calm single</t>
        </is>
      </c>
      <c r="I10" s="68" t="inlineStr">
        <is>
          <t>AM/PM</t>
        </is>
      </c>
      <c r="J10" s="68" t="inlineStr">
        <is>
          <t>lightly calming</t>
        </is>
      </c>
      <c r="K10" s="68" t="inlineStr">
        <is>
          <t>low_caution</t>
        </is>
      </c>
      <c r="L10" s="68" t="inlineStr">
        <is>
          <t>clean_single</t>
        </is>
      </c>
      <c r="M10" s="68" t="inlineStr">
        <is>
          <t>FALSE</t>
        </is>
      </c>
      <c r="N10" s="68" t="inlineStr">
        <is>
          <t>cognition_v26</t>
        </is>
      </c>
    </row>
    <row r="11">
      <c r="A11" s="68" t="inlineStr">
        <is>
          <t>Digestive</t>
        </is>
      </c>
      <c r="B11" s="68" t="n">
        <v>1</v>
      </c>
      <c r="C11" s="68" t="inlineStr">
        <is>
          <t>Peppermint + Fennel</t>
        </is>
      </c>
      <c r="D11" s="52" t="n">
        <v>217.7</v>
      </c>
      <c r="E11" s="68" t="inlineStr">
        <is>
          <t>beginner</t>
        </is>
      </c>
      <c r="F11" s="68" t="inlineStr">
        <is>
          <t>inflammation_gut</t>
        </is>
      </c>
      <c r="G11" s="68" t="inlineStr">
        <is>
          <t>winner</t>
        </is>
      </c>
      <c r="H11" s="68" t="inlineStr">
        <is>
          <t>post-meal settle and motility</t>
        </is>
      </c>
      <c r="I11" s="68" t="inlineStr">
        <is>
          <t>AM/PM</t>
        </is>
      </c>
      <c r="J11" s="68" t="inlineStr">
        <is>
          <t>balanced</t>
        </is>
      </c>
      <c r="K11" s="68" t="inlineStr">
        <is>
          <t>general_caution</t>
        </is>
      </c>
      <c r="L11" s="68" t="inlineStr">
        <is>
          <t>flagship_pair</t>
        </is>
      </c>
      <c r="M11" s="68" t="inlineStr">
        <is>
          <t>TRUE</t>
        </is>
      </c>
      <c r="N11" s="68" t="inlineStr">
        <is>
          <t>digestive_v26</t>
        </is>
      </c>
    </row>
    <row r="12">
      <c r="A12" s="68" t="inlineStr">
        <is>
          <t>Digestive</t>
        </is>
      </c>
      <c r="B12" s="68" t="n">
        <v>2</v>
      </c>
      <c r="C12" s="68" t="inlineStr">
        <is>
          <t>Aloe Vera + Marshmallow</t>
        </is>
      </c>
      <c r="D12" s="52" t="n">
        <v>177.9</v>
      </c>
      <c r="E12" s="68" t="inlineStr">
        <is>
          <t>intermediate</t>
        </is>
      </c>
      <c r="F12" s="68" t="inlineStr">
        <is>
          <t>inflammation_gut</t>
        </is>
      </c>
      <c r="G12" s="68" t="inlineStr">
        <is>
          <t>backup</t>
        </is>
      </c>
      <c r="H12" s="68" t="inlineStr">
        <is>
          <t>soothe irritated gut lining</t>
        </is>
      </c>
      <c r="I12" s="68" t="inlineStr">
        <is>
          <t>AM/PM</t>
        </is>
      </c>
      <c r="J12" s="68" t="inlineStr">
        <is>
          <t>lightly stimulating</t>
        </is>
      </c>
      <c r="K12" s="68" t="inlineStr">
        <is>
          <t>general_caution</t>
        </is>
      </c>
      <c r="L12" s="68" t="inlineStr">
        <is>
          <t>adaptive_alternative</t>
        </is>
      </c>
      <c r="M12" s="68" t="inlineStr">
        <is>
          <t>FALSE</t>
        </is>
      </c>
      <c r="N12" s="68" t="inlineStr">
        <is>
          <t>digestive_v26</t>
        </is>
      </c>
    </row>
    <row r="13">
      <c r="A13" s="68" t="inlineStr">
        <is>
          <t>Digestive</t>
        </is>
      </c>
      <c r="B13" s="68" t="n">
        <v>3</v>
      </c>
      <c r="C13" s="68" t="inlineStr">
        <is>
          <t>Marshmallow</t>
        </is>
      </c>
      <c r="D13" s="52" t="n">
        <v>104.6</v>
      </c>
      <c r="E13" s="68" t="inlineStr">
        <is>
          <t>advanced</t>
        </is>
      </c>
      <c r="F13" s="68" t="inlineStr">
        <is>
          <t>inflammation_gut</t>
        </is>
      </c>
      <c r="G13" s="68" t="inlineStr">
        <is>
          <t>reserve</t>
        </is>
      </c>
      <c r="H13" s="68" t="inlineStr">
        <is>
          <t>gentle gut-soothing single</t>
        </is>
      </c>
      <c r="I13" s="68" t="inlineStr">
        <is>
          <t>AM/PM</t>
        </is>
      </c>
      <c r="J13" s="68" t="inlineStr">
        <is>
          <t>balanced</t>
        </is>
      </c>
      <c r="K13" s="68" t="inlineStr">
        <is>
          <t>low_caution</t>
        </is>
      </c>
      <c r="L13" s="68" t="inlineStr">
        <is>
          <t>clean_single</t>
        </is>
      </c>
      <c r="M13" s="68" t="inlineStr">
        <is>
          <t>FALSE</t>
        </is>
      </c>
      <c r="N13" s="68" t="inlineStr">
        <is>
          <t>digestive_v26</t>
        </is>
      </c>
    </row>
    <row r="14">
      <c r="A14" s="68" t="inlineStr">
        <is>
          <t>Energy</t>
        </is>
      </c>
      <c r="B14" s="68" t="n">
        <v>1</v>
      </c>
      <c r="C14" s="68" t="inlineStr">
        <is>
          <t>Rhodiola Rosea + Schisandra Berry</t>
        </is>
      </c>
      <c r="D14" s="52" t="n">
        <v>184.2</v>
      </c>
      <c r="E14" s="68" t="inlineStr">
        <is>
          <t>beginner</t>
        </is>
      </c>
      <c r="F14" s="68" t="inlineStr">
        <is>
          <t>cognition_energy</t>
        </is>
      </c>
      <c r="G14" s="68" t="inlineStr">
        <is>
          <t>winner</t>
        </is>
      </c>
      <c r="H14" s="68" t="inlineStr">
        <is>
          <t>energy without anxiety</t>
        </is>
      </c>
      <c r="I14" s="68" t="inlineStr">
        <is>
          <t>AM</t>
        </is>
      </c>
      <c r="J14" s="68" t="inlineStr">
        <is>
          <t>stimulating</t>
        </is>
      </c>
      <c r="K14" s="68" t="inlineStr">
        <is>
          <t>moderate_caution</t>
        </is>
      </c>
      <c r="L14" s="68" t="inlineStr">
        <is>
          <t>context_pair</t>
        </is>
      </c>
      <c r="M14" s="68" t="inlineStr">
        <is>
          <t>TRUE</t>
        </is>
      </c>
      <c r="N14" s="68" t="inlineStr">
        <is>
          <t>energy_v26</t>
        </is>
      </c>
    </row>
    <row r="15">
      <c r="A15" s="68" t="inlineStr">
        <is>
          <t>Energy</t>
        </is>
      </c>
      <c r="B15" s="68" t="n">
        <v>2</v>
      </c>
      <c r="C15" s="68" t="inlineStr">
        <is>
          <t>Yerba Mate + Guarana</t>
        </is>
      </c>
      <c r="D15" s="52" t="n">
        <v>165.5</v>
      </c>
      <c r="E15" s="68" t="inlineStr">
        <is>
          <t>intermediate</t>
        </is>
      </c>
      <c r="F15" s="68" t="inlineStr">
        <is>
          <t>cognition_energy</t>
        </is>
      </c>
      <c r="G15" s="68" t="inlineStr">
        <is>
          <t>backup</t>
        </is>
      </c>
      <c r="H15" s="68" t="inlineStr">
        <is>
          <t>acute stimulant lift</t>
        </is>
      </c>
      <c r="I15" s="68" t="inlineStr">
        <is>
          <t>AM</t>
        </is>
      </c>
      <c r="J15" s="68" t="inlineStr">
        <is>
          <t>stimulating</t>
        </is>
      </c>
      <c r="K15" s="68" t="inlineStr">
        <is>
          <t>high_caution</t>
        </is>
      </c>
      <c r="L15" s="68" t="inlineStr">
        <is>
          <t>adaptive_alternative</t>
        </is>
      </c>
      <c r="M15" s="68" t="inlineStr">
        <is>
          <t>FALSE</t>
        </is>
      </c>
      <c r="N15" s="68" t="inlineStr">
        <is>
          <t>energy_v26</t>
        </is>
      </c>
    </row>
    <row r="16">
      <c r="A16" s="68" t="inlineStr">
        <is>
          <t>Energy</t>
        </is>
      </c>
      <c r="B16" s="68" t="n">
        <v>3</v>
      </c>
      <c r="C16" s="68" t="inlineStr">
        <is>
          <t>Rhodiola Rosea</t>
        </is>
      </c>
      <c r="D16" s="52" t="n">
        <v>118.8</v>
      </c>
      <c r="E16" s="68" t="inlineStr">
        <is>
          <t>advanced</t>
        </is>
      </c>
      <c r="F16" s="68" t="inlineStr">
        <is>
          <t>cognition_energy</t>
        </is>
      </c>
      <c r="G16" s="68" t="inlineStr">
        <is>
          <t>reserve</t>
        </is>
      </c>
      <c r="H16" s="68" t="inlineStr">
        <is>
          <t>clean single-herb lift</t>
        </is>
      </c>
      <c r="I16" s="68" t="inlineStr">
        <is>
          <t>AM</t>
        </is>
      </c>
      <c r="J16" s="68" t="inlineStr">
        <is>
          <t>stimulating</t>
        </is>
      </c>
      <c r="K16" s="68" t="inlineStr">
        <is>
          <t>moderate_caution</t>
        </is>
      </c>
      <c r="L16" s="68" t="inlineStr">
        <is>
          <t>clean_single</t>
        </is>
      </c>
      <c r="M16" s="68" t="inlineStr">
        <is>
          <t>FALSE</t>
        </is>
      </c>
      <c r="N16" s="68" t="inlineStr">
        <is>
          <t>energy_v26</t>
        </is>
      </c>
    </row>
    <row r="17">
      <c r="A17" s="68" t="inlineStr">
        <is>
          <t>Immune</t>
        </is>
      </c>
      <c r="B17" s="68" t="n">
        <v>1</v>
      </c>
      <c r="C17" s="68" t="inlineStr">
        <is>
          <t>Elderberry + Astragalus</t>
        </is>
      </c>
      <c r="D17" s="52" t="n">
        <v>171.9</v>
      </c>
      <c r="E17" s="68" t="inlineStr">
        <is>
          <t>beginner</t>
        </is>
      </c>
      <c r="F17" s="68" t="inlineStr">
        <is>
          <t>immune_resilience</t>
        </is>
      </c>
      <c r="G17" s="68" t="inlineStr">
        <is>
          <t>winner</t>
        </is>
      </c>
      <c r="H17" s="68" t="inlineStr">
        <is>
          <t>immune resilience without overstimulation</t>
        </is>
      </c>
      <c r="I17" s="68" t="inlineStr">
        <is>
          <t>AM/PM</t>
        </is>
      </c>
      <c r="J17" s="68" t="inlineStr">
        <is>
          <t>balanced</t>
        </is>
      </c>
      <c r="K17" s="68" t="inlineStr">
        <is>
          <t>low_caution</t>
        </is>
      </c>
      <c r="L17" s="68" t="inlineStr">
        <is>
          <t>flagship_pair</t>
        </is>
      </c>
      <c r="M17" s="68" t="inlineStr">
        <is>
          <t>TRUE</t>
        </is>
      </c>
      <c r="N17" s="68" t="inlineStr">
        <is>
          <t>immune_v26</t>
        </is>
      </c>
    </row>
    <row r="18">
      <c r="A18" s="68" t="inlineStr">
        <is>
          <t>Immune</t>
        </is>
      </c>
      <c r="B18" s="68" t="n">
        <v>2</v>
      </c>
      <c r="C18" s="68" t="inlineStr">
        <is>
          <t>Artemisia Annua + Elderberry</t>
        </is>
      </c>
      <c r="D18" s="52" t="n">
        <v>154.4</v>
      </c>
      <c r="E18" s="68" t="inlineStr">
        <is>
          <t>intermediate</t>
        </is>
      </c>
      <c r="F18" s="68" t="inlineStr">
        <is>
          <t>immune_resilience</t>
        </is>
      </c>
      <c r="G18" s="68" t="inlineStr">
        <is>
          <t>backup</t>
        </is>
      </c>
      <c r="H18" s="68" t="inlineStr">
        <is>
          <t>seasonal pressure support</t>
        </is>
      </c>
      <c r="I18" s="68" t="inlineStr">
        <is>
          <t>AM</t>
        </is>
      </c>
      <c r="J18" s="68" t="inlineStr">
        <is>
          <t>balanced</t>
        </is>
      </c>
      <c r="K18" s="68" t="inlineStr">
        <is>
          <t>low_caution</t>
        </is>
      </c>
      <c r="L18" s="68" t="inlineStr">
        <is>
          <t>adaptive_alternative</t>
        </is>
      </c>
      <c r="M18" s="68" t="inlineStr">
        <is>
          <t>FALSE</t>
        </is>
      </c>
      <c r="N18" s="68" t="inlineStr">
        <is>
          <t>immune_v26</t>
        </is>
      </c>
    </row>
    <row r="19">
      <c r="A19" s="68" t="inlineStr">
        <is>
          <t>Immune</t>
        </is>
      </c>
      <c r="B19" s="68" t="n">
        <v>3</v>
      </c>
      <c r="C19" s="68" t="inlineStr">
        <is>
          <t>Astragalus</t>
        </is>
      </c>
      <c r="D19" s="52" t="n">
        <v>88</v>
      </c>
      <c r="E19" s="68" t="inlineStr">
        <is>
          <t>advanced</t>
        </is>
      </c>
      <c r="F19" s="68" t="inlineStr">
        <is>
          <t>immune_resilience</t>
        </is>
      </c>
      <c r="G19" s="68" t="inlineStr">
        <is>
          <t>reserve</t>
        </is>
      </c>
      <c r="H19" s="68" t="inlineStr">
        <is>
          <t>gentle daily immune single</t>
        </is>
      </c>
      <c r="I19" s="68" t="inlineStr">
        <is>
          <t>AM/PM</t>
        </is>
      </c>
      <c r="J19" s="68" t="inlineStr">
        <is>
          <t>balanced</t>
        </is>
      </c>
      <c r="K19" s="68" t="inlineStr">
        <is>
          <t>low_caution</t>
        </is>
      </c>
      <c r="L19" s="68" t="inlineStr">
        <is>
          <t>clean_single</t>
        </is>
      </c>
      <c r="M19" s="68" t="inlineStr">
        <is>
          <t>FALSE</t>
        </is>
      </c>
      <c r="N19" s="68" t="inlineStr">
        <is>
          <t>immune_v26</t>
        </is>
      </c>
    </row>
    <row r="20">
      <c r="A20" s="68" t="inlineStr">
        <is>
          <t>Inflammation</t>
        </is>
      </c>
      <c r="B20" s="68" t="n">
        <v>1</v>
      </c>
      <c r="C20" s="68" t="inlineStr">
        <is>
          <t>Holy Basil + Calendula</t>
        </is>
      </c>
      <c r="D20" s="52" t="n">
        <v>208.2</v>
      </c>
      <c r="E20" s="68" t="inlineStr">
        <is>
          <t>beginner</t>
        </is>
      </c>
      <c r="F20" s="68" t="inlineStr">
        <is>
          <t>inflammation_gut</t>
        </is>
      </c>
      <c r="G20" s="68" t="inlineStr">
        <is>
          <t>winner</t>
        </is>
      </c>
      <c r="H20" s="68" t="inlineStr">
        <is>
          <t>systemic inflammation with gut sensitivity</t>
        </is>
      </c>
      <c r="I20" s="68" t="inlineStr">
        <is>
          <t>AM/PM</t>
        </is>
      </c>
      <c r="J20" s="68" t="inlineStr">
        <is>
          <t>lightly stimulating</t>
        </is>
      </c>
      <c r="K20" s="68" t="inlineStr">
        <is>
          <t>general_caution</t>
        </is>
      </c>
      <c r="L20" s="68" t="inlineStr">
        <is>
          <t>flagship_pair</t>
        </is>
      </c>
      <c r="M20" s="68" t="inlineStr">
        <is>
          <t>TRUE</t>
        </is>
      </c>
      <c r="N20" s="68" t="inlineStr">
        <is>
          <t>inflammation_v26</t>
        </is>
      </c>
    </row>
    <row r="21">
      <c r="A21" s="68" t="inlineStr">
        <is>
          <t>Inflammation</t>
        </is>
      </c>
      <c r="B21" s="68" t="n">
        <v>2</v>
      </c>
      <c r="C21" s="68" t="inlineStr">
        <is>
          <t>Boswellia + Holy Basil</t>
        </is>
      </c>
      <c r="D21" s="52" t="n">
        <v>176.7</v>
      </c>
      <c r="E21" s="68" t="inlineStr">
        <is>
          <t>intermediate</t>
        </is>
      </c>
      <c r="F21" s="68" t="inlineStr">
        <is>
          <t>inflammation_gut</t>
        </is>
      </c>
      <c r="G21" s="68" t="inlineStr">
        <is>
          <t>backup</t>
        </is>
      </c>
      <c r="H21" s="68" t="inlineStr">
        <is>
          <t>inflammatory burden plus oxidative stress</t>
        </is>
      </c>
      <c r="I21" s="68" t="inlineStr">
        <is>
          <t>AM</t>
        </is>
      </c>
      <c r="J21" s="68" t="inlineStr">
        <is>
          <t>lightly stimulating</t>
        </is>
      </c>
      <c r="K21" s="68" t="inlineStr">
        <is>
          <t>general_caution</t>
        </is>
      </c>
      <c r="L21" s="68" t="inlineStr">
        <is>
          <t>adaptive_alternative</t>
        </is>
      </c>
      <c r="M21" s="68" t="inlineStr">
        <is>
          <t>FALSE</t>
        </is>
      </c>
      <c r="N21" s="68" t="inlineStr">
        <is>
          <t>inflammation_v26</t>
        </is>
      </c>
    </row>
    <row r="22">
      <c r="A22" s="68" t="inlineStr">
        <is>
          <t>Inflammation</t>
        </is>
      </c>
      <c r="B22" s="68" t="n">
        <v>3</v>
      </c>
      <c r="C22" s="68" t="inlineStr">
        <is>
          <t>Holy Basil</t>
        </is>
      </c>
      <c r="D22" s="52" t="n">
        <v>107.6</v>
      </c>
      <c r="E22" s="68" t="inlineStr">
        <is>
          <t>advanced</t>
        </is>
      </c>
      <c r="F22" s="68" t="inlineStr">
        <is>
          <t>inflammation_gut</t>
        </is>
      </c>
      <c r="G22" s="68" t="inlineStr">
        <is>
          <t>reserve</t>
        </is>
      </c>
      <c r="H22" s="68" t="inlineStr">
        <is>
          <t>clean single-herb inflammatory support</t>
        </is>
      </c>
      <c r="I22" s="68" t="inlineStr">
        <is>
          <t>AM/PM</t>
        </is>
      </c>
      <c r="J22" s="68" t="inlineStr">
        <is>
          <t>lightly stimulating</t>
        </is>
      </c>
      <c r="K22" s="68" t="inlineStr">
        <is>
          <t>general_caution</t>
        </is>
      </c>
      <c r="L22" s="68" t="inlineStr">
        <is>
          <t>clean_single</t>
        </is>
      </c>
      <c r="M22" s="68" t="inlineStr">
        <is>
          <t>FALSE</t>
        </is>
      </c>
      <c r="N22" s="68" t="inlineStr">
        <is>
          <t>inflammation_v26</t>
        </is>
      </c>
    </row>
    <row r="23">
      <c r="A23" s="68" t="inlineStr">
        <is>
          <t>Liver</t>
        </is>
      </c>
      <c r="B23" s="68" t="n">
        <v>1</v>
      </c>
      <c r="C23" s="68" t="inlineStr">
        <is>
          <t>Milk Thistle + Schisandra Berry</t>
        </is>
      </c>
      <c r="D23" s="52" t="n">
        <v>192.7</v>
      </c>
      <c r="E23" s="68" t="inlineStr">
        <is>
          <t>beginner</t>
        </is>
      </c>
      <c r="F23" s="68" t="inlineStr">
        <is>
          <t>liver_digestive</t>
        </is>
      </c>
      <c r="G23" s="68" t="inlineStr">
        <is>
          <t>winner</t>
        </is>
      </c>
      <c r="H23" s="68" t="inlineStr">
        <is>
          <t>liver support without sedation</t>
        </is>
      </c>
      <c r="I23" s="68" t="inlineStr">
        <is>
          <t>AM/PM</t>
        </is>
      </c>
      <c r="J23" s="68" t="inlineStr">
        <is>
          <t>lightly stimulating</t>
        </is>
      </c>
      <c r="K23" s="68" t="inlineStr">
        <is>
          <t>general_caution</t>
        </is>
      </c>
      <c r="L23" s="68" t="inlineStr">
        <is>
          <t>flagship_pair</t>
        </is>
      </c>
      <c r="M23" s="68" t="inlineStr">
        <is>
          <t>TRUE</t>
        </is>
      </c>
      <c r="N23" s="68" t="inlineStr">
        <is>
          <t>liver_v26</t>
        </is>
      </c>
    </row>
    <row r="24">
      <c r="A24" s="68" t="inlineStr">
        <is>
          <t>Liver</t>
        </is>
      </c>
      <c r="B24" s="68" t="n">
        <v>2</v>
      </c>
      <c r="C24" s="68" t="inlineStr">
        <is>
          <t>Milk Thistle + Bupleurum</t>
        </is>
      </c>
      <c r="D24" s="52" t="n">
        <v>162.2</v>
      </c>
      <c r="E24" s="68" t="inlineStr">
        <is>
          <t>intermediate</t>
        </is>
      </c>
      <c r="F24" s="68" t="inlineStr">
        <is>
          <t>liver_digestive</t>
        </is>
      </c>
      <c r="G24" s="68" t="inlineStr">
        <is>
          <t>backup</t>
        </is>
      </c>
      <c r="H24" s="68" t="inlineStr">
        <is>
          <t>antioxidant plus hepatoprotection</t>
        </is>
      </c>
      <c r="I24" s="68" t="inlineStr">
        <is>
          <t>AM/PM</t>
        </is>
      </c>
      <c r="J24" s="68" t="inlineStr">
        <is>
          <t>lightly stimulating</t>
        </is>
      </c>
      <c r="K24" s="68" t="inlineStr">
        <is>
          <t>general_caution</t>
        </is>
      </c>
      <c r="L24" s="68" t="inlineStr">
        <is>
          <t>adaptive_alternative</t>
        </is>
      </c>
      <c r="M24" s="68" t="inlineStr">
        <is>
          <t>FALSE</t>
        </is>
      </c>
      <c r="N24" s="68" t="inlineStr">
        <is>
          <t>liver_v26</t>
        </is>
      </c>
    </row>
    <row r="25">
      <c r="A25" s="68" t="inlineStr">
        <is>
          <t>Liver</t>
        </is>
      </c>
      <c r="B25" s="68" t="n">
        <v>3</v>
      </c>
      <c r="C25" s="68" t="inlineStr">
        <is>
          <t>Milk Thistle</t>
        </is>
      </c>
      <c r="D25" s="52" t="n">
        <v>123.1</v>
      </c>
      <c r="E25" s="68" t="inlineStr">
        <is>
          <t>advanced</t>
        </is>
      </c>
      <c r="F25" s="68" t="inlineStr">
        <is>
          <t>liver_digestive</t>
        </is>
      </c>
      <c r="G25" s="68" t="inlineStr">
        <is>
          <t>reserve</t>
        </is>
      </c>
      <c r="H25" s="68" t="inlineStr">
        <is>
          <t>clean single-herb hepatoprotection</t>
        </is>
      </c>
      <c r="I25" s="68" t="inlineStr">
        <is>
          <t>AM/PM</t>
        </is>
      </c>
      <c r="J25" s="68" t="inlineStr">
        <is>
          <t>lightly stimulating</t>
        </is>
      </c>
      <c r="K25" s="68" t="inlineStr">
        <is>
          <t>general_caution</t>
        </is>
      </c>
      <c r="L25" s="68" t="inlineStr">
        <is>
          <t>clean_single</t>
        </is>
      </c>
      <c r="M25" s="68" t="inlineStr">
        <is>
          <t>FALSE</t>
        </is>
      </c>
      <c r="N25" s="68" t="inlineStr">
        <is>
          <t>liver_v26</t>
        </is>
      </c>
    </row>
    <row r="26">
      <c r="A26" s="68" t="inlineStr">
        <is>
          <t>Sleep</t>
        </is>
      </c>
      <c r="B26" s="68" t="n">
        <v>1</v>
      </c>
      <c r="C26" s="68" t="inlineStr">
        <is>
          <t>Hops + Chamomile</t>
        </is>
      </c>
      <c r="D26" s="52" t="n">
        <v>227.1</v>
      </c>
      <c r="E26" s="68" t="inlineStr">
        <is>
          <t>beginner</t>
        </is>
      </c>
      <c r="F26" s="68" t="inlineStr">
        <is>
          <t>anxiety_sleep</t>
        </is>
      </c>
      <c r="G26" s="68" t="inlineStr">
        <is>
          <t>winner</t>
        </is>
      </c>
      <c r="H26" s="68" t="inlineStr">
        <is>
          <t>sleep onset plus tension release</t>
        </is>
      </c>
      <c r="I26" s="68" t="inlineStr">
        <is>
          <t>PM</t>
        </is>
      </c>
      <c r="J26" s="68" t="inlineStr">
        <is>
          <t>sedating</t>
        </is>
      </c>
      <c r="K26" s="68" t="inlineStr">
        <is>
          <t>low_caution</t>
        </is>
      </c>
      <c r="L26" s="68" t="inlineStr">
        <is>
          <t>context_pair</t>
        </is>
      </c>
      <c r="M26" s="68" t="inlineStr">
        <is>
          <t>TRUE</t>
        </is>
      </c>
      <c r="N26" s="68" t="inlineStr">
        <is>
          <t>sleep_v26</t>
        </is>
      </c>
    </row>
    <row r="27">
      <c r="A27" s="68" t="inlineStr">
        <is>
          <t>Sleep</t>
        </is>
      </c>
      <c r="B27" s="68" t="n">
        <v>2</v>
      </c>
      <c r="C27" s="68" t="inlineStr">
        <is>
          <t>Lemon Balm + Chamomile</t>
        </is>
      </c>
      <c r="D27" s="52" t="n">
        <v>175.7</v>
      </c>
      <c r="E27" s="68" t="inlineStr">
        <is>
          <t>intermediate</t>
        </is>
      </c>
      <c r="F27" s="68" t="inlineStr">
        <is>
          <t>anxiety_sleep</t>
        </is>
      </c>
      <c r="G27" s="68" t="inlineStr">
        <is>
          <t>backup</t>
        </is>
      </c>
      <c r="H27" s="68" t="inlineStr">
        <is>
          <t>nighttime calming with less morning fog</t>
        </is>
      </c>
      <c r="I27" s="68" t="inlineStr">
        <is>
          <t>PM</t>
        </is>
      </c>
      <c r="J27" s="68" t="inlineStr">
        <is>
          <t>sedating</t>
        </is>
      </c>
      <c r="K27" s="68" t="inlineStr">
        <is>
          <t>low_caution</t>
        </is>
      </c>
      <c r="L27" s="68" t="inlineStr">
        <is>
          <t>adaptive_alternative</t>
        </is>
      </c>
      <c r="M27" s="68" t="inlineStr">
        <is>
          <t>FALSE</t>
        </is>
      </c>
      <c r="N27" s="68" t="inlineStr">
        <is>
          <t>sleep_v26</t>
        </is>
      </c>
    </row>
    <row r="28">
      <c r="A28" s="68" t="inlineStr">
        <is>
          <t>Sleep</t>
        </is>
      </c>
      <c r="B28" s="68" t="n">
        <v>3</v>
      </c>
      <c r="C28" s="68" t="inlineStr">
        <is>
          <t>Chamomile</t>
        </is>
      </c>
      <c r="D28" s="52" t="n">
        <v>113.5</v>
      </c>
      <c r="E28" s="68" t="inlineStr">
        <is>
          <t>advanced</t>
        </is>
      </c>
      <c r="F28" s="68" t="inlineStr">
        <is>
          <t>anxiety_sleep</t>
        </is>
      </c>
      <c r="G28" s="68" t="inlineStr">
        <is>
          <t>reserve</t>
        </is>
      </c>
      <c r="H28" s="68" t="inlineStr">
        <is>
          <t>gentle bedtime single</t>
        </is>
      </c>
      <c r="I28" s="68" t="inlineStr">
        <is>
          <t>PM</t>
        </is>
      </c>
      <c r="J28" s="68" t="inlineStr">
        <is>
          <t>sedating</t>
        </is>
      </c>
      <c r="K28" s="68" t="inlineStr">
        <is>
          <t>low_caution</t>
        </is>
      </c>
      <c r="L28" s="68" t="inlineStr">
        <is>
          <t>clean_single</t>
        </is>
      </c>
      <c r="M28" s="68" t="inlineStr">
        <is>
          <t>FALSE</t>
        </is>
      </c>
      <c r="N28" s="68" t="inlineStr">
        <is>
          <t>sleep_v26</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6</t>
        </is>
      </c>
    </row>
    <row r="3">
      <c r="A3" t="inlineStr">
        <is>
          <t>Focus</t>
        </is>
      </c>
      <c r="B3" t="inlineStr">
        <is>
          <t>Cross-link + dedup + network unification</t>
        </is>
      </c>
    </row>
    <row r="4">
      <c r="A4" t="inlineStr">
        <is>
          <t>Compound names normalized</t>
        </is>
      </c>
      <c r="B4" t="n">
        <v>3</v>
      </c>
    </row>
    <row r="5">
      <c r="A5" t="inlineStr">
        <is>
          <t>Cross-links added</t>
        </is>
      </c>
      <c r="B5" t="n">
        <v>27</v>
      </c>
    </row>
    <row r="6">
      <c r="A6" t="inlineStr">
        <is>
          <t>Map rows after dedupe</t>
        </is>
      </c>
      <c r="B6" t="n">
        <v>169</v>
      </c>
    </row>
    <row r="7">
      <c r="A7" t="inlineStr">
        <is>
          <t>Queue rows added</t>
        </is>
      </c>
      <c r="B7" t="n">
        <v>8</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7</t>
        </is>
      </c>
    </row>
    <row r="3">
      <c r="A3" t="inlineStr">
        <is>
          <t>Focus</t>
        </is>
      </c>
      <c r="B3" t="inlineStr">
        <is>
          <t>Mechanism depth + shared compound expansion</t>
        </is>
      </c>
    </row>
    <row r="4">
      <c r="A4" t="inlineStr">
        <is>
          <t>Shared links added</t>
        </is>
      </c>
      <c r="B4" t="n">
        <v>9</v>
      </c>
    </row>
    <row r="5">
      <c r="A5" t="inlineStr">
        <is>
          <t>Compound rows</t>
        </is>
      </c>
      <c r="B5" t="n">
        <v>635</v>
      </c>
    </row>
    <row r="6">
      <c r="A6" t="inlineStr">
        <is>
          <t>Map rows</t>
        </is>
      </c>
      <c r="B6" t="n">
        <v>178</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8</t>
        </is>
      </c>
    </row>
    <row r="3">
      <c r="A3" t="inlineStr">
        <is>
          <t>Focus</t>
        </is>
      </c>
      <c r="B3" t="inlineStr">
        <is>
          <t>Pharmacology precision layer</t>
        </is>
      </c>
    </row>
    <row r="4">
      <c r="A4" t="inlineStr">
        <is>
          <t>Precision-updated compounds</t>
        </is>
      </c>
      <c r="B4" t="n">
        <v>25</v>
      </c>
    </row>
    <row r="5">
      <c r="A5" t="inlineStr">
        <is>
          <t>Generic-inferred rows</t>
        </is>
      </c>
      <c r="B5" t="n">
        <v>0</v>
      </c>
    </row>
    <row r="6">
      <c r="A6" t="inlineStr">
        <is>
          <t>New compounds added</t>
        </is>
      </c>
      <c r="B6" t="n">
        <v>4</v>
      </c>
    </row>
    <row r="7">
      <c r="A7" t="inlineStr">
        <is>
          <t>New map rows added</t>
        </is>
      </c>
      <c r="B7" t="n">
        <v>4</v>
      </c>
    </row>
    <row r="8">
      <c r="A8" t="inlineStr">
        <is>
          <t>Queue rows added</t>
        </is>
      </c>
      <c r="B8" t="n">
        <v>7</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9</t>
        </is>
      </c>
    </row>
    <row r="3">
      <c r="A3" t="inlineStr">
        <is>
          <t>Focus</t>
        </is>
      </c>
      <c r="B3" t="inlineStr">
        <is>
          <t>Compound cluster expansion + alias cleanup</t>
        </is>
      </c>
    </row>
    <row r="4">
      <c r="A4" t="inlineStr">
        <is>
          <t>New compounds added</t>
        </is>
      </c>
      <c r="B4" t="n">
        <v>5</v>
      </c>
    </row>
    <row r="5">
      <c r="A5" t="inlineStr">
        <is>
          <t>New map rows added</t>
        </is>
      </c>
      <c r="B5" t="n">
        <v>5</v>
      </c>
    </row>
    <row r="6">
      <c r="A6" t="inlineStr">
        <is>
          <t>Aliases normalized</t>
        </is>
      </c>
      <c r="B6" t="n">
        <v>0</v>
      </c>
    </row>
    <row r="7">
      <c r="A7" t="inlineStr">
        <is>
          <t>Queue rows added</t>
        </is>
      </c>
      <c r="B7" t="n">
        <v>4</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173"/>
  <sheetViews>
    <sheetView workbookViewId="0">
      <selection activeCell="A1" sqref="A1"/>
    </sheetView>
  </sheetViews>
  <sheetFormatPr baseColWidth="8" defaultRowHeight="15"/>
  <cols>
    <col width="24.29000091552734" customWidth="1" min="1" max="1"/>
    <col width="27.56999969482422" customWidth="1" min="2" max="2"/>
    <col width="19" customWidth="1" min="3" max="3"/>
    <col width="16.13999938964844" customWidth="1" min="4" max="4"/>
    <col width="37.56999969482422" customWidth="1" min="5" max="5"/>
    <col width="27.13999938964844" customWidth="1" min="6" max="6"/>
    <col width="29.43000030517578" customWidth="1" min="7" max="7"/>
    <col width="15.71000003814697" customWidth="1" min="8" max="8"/>
    <col width="16.56999969482422" customWidth="1" min="9" max="9"/>
    <col width="24.43000030517578" customWidth="1" min="10" max="10"/>
    <col width="12.71000003814697" customWidth="1" min="11" max="11"/>
    <col width="147.1399993896484" customWidth="1" min="12" max="12"/>
    <col width="139" customWidth="1" min="13" max="13"/>
    <col width="130" customWidth="1" min="14" max="14"/>
  </cols>
  <sheetData>
    <row r="1">
      <c r="A1" t="inlineStr">
        <is>
          <t>Herb</t>
        </is>
      </c>
      <c r="B1" t="inlineStr">
        <is>
          <t>Slug</t>
        </is>
      </c>
      <c r="C1" t="inlineStr">
        <is>
          <t>Compound Count</t>
        </is>
      </c>
      <c r="D1" t="inlineStr">
        <is>
          <t>Pathway Count</t>
        </is>
      </c>
      <c r="E1" t="inlineStr">
        <is>
          <t>High-Confidence Compound Count</t>
        </is>
      </c>
      <c r="F1" t="inlineStr">
        <is>
          <t>Shared Compound Count</t>
        </is>
      </c>
      <c r="G1" t="inlineStr">
        <is>
          <t>Pharmacology Weight Total</t>
        </is>
      </c>
      <c r="H1" t="inlineStr">
        <is>
          <t>Strength Score</t>
        </is>
      </c>
      <c r="I1" t="inlineStr">
        <is>
          <t>Coverage Score</t>
        </is>
      </c>
      <c r="J1" t="inlineStr">
        <is>
          <t>Bundle Eligibility Score</t>
        </is>
      </c>
      <c r="K1" t="inlineStr">
        <is>
          <t>Priority Tier</t>
        </is>
      </c>
      <c r="L1" t="inlineStr">
        <is>
          <t>Top Pathways</t>
        </is>
      </c>
      <c r="M1" t="inlineStr">
        <is>
          <t>Top Target Specificity</t>
        </is>
      </c>
      <c r="N1" t="inlineStr">
        <is>
          <t>Pharmacology Profile</t>
        </is>
      </c>
    </row>
    <row r="2">
      <c r="A2" t="inlineStr">
        <is>
          <t>Ginkgo Biloba</t>
        </is>
      </c>
      <c r="B2" t="inlineStr">
        <is>
          <t>ginkgo-biloba</t>
        </is>
      </c>
      <c r="C2" t="n">
        <v>8</v>
      </c>
      <c r="D2" t="n">
        <v>8</v>
      </c>
      <c r="E2" t="n">
        <v>1</v>
      </c>
      <c r="F2" t="n">
        <v>1</v>
      </c>
      <c r="G2" t="n">
        <v>24</v>
      </c>
      <c r="H2" t="n">
        <v>60</v>
      </c>
      <c r="I2" t="n">
        <v>58</v>
      </c>
      <c r="J2" t="n">
        <v>49</v>
      </c>
      <c r="K2" t="inlineStr">
        <is>
          <t>Tier 1</t>
        </is>
      </c>
      <c r="L2" t="inlineStr">
        <is>
          <t>unclassified; oxidative stress reduction; NF-kB inhibition; mitochondrial support; neuroprotective signaling; PAF antagonism</t>
        </is>
      </c>
      <c r="M2" t="inlineStr">
        <is>
          <t>antioxidant signaling; neuroprotective signaling; platelet activating factor antagonist; anti-inflammatory and antioxidant signaling</t>
        </is>
      </c>
      <c r="N2" t="inlineStr">
        <is>
          <t>Flavonoid; Terpenoid; bilobalide; unclassified; oxidative stress reduction; NF-kB inhibition</t>
        </is>
      </c>
    </row>
    <row r="3">
      <c r="A3" t="inlineStr">
        <is>
          <t>Panax Ginseng</t>
        </is>
      </c>
      <c r="B3" t="inlineStr">
        <is>
          <t>panax-ginseng</t>
        </is>
      </c>
      <c r="C3" t="n">
        <v>8</v>
      </c>
      <c r="D3" t="n">
        <v>8</v>
      </c>
      <c r="E3" t="n">
        <v>0</v>
      </c>
      <c r="F3" t="n">
        <v>0</v>
      </c>
      <c r="G3" t="n">
        <v>26</v>
      </c>
      <c r="H3" t="n">
        <v>65</v>
      </c>
      <c r="I3" t="n">
        <v>55</v>
      </c>
      <c r="J3" t="n">
        <v>48</v>
      </c>
      <c r="K3" t="inlineStr">
        <is>
          <t>Tier 1</t>
        </is>
      </c>
      <c r="L3" t="inlineStr">
        <is>
          <t>cognitive modulation; unclassified; metabolic signaling; stress-response modulation; cholinergic modulation; neurotrophic signaling</t>
        </is>
      </c>
      <c r="M3" t="inlineStr">
        <is>
          <t>cholinergic modulation; cognitive support signaling; neurotrophic signaling; neuroprotective signaling</t>
        </is>
      </c>
      <c r="N3" t="inlineStr">
        <is>
          <t>Saponin; cognitive modulation; unclassified; metabolic signaling</t>
        </is>
      </c>
    </row>
    <row r="4">
      <c r="A4" t="inlineStr">
        <is>
          <t>Green Tea</t>
        </is>
      </c>
      <c r="B4" t="inlineStr">
        <is>
          <t>camellia-sinensis</t>
        </is>
      </c>
      <c r="C4" t="n">
        <v>5</v>
      </c>
      <c r="D4" t="n">
        <v>9</v>
      </c>
      <c r="E4" t="n">
        <v>1</v>
      </c>
      <c r="F4" t="n">
        <v>0</v>
      </c>
      <c r="G4" t="n">
        <v>19</v>
      </c>
      <c r="H4" t="n">
        <v>48</v>
      </c>
      <c r="I4" t="n">
        <v>51</v>
      </c>
      <c r="J4" t="n">
        <v>39</v>
      </c>
      <c r="K4" t="inlineStr">
        <is>
          <t>Tier 1</t>
        </is>
      </c>
      <c r="L4" t="inlineStr">
        <is>
          <t>oxidative stress reduction; adenosine A1 antagonism; adenosine A2A antagonism; stimulant CNS signaling; unclassified; AMPK activation</t>
        </is>
      </c>
      <c r="M4" t="inlineStr">
        <is>
          <t>antioxidant signaling; A1 antagonist; A2A antagonist; antioxidant and metabolic signaling</t>
        </is>
      </c>
      <c r="N4" t="inlineStr">
        <is>
          <t>Polyphenol; Alkaloid; Amino Acid; oxidative stress reduction; adenosine A1 antagonism; adenosine A2A antagonism</t>
        </is>
      </c>
    </row>
    <row r="5">
      <c r="A5" t="inlineStr">
        <is>
          <t>Chamomile</t>
        </is>
      </c>
      <c r="B5" t="inlineStr">
        <is>
          <t>chamomile</t>
        </is>
      </c>
      <c r="C5" t="n">
        <v>6</v>
      </c>
      <c r="D5" t="n">
        <v>5</v>
      </c>
      <c r="E5" t="n">
        <v>0</v>
      </c>
      <c r="F5" t="n">
        <v>0</v>
      </c>
      <c r="G5" t="n">
        <v>14</v>
      </c>
      <c r="H5" t="n">
        <v>35</v>
      </c>
      <c r="I5" t="n">
        <v>38</v>
      </c>
      <c r="J5" t="n">
        <v>29</v>
      </c>
      <c r="K5" t="inlineStr">
        <is>
          <t>Tier 1</t>
        </is>
      </c>
      <c r="L5" t="inlineStr">
        <is>
          <t>unclassified; GABA-A modulation; NF-kB inhibition; anxiolytic signaling; adrenergic signaling</t>
        </is>
      </c>
      <c r="M5" t="inlineStr">
        <is>
          <t>GABA-A modulation; anti-inflammatory signaling</t>
        </is>
      </c>
      <c r="N5" t="inlineStr">
        <is>
          <t>Flavonoid; alpha-bisabolol; apigenin; unclassified; GABA-A modulation; NF-kB inhibition</t>
        </is>
      </c>
    </row>
    <row r="6">
      <c r="A6" t="inlineStr">
        <is>
          <t>Chinese Skullcap</t>
        </is>
      </c>
      <c r="B6" t="inlineStr">
        <is>
          <t>scutellaria-baicalensis</t>
        </is>
      </c>
      <c r="C6" t="n">
        <v>5</v>
      </c>
      <c r="D6" t="n">
        <v>3</v>
      </c>
      <c r="E6" t="n">
        <v>0</v>
      </c>
      <c r="F6" t="n">
        <v>0</v>
      </c>
      <c r="G6" t="n">
        <v>15</v>
      </c>
      <c r="H6" t="n">
        <v>38</v>
      </c>
      <c r="I6" t="n">
        <v>27</v>
      </c>
      <c r="J6" t="n">
        <v>27</v>
      </c>
      <c r="K6" t="inlineStr">
        <is>
          <t>Tier 1</t>
        </is>
      </c>
      <c r="L6" t="inlineStr">
        <is>
          <t>NF-kB inhibition; neuroprotective signaling; unclassified</t>
        </is>
      </c>
      <c r="M6" t="inlineStr">
        <is>
          <t>anti-inflammatory and neuroprotective signaling; anti-inflammatory signaling</t>
        </is>
      </c>
      <c r="N6" t="inlineStr">
        <is>
          <t>Flavonoid; wogonin; NF-kB inhibition; neuroprotective signaling; unclassified</t>
        </is>
      </c>
    </row>
    <row r="7">
      <c r="A7" t="inlineStr">
        <is>
          <t>Epimedium</t>
        </is>
      </c>
      <c r="B7" t="inlineStr">
        <is>
          <t>epimedium</t>
        </is>
      </c>
      <c r="C7" t="n">
        <v>5</v>
      </c>
      <c r="D7" t="n">
        <v>3</v>
      </c>
      <c r="E7" t="n">
        <v>0</v>
      </c>
      <c r="F7" t="n">
        <v>0</v>
      </c>
      <c r="G7" t="n">
        <v>15</v>
      </c>
      <c r="H7" t="n">
        <v>38</v>
      </c>
      <c r="I7" t="n">
        <v>27</v>
      </c>
      <c r="J7" t="n">
        <v>27</v>
      </c>
      <c r="K7" t="inlineStr">
        <is>
          <t>Tier 1</t>
        </is>
      </c>
      <c r="L7" t="inlineStr">
        <is>
          <t>nitric oxide signaling; unclassified; PDE5-related signaling</t>
        </is>
      </c>
      <c r="M7" t="inlineStr">
        <is>
          <t>nitric oxide signaling; PDE5-related signaling; nitric oxide pathway support</t>
        </is>
      </c>
      <c r="N7" t="inlineStr">
        <is>
          <t>Flavonoid; icariin; nitric oxide signaling; unclassified; PDE5-related signaling</t>
        </is>
      </c>
    </row>
    <row r="8">
      <c r="A8" t="inlineStr">
        <is>
          <t>Ashwagandha</t>
        </is>
      </c>
      <c r="B8" t="inlineStr">
        <is>
          <t>ashwagandha</t>
        </is>
      </c>
      <c r="C8" t="n">
        <v>4</v>
      </c>
      <c r="D8" t="n">
        <v>5</v>
      </c>
      <c r="E8" t="n">
        <v>0</v>
      </c>
      <c r="F8" t="n">
        <v>0</v>
      </c>
      <c r="G8" t="n">
        <v>11</v>
      </c>
      <c r="H8" t="n">
        <v>28</v>
      </c>
      <c r="I8" t="n">
        <v>31</v>
      </c>
      <c r="J8" t="n">
        <v>23</v>
      </c>
      <c r="K8" t="inlineStr">
        <is>
          <t>Tier 1</t>
        </is>
      </c>
      <c r="L8" t="inlineStr">
        <is>
          <t>unclassified; NF-kB inhibition; cytoprotective signaling; neuroprotective signaling; stress-response modulation</t>
        </is>
      </c>
      <c r="M8" t="inlineStr">
        <is>
          <t>NF-kB modulation; cytoprotective signaling; stress-response signaling</t>
        </is>
      </c>
      <c r="N8" t="inlineStr">
        <is>
          <t>Steroidal lactone; unclassified; NF-kB inhibition; cytoprotective signaling</t>
        </is>
      </c>
    </row>
    <row r="9">
      <c r="A9" t="inlineStr">
        <is>
          <t>Turmeric</t>
        </is>
      </c>
      <c r="B9" t="inlineStr">
        <is>
          <t>turmeric</t>
        </is>
      </c>
      <c r="C9" t="n">
        <v>6</v>
      </c>
      <c r="D9" t="n">
        <v>1</v>
      </c>
      <c r="E9" t="n">
        <v>0</v>
      </c>
      <c r="F9" t="n">
        <v>0</v>
      </c>
      <c r="G9" t="n">
        <v>12</v>
      </c>
      <c r="H9" t="n">
        <v>30</v>
      </c>
      <c r="I9" t="n">
        <v>24</v>
      </c>
      <c r="J9" t="n">
        <v>22</v>
      </c>
      <c r="K9" t="inlineStr">
        <is>
          <t>Tier 1</t>
        </is>
      </c>
      <c r="L9" t="inlineStr">
        <is>
          <t>unclassified</t>
        </is>
      </c>
      <c r="N9" t="inlineStr">
        <is>
          <t>Polyphenol; bisdemethoxycurcumin; curcumin; unclassified</t>
        </is>
      </c>
    </row>
    <row r="10">
      <c r="A10" t="inlineStr">
        <is>
          <t>Blue Lotus</t>
        </is>
      </c>
      <c r="B10" t="inlineStr">
        <is>
          <t>blue-lotus</t>
        </is>
      </c>
      <c r="C10" t="n">
        <v>5</v>
      </c>
      <c r="D10" t="n">
        <v>1</v>
      </c>
      <c r="E10" t="n">
        <v>0</v>
      </c>
      <c r="F10" t="n">
        <v>0</v>
      </c>
      <c r="G10" t="n">
        <v>10</v>
      </c>
      <c r="H10" t="n">
        <v>25</v>
      </c>
      <c r="I10" t="n">
        <v>20</v>
      </c>
      <c r="J10" t="n">
        <v>18</v>
      </c>
      <c r="K10" t="inlineStr">
        <is>
          <t>Tier 1</t>
        </is>
      </c>
      <c r="L10" t="inlineStr">
        <is>
          <t>unclassified</t>
        </is>
      </c>
      <c r="N10" t="inlineStr">
        <is>
          <t>apomorphine; nuciferine; puerarin; unclassified</t>
        </is>
      </c>
    </row>
    <row r="11">
      <c r="A11" t="inlineStr">
        <is>
          <t>Black Pepper</t>
        </is>
      </c>
      <c r="B11" t="inlineStr">
        <is>
          <t>black-pepper</t>
        </is>
      </c>
      <c r="C11" t="n">
        <v>3</v>
      </c>
      <c r="D11" t="n">
        <v>3</v>
      </c>
      <c r="E11" t="n">
        <v>0</v>
      </c>
      <c r="F11" t="n">
        <v>0</v>
      </c>
      <c r="G11" t="n">
        <v>9</v>
      </c>
      <c r="H11" t="n">
        <v>22</v>
      </c>
      <c r="I11" t="n">
        <v>20</v>
      </c>
      <c r="J11" t="n">
        <v>17</v>
      </c>
      <c r="K11" t="inlineStr">
        <is>
          <t>Tier 1</t>
        </is>
      </c>
      <c r="L11" t="inlineStr">
        <is>
          <t>bioavailability modulation; absorption enhancement; unclassified</t>
        </is>
      </c>
      <c r="M11" t="inlineStr">
        <is>
          <t>bioavailability-related signaling; drug-metabolism and absorption-related modulation</t>
        </is>
      </c>
      <c r="N11" t="inlineStr">
        <is>
          <t>Alkaloid; piperine; bioavailability modulation; absorption enhancement; unclassified</t>
        </is>
      </c>
    </row>
    <row r="12">
      <c r="A12" t="inlineStr">
        <is>
          <t>Black Cohosh</t>
        </is>
      </c>
      <c r="B12" t="inlineStr">
        <is>
          <t>black-cohosh</t>
        </is>
      </c>
      <c r="C12" t="n">
        <v>3</v>
      </c>
      <c r="D12" t="n">
        <v>4</v>
      </c>
      <c r="E12" t="n">
        <v>0</v>
      </c>
      <c r="F12" t="n">
        <v>0</v>
      </c>
      <c r="G12" t="n">
        <v>8</v>
      </c>
      <c r="H12" t="n">
        <v>20</v>
      </c>
      <c r="I12" t="n">
        <v>24</v>
      </c>
      <c r="J12" t="n">
        <v>17</v>
      </c>
      <c r="K12" t="inlineStr">
        <is>
          <t>Tier 1</t>
        </is>
      </c>
      <c r="L12" t="inlineStr">
        <is>
          <t>anti-inflammatory signaling; serotonergic signaling; oxidative stress reduction; unclassified</t>
        </is>
      </c>
      <c r="M12" t="inlineStr">
        <is>
          <t>serotonergic and anti-inflammatory signaling; anti-inflammatory and antioxidant signaling</t>
        </is>
      </c>
      <c r="N12" t="inlineStr">
        <is>
          <t>Triterpene glycoside; Phenolic acid; actein; anti-inflammatory signaling; serotonergic signaling; oxidative stress reduction</t>
        </is>
      </c>
    </row>
    <row r="13">
      <c r="A13" t="inlineStr">
        <is>
          <t>Corydalis</t>
        </is>
      </c>
      <c r="B13" t="inlineStr">
        <is>
          <t>corydalis-yanhusuo</t>
        </is>
      </c>
      <c r="C13" t="n">
        <v>2</v>
      </c>
      <c r="D13" t="n">
        <v>3</v>
      </c>
      <c r="E13" t="n">
        <v>0</v>
      </c>
      <c r="F13" t="n">
        <v>0</v>
      </c>
      <c r="G13" t="n">
        <v>6</v>
      </c>
      <c r="H13" t="n">
        <v>15</v>
      </c>
      <c r="I13" t="n">
        <v>17</v>
      </c>
      <c r="J13" t="n">
        <v>13</v>
      </c>
      <c r="K13" t="inlineStr">
        <is>
          <t>Tier 1</t>
        </is>
      </c>
      <c r="L13" t="inlineStr">
        <is>
          <t>analgesic signaling; dopamine signaling; unclassified</t>
        </is>
      </c>
      <c r="M13" t="inlineStr">
        <is>
          <t>dopaminergic modulation</t>
        </is>
      </c>
      <c r="N13" t="inlineStr">
        <is>
          <t>Alkaloid; dehydrocorybulbine; analgesic signaling; dopamine signaling; unclassified</t>
        </is>
      </c>
    </row>
    <row r="14">
      <c r="A14" t="inlineStr">
        <is>
          <t>Ajwain</t>
        </is>
      </c>
      <c r="B14" t="inlineStr">
        <is>
          <t>ajwain</t>
        </is>
      </c>
      <c r="C14" t="n">
        <v>3</v>
      </c>
      <c r="D14" t="n">
        <v>1</v>
      </c>
      <c r="E14" t="n">
        <v>0</v>
      </c>
      <c r="F14" t="n">
        <v>0</v>
      </c>
      <c r="G14" t="n">
        <v>6</v>
      </c>
      <c r="H14" t="n">
        <v>15</v>
      </c>
      <c r="I14" t="n">
        <v>14</v>
      </c>
      <c r="J14" t="n">
        <v>12</v>
      </c>
      <c r="K14" t="inlineStr">
        <is>
          <t>Tier 1</t>
        </is>
      </c>
      <c r="L14" t="inlineStr">
        <is>
          <t>unclassified</t>
        </is>
      </c>
      <c r="N14" t="inlineStr">
        <is>
          <t>carvacrol; thymol; unclassified</t>
        </is>
      </c>
    </row>
    <row r="15">
      <c r="A15" t="inlineStr">
        <is>
          <t>Arjuna</t>
        </is>
      </c>
      <c r="B15" t="inlineStr">
        <is>
          <t>arjuna</t>
        </is>
      </c>
      <c r="C15" t="n">
        <v>2</v>
      </c>
      <c r="D15" t="n">
        <v>2</v>
      </c>
      <c r="E15" t="n">
        <v>0</v>
      </c>
      <c r="F15" t="n">
        <v>0</v>
      </c>
      <c r="G15" t="n">
        <v>5</v>
      </c>
      <c r="H15" t="n">
        <v>12</v>
      </c>
      <c r="I15" t="n">
        <v>14</v>
      </c>
      <c r="J15" t="n">
        <v>10</v>
      </c>
      <c r="K15" t="inlineStr">
        <is>
          <t>Tier 1</t>
        </is>
      </c>
      <c r="L15" t="inlineStr">
        <is>
          <t>cardiovascular signaling; unclassified</t>
        </is>
      </c>
      <c r="M15" t="inlineStr">
        <is>
          <t>cardiovascular protective signaling</t>
        </is>
      </c>
      <c r="N15" t="inlineStr">
        <is>
          <t>Triterpenoid; arjunolic acid; cardiovascular signaling; unclassified</t>
        </is>
      </c>
    </row>
    <row r="16">
      <c r="A16" t="inlineStr">
        <is>
          <t>Agarikon</t>
        </is>
      </c>
      <c r="B16" t="inlineStr">
        <is>
          <t>agarikon</t>
        </is>
      </c>
      <c r="C16" t="n">
        <v>1</v>
      </c>
      <c r="D16" t="n">
        <v>1</v>
      </c>
      <c r="E16" t="n">
        <v>0</v>
      </c>
      <c r="F16" t="n">
        <v>0</v>
      </c>
      <c r="G16" t="n">
        <v>2</v>
      </c>
      <c r="H16" t="n">
        <v>5</v>
      </c>
      <c r="I16" t="n">
        <v>7</v>
      </c>
      <c r="J16" t="n">
        <v>5</v>
      </c>
      <c r="K16" t="inlineStr">
        <is>
          <t>Tier 1</t>
        </is>
      </c>
      <c r="L16" t="inlineStr">
        <is>
          <t>unclassified</t>
        </is>
      </c>
      <c r="N16" t="inlineStr">
        <is>
          <t>agaric acid; unclassified</t>
        </is>
      </c>
    </row>
    <row r="17">
      <c r="A17" t="inlineStr">
        <is>
          <t>Angelica Root</t>
        </is>
      </c>
      <c r="B17" t="inlineStr">
        <is>
          <t>angelica-root</t>
        </is>
      </c>
      <c r="C17" t="n">
        <v>1</v>
      </c>
      <c r="D17" t="n">
        <v>1</v>
      </c>
      <c r="E17" t="n">
        <v>0</v>
      </c>
      <c r="F17" t="n">
        <v>0</v>
      </c>
      <c r="G17" t="n">
        <v>2</v>
      </c>
      <c r="H17" t="n">
        <v>5</v>
      </c>
      <c r="I17" t="n">
        <v>7</v>
      </c>
      <c r="J17" t="n">
        <v>5</v>
      </c>
      <c r="K17" t="inlineStr">
        <is>
          <t>Tier 1</t>
        </is>
      </c>
      <c r="L17" t="inlineStr">
        <is>
          <t>unclassified</t>
        </is>
      </c>
      <c r="N17" t="inlineStr">
        <is>
          <t>angelicin; unclassified</t>
        </is>
      </c>
    </row>
    <row r="18">
      <c r="A18" t="inlineStr">
        <is>
          <t>Artichoke</t>
        </is>
      </c>
      <c r="B18" t="inlineStr">
        <is>
          <t>artichoke</t>
        </is>
      </c>
      <c r="C18" t="n">
        <v>1</v>
      </c>
      <c r="D18" t="n">
        <v>1</v>
      </c>
      <c r="E18" t="n">
        <v>0</v>
      </c>
      <c r="F18" t="n">
        <v>0</v>
      </c>
      <c r="G18" t="n">
        <v>2</v>
      </c>
      <c r="H18" t="n">
        <v>5</v>
      </c>
      <c r="I18" t="n">
        <v>7</v>
      </c>
      <c r="J18" t="n">
        <v>5</v>
      </c>
      <c r="K18" t="inlineStr">
        <is>
          <t>Tier 1</t>
        </is>
      </c>
      <c r="L18" t="inlineStr">
        <is>
          <t>unclassified</t>
        </is>
      </c>
      <c r="N18" t="inlineStr">
        <is>
          <t>cynarin; unclassified</t>
        </is>
      </c>
    </row>
    <row r="19">
      <c r="A19" t="inlineStr">
        <is>
          <t>Ashitaba</t>
        </is>
      </c>
      <c r="B19" t="inlineStr">
        <is>
          <t>ashitaba</t>
        </is>
      </c>
      <c r="C19" t="n">
        <v>1</v>
      </c>
      <c r="D19" t="n">
        <v>1</v>
      </c>
      <c r="E19" t="n">
        <v>0</v>
      </c>
      <c r="F19" t="n">
        <v>0</v>
      </c>
      <c r="G19" t="n">
        <v>2</v>
      </c>
      <c r="H19" t="n">
        <v>5</v>
      </c>
      <c r="I19" t="n">
        <v>7</v>
      </c>
      <c r="J19" t="n">
        <v>5</v>
      </c>
      <c r="K19" t="inlineStr">
        <is>
          <t>Tier 1</t>
        </is>
      </c>
      <c r="L19" t="inlineStr">
        <is>
          <t>unclassified</t>
        </is>
      </c>
      <c r="N19" t="inlineStr">
        <is>
          <t>4-hydroxyderricin; unclassified</t>
        </is>
      </c>
    </row>
    <row r="20">
      <c r="A20" t="inlineStr">
        <is>
          <t>Ashoka</t>
        </is>
      </c>
      <c r="B20" t="inlineStr">
        <is>
          <t>ashoka</t>
        </is>
      </c>
      <c r="C20" t="n">
        <v>1</v>
      </c>
      <c r="D20" t="n">
        <v>1</v>
      </c>
      <c r="E20" t="n">
        <v>0</v>
      </c>
      <c r="F20" t="n">
        <v>0</v>
      </c>
      <c r="G20" t="n">
        <v>2</v>
      </c>
      <c r="H20" t="n">
        <v>5</v>
      </c>
      <c r="I20" t="n">
        <v>7</v>
      </c>
      <c r="J20" t="n">
        <v>5</v>
      </c>
      <c r="K20" t="inlineStr">
        <is>
          <t>Tier 1</t>
        </is>
      </c>
      <c r="L20" t="inlineStr">
        <is>
          <t>unclassified</t>
        </is>
      </c>
      <c r="N20" t="inlineStr">
        <is>
          <t>catechins (egcg); unclassified</t>
        </is>
      </c>
    </row>
    <row r="21">
      <c r="A21" t="inlineStr">
        <is>
          <t>Banaba</t>
        </is>
      </c>
      <c r="B21" t="inlineStr">
        <is>
          <t>banaba</t>
        </is>
      </c>
      <c r="C21" t="n">
        <v>1</v>
      </c>
      <c r="D21" t="n">
        <v>1</v>
      </c>
      <c r="E21" t="n">
        <v>0</v>
      </c>
      <c r="F21" t="n">
        <v>0</v>
      </c>
      <c r="G21" t="n">
        <v>2</v>
      </c>
      <c r="H21" t="n">
        <v>5</v>
      </c>
      <c r="I21" t="n">
        <v>7</v>
      </c>
      <c r="J21" t="n">
        <v>5</v>
      </c>
      <c r="K21" t="inlineStr">
        <is>
          <t>Tier 1</t>
        </is>
      </c>
      <c r="L21" t="inlineStr">
        <is>
          <t>unclassified</t>
        </is>
      </c>
      <c r="N21" t="inlineStr">
        <is>
          <t>corosolic acid; unclassified</t>
        </is>
      </c>
    </row>
    <row r="22">
      <c r="A22" t="inlineStr">
        <is>
          <t>Boldo</t>
        </is>
      </c>
      <c r="B22" t="inlineStr">
        <is>
          <t>boldo</t>
        </is>
      </c>
      <c r="C22" t="n">
        <v>1</v>
      </c>
      <c r="D22" t="n">
        <v>1</v>
      </c>
      <c r="E22" t="n">
        <v>0</v>
      </c>
      <c r="F22" t="n">
        <v>0</v>
      </c>
      <c r="G22" t="n">
        <v>2</v>
      </c>
      <c r="H22" t="n">
        <v>5</v>
      </c>
      <c r="I22" t="n">
        <v>7</v>
      </c>
      <c r="J22" t="n">
        <v>5</v>
      </c>
      <c r="K22" t="inlineStr">
        <is>
          <t>Tier 1</t>
        </is>
      </c>
      <c r="L22" t="inlineStr">
        <is>
          <t>unclassified</t>
        </is>
      </c>
      <c r="N22" t="inlineStr">
        <is>
          <t>boldine; unclassified</t>
        </is>
      </c>
    </row>
    <row r="23">
      <c r="A23" t="inlineStr">
        <is>
          <t>Burdock</t>
        </is>
      </c>
      <c r="B23" t="inlineStr">
        <is>
          <t>burdock</t>
        </is>
      </c>
      <c r="C23" t="n">
        <v>1</v>
      </c>
      <c r="D23" t="n">
        <v>1</v>
      </c>
      <c r="E23" t="n">
        <v>0</v>
      </c>
      <c r="F23" t="n">
        <v>0</v>
      </c>
      <c r="G23" t="n">
        <v>2</v>
      </c>
      <c r="H23" t="n">
        <v>5</v>
      </c>
      <c r="I23" t="n">
        <v>7</v>
      </c>
      <c r="J23" t="n">
        <v>5</v>
      </c>
      <c r="K23" t="inlineStr">
        <is>
          <t>Tier 1</t>
        </is>
      </c>
      <c r="L23" t="inlineStr">
        <is>
          <t>unclassified</t>
        </is>
      </c>
      <c r="N23" t="inlineStr">
        <is>
          <t>arctiin; unclassified</t>
        </is>
      </c>
    </row>
    <row r="24">
      <c r="A24" t="inlineStr">
        <is>
          <t>Butterbur</t>
        </is>
      </c>
      <c r="B24" t="inlineStr">
        <is>
          <t>butterbur</t>
        </is>
      </c>
      <c r="C24" t="n">
        <v>1</v>
      </c>
      <c r="D24" t="n">
        <v>1</v>
      </c>
      <c r="E24" t="n">
        <v>0</v>
      </c>
      <c r="F24" t="n">
        <v>0</v>
      </c>
      <c r="G24" t="n">
        <v>2</v>
      </c>
      <c r="H24" t="n">
        <v>5</v>
      </c>
      <c r="I24" t="n">
        <v>7</v>
      </c>
      <c r="J24" t="n">
        <v>5</v>
      </c>
      <c r="K24" t="inlineStr">
        <is>
          <t>Tier 1</t>
        </is>
      </c>
      <c r="L24" t="inlineStr">
        <is>
          <t>unclassified</t>
        </is>
      </c>
      <c r="N24" t="inlineStr">
        <is>
          <t>ferulic acid; unclassified</t>
        </is>
      </c>
    </row>
    <row r="25">
      <c r="A25" t="inlineStr">
        <is>
          <t>Calendula</t>
        </is>
      </c>
      <c r="B25" t="inlineStr">
        <is>
          <t>calendula</t>
        </is>
      </c>
      <c r="C25" t="n">
        <v>1</v>
      </c>
      <c r="D25" t="n">
        <v>1</v>
      </c>
      <c r="E25" t="n">
        <v>0</v>
      </c>
      <c r="F25" t="n">
        <v>0</v>
      </c>
      <c r="G25" t="n">
        <v>2</v>
      </c>
      <c r="H25" t="n">
        <v>5</v>
      </c>
      <c r="I25" t="n">
        <v>7</v>
      </c>
      <c r="J25" t="n">
        <v>5</v>
      </c>
      <c r="K25" t="inlineStr">
        <is>
          <t>Tier 1</t>
        </is>
      </c>
      <c r="L25" t="inlineStr">
        <is>
          <t>unclassified</t>
        </is>
      </c>
      <c r="N25" t="inlineStr">
        <is>
          <t>faradiol; unclassified</t>
        </is>
      </c>
    </row>
    <row r="26">
      <c r="A26" t="inlineStr">
        <is>
          <t>Caraway</t>
        </is>
      </c>
      <c r="B26" t="inlineStr">
        <is>
          <t>caraway</t>
        </is>
      </c>
      <c r="C26" t="n">
        <v>1</v>
      </c>
      <c r="D26" t="n">
        <v>1</v>
      </c>
      <c r="E26" t="n">
        <v>0</v>
      </c>
      <c r="F26" t="n">
        <v>0</v>
      </c>
      <c r="G26" t="n">
        <v>2</v>
      </c>
      <c r="H26" t="n">
        <v>5</v>
      </c>
      <c r="I26" t="n">
        <v>7</v>
      </c>
      <c r="J26" t="n">
        <v>5</v>
      </c>
      <c r="K26" t="inlineStr">
        <is>
          <t>Tier 1</t>
        </is>
      </c>
      <c r="L26" t="inlineStr">
        <is>
          <t>unclassified</t>
        </is>
      </c>
      <c r="N26" t="inlineStr">
        <is>
          <t>carvone; unclassified</t>
        </is>
      </c>
    </row>
    <row r="27">
      <c r="A27" t="inlineStr">
        <is>
          <t>Cardamom</t>
        </is>
      </c>
      <c r="B27" t="inlineStr">
        <is>
          <t>cardamom</t>
        </is>
      </c>
      <c r="C27" t="n">
        <v>1</v>
      </c>
      <c r="D27" t="n">
        <v>1</v>
      </c>
      <c r="E27" t="n">
        <v>0</v>
      </c>
      <c r="F27" t="n">
        <v>0</v>
      </c>
      <c r="G27" t="n">
        <v>2</v>
      </c>
      <c r="H27" t="n">
        <v>5</v>
      </c>
      <c r="I27" t="n">
        <v>7</v>
      </c>
      <c r="J27" t="n">
        <v>5</v>
      </c>
      <c r="K27" t="inlineStr">
        <is>
          <t>Tier 1</t>
        </is>
      </c>
      <c r="L27" t="inlineStr">
        <is>
          <t>unclassified</t>
        </is>
      </c>
      <c r="N27" t="inlineStr">
        <is>
          <t>terpinyl acetate; unclassified</t>
        </is>
      </c>
    </row>
    <row r="28">
      <c r="A28" t="inlineStr">
        <is>
          <t>Celastrus Paniculatus</t>
        </is>
      </c>
      <c r="B28" t="inlineStr">
        <is>
          <t>celastrus-paniculatus</t>
        </is>
      </c>
      <c r="C28" t="n">
        <v>1</v>
      </c>
      <c r="D28" t="n">
        <v>1</v>
      </c>
      <c r="E28" t="n">
        <v>0</v>
      </c>
      <c r="F28" t="n">
        <v>0</v>
      </c>
      <c r="G28" t="n">
        <v>2</v>
      </c>
      <c r="H28" t="n">
        <v>5</v>
      </c>
      <c r="I28" t="n">
        <v>7</v>
      </c>
      <c r="J28" t="n">
        <v>5</v>
      </c>
      <c r="K28" t="inlineStr">
        <is>
          <t>Tier 1</t>
        </is>
      </c>
      <c r="L28" t="inlineStr">
        <is>
          <t>unclassified</t>
        </is>
      </c>
      <c r="N28" t="inlineStr">
        <is>
          <t>Alkaloid; unclassified</t>
        </is>
      </c>
    </row>
    <row r="29">
      <c r="A29" t="inlineStr">
        <is>
          <t>Cinnamon</t>
        </is>
      </c>
      <c r="B29" t="inlineStr">
        <is>
          <t>cinnamon</t>
        </is>
      </c>
      <c r="C29" t="n">
        <v>1</v>
      </c>
      <c r="D29" t="n">
        <v>1</v>
      </c>
      <c r="E29" t="n">
        <v>0</v>
      </c>
      <c r="F29" t="n">
        <v>0</v>
      </c>
      <c r="G29" t="n">
        <v>2</v>
      </c>
      <c r="H29" t="n">
        <v>5</v>
      </c>
      <c r="I29" t="n">
        <v>7</v>
      </c>
      <c r="J29" t="n">
        <v>5</v>
      </c>
      <c r="K29" t="inlineStr">
        <is>
          <t>Tier 1</t>
        </is>
      </c>
      <c r="L29" t="inlineStr">
        <is>
          <t>unclassified</t>
        </is>
      </c>
      <c r="N29" t="inlineStr">
        <is>
          <t>cinnamaldehyde; unclassified</t>
        </is>
      </c>
    </row>
    <row r="30">
      <c r="A30" t="inlineStr">
        <is>
          <t>Cistanche</t>
        </is>
      </c>
      <c r="B30" t="inlineStr">
        <is>
          <t>cistanche</t>
        </is>
      </c>
      <c r="C30" t="n">
        <v>1</v>
      </c>
      <c r="D30" t="n">
        <v>1</v>
      </c>
      <c r="E30" t="n">
        <v>0</v>
      </c>
      <c r="F30" t="n">
        <v>0</v>
      </c>
      <c r="G30" t="n">
        <v>2</v>
      </c>
      <c r="H30" t="n">
        <v>5</v>
      </c>
      <c r="I30" t="n">
        <v>7</v>
      </c>
      <c r="J30" t="n">
        <v>5</v>
      </c>
      <c r="K30" t="inlineStr">
        <is>
          <t>Tier 1</t>
        </is>
      </c>
      <c r="L30" t="inlineStr">
        <is>
          <t>unclassified</t>
        </is>
      </c>
      <c r="N30" t="inlineStr">
        <is>
          <t>echinacoside; unclassified</t>
        </is>
      </c>
    </row>
    <row r="31">
      <c r="A31" t="inlineStr">
        <is>
          <t>Cordyceps</t>
        </is>
      </c>
      <c r="B31" t="inlineStr">
        <is>
          <t>cordyceps</t>
        </is>
      </c>
      <c r="C31" t="n">
        <v>1</v>
      </c>
      <c r="D31" t="n">
        <v>1</v>
      </c>
      <c r="E31" t="n">
        <v>0</v>
      </c>
      <c r="F31" t="n">
        <v>0</v>
      </c>
      <c r="G31" t="n">
        <v>2</v>
      </c>
      <c r="H31" t="n">
        <v>5</v>
      </c>
      <c r="I31" t="n">
        <v>7</v>
      </c>
      <c r="J31" t="n">
        <v>5</v>
      </c>
      <c r="K31" t="inlineStr">
        <is>
          <t>Tier 1</t>
        </is>
      </c>
      <c r="L31" t="inlineStr">
        <is>
          <t>unclassified</t>
        </is>
      </c>
      <c r="N31" t="inlineStr">
        <is>
          <t>cordycepin; unclassified</t>
        </is>
      </c>
    </row>
    <row r="32">
      <c r="A32" t="inlineStr">
        <is>
          <t>Curry Leaf</t>
        </is>
      </c>
      <c r="B32" t="inlineStr">
        <is>
          <t>curry-leaf</t>
        </is>
      </c>
      <c r="C32" t="n">
        <v>1</v>
      </c>
      <c r="D32" t="n">
        <v>1</v>
      </c>
      <c r="E32" t="n">
        <v>0</v>
      </c>
      <c r="F32" t="n">
        <v>0</v>
      </c>
      <c r="G32" t="n">
        <v>2</v>
      </c>
      <c r="H32" t="n">
        <v>5</v>
      </c>
      <c r="I32" t="n">
        <v>7</v>
      </c>
      <c r="J32" t="n">
        <v>5</v>
      </c>
      <c r="K32" t="inlineStr">
        <is>
          <t>Tier 1</t>
        </is>
      </c>
      <c r="L32" t="inlineStr">
        <is>
          <t>unclassified</t>
        </is>
      </c>
      <c r="N32" t="inlineStr">
        <is>
          <t>mahanimbine; unclassified</t>
        </is>
      </c>
    </row>
    <row r="33">
      <c r="A33" t="inlineStr">
        <is>
          <t>Damiana</t>
        </is>
      </c>
      <c r="B33" t="inlineStr">
        <is>
          <t>damiana</t>
        </is>
      </c>
      <c r="C33" t="n">
        <v>1</v>
      </c>
      <c r="D33" t="n">
        <v>1</v>
      </c>
      <c r="E33" t="n">
        <v>0</v>
      </c>
      <c r="F33" t="n">
        <v>0</v>
      </c>
      <c r="G33" t="n">
        <v>2</v>
      </c>
      <c r="H33" t="n">
        <v>5</v>
      </c>
      <c r="I33" t="n">
        <v>7</v>
      </c>
      <c r="J33" t="n">
        <v>5</v>
      </c>
      <c r="K33" t="inlineStr">
        <is>
          <t>Tier 1</t>
        </is>
      </c>
      <c r="L33" t="inlineStr">
        <is>
          <t>unclassified</t>
        </is>
      </c>
      <c r="N33" t="inlineStr">
        <is>
          <t>nuciferine; unclassified</t>
        </is>
      </c>
    </row>
    <row r="34">
      <c r="A34" t="inlineStr">
        <is>
          <t>Dandelion</t>
        </is>
      </c>
      <c r="B34" t="inlineStr">
        <is>
          <t>dandelion</t>
        </is>
      </c>
      <c r="C34" t="n">
        <v>1</v>
      </c>
      <c r="D34" t="n">
        <v>1</v>
      </c>
      <c r="E34" t="n">
        <v>0</v>
      </c>
      <c r="F34" t="n">
        <v>0</v>
      </c>
      <c r="G34" t="n">
        <v>2</v>
      </c>
      <c r="H34" t="n">
        <v>5</v>
      </c>
      <c r="I34" t="n">
        <v>7</v>
      </c>
      <c r="J34" t="n">
        <v>5</v>
      </c>
      <c r="K34" t="inlineStr">
        <is>
          <t>Tier 1</t>
        </is>
      </c>
      <c r="L34" t="inlineStr">
        <is>
          <t>unclassified</t>
        </is>
      </c>
      <c r="N34" t="inlineStr">
        <is>
          <t>taraxasterol; unclassified</t>
        </is>
      </c>
    </row>
    <row r="35">
      <c r="A35" t="inlineStr">
        <is>
          <t>Dendrobium</t>
        </is>
      </c>
      <c r="B35" t="inlineStr">
        <is>
          <t>dendrobium</t>
        </is>
      </c>
      <c r="C35" t="n">
        <v>1</v>
      </c>
      <c r="D35" t="n">
        <v>1</v>
      </c>
      <c r="E35" t="n">
        <v>0</v>
      </c>
      <c r="F35" t="n">
        <v>0</v>
      </c>
      <c r="G35" t="n">
        <v>2</v>
      </c>
      <c r="H35" t="n">
        <v>5</v>
      </c>
      <c r="I35" t="n">
        <v>7</v>
      </c>
      <c r="J35" t="n">
        <v>5</v>
      </c>
      <c r="K35" t="inlineStr">
        <is>
          <t>Tier 1</t>
        </is>
      </c>
      <c r="L35" t="inlineStr">
        <is>
          <t>unclassified</t>
        </is>
      </c>
      <c r="N35" t="inlineStr">
        <is>
          <t>dendrobine; unclassified</t>
        </is>
      </c>
    </row>
    <row r="36">
      <c r="A36" t="inlineStr">
        <is>
          <t>Dong Quai</t>
        </is>
      </c>
      <c r="B36" t="inlineStr">
        <is>
          <t>dong-quai</t>
        </is>
      </c>
      <c r="C36" t="n">
        <v>1</v>
      </c>
      <c r="D36" t="n">
        <v>1</v>
      </c>
      <c r="E36" t="n">
        <v>0</v>
      </c>
      <c r="F36" t="n">
        <v>0</v>
      </c>
      <c r="G36" t="n">
        <v>2</v>
      </c>
      <c r="H36" t="n">
        <v>5</v>
      </c>
      <c r="I36" t="n">
        <v>7</v>
      </c>
      <c r="J36" t="n">
        <v>5</v>
      </c>
      <c r="K36" t="inlineStr">
        <is>
          <t>Tier 1</t>
        </is>
      </c>
      <c r="L36" t="inlineStr">
        <is>
          <t>unclassified</t>
        </is>
      </c>
      <c r="N36" t="inlineStr">
        <is>
          <t>curcumin; unclassified</t>
        </is>
      </c>
    </row>
    <row r="37">
      <c r="A37" t="inlineStr">
        <is>
          <t>Elecampane</t>
        </is>
      </c>
      <c r="B37" t="inlineStr">
        <is>
          <t>elecampane</t>
        </is>
      </c>
      <c r="C37" t="n">
        <v>1</v>
      </c>
      <c r="D37" t="n">
        <v>1</v>
      </c>
      <c r="E37" t="n">
        <v>0</v>
      </c>
      <c r="F37" t="n">
        <v>0</v>
      </c>
      <c r="G37" t="n">
        <v>2</v>
      </c>
      <c r="H37" t="n">
        <v>5</v>
      </c>
      <c r="I37" t="n">
        <v>7</v>
      </c>
      <c r="J37" t="n">
        <v>5</v>
      </c>
      <c r="K37" t="inlineStr">
        <is>
          <t>Tier 1</t>
        </is>
      </c>
      <c r="L37" t="inlineStr">
        <is>
          <t>unclassified</t>
        </is>
      </c>
      <c r="N37" t="inlineStr">
        <is>
          <t>alantolactone; unclassified</t>
        </is>
      </c>
    </row>
    <row r="38">
      <c r="A38" t="inlineStr">
        <is>
          <t>Eleuthero</t>
        </is>
      </c>
      <c r="B38" t="inlineStr">
        <is>
          <t>eleuthero</t>
        </is>
      </c>
      <c r="C38" t="n">
        <v>1</v>
      </c>
      <c r="D38" t="n">
        <v>1</v>
      </c>
      <c r="E38" t="n">
        <v>0</v>
      </c>
      <c r="F38" t="n">
        <v>0</v>
      </c>
      <c r="G38" t="n">
        <v>2</v>
      </c>
      <c r="H38" t="n">
        <v>5</v>
      </c>
      <c r="I38" t="n">
        <v>7</v>
      </c>
      <c r="J38" t="n">
        <v>5</v>
      </c>
      <c r="K38" t="inlineStr">
        <is>
          <t>Tier 1</t>
        </is>
      </c>
      <c r="L38" t="inlineStr">
        <is>
          <t>unclassified</t>
        </is>
      </c>
      <c r="N38" t="inlineStr">
        <is>
          <t>eleutherosides; unclassified</t>
        </is>
      </c>
    </row>
    <row r="39">
      <c r="A39" t="inlineStr">
        <is>
          <t>Eucommia</t>
        </is>
      </c>
      <c r="B39" t="inlineStr">
        <is>
          <t>eucommia</t>
        </is>
      </c>
      <c r="C39" t="n">
        <v>1</v>
      </c>
      <c r="D39" t="n">
        <v>1</v>
      </c>
      <c r="E39" t="n">
        <v>0</v>
      </c>
      <c r="F39" t="n">
        <v>0</v>
      </c>
      <c r="G39" t="n">
        <v>2</v>
      </c>
      <c r="H39" t="n">
        <v>5</v>
      </c>
      <c r="I39" t="n">
        <v>7</v>
      </c>
      <c r="J39" t="n">
        <v>5</v>
      </c>
      <c r="K39" t="inlineStr">
        <is>
          <t>Tier 1</t>
        </is>
      </c>
      <c r="L39" t="inlineStr">
        <is>
          <t>unclassified</t>
        </is>
      </c>
      <c r="N39" t="inlineStr">
        <is>
          <t>geniposidic acid; unclassified</t>
        </is>
      </c>
    </row>
    <row r="40">
      <c r="A40" t="inlineStr">
        <is>
          <t>Fennel</t>
        </is>
      </c>
      <c r="B40" t="inlineStr">
        <is>
          <t>fennel</t>
        </is>
      </c>
      <c r="C40" t="n">
        <v>1</v>
      </c>
      <c r="D40" t="n">
        <v>1</v>
      </c>
      <c r="E40" t="n">
        <v>0</v>
      </c>
      <c r="F40" t="n">
        <v>0</v>
      </c>
      <c r="G40" t="n">
        <v>2</v>
      </c>
      <c r="H40" t="n">
        <v>5</v>
      </c>
      <c r="I40" t="n">
        <v>7</v>
      </c>
      <c r="J40" t="n">
        <v>5</v>
      </c>
      <c r="K40" t="inlineStr">
        <is>
          <t>Tier 1</t>
        </is>
      </c>
      <c r="L40" t="inlineStr">
        <is>
          <t>unclassified</t>
        </is>
      </c>
      <c r="N40" t="inlineStr">
        <is>
          <t>anethole; unclassified</t>
        </is>
      </c>
    </row>
    <row r="41">
      <c r="A41" t="inlineStr">
        <is>
          <t>Feverfew</t>
        </is>
      </c>
      <c r="B41" t="inlineStr">
        <is>
          <t>feverfew</t>
        </is>
      </c>
      <c r="C41" t="n">
        <v>1</v>
      </c>
      <c r="D41" t="n">
        <v>1</v>
      </c>
      <c r="E41" t="n">
        <v>0</v>
      </c>
      <c r="F41" t="n">
        <v>0</v>
      </c>
      <c r="G41" t="n">
        <v>2</v>
      </c>
      <c r="H41" t="n">
        <v>5</v>
      </c>
      <c r="I41" t="n">
        <v>7</v>
      </c>
      <c r="J41" t="n">
        <v>5</v>
      </c>
      <c r="K41" t="inlineStr">
        <is>
          <t>Tier 1</t>
        </is>
      </c>
      <c r="L41" t="inlineStr">
        <is>
          <t>unclassified</t>
        </is>
      </c>
      <c r="N41" t="inlineStr">
        <is>
          <t>actein; unclassified</t>
        </is>
      </c>
    </row>
    <row r="42">
      <c r="A42" t="inlineStr">
        <is>
          <t>Galangal</t>
        </is>
      </c>
      <c r="B42" t="inlineStr">
        <is>
          <t>galangal</t>
        </is>
      </c>
      <c r="C42" t="n">
        <v>1</v>
      </c>
      <c r="D42" t="n">
        <v>1</v>
      </c>
      <c r="E42" t="n">
        <v>0</v>
      </c>
      <c r="F42" t="n">
        <v>0</v>
      </c>
      <c r="G42" t="n">
        <v>2</v>
      </c>
      <c r="H42" t="n">
        <v>5</v>
      </c>
      <c r="I42" t="n">
        <v>7</v>
      </c>
      <c r="J42" t="n">
        <v>5</v>
      </c>
      <c r="K42" t="inlineStr">
        <is>
          <t>Tier 1</t>
        </is>
      </c>
      <c r="L42" t="inlineStr">
        <is>
          <t>unclassified</t>
        </is>
      </c>
      <c r="N42" t="inlineStr">
        <is>
          <t>galangin; unclassified</t>
        </is>
      </c>
    </row>
    <row r="43">
      <c r="A43" t="inlineStr">
        <is>
          <t>Garlic</t>
        </is>
      </c>
      <c r="B43" t="inlineStr">
        <is>
          <t>garlic</t>
        </is>
      </c>
      <c r="C43" t="n">
        <v>1</v>
      </c>
      <c r="D43" t="n">
        <v>1</v>
      </c>
      <c r="E43" t="n">
        <v>0</v>
      </c>
      <c r="F43" t="n">
        <v>0</v>
      </c>
      <c r="G43" t="n">
        <v>2</v>
      </c>
      <c r="H43" t="n">
        <v>5</v>
      </c>
      <c r="I43" t="n">
        <v>7</v>
      </c>
      <c r="J43" t="n">
        <v>5</v>
      </c>
      <c r="K43" t="inlineStr">
        <is>
          <t>Tier 1</t>
        </is>
      </c>
      <c r="L43" t="inlineStr">
        <is>
          <t>unclassified</t>
        </is>
      </c>
      <c r="N43" t="inlineStr">
        <is>
          <t>diallyl sulfide; unclassified</t>
        </is>
      </c>
    </row>
    <row r="44">
      <c r="A44" t="inlineStr">
        <is>
          <t>Gastrodia</t>
        </is>
      </c>
      <c r="B44" t="inlineStr">
        <is>
          <t>gastrodia</t>
        </is>
      </c>
      <c r="C44" t="n">
        <v>1</v>
      </c>
      <c r="D44" t="n">
        <v>1</v>
      </c>
      <c r="E44" t="n">
        <v>0</v>
      </c>
      <c r="F44" t="n">
        <v>0</v>
      </c>
      <c r="G44" t="n">
        <v>2</v>
      </c>
      <c r="H44" t="n">
        <v>5</v>
      </c>
      <c r="I44" t="n">
        <v>7</v>
      </c>
      <c r="J44" t="n">
        <v>5</v>
      </c>
      <c r="K44" t="inlineStr">
        <is>
          <t>Tier 1</t>
        </is>
      </c>
      <c r="L44" t="inlineStr">
        <is>
          <t>unclassified</t>
        </is>
      </c>
      <c r="N44" t="inlineStr">
        <is>
          <t>gastrodin; unclassified</t>
        </is>
      </c>
    </row>
    <row r="45">
      <c r="A45" t="inlineStr">
        <is>
          <t>Ginger</t>
        </is>
      </c>
      <c r="B45" t="inlineStr">
        <is>
          <t>ginger</t>
        </is>
      </c>
      <c r="C45" t="n">
        <v>1</v>
      </c>
      <c r="D45" t="n">
        <v>1</v>
      </c>
      <c r="E45" t="n">
        <v>0</v>
      </c>
      <c r="F45" t="n">
        <v>0</v>
      </c>
      <c r="G45" t="n">
        <v>2</v>
      </c>
      <c r="H45" t="n">
        <v>5</v>
      </c>
      <c r="I45" t="n">
        <v>7</v>
      </c>
      <c r="J45" t="n">
        <v>5</v>
      </c>
      <c r="K45" t="inlineStr">
        <is>
          <t>Tier 1</t>
        </is>
      </c>
      <c r="L45" t="inlineStr">
        <is>
          <t>unclassified</t>
        </is>
      </c>
      <c r="N45" t="inlineStr">
        <is>
          <t>6-gingerol; unclassified</t>
        </is>
      </c>
    </row>
    <row r="46">
      <c r="A46" t="inlineStr">
        <is>
          <t>Guarana</t>
        </is>
      </c>
      <c r="B46" t="inlineStr">
        <is>
          <t>guarana</t>
        </is>
      </c>
      <c r="C46" t="n">
        <v>1</v>
      </c>
      <c r="D46" t="n">
        <v>1</v>
      </c>
      <c r="E46" t="n">
        <v>0</v>
      </c>
      <c r="F46" t="n">
        <v>0</v>
      </c>
      <c r="G46" t="n">
        <v>2</v>
      </c>
      <c r="H46" t="n">
        <v>5</v>
      </c>
      <c r="I46" t="n">
        <v>7</v>
      </c>
      <c r="J46" t="n">
        <v>5</v>
      </c>
      <c r="K46" t="inlineStr">
        <is>
          <t>Tier 1</t>
        </is>
      </c>
      <c r="L46" t="inlineStr">
        <is>
          <t>unclassified</t>
        </is>
      </c>
      <c r="N46" t="inlineStr">
        <is>
          <t>caffeine; unclassified</t>
        </is>
      </c>
    </row>
    <row r="47">
      <c r="A47" t="inlineStr">
        <is>
          <t>Gudmar</t>
        </is>
      </c>
      <c r="B47" t="inlineStr">
        <is>
          <t>gudmar</t>
        </is>
      </c>
      <c r="C47" t="n">
        <v>1</v>
      </c>
      <c r="D47" t="n">
        <v>1</v>
      </c>
      <c r="E47" t="n">
        <v>0</v>
      </c>
      <c r="F47" t="n">
        <v>0</v>
      </c>
      <c r="G47" t="n">
        <v>2</v>
      </c>
      <c r="H47" t="n">
        <v>5</v>
      </c>
      <c r="I47" t="n">
        <v>7</v>
      </c>
      <c r="J47" t="n">
        <v>5</v>
      </c>
      <c r="K47" t="inlineStr">
        <is>
          <t>Tier 1</t>
        </is>
      </c>
      <c r="L47" t="inlineStr">
        <is>
          <t>unclassified</t>
        </is>
      </c>
      <c r="N47" t="inlineStr">
        <is>
          <t>gymnemic acids; unclassified</t>
        </is>
      </c>
    </row>
    <row r="48">
      <c r="A48" t="inlineStr">
        <is>
          <t>Gymnema</t>
        </is>
      </c>
      <c r="B48" t="inlineStr">
        <is>
          <t>gymnema</t>
        </is>
      </c>
      <c r="C48" t="n">
        <v>1</v>
      </c>
      <c r="D48" t="n">
        <v>1</v>
      </c>
      <c r="E48" t="n">
        <v>0</v>
      </c>
      <c r="F48" t="n">
        <v>0</v>
      </c>
      <c r="G48" t="n">
        <v>2</v>
      </c>
      <c r="H48" t="n">
        <v>5</v>
      </c>
      <c r="I48" t="n">
        <v>7</v>
      </c>
      <c r="J48" t="n">
        <v>5</v>
      </c>
      <c r="K48" t="inlineStr">
        <is>
          <t>Tier 1</t>
        </is>
      </c>
      <c r="L48" t="inlineStr">
        <is>
          <t>unclassified</t>
        </is>
      </c>
      <c r="N48" t="inlineStr">
        <is>
          <t>gymnemic acids; unclassified</t>
        </is>
      </c>
    </row>
    <row r="49">
      <c r="A49" t="inlineStr">
        <is>
          <t>Holy Basil</t>
        </is>
      </c>
      <c r="B49" t="inlineStr">
        <is>
          <t>holy-basil</t>
        </is>
      </c>
      <c r="C49" t="n">
        <v>1</v>
      </c>
      <c r="D49" t="n">
        <v>1</v>
      </c>
      <c r="E49" t="n">
        <v>0</v>
      </c>
      <c r="F49" t="n">
        <v>0</v>
      </c>
      <c r="G49" t="n">
        <v>2</v>
      </c>
      <c r="H49" t="n">
        <v>5</v>
      </c>
      <c r="I49" t="n">
        <v>7</v>
      </c>
      <c r="J49" t="n">
        <v>5</v>
      </c>
      <c r="K49" t="inlineStr">
        <is>
          <t>Tier 1</t>
        </is>
      </c>
      <c r="L49" t="inlineStr">
        <is>
          <t>unclassified</t>
        </is>
      </c>
      <c r="N49" t="inlineStr">
        <is>
          <t>eugenol; unclassified</t>
        </is>
      </c>
    </row>
    <row r="50">
      <c r="A50" t="inlineStr">
        <is>
          <t>Holy Basil Purple</t>
        </is>
      </c>
      <c r="B50" t="inlineStr">
        <is>
          <t>holy-basil-purple</t>
        </is>
      </c>
      <c r="C50" t="n">
        <v>1</v>
      </c>
      <c r="D50" t="n">
        <v>1</v>
      </c>
      <c r="E50" t="n">
        <v>0</v>
      </c>
      <c r="F50" t="n">
        <v>0</v>
      </c>
      <c r="G50" t="n">
        <v>2</v>
      </c>
      <c r="H50" t="n">
        <v>5</v>
      </c>
      <c r="I50" t="n">
        <v>7</v>
      </c>
      <c r="J50" t="n">
        <v>5</v>
      </c>
      <c r="K50" t="inlineStr">
        <is>
          <t>Tier 1</t>
        </is>
      </c>
      <c r="L50" t="inlineStr">
        <is>
          <t>unclassified</t>
        </is>
      </c>
      <c r="N50" t="inlineStr">
        <is>
          <t>eugenol; unclassified</t>
        </is>
      </c>
    </row>
    <row r="51">
      <c r="A51" t="inlineStr">
        <is>
          <t>Hops</t>
        </is>
      </c>
      <c r="B51" t="inlineStr">
        <is>
          <t>hops</t>
        </is>
      </c>
      <c r="C51" t="n">
        <v>1</v>
      </c>
      <c r="D51" t="n">
        <v>1</v>
      </c>
      <c r="E51" t="n">
        <v>0</v>
      </c>
      <c r="F51" t="n">
        <v>0</v>
      </c>
      <c r="G51" t="n">
        <v>2</v>
      </c>
      <c r="H51" t="n">
        <v>5</v>
      </c>
      <c r="I51" t="n">
        <v>7</v>
      </c>
      <c r="J51" t="n">
        <v>5</v>
      </c>
      <c r="K51" t="inlineStr">
        <is>
          <t>Tier 1</t>
        </is>
      </c>
      <c r="L51" t="inlineStr">
        <is>
          <t>unclassified</t>
        </is>
      </c>
      <c r="N51" t="inlineStr">
        <is>
          <t>humulone; unclassified</t>
        </is>
      </c>
    </row>
    <row r="52">
      <c r="A52" t="inlineStr">
        <is>
          <t>Houttuynia</t>
        </is>
      </c>
      <c r="B52" t="inlineStr">
        <is>
          <t>houttuynia</t>
        </is>
      </c>
      <c r="C52" t="n">
        <v>1</v>
      </c>
      <c r="D52" t="n">
        <v>1</v>
      </c>
      <c r="E52" t="n">
        <v>0</v>
      </c>
      <c r="F52" t="n">
        <v>0</v>
      </c>
      <c r="G52" t="n">
        <v>2</v>
      </c>
      <c r="H52" t="n">
        <v>5</v>
      </c>
      <c r="I52" t="n">
        <v>7</v>
      </c>
      <c r="J52" t="n">
        <v>5</v>
      </c>
      <c r="K52" t="inlineStr">
        <is>
          <t>Tier 1</t>
        </is>
      </c>
      <c r="L52" t="inlineStr">
        <is>
          <t>unclassified</t>
        </is>
      </c>
      <c r="N52" t="inlineStr">
        <is>
          <t>quercitrin; unclassified</t>
        </is>
      </c>
    </row>
    <row r="53">
      <c r="A53" t="inlineStr">
        <is>
          <t>Isatis</t>
        </is>
      </c>
      <c r="B53" t="inlineStr">
        <is>
          <t>isatis</t>
        </is>
      </c>
      <c r="C53" t="n">
        <v>1</v>
      </c>
      <c r="D53" t="n">
        <v>1</v>
      </c>
      <c r="E53" t="n">
        <v>0</v>
      </c>
      <c r="F53" t="n">
        <v>0</v>
      </c>
      <c r="G53" t="n">
        <v>2</v>
      </c>
      <c r="H53" t="n">
        <v>5</v>
      </c>
      <c r="I53" t="n">
        <v>7</v>
      </c>
      <c r="J53" t="n">
        <v>5</v>
      </c>
      <c r="K53" t="inlineStr">
        <is>
          <t>Tier 1</t>
        </is>
      </c>
      <c r="L53" t="inlineStr">
        <is>
          <t>unclassified</t>
        </is>
      </c>
      <c r="N53" t="inlineStr">
        <is>
          <t>tryptanthrin; unclassified</t>
        </is>
      </c>
    </row>
    <row r="54">
      <c r="A54" t="inlineStr">
        <is>
          <t>Jatamansi</t>
        </is>
      </c>
      <c r="B54" t="inlineStr">
        <is>
          <t>jatamansi</t>
        </is>
      </c>
      <c r="C54" t="n">
        <v>1</v>
      </c>
      <c r="D54" t="n">
        <v>1</v>
      </c>
      <c r="E54" t="n">
        <v>0</v>
      </c>
      <c r="F54" t="n">
        <v>0</v>
      </c>
      <c r="G54" t="n">
        <v>2</v>
      </c>
      <c r="H54" t="n">
        <v>5</v>
      </c>
      <c r="I54" t="n">
        <v>7</v>
      </c>
      <c r="J54" t="n">
        <v>5</v>
      </c>
      <c r="K54" t="inlineStr">
        <is>
          <t>Tier 1</t>
        </is>
      </c>
      <c r="L54" t="inlineStr">
        <is>
          <t>unclassified</t>
        </is>
      </c>
      <c r="N54" t="inlineStr">
        <is>
          <t>jatamansone; unclassified</t>
        </is>
      </c>
    </row>
    <row r="55">
      <c r="A55" t="inlineStr">
        <is>
          <t>Juniper</t>
        </is>
      </c>
      <c r="B55" t="inlineStr">
        <is>
          <t>juniper</t>
        </is>
      </c>
      <c r="C55" t="n">
        <v>1</v>
      </c>
      <c r="D55" t="n">
        <v>1</v>
      </c>
      <c r="E55" t="n">
        <v>0</v>
      </c>
      <c r="F55" t="n">
        <v>0</v>
      </c>
      <c r="G55" t="n">
        <v>2</v>
      </c>
      <c r="H55" t="n">
        <v>5</v>
      </c>
      <c r="I55" t="n">
        <v>7</v>
      </c>
      <c r="J55" t="n">
        <v>5</v>
      </c>
      <c r="K55" t="inlineStr">
        <is>
          <t>Tier 1</t>
        </is>
      </c>
      <c r="L55" t="inlineStr">
        <is>
          <t>adrenergic signaling</t>
        </is>
      </c>
      <c r="N55" t="inlineStr">
        <is>
          <t>alpha-pinene; adrenergic signaling</t>
        </is>
      </c>
    </row>
    <row r="56">
      <c r="A56" t="inlineStr">
        <is>
          <t>Kava</t>
        </is>
      </c>
      <c r="B56" t="inlineStr">
        <is>
          <t>kava</t>
        </is>
      </c>
      <c r="C56" t="n">
        <v>1</v>
      </c>
      <c r="D56" t="n">
        <v>1</v>
      </c>
      <c r="E56" t="n">
        <v>0</v>
      </c>
      <c r="F56" t="n">
        <v>0</v>
      </c>
      <c r="G56" t="n">
        <v>2</v>
      </c>
      <c r="H56" t="n">
        <v>5</v>
      </c>
      <c r="I56" t="n">
        <v>7</v>
      </c>
      <c r="J56" t="n">
        <v>5</v>
      </c>
      <c r="K56" t="inlineStr">
        <is>
          <t>Tier 1</t>
        </is>
      </c>
      <c r="L56" t="inlineStr">
        <is>
          <t>unclassified</t>
        </is>
      </c>
      <c r="N56" t="inlineStr">
        <is>
          <t>kavain; unclassified</t>
        </is>
      </c>
    </row>
    <row r="57">
      <c r="A57" t="inlineStr">
        <is>
          <t>Kuding Tea</t>
        </is>
      </c>
      <c r="B57" t="inlineStr">
        <is>
          <t>kuding-tea</t>
        </is>
      </c>
      <c r="C57" t="n">
        <v>1</v>
      </c>
      <c r="D57" t="n">
        <v>1</v>
      </c>
      <c r="E57" t="n">
        <v>0</v>
      </c>
      <c r="F57" t="n">
        <v>0</v>
      </c>
      <c r="G57" t="n">
        <v>2</v>
      </c>
      <c r="H57" t="n">
        <v>5</v>
      </c>
      <c r="I57" t="n">
        <v>7</v>
      </c>
      <c r="J57" t="n">
        <v>5</v>
      </c>
      <c r="K57" t="inlineStr">
        <is>
          <t>Tier 1</t>
        </is>
      </c>
      <c r="L57" t="inlineStr">
        <is>
          <t>unclassified</t>
        </is>
      </c>
      <c r="N57" t="inlineStr">
        <is>
          <t>kudinlactone; unclassified</t>
        </is>
      </c>
    </row>
    <row r="58">
      <c r="A58" t="inlineStr">
        <is>
          <t>Kudzu</t>
        </is>
      </c>
      <c r="B58" t="inlineStr">
        <is>
          <t>kudzu</t>
        </is>
      </c>
      <c r="C58" t="n">
        <v>1</v>
      </c>
      <c r="D58" t="n">
        <v>1</v>
      </c>
      <c r="E58" t="n">
        <v>0</v>
      </c>
      <c r="F58" t="n">
        <v>0</v>
      </c>
      <c r="G58" t="n">
        <v>2</v>
      </c>
      <c r="H58" t="n">
        <v>5</v>
      </c>
      <c r="I58" t="n">
        <v>7</v>
      </c>
      <c r="J58" t="n">
        <v>5</v>
      </c>
      <c r="K58" t="inlineStr">
        <is>
          <t>Tier 1</t>
        </is>
      </c>
      <c r="L58" t="inlineStr">
        <is>
          <t>unclassified</t>
        </is>
      </c>
      <c r="N58" t="inlineStr">
        <is>
          <t>parthenolide; unclassified</t>
        </is>
      </c>
    </row>
    <row r="59">
      <c r="A59" t="inlineStr">
        <is>
          <t>Lemon Balm</t>
        </is>
      </c>
      <c r="B59" t="inlineStr">
        <is>
          <t>lemon-balm</t>
        </is>
      </c>
      <c r="C59" t="n">
        <v>1</v>
      </c>
      <c r="D59" t="n">
        <v>1</v>
      </c>
      <c r="E59" t="n">
        <v>0</v>
      </c>
      <c r="F59" t="n">
        <v>0</v>
      </c>
      <c r="G59" t="n">
        <v>2</v>
      </c>
      <c r="H59" t="n">
        <v>5</v>
      </c>
      <c r="I59" t="n">
        <v>7</v>
      </c>
      <c r="J59" t="n">
        <v>5</v>
      </c>
      <c r="K59" t="inlineStr">
        <is>
          <t>Tier 1</t>
        </is>
      </c>
      <c r="L59" t="inlineStr">
        <is>
          <t>unclassified</t>
        </is>
      </c>
      <c r="N59" t="inlineStr">
        <is>
          <t>rosmarinic acid; unclassified</t>
        </is>
      </c>
    </row>
    <row r="60">
      <c r="A60" t="inlineStr">
        <is>
          <t>Lemon Verbena</t>
        </is>
      </c>
      <c r="B60" t="inlineStr">
        <is>
          <t>lemon-verbena</t>
        </is>
      </c>
      <c r="C60" t="n">
        <v>1</v>
      </c>
      <c r="D60" t="n">
        <v>1</v>
      </c>
      <c r="E60" t="n">
        <v>0</v>
      </c>
      <c r="F60" t="n">
        <v>0</v>
      </c>
      <c r="G60" t="n">
        <v>2</v>
      </c>
      <c r="H60" t="n">
        <v>5</v>
      </c>
      <c r="I60" t="n">
        <v>7</v>
      </c>
      <c r="J60" t="n">
        <v>5</v>
      </c>
      <c r="K60" t="inlineStr">
        <is>
          <t>Tier 1</t>
        </is>
      </c>
      <c r="L60" t="inlineStr">
        <is>
          <t>unclassified</t>
        </is>
      </c>
      <c r="N60" t="inlineStr">
        <is>
          <t>verbascoside; unclassified</t>
        </is>
      </c>
    </row>
    <row r="61">
      <c r="A61" t="inlineStr">
        <is>
          <t>Lemongrass</t>
        </is>
      </c>
      <c r="B61" t="inlineStr">
        <is>
          <t>lemongrass</t>
        </is>
      </c>
      <c r="C61" t="n">
        <v>1</v>
      </c>
      <c r="D61" t="n">
        <v>1</v>
      </c>
      <c r="E61" t="n">
        <v>0</v>
      </c>
      <c r="F61" t="n">
        <v>0</v>
      </c>
      <c r="G61" t="n">
        <v>2</v>
      </c>
      <c r="H61" t="n">
        <v>5</v>
      </c>
      <c r="I61" t="n">
        <v>7</v>
      </c>
      <c r="J61" t="n">
        <v>5</v>
      </c>
      <c r="K61" t="inlineStr">
        <is>
          <t>Tier 1</t>
        </is>
      </c>
      <c r="L61" t="inlineStr">
        <is>
          <t>unclassified</t>
        </is>
      </c>
      <c r="N61" t="inlineStr">
        <is>
          <t>citral; unclassified</t>
        </is>
      </c>
    </row>
    <row r="62">
      <c r="A62" t="inlineStr">
        <is>
          <t>Longan</t>
        </is>
      </c>
      <c r="B62" t="inlineStr">
        <is>
          <t>longan</t>
        </is>
      </c>
      <c r="C62" t="n">
        <v>1</v>
      </c>
      <c r="D62" t="n">
        <v>1</v>
      </c>
      <c r="E62" t="n">
        <v>0</v>
      </c>
      <c r="F62" t="n">
        <v>0</v>
      </c>
      <c r="G62" t="n">
        <v>2</v>
      </c>
      <c r="H62" t="n">
        <v>5</v>
      </c>
      <c r="I62" t="n">
        <v>7</v>
      </c>
      <c r="J62" t="n">
        <v>5</v>
      </c>
      <c r="K62" t="inlineStr">
        <is>
          <t>Tier 1</t>
        </is>
      </c>
      <c r="L62" t="inlineStr">
        <is>
          <t>unclassified</t>
        </is>
      </c>
      <c r="N62" t="inlineStr">
        <is>
          <t>gallic acid; unclassified</t>
        </is>
      </c>
    </row>
    <row r="63">
      <c r="A63" t="inlineStr">
        <is>
          <t>Maca</t>
        </is>
      </c>
      <c r="B63" t="inlineStr">
        <is>
          <t>maca</t>
        </is>
      </c>
      <c r="C63" t="n">
        <v>1</v>
      </c>
      <c r="D63" t="n">
        <v>1</v>
      </c>
      <c r="E63" t="n">
        <v>0</v>
      </c>
      <c r="F63" t="n">
        <v>0</v>
      </c>
      <c r="G63" t="n">
        <v>2</v>
      </c>
      <c r="H63" t="n">
        <v>5</v>
      </c>
      <c r="I63" t="n">
        <v>7</v>
      </c>
      <c r="J63" t="n">
        <v>5</v>
      </c>
      <c r="K63" t="inlineStr">
        <is>
          <t>Tier 1</t>
        </is>
      </c>
      <c r="L63" t="inlineStr">
        <is>
          <t>unclassified</t>
        </is>
      </c>
      <c r="N63" t="inlineStr">
        <is>
          <t>macamides; unclassified</t>
        </is>
      </c>
    </row>
    <row r="64">
      <c r="A64" t="inlineStr">
        <is>
          <t>Maitake D-Fraction</t>
        </is>
      </c>
      <c r="B64" t="inlineStr">
        <is>
          <t>maitake-d-fraction</t>
        </is>
      </c>
      <c r="C64" t="n">
        <v>1</v>
      </c>
      <c r="D64" t="n">
        <v>1</v>
      </c>
      <c r="E64" t="n">
        <v>0</v>
      </c>
      <c r="F64" t="n">
        <v>0</v>
      </c>
      <c r="G64" t="n">
        <v>2</v>
      </c>
      <c r="H64" t="n">
        <v>5</v>
      </c>
      <c r="I64" t="n">
        <v>7</v>
      </c>
      <c r="J64" t="n">
        <v>5</v>
      </c>
      <c r="K64" t="inlineStr">
        <is>
          <t>Tier 1</t>
        </is>
      </c>
      <c r="L64" t="inlineStr">
        <is>
          <t>unclassified</t>
        </is>
      </c>
      <c r="N64" t="inlineStr">
        <is>
          <t>beta-glucans; unclassified</t>
        </is>
      </c>
    </row>
    <row r="65">
      <c r="A65" t="inlineStr">
        <is>
          <t>Mangosteen</t>
        </is>
      </c>
      <c r="B65" t="inlineStr">
        <is>
          <t>mangosteen</t>
        </is>
      </c>
      <c r="C65" t="n">
        <v>1</v>
      </c>
      <c r="D65" t="n">
        <v>1</v>
      </c>
      <c r="E65" t="n">
        <v>0</v>
      </c>
      <c r="F65" t="n">
        <v>0</v>
      </c>
      <c r="G65" t="n">
        <v>2</v>
      </c>
      <c r="H65" t="n">
        <v>5</v>
      </c>
      <c r="I65" t="n">
        <v>7</v>
      </c>
      <c r="J65" t="n">
        <v>5</v>
      </c>
      <c r="K65" t="inlineStr">
        <is>
          <t>Tier 1</t>
        </is>
      </c>
      <c r="L65" t="inlineStr">
        <is>
          <t>adrenergic signaling</t>
        </is>
      </c>
      <c r="N65" t="inlineStr">
        <is>
          <t>alpha-mangostin; adrenergic signaling</t>
        </is>
      </c>
    </row>
    <row r="66">
      <c r="A66" t="inlineStr">
        <is>
          <t>Maral Root</t>
        </is>
      </c>
      <c r="B66" t="inlineStr">
        <is>
          <t>maral-root</t>
        </is>
      </c>
      <c r="C66" t="n">
        <v>1</v>
      </c>
      <c r="D66" t="n">
        <v>1</v>
      </c>
      <c r="E66" t="n">
        <v>0</v>
      </c>
      <c r="F66" t="n">
        <v>0</v>
      </c>
      <c r="G66" t="n">
        <v>2</v>
      </c>
      <c r="H66" t="n">
        <v>5</v>
      </c>
      <c r="I66" t="n">
        <v>7</v>
      </c>
      <c r="J66" t="n">
        <v>5</v>
      </c>
      <c r="K66" t="inlineStr">
        <is>
          <t>Tier 1</t>
        </is>
      </c>
      <c r="L66" t="inlineStr">
        <is>
          <t>unclassified</t>
        </is>
      </c>
      <c r="N66" t="inlineStr">
        <is>
          <t>ecdysterone; unclassified</t>
        </is>
      </c>
    </row>
    <row r="67">
      <c r="A67" t="inlineStr">
        <is>
          <t>Milk Oats</t>
        </is>
      </c>
      <c r="B67" t="inlineStr">
        <is>
          <t>milky-oats</t>
        </is>
      </c>
      <c r="C67" t="n">
        <v>1</v>
      </c>
      <c r="D67" t="n">
        <v>1</v>
      </c>
      <c r="E67" t="n">
        <v>0</v>
      </c>
      <c r="F67" t="n">
        <v>0</v>
      </c>
      <c r="G67" t="n">
        <v>2</v>
      </c>
      <c r="H67" t="n">
        <v>5</v>
      </c>
      <c r="I67" t="n">
        <v>7</v>
      </c>
      <c r="J67" t="n">
        <v>5</v>
      </c>
      <c r="K67" t="inlineStr">
        <is>
          <t>Tier 1</t>
        </is>
      </c>
      <c r="L67" t="inlineStr">
        <is>
          <t>unclassified</t>
        </is>
      </c>
      <c r="N67" t="inlineStr">
        <is>
          <t>avenacosides; unclassified</t>
        </is>
      </c>
    </row>
    <row r="68">
      <c r="A68" t="inlineStr">
        <is>
          <t>Moringa</t>
        </is>
      </c>
      <c r="B68" t="inlineStr">
        <is>
          <t>moringa</t>
        </is>
      </c>
      <c r="C68" t="n">
        <v>1</v>
      </c>
      <c r="D68" t="n">
        <v>1</v>
      </c>
      <c r="E68" t="n">
        <v>0</v>
      </c>
      <c r="F68" t="n">
        <v>0</v>
      </c>
      <c r="G68" t="n">
        <v>2</v>
      </c>
      <c r="H68" t="n">
        <v>5</v>
      </c>
      <c r="I68" t="n">
        <v>7</v>
      </c>
      <c r="J68" t="n">
        <v>5</v>
      </c>
      <c r="K68" t="inlineStr">
        <is>
          <t>Tier 1</t>
        </is>
      </c>
      <c r="L68" t="inlineStr">
        <is>
          <t>unclassified</t>
        </is>
      </c>
      <c r="N68" t="inlineStr">
        <is>
          <t>moringin; unclassified</t>
        </is>
      </c>
    </row>
    <row r="69">
      <c r="A69" t="inlineStr">
        <is>
          <t>Mugwort</t>
        </is>
      </c>
      <c r="B69" t="inlineStr">
        <is>
          <t>mugwort</t>
        </is>
      </c>
      <c r="C69" t="n">
        <v>1</v>
      </c>
      <c r="D69" t="n">
        <v>1</v>
      </c>
      <c r="E69" t="n">
        <v>0</v>
      </c>
      <c r="F69" t="n">
        <v>0</v>
      </c>
      <c r="G69" t="n">
        <v>2</v>
      </c>
      <c r="H69" t="n">
        <v>5</v>
      </c>
      <c r="I69" t="n">
        <v>7</v>
      </c>
      <c r="J69" t="n">
        <v>5</v>
      </c>
      <c r="K69" t="inlineStr">
        <is>
          <t>Tier 1</t>
        </is>
      </c>
      <c r="L69" t="inlineStr">
        <is>
          <t>unclassified</t>
        </is>
      </c>
      <c r="N69" t="inlineStr">
        <is>
          <t>thujone; unclassified</t>
        </is>
      </c>
    </row>
    <row r="70">
      <c r="A70" t="inlineStr">
        <is>
          <t>Muira Puama</t>
        </is>
      </c>
      <c r="B70" t="inlineStr">
        <is>
          <t>muira-puama</t>
        </is>
      </c>
      <c r="C70" t="n">
        <v>1</v>
      </c>
      <c r="D70" t="n">
        <v>1</v>
      </c>
      <c r="E70" t="n">
        <v>0</v>
      </c>
      <c r="F70" t="n">
        <v>0</v>
      </c>
      <c r="G70" t="n">
        <v>2</v>
      </c>
      <c r="H70" t="n">
        <v>5</v>
      </c>
      <c r="I70" t="n">
        <v>7</v>
      </c>
      <c r="J70" t="n">
        <v>5</v>
      </c>
      <c r="K70" t="inlineStr">
        <is>
          <t>Tier 1</t>
        </is>
      </c>
      <c r="L70" t="inlineStr">
        <is>
          <t>unclassified</t>
        </is>
      </c>
      <c r="N70" t="inlineStr">
        <is>
          <t>beta-sitosterol; unclassified</t>
        </is>
      </c>
    </row>
    <row r="71">
      <c r="A71" t="inlineStr">
        <is>
          <t>Mulberry Leaf</t>
        </is>
      </c>
      <c r="B71" t="inlineStr">
        <is>
          <t>mulberry-leaf</t>
        </is>
      </c>
      <c r="C71" t="n">
        <v>1</v>
      </c>
      <c r="D71" t="n">
        <v>1</v>
      </c>
      <c r="E71" t="n">
        <v>0</v>
      </c>
      <c r="F71" t="n">
        <v>0</v>
      </c>
      <c r="G71" t="n">
        <v>2</v>
      </c>
      <c r="H71" t="n">
        <v>5</v>
      </c>
      <c r="I71" t="n">
        <v>7</v>
      </c>
      <c r="J71" t="n">
        <v>5</v>
      </c>
      <c r="K71" t="inlineStr">
        <is>
          <t>Tier 1</t>
        </is>
      </c>
      <c r="L71" t="inlineStr">
        <is>
          <t>unclassified</t>
        </is>
      </c>
      <c r="N71" t="inlineStr">
        <is>
          <t>1-deoxynojirimycin; unclassified</t>
        </is>
      </c>
    </row>
    <row r="72">
      <c r="A72" t="inlineStr">
        <is>
          <t>Myrtle</t>
        </is>
      </c>
      <c r="B72" t="inlineStr">
        <is>
          <t>myrtle</t>
        </is>
      </c>
      <c r="C72" t="n">
        <v>1</v>
      </c>
      <c r="D72" t="n">
        <v>1</v>
      </c>
      <c r="E72" t="n">
        <v>0</v>
      </c>
      <c r="F72" t="n">
        <v>0</v>
      </c>
      <c r="G72" t="n">
        <v>2</v>
      </c>
      <c r="H72" t="n">
        <v>5</v>
      </c>
      <c r="I72" t="n">
        <v>7</v>
      </c>
      <c r="J72" t="n">
        <v>5</v>
      </c>
      <c r="K72" t="inlineStr">
        <is>
          <t>Tier 1</t>
        </is>
      </c>
      <c r="L72" t="inlineStr">
        <is>
          <t>unclassified</t>
        </is>
      </c>
      <c r="N72" t="inlineStr">
        <is>
          <t>myrtenyl acetate; unclassified</t>
        </is>
      </c>
    </row>
    <row r="73">
      <c r="A73" t="inlineStr">
        <is>
          <t>Neem</t>
        </is>
      </c>
      <c r="B73" t="inlineStr">
        <is>
          <t>neem</t>
        </is>
      </c>
      <c r="C73" t="n">
        <v>1</v>
      </c>
      <c r="D73" t="n">
        <v>1</v>
      </c>
      <c r="E73" t="n">
        <v>0</v>
      </c>
      <c r="F73" t="n">
        <v>0</v>
      </c>
      <c r="G73" t="n">
        <v>2</v>
      </c>
      <c r="H73" t="n">
        <v>5</v>
      </c>
      <c r="I73" t="n">
        <v>7</v>
      </c>
      <c r="J73" t="n">
        <v>5</v>
      </c>
      <c r="K73" t="inlineStr">
        <is>
          <t>Tier 1</t>
        </is>
      </c>
      <c r="L73" t="inlineStr">
        <is>
          <t>unclassified</t>
        </is>
      </c>
      <c r="N73" t="inlineStr">
        <is>
          <t>nimbin; unclassified</t>
        </is>
      </c>
    </row>
    <row r="74">
      <c r="A74" t="inlineStr">
        <is>
          <t>Nettle Root</t>
        </is>
      </c>
      <c r="B74" t="inlineStr">
        <is>
          <t>nettle-root</t>
        </is>
      </c>
      <c r="C74" t="n">
        <v>1</v>
      </c>
      <c r="D74" t="n">
        <v>1</v>
      </c>
      <c r="E74" t="n">
        <v>0</v>
      </c>
      <c r="F74" t="n">
        <v>0</v>
      </c>
      <c r="G74" t="n">
        <v>2</v>
      </c>
      <c r="H74" t="n">
        <v>5</v>
      </c>
      <c r="I74" t="n">
        <v>7</v>
      </c>
      <c r="J74" t="n">
        <v>5</v>
      </c>
      <c r="K74" t="inlineStr">
        <is>
          <t>Tier 1</t>
        </is>
      </c>
      <c r="L74" t="inlineStr">
        <is>
          <t>unclassified</t>
        </is>
      </c>
      <c r="N74" t="inlineStr">
        <is>
          <t>beta-sitosterol; unclassified</t>
        </is>
      </c>
    </row>
    <row r="75">
      <c r="A75" t="inlineStr">
        <is>
          <t>Noni</t>
        </is>
      </c>
      <c r="B75" t="inlineStr">
        <is>
          <t>noni</t>
        </is>
      </c>
      <c r="C75" t="n">
        <v>1</v>
      </c>
      <c r="D75" t="n">
        <v>1</v>
      </c>
      <c r="E75" t="n">
        <v>0</v>
      </c>
      <c r="F75" t="n">
        <v>0</v>
      </c>
      <c r="G75" t="n">
        <v>2</v>
      </c>
      <c r="H75" t="n">
        <v>5</v>
      </c>
      <c r="I75" t="n">
        <v>7</v>
      </c>
      <c r="J75" t="n">
        <v>5</v>
      </c>
      <c r="K75" t="inlineStr">
        <is>
          <t>Tier 1</t>
        </is>
      </c>
      <c r="L75" t="inlineStr">
        <is>
          <t>unclassified</t>
        </is>
      </c>
      <c r="N75" t="inlineStr">
        <is>
          <t>damnacanthal; unclassified</t>
        </is>
      </c>
    </row>
    <row r="76">
      <c r="A76" t="inlineStr">
        <is>
          <t>Oatstraw</t>
        </is>
      </c>
      <c r="B76" t="inlineStr">
        <is>
          <t>oatstraw</t>
        </is>
      </c>
      <c r="C76" t="n">
        <v>1</v>
      </c>
      <c r="D76" t="n">
        <v>1</v>
      </c>
      <c r="E76" t="n">
        <v>0</v>
      </c>
      <c r="F76" t="n">
        <v>0</v>
      </c>
      <c r="G76" t="n">
        <v>2</v>
      </c>
      <c r="H76" t="n">
        <v>5</v>
      </c>
      <c r="I76" t="n">
        <v>7</v>
      </c>
      <c r="J76" t="n">
        <v>5</v>
      </c>
      <c r="K76" t="inlineStr">
        <is>
          <t>Tier 1</t>
        </is>
      </c>
      <c r="L76" t="inlineStr">
        <is>
          <t>unclassified</t>
        </is>
      </c>
      <c r="N76" t="inlineStr">
        <is>
          <t>avenanthramides; unclassified</t>
        </is>
      </c>
    </row>
    <row r="77">
      <c r="A77" t="inlineStr">
        <is>
          <t>Passionflower</t>
        </is>
      </c>
      <c r="B77" t="inlineStr">
        <is>
          <t>passionflower</t>
        </is>
      </c>
      <c r="C77" t="n">
        <v>1</v>
      </c>
      <c r="D77" t="n">
        <v>1</v>
      </c>
      <c r="E77" t="n">
        <v>0</v>
      </c>
      <c r="F77" t="n">
        <v>0</v>
      </c>
      <c r="G77" t="n">
        <v>2</v>
      </c>
      <c r="H77" t="n">
        <v>5</v>
      </c>
      <c r="I77" t="n">
        <v>7</v>
      </c>
      <c r="J77" t="n">
        <v>5</v>
      </c>
      <c r="K77" t="inlineStr">
        <is>
          <t>Tier 1</t>
        </is>
      </c>
      <c r="L77" t="inlineStr">
        <is>
          <t>unclassified</t>
        </is>
      </c>
      <c r="N77" t="inlineStr">
        <is>
          <t>chrysin; unclassified</t>
        </is>
      </c>
    </row>
    <row r="78">
      <c r="A78" t="inlineStr">
        <is>
          <t>Pau d'Arco</t>
        </is>
      </c>
      <c r="B78" t="inlineStr">
        <is>
          <t>pau-darco</t>
        </is>
      </c>
      <c r="C78" t="n">
        <v>1</v>
      </c>
      <c r="D78" t="n">
        <v>1</v>
      </c>
      <c r="E78" t="n">
        <v>0</v>
      </c>
      <c r="F78" t="n">
        <v>0</v>
      </c>
      <c r="G78" t="n">
        <v>2</v>
      </c>
      <c r="H78" t="n">
        <v>5</v>
      </c>
      <c r="I78" t="n">
        <v>7</v>
      </c>
      <c r="J78" t="n">
        <v>5</v>
      </c>
      <c r="K78" t="inlineStr">
        <is>
          <t>Tier 1</t>
        </is>
      </c>
      <c r="L78" t="inlineStr">
        <is>
          <t>unclassified</t>
        </is>
      </c>
      <c r="N78" t="inlineStr">
        <is>
          <t>lapachol; unclassified</t>
        </is>
      </c>
    </row>
    <row r="79">
      <c r="A79" t="inlineStr">
        <is>
          <t>Peppermint</t>
        </is>
      </c>
      <c r="B79" t="inlineStr">
        <is>
          <t>peppermint</t>
        </is>
      </c>
      <c r="C79" t="n">
        <v>1</v>
      </c>
      <c r="D79" t="n">
        <v>1</v>
      </c>
      <c r="E79" t="n">
        <v>0</v>
      </c>
      <c r="F79" t="n">
        <v>0</v>
      </c>
      <c r="G79" t="n">
        <v>2</v>
      </c>
      <c r="H79" t="n">
        <v>5</v>
      </c>
      <c r="I79" t="n">
        <v>7</v>
      </c>
      <c r="J79" t="n">
        <v>5</v>
      </c>
      <c r="K79" t="inlineStr">
        <is>
          <t>Tier 1</t>
        </is>
      </c>
      <c r="L79" t="inlineStr">
        <is>
          <t>unclassified</t>
        </is>
      </c>
      <c r="N79" t="inlineStr">
        <is>
          <t>menthol; unclassified</t>
        </is>
      </c>
    </row>
    <row r="80">
      <c r="A80" t="inlineStr">
        <is>
          <t>Perilla</t>
        </is>
      </c>
      <c r="B80" t="inlineStr">
        <is>
          <t>perilla</t>
        </is>
      </c>
      <c r="C80" t="n">
        <v>1</v>
      </c>
      <c r="D80" t="n">
        <v>1</v>
      </c>
      <c r="E80" t="n">
        <v>0</v>
      </c>
      <c r="F80" t="n">
        <v>0</v>
      </c>
      <c r="G80" t="n">
        <v>2</v>
      </c>
      <c r="H80" t="n">
        <v>5</v>
      </c>
      <c r="I80" t="n">
        <v>7</v>
      </c>
      <c r="J80" t="n">
        <v>5</v>
      </c>
      <c r="K80" t="inlineStr">
        <is>
          <t>Tier 1</t>
        </is>
      </c>
      <c r="L80" t="inlineStr">
        <is>
          <t>unclassified</t>
        </is>
      </c>
      <c r="N80" t="inlineStr">
        <is>
          <t>perillaldehyde; unclassified</t>
        </is>
      </c>
    </row>
    <row r="81">
      <c r="A81" t="inlineStr">
        <is>
          <t>Polygala</t>
        </is>
      </c>
      <c r="B81" t="inlineStr">
        <is>
          <t>polygala</t>
        </is>
      </c>
      <c r="C81" t="n">
        <v>1</v>
      </c>
      <c r="D81" t="n">
        <v>1</v>
      </c>
      <c r="E81" t="n">
        <v>0</v>
      </c>
      <c r="F81" t="n">
        <v>0</v>
      </c>
      <c r="G81" t="n">
        <v>2</v>
      </c>
      <c r="H81" t="n">
        <v>5</v>
      </c>
      <c r="I81" t="n">
        <v>7</v>
      </c>
      <c r="J81" t="n">
        <v>5</v>
      </c>
      <c r="K81" t="inlineStr">
        <is>
          <t>Tier 1</t>
        </is>
      </c>
      <c r="L81" t="inlineStr">
        <is>
          <t>unclassified</t>
        </is>
      </c>
      <c r="N81" t="inlineStr">
        <is>
          <t>tenuifolin; unclassified</t>
        </is>
      </c>
    </row>
    <row r="82">
      <c r="A82" t="inlineStr">
        <is>
          <t>Pomegranate</t>
        </is>
      </c>
      <c r="B82" t="inlineStr">
        <is>
          <t>pomegranate</t>
        </is>
      </c>
      <c r="C82" t="n">
        <v>1</v>
      </c>
      <c r="D82" t="n">
        <v>1</v>
      </c>
      <c r="E82" t="n">
        <v>0</v>
      </c>
      <c r="F82" t="n">
        <v>0</v>
      </c>
      <c r="G82" t="n">
        <v>2</v>
      </c>
      <c r="H82" t="n">
        <v>5</v>
      </c>
      <c r="I82" t="n">
        <v>7</v>
      </c>
      <c r="J82" t="n">
        <v>5</v>
      </c>
      <c r="K82" t="inlineStr">
        <is>
          <t>Tier 1</t>
        </is>
      </c>
      <c r="L82" t="inlineStr">
        <is>
          <t>unclassified</t>
        </is>
      </c>
      <c r="N82" t="inlineStr">
        <is>
          <t>punicalagins; unclassified</t>
        </is>
      </c>
    </row>
    <row r="83">
      <c r="A83" t="inlineStr">
        <is>
          <t>Poria</t>
        </is>
      </c>
      <c r="B83" t="inlineStr">
        <is>
          <t>poria</t>
        </is>
      </c>
      <c r="C83" t="n">
        <v>1</v>
      </c>
      <c r="D83" t="n">
        <v>1</v>
      </c>
      <c r="E83" t="n">
        <v>0</v>
      </c>
      <c r="F83" t="n">
        <v>0</v>
      </c>
      <c r="G83" t="n">
        <v>2</v>
      </c>
      <c r="H83" t="n">
        <v>5</v>
      </c>
      <c r="I83" t="n">
        <v>7</v>
      </c>
      <c r="J83" t="n">
        <v>5</v>
      </c>
      <c r="K83" t="inlineStr">
        <is>
          <t>Tier 1</t>
        </is>
      </c>
      <c r="L83" t="inlineStr">
        <is>
          <t>unclassified</t>
        </is>
      </c>
      <c r="N83" t="inlineStr">
        <is>
          <t>pachymic acid; unclassified</t>
        </is>
      </c>
    </row>
    <row r="84">
      <c r="A84" t="inlineStr">
        <is>
          <t>Punarnava</t>
        </is>
      </c>
      <c r="B84" t="inlineStr">
        <is>
          <t>boerhavia-diffusa</t>
        </is>
      </c>
      <c r="C84" t="n">
        <v>1</v>
      </c>
      <c r="D84" t="n">
        <v>1</v>
      </c>
      <c r="E84" t="n">
        <v>0</v>
      </c>
      <c r="F84" t="n">
        <v>0</v>
      </c>
      <c r="G84" t="n">
        <v>2</v>
      </c>
      <c r="H84" t="n">
        <v>5</v>
      </c>
      <c r="I84" t="n">
        <v>7</v>
      </c>
      <c r="J84" t="n">
        <v>5</v>
      </c>
      <c r="K84" t="inlineStr">
        <is>
          <t>Tier 1</t>
        </is>
      </c>
      <c r="L84" t="inlineStr">
        <is>
          <t>unclassified</t>
        </is>
      </c>
      <c r="N84" t="inlineStr">
        <is>
          <t>Alkaloid; unclassified</t>
        </is>
      </c>
    </row>
    <row r="85">
      <c r="A85" t="inlineStr">
        <is>
          <t>Red Clover</t>
        </is>
      </c>
      <c r="B85" t="inlineStr">
        <is>
          <t>red-clover</t>
        </is>
      </c>
      <c r="C85" t="n">
        <v>1</v>
      </c>
      <c r="D85" t="n">
        <v>1</v>
      </c>
      <c r="E85" t="n">
        <v>0</v>
      </c>
      <c r="F85" t="n">
        <v>0</v>
      </c>
      <c r="G85" t="n">
        <v>2</v>
      </c>
      <c r="H85" t="n">
        <v>5</v>
      </c>
      <c r="I85" t="n">
        <v>7</v>
      </c>
      <c r="J85" t="n">
        <v>5</v>
      </c>
      <c r="K85" t="inlineStr">
        <is>
          <t>Tier 1</t>
        </is>
      </c>
      <c r="L85" t="inlineStr">
        <is>
          <t>unclassified</t>
        </is>
      </c>
      <c r="N85" t="inlineStr">
        <is>
          <t>genistein; unclassified</t>
        </is>
      </c>
    </row>
    <row r="86">
      <c r="A86" t="inlineStr">
        <is>
          <t>Rehmannia Prepared</t>
        </is>
      </c>
      <c r="B86" t="inlineStr">
        <is>
          <t>rehmannia-prepared</t>
        </is>
      </c>
      <c r="C86" t="n">
        <v>1</v>
      </c>
      <c r="D86" t="n">
        <v>1</v>
      </c>
      <c r="E86" t="n">
        <v>0</v>
      </c>
      <c r="F86" t="n">
        <v>0</v>
      </c>
      <c r="G86" t="n">
        <v>2</v>
      </c>
      <c r="H86" t="n">
        <v>5</v>
      </c>
      <c r="I86" t="n">
        <v>7</v>
      </c>
      <c r="J86" t="n">
        <v>5</v>
      </c>
      <c r="K86" t="inlineStr">
        <is>
          <t>Tier 1</t>
        </is>
      </c>
      <c r="L86" t="inlineStr">
        <is>
          <t>unclassified</t>
        </is>
      </c>
      <c r="N86" t="inlineStr">
        <is>
          <t>catalpol; unclassified</t>
        </is>
      </c>
    </row>
    <row r="87">
      <c r="A87" t="inlineStr">
        <is>
          <t>Reishi</t>
        </is>
      </c>
      <c r="B87" t="inlineStr">
        <is>
          <t>reishi</t>
        </is>
      </c>
      <c r="C87" t="n">
        <v>1</v>
      </c>
      <c r="D87" t="n">
        <v>1</v>
      </c>
      <c r="E87" t="n">
        <v>0</v>
      </c>
      <c r="F87" t="n">
        <v>0</v>
      </c>
      <c r="G87" t="n">
        <v>2</v>
      </c>
      <c r="H87" t="n">
        <v>5</v>
      </c>
      <c r="I87" t="n">
        <v>7</v>
      </c>
      <c r="J87" t="n">
        <v>5</v>
      </c>
      <c r="K87" t="inlineStr">
        <is>
          <t>Tier 1</t>
        </is>
      </c>
      <c r="L87" t="inlineStr">
        <is>
          <t>unclassified</t>
        </is>
      </c>
      <c r="N87" t="inlineStr">
        <is>
          <t>beta-glucans; unclassified</t>
        </is>
      </c>
    </row>
    <row r="88">
      <c r="A88" t="inlineStr">
        <is>
          <t>Rhodiola</t>
        </is>
      </c>
      <c r="B88" t="inlineStr">
        <is>
          <t>rhodiola</t>
        </is>
      </c>
      <c r="C88" t="n">
        <v>1</v>
      </c>
      <c r="D88" t="n">
        <v>1</v>
      </c>
      <c r="E88" t="n">
        <v>0</v>
      </c>
      <c r="F88" t="n">
        <v>0</v>
      </c>
      <c r="G88" t="n">
        <v>2</v>
      </c>
      <c r="H88" t="n">
        <v>5</v>
      </c>
      <c r="I88" t="n">
        <v>7</v>
      </c>
      <c r="J88" t="n">
        <v>5</v>
      </c>
      <c r="K88" t="inlineStr">
        <is>
          <t>Tier 1</t>
        </is>
      </c>
      <c r="L88" t="inlineStr">
        <is>
          <t>unclassified</t>
        </is>
      </c>
      <c r="N88" t="inlineStr">
        <is>
          <t>salidroside; unclassified</t>
        </is>
      </c>
    </row>
    <row r="89">
      <c r="A89" t="inlineStr">
        <is>
          <t>Rhodiola Rosea</t>
        </is>
      </c>
      <c r="B89" t="inlineStr">
        <is>
          <t>rhodiola-rosea</t>
        </is>
      </c>
      <c r="C89" t="n">
        <v>1</v>
      </c>
      <c r="D89" t="n">
        <v>1</v>
      </c>
      <c r="E89" t="n">
        <v>0</v>
      </c>
      <c r="F89" t="n">
        <v>0</v>
      </c>
      <c r="G89" t="n">
        <v>2</v>
      </c>
      <c r="H89" t="n">
        <v>5</v>
      </c>
      <c r="I89" t="n">
        <v>7</v>
      </c>
      <c r="J89" t="n">
        <v>5</v>
      </c>
      <c r="K89" t="inlineStr">
        <is>
          <t>Tier 1</t>
        </is>
      </c>
      <c r="L89" t="inlineStr">
        <is>
          <t>unclassified</t>
        </is>
      </c>
      <c r="N89" t="inlineStr">
        <is>
          <t>rosavin; unclassified</t>
        </is>
      </c>
    </row>
    <row r="90">
      <c r="A90" t="inlineStr">
        <is>
          <t>Rose Hips</t>
        </is>
      </c>
      <c r="B90" t="inlineStr">
        <is>
          <t>rose-hips</t>
        </is>
      </c>
      <c r="C90" t="n">
        <v>1</v>
      </c>
      <c r="D90" t="n">
        <v>1</v>
      </c>
      <c r="E90" t="n">
        <v>0</v>
      </c>
      <c r="F90" t="n">
        <v>0</v>
      </c>
      <c r="G90" t="n">
        <v>2</v>
      </c>
      <c r="H90" t="n">
        <v>5</v>
      </c>
      <c r="I90" t="n">
        <v>7</v>
      </c>
      <c r="J90" t="n">
        <v>5</v>
      </c>
      <c r="K90" t="inlineStr">
        <is>
          <t>Tier 1</t>
        </is>
      </c>
      <c r="L90" t="inlineStr">
        <is>
          <t>unclassified</t>
        </is>
      </c>
      <c r="N90" t="inlineStr">
        <is>
          <t>trans-tiliroside; unclassified</t>
        </is>
      </c>
    </row>
    <row r="91">
      <c r="A91" t="inlineStr">
        <is>
          <t>Roselle Seed</t>
        </is>
      </c>
      <c r="B91" t="inlineStr">
        <is>
          <t>roselle-seed</t>
        </is>
      </c>
      <c r="C91" t="n">
        <v>1</v>
      </c>
      <c r="D91" t="n">
        <v>1</v>
      </c>
      <c r="E91" t="n">
        <v>0</v>
      </c>
      <c r="F91" t="n">
        <v>0</v>
      </c>
      <c r="G91" t="n">
        <v>2</v>
      </c>
      <c r="H91" t="n">
        <v>5</v>
      </c>
      <c r="I91" t="n">
        <v>7</v>
      </c>
      <c r="J91" t="n">
        <v>5</v>
      </c>
      <c r="K91" t="inlineStr">
        <is>
          <t>Tier 1</t>
        </is>
      </c>
      <c r="L91" t="inlineStr">
        <is>
          <t>oxidative stress reduction</t>
        </is>
      </c>
      <c r="N91" t="inlineStr">
        <is>
          <t>tocopherols; oxidative stress reduction</t>
        </is>
      </c>
    </row>
    <row r="92">
      <c r="A92" t="inlineStr">
        <is>
          <t>Rosemary</t>
        </is>
      </c>
      <c r="B92" t="inlineStr">
        <is>
          <t>rosemary</t>
        </is>
      </c>
      <c r="C92" t="n">
        <v>1</v>
      </c>
      <c r="D92" t="n">
        <v>1</v>
      </c>
      <c r="E92" t="n">
        <v>0</v>
      </c>
      <c r="F92" t="n">
        <v>0</v>
      </c>
      <c r="G92" t="n">
        <v>2</v>
      </c>
      <c r="H92" t="n">
        <v>5</v>
      </c>
      <c r="I92" t="n">
        <v>7</v>
      </c>
      <c r="J92" t="n">
        <v>5</v>
      </c>
      <c r="K92" t="inlineStr">
        <is>
          <t>Tier 1</t>
        </is>
      </c>
      <c r="L92" t="inlineStr">
        <is>
          <t>unclassified</t>
        </is>
      </c>
      <c r="N92" t="inlineStr">
        <is>
          <t>thymol; unclassified</t>
        </is>
      </c>
    </row>
    <row r="93">
      <c r="A93" t="inlineStr">
        <is>
          <t>Sage</t>
        </is>
      </c>
      <c r="B93" t="inlineStr">
        <is>
          <t>sage</t>
        </is>
      </c>
      <c r="C93" t="n">
        <v>1</v>
      </c>
      <c r="D93" t="n">
        <v>1</v>
      </c>
      <c r="E93" t="n">
        <v>0</v>
      </c>
      <c r="F93" t="n">
        <v>0</v>
      </c>
      <c r="G93" t="n">
        <v>2</v>
      </c>
      <c r="H93" t="n">
        <v>5</v>
      </c>
      <c r="I93" t="n">
        <v>7</v>
      </c>
      <c r="J93" t="n">
        <v>5</v>
      </c>
      <c r="K93" t="inlineStr">
        <is>
          <t>Tier 1</t>
        </is>
      </c>
      <c r="L93" t="inlineStr">
        <is>
          <t>unclassified</t>
        </is>
      </c>
      <c r="N93" t="inlineStr">
        <is>
          <t>carvacrol; unclassified</t>
        </is>
      </c>
    </row>
    <row r="94">
      <c r="A94" t="inlineStr">
        <is>
          <t>Shankhpushpi</t>
        </is>
      </c>
      <c r="B94" t="inlineStr">
        <is>
          <t>shankhpushpi</t>
        </is>
      </c>
      <c r="C94" t="n">
        <v>1</v>
      </c>
      <c r="D94" t="n">
        <v>1</v>
      </c>
      <c r="E94" t="n">
        <v>0</v>
      </c>
      <c r="F94" t="n">
        <v>0</v>
      </c>
      <c r="G94" t="n">
        <v>2</v>
      </c>
      <c r="H94" t="n">
        <v>5</v>
      </c>
      <c r="I94" t="n">
        <v>7</v>
      </c>
      <c r="J94" t="n">
        <v>5</v>
      </c>
      <c r="K94" t="inlineStr">
        <is>
          <t>Tier 1</t>
        </is>
      </c>
      <c r="L94" t="inlineStr">
        <is>
          <t>unclassified</t>
        </is>
      </c>
      <c r="N94" t="inlineStr">
        <is>
          <t>convolvine; unclassified</t>
        </is>
      </c>
    </row>
    <row r="95">
      <c r="A95" t="inlineStr">
        <is>
          <t>Sophora Flavescens</t>
        </is>
      </c>
      <c r="B95" t="inlineStr">
        <is>
          <t>sophora-flavescens</t>
        </is>
      </c>
      <c r="C95" t="n">
        <v>1</v>
      </c>
      <c r="D95" t="n">
        <v>1</v>
      </c>
      <c r="E95" t="n">
        <v>0</v>
      </c>
      <c r="F95" t="n">
        <v>0</v>
      </c>
      <c r="G95" t="n">
        <v>2</v>
      </c>
      <c r="H95" t="n">
        <v>5</v>
      </c>
      <c r="I95" t="n">
        <v>7</v>
      </c>
      <c r="J95" t="n">
        <v>5</v>
      </c>
      <c r="K95" t="inlineStr">
        <is>
          <t>Tier 1</t>
        </is>
      </c>
      <c r="L95" t="inlineStr">
        <is>
          <t>unclassified</t>
        </is>
      </c>
      <c r="N95" t="inlineStr">
        <is>
          <t>matrine; unclassified</t>
        </is>
      </c>
    </row>
    <row r="96">
      <c r="A96" t="inlineStr">
        <is>
          <t>Soursop</t>
        </is>
      </c>
      <c r="B96" t="inlineStr">
        <is>
          <t>soursop</t>
        </is>
      </c>
      <c r="C96" t="n">
        <v>1</v>
      </c>
      <c r="D96" t="n">
        <v>1</v>
      </c>
      <c r="E96" t="n">
        <v>0</v>
      </c>
      <c r="F96" t="n">
        <v>0</v>
      </c>
      <c r="G96" t="n">
        <v>2</v>
      </c>
      <c r="H96" t="n">
        <v>5</v>
      </c>
      <c r="I96" t="n">
        <v>7</v>
      </c>
      <c r="J96" t="n">
        <v>5</v>
      </c>
      <c r="K96" t="inlineStr">
        <is>
          <t>Tier 1</t>
        </is>
      </c>
      <c r="L96" t="inlineStr">
        <is>
          <t>unclassified</t>
        </is>
      </c>
      <c r="N96" t="inlineStr">
        <is>
          <t>annonacin; unclassified</t>
        </is>
      </c>
    </row>
    <row r="97">
      <c r="A97" t="inlineStr">
        <is>
          <t>St Johns Wort</t>
        </is>
      </c>
      <c r="B97" t="inlineStr">
        <is>
          <t>st-johns-wort</t>
        </is>
      </c>
      <c r="C97" t="n">
        <v>1</v>
      </c>
      <c r="D97" t="n">
        <v>1</v>
      </c>
      <c r="E97" t="n">
        <v>0</v>
      </c>
      <c r="F97" t="n">
        <v>0</v>
      </c>
      <c r="G97" t="n">
        <v>2</v>
      </c>
      <c r="H97" t="n">
        <v>5</v>
      </c>
      <c r="I97" t="n">
        <v>7</v>
      </c>
      <c r="J97" t="n">
        <v>5</v>
      </c>
      <c r="K97" t="inlineStr">
        <is>
          <t>Tier 1</t>
        </is>
      </c>
      <c r="L97" t="inlineStr">
        <is>
          <t>unclassified</t>
        </is>
      </c>
      <c r="N97" t="inlineStr">
        <is>
          <t>hyperforin; unclassified</t>
        </is>
      </c>
    </row>
    <row r="98">
      <c r="A98" t="inlineStr">
        <is>
          <t>Suma</t>
        </is>
      </c>
      <c r="B98" t="inlineStr">
        <is>
          <t>suma</t>
        </is>
      </c>
      <c r="C98" t="n">
        <v>1</v>
      </c>
      <c r="D98" t="n">
        <v>1</v>
      </c>
      <c r="E98" t="n">
        <v>0</v>
      </c>
      <c r="F98" t="n">
        <v>0</v>
      </c>
      <c r="G98" t="n">
        <v>2</v>
      </c>
      <c r="H98" t="n">
        <v>5</v>
      </c>
      <c r="I98" t="n">
        <v>7</v>
      </c>
      <c r="J98" t="n">
        <v>5</v>
      </c>
      <c r="K98" t="inlineStr">
        <is>
          <t>Tier 1</t>
        </is>
      </c>
      <c r="L98" t="inlineStr">
        <is>
          <t>unclassified</t>
        </is>
      </c>
      <c r="N98" t="inlineStr">
        <is>
          <t>pfaffic acid; unclassified</t>
        </is>
      </c>
    </row>
    <row r="99">
      <c r="A99" t="inlineStr">
        <is>
          <t>Tamarind</t>
        </is>
      </c>
      <c r="B99" t="inlineStr">
        <is>
          <t>tamarind</t>
        </is>
      </c>
      <c r="C99" t="n">
        <v>1</v>
      </c>
      <c r="D99" t="n">
        <v>1</v>
      </c>
      <c r="E99" t="n">
        <v>0</v>
      </c>
      <c r="F99" t="n">
        <v>0</v>
      </c>
      <c r="G99" t="n">
        <v>2</v>
      </c>
      <c r="H99" t="n">
        <v>5</v>
      </c>
      <c r="I99" t="n">
        <v>7</v>
      </c>
      <c r="J99" t="n">
        <v>5</v>
      </c>
      <c r="K99" t="inlineStr">
        <is>
          <t>Tier 1</t>
        </is>
      </c>
      <c r="L99" t="inlineStr">
        <is>
          <t>unclassified</t>
        </is>
      </c>
      <c r="N99" t="inlineStr">
        <is>
          <t>tartaric acid; unclassified</t>
        </is>
      </c>
    </row>
    <row r="100">
      <c r="A100" t="inlineStr">
        <is>
          <t>Thyme</t>
        </is>
      </c>
      <c r="B100" t="inlineStr">
        <is>
          <t>thyme</t>
        </is>
      </c>
      <c r="C100" t="n">
        <v>1</v>
      </c>
      <c r="D100" t="n">
        <v>1</v>
      </c>
      <c r="E100" t="n">
        <v>0</v>
      </c>
      <c r="F100" t="n">
        <v>0</v>
      </c>
      <c r="G100" t="n">
        <v>2</v>
      </c>
      <c r="H100" t="n">
        <v>5</v>
      </c>
      <c r="I100" t="n">
        <v>7</v>
      </c>
      <c r="J100" t="n">
        <v>5</v>
      </c>
      <c r="K100" t="inlineStr">
        <is>
          <t>Tier 1</t>
        </is>
      </c>
      <c r="L100" t="inlineStr">
        <is>
          <t>unclassified</t>
        </is>
      </c>
      <c r="N100" t="inlineStr">
        <is>
          <t>eucalyptol; unclassified</t>
        </is>
      </c>
    </row>
    <row r="101">
      <c r="A101" t="inlineStr">
        <is>
          <t>Valerian</t>
        </is>
      </c>
      <c r="B101" t="inlineStr">
        <is>
          <t>valerian</t>
        </is>
      </c>
      <c r="C101" t="n">
        <v>1</v>
      </c>
      <c r="D101" t="n">
        <v>1</v>
      </c>
      <c r="E101" t="n">
        <v>0</v>
      </c>
      <c r="F101" t="n">
        <v>0</v>
      </c>
      <c r="G101" t="n">
        <v>2</v>
      </c>
      <c r="H101" t="n">
        <v>5</v>
      </c>
      <c r="I101" t="n">
        <v>7</v>
      </c>
      <c r="J101" t="n">
        <v>5</v>
      </c>
      <c r="K101" t="inlineStr">
        <is>
          <t>Tier 1</t>
        </is>
      </c>
      <c r="L101" t="inlineStr">
        <is>
          <t>unclassified</t>
        </is>
      </c>
      <c r="N101" t="inlineStr">
        <is>
          <t>valerenic acid; unclassified</t>
        </is>
      </c>
    </row>
    <row r="102">
      <c r="A102" t="inlineStr">
        <is>
          <t>White Peony</t>
        </is>
      </c>
      <c r="B102" t="inlineStr">
        <is>
          <t>white-peony</t>
        </is>
      </c>
      <c r="C102" t="n">
        <v>1</v>
      </c>
      <c r="D102" t="n">
        <v>1</v>
      </c>
      <c r="E102" t="n">
        <v>0</v>
      </c>
      <c r="F102" t="n">
        <v>0</v>
      </c>
      <c r="G102" t="n">
        <v>2</v>
      </c>
      <c r="H102" t="n">
        <v>5</v>
      </c>
      <c r="I102" t="n">
        <v>7</v>
      </c>
      <c r="J102" t="n">
        <v>5</v>
      </c>
      <c r="K102" t="inlineStr">
        <is>
          <t>Tier 1</t>
        </is>
      </c>
      <c r="L102" t="inlineStr">
        <is>
          <t>unclassified</t>
        </is>
      </c>
      <c r="N102" t="inlineStr">
        <is>
          <t>paeoniflorin; unclassified</t>
        </is>
      </c>
    </row>
    <row r="103">
      <c r="A103" t="inlineStr">
        <is>
          <t>Yarrow</t>
        </is>
      </c>
      <c r="B103" t="inlineStr">
        <is>
          <t>yarrow</t>
        </is>
      </c>
      <c r="C103" t="n">
        <v>1</v>
      </c>
      <c r="D103" t="n">
        <v>1</v>
      </c>
      <c r="E103" t="n">
        <v>0</v>
      </c>
      <c r="F103" t="n">
        <v>0</v>
      </c>
      <c r="G103" t="n">
        <v>2</v>
      </c>
      <c r="H103" t="n">
        <v>5</v>
      </c>
      <c r="I103" t="n">
        <v>7</v>
      </c>
      <c r="J103" t="n">
        <v>5</v>
      </c>
      <c r="K103" t="inlineStr">
        <is>
          <t>Tier 1</t>
        </is>
      </c>
      <c r="L103" t="inlineStr">
        <is>
          <t>unclassified</t>
        </is>
      </c>
      <c r="N103" t="inlineStr">
        <is>
          <t>petasin; unclassified</t>
        </is>
      </c>
    </row>
    <row r="104">
      <c r="A104" t="inlineStr">
        <is>
          <t>Yerba Mate</t>
        </is>
      </c>
      <c r="B104" t="inlineStr">
        <is>
          <t>yerba-mate</t>
        </is>
      </c>
      <c r="C104" t="n">
        <v>1</v>
      </c>
      <c r="D104" t="n">
        <v>1</v>
      </c>
      <c r="E104" t="n">
        <v>0</v>
      </c>
      <c r="F104" t="n">
        <v>0</v>
      </c>
      <c r="G104" t="n">
        <v>2</v>
      </c>
      <c r="H104" t="n">
        <v>5</v>
      </c>
      <c r="I104" t="n">
        <v>7</v>
      </c>
      <c r="J104" t="n">
        <v>5</v>
      </c>
      <c r="K104" t="inlineStr">
        <is>
          <t>Tier 1</t>
        </is>
      </c>
      <c r="L104" t="inlineStr">
        <is>
          <t>unclassified</t>
        </is>
      </c>
      <c r="N104" t="inlineStr">
        <is>
          <t>apigenin; unclassified</t>
        </is>
      </c>
    </row>
    <row r="105">
      <c r="A105" t="inlineStr">
        <is>
          <t>Yohimbe</t>
        </is>
      </c>
      <c r="B105" t="inlineStr">
        <is>
          <t>yohimbe</t>
        </is>
      </c>
      <c r="C105" t="n">
        <v>1</v>
      </c>
      <c r="D105" t="n">
        <v>1</v>
      </c>
      <c r="E105" t="n">
        <v>0</v>
      </c>
      <c r="F105" t="n">
        <v>0</v>
      </c>
      <c r="G105" t="n">
        <v>2</v>
      </c>
      <c r="H105" t="n">
        <v>5</v>
      </c>
      <c r="I105" t="n">
        <v>7</v>
      </c>
      <c r="J105" t="n">
        <v>5</v>
      </c>
      <c r="K105" t="inlineStr">
        <is>
          <t>Tier 1</t>
        </is>
      </c>
      <c r="L105" t="inlineStr">
        <is>
          <t>unclassified</t>
        </is>
      </c>
      <c r="N105" t="inlineStr">
        <is>
          <t>yohimbine; unclassified</t>
        </is>
      </c>
    </row>
    <row r="106">
      <c r="A106" t="inlineStr">
        <is>
          <t>Acerola</t>
        </is>
      </c>
      <c r="B106" t="inlineStr">
        <is>
          <t>acerola</t>
        </is>
      </c>
      <c r="C106" t="n">
        <v>1</v>
      </c>
      <c r="D106" t="n">
        <v>0</v>
      </c>
      <c r="E106" t="n">
        <v>0</v>
      </c>
      <c r="F106" t="n">
        <v>0</v>
      </c>
      <c r="G106" t="n">
        <v>2</v>
      </c>
      <c r="H106" t="n">
        <v>5</v>
      </c>
      <c r="I106" t="n">
        <v>3</v>
      </c>
      <c r="J106" t="n">
        <v>3</v>
      </c>
      <c r="K106" t="inlineStr">
        <is>
          <t>Tier 4</t>
        </is>
      </c>
    </row>
    <row r="107">
      <c r="A107" t="inlineStr">
        <is>
          <t>Astragalus</t>
        </is>
      </c>
      <c r="B107" t="inlineStr">
        <is>
          <t>astragalus</t>
        </is>
      </c>
      <c r="C107" t="n">
        <v>1</v>
      </c>
      <c r="D107" t="n">
        <v>0</v>
      </c>
      <c r="E107" t="n">
        <v>0</v>
      </c>
      <c r="F107" t="n">
        <v>0</v>
      </c>
      <c r="G107" t="n">
        <v>2</v>
      </c>
      <c r="H107" t="n">
        <v>5</v>
      </c>
      <c r="I107" t="n">
        <v>3</v>
      </c>
      <c r="J107" t="n">
        <v>3</v>
      </c>
      <c r="K107" t="inlineStr">
        <is>
          <t>Tier 4</t>
        </is>
      </c>
    </row>
    <row r="108">
      <c r="A108" t="inlineStr">
        <is>
          <t>Atractylodes</t>
        </is>
      </c>
      <c r="B108" t="inlineStr">
        <is>
          <t>atractylodes</t>
        </is>
      </c>
      <c r="C108" t="n">
        <v>1</v>
      </c>
      <c r="D108" t="n">
        <v>0</v>
      </c>
      <c r="E108" t="n">
        <v>0</v>
      </c>
      <c r="F108" t="n">
        <v>0</v>
      </c>
      <c r="G108" t="n">
        <v>2</v>
      </c>
      <c r="H108" t="n">
        <v>5</v>
      </c>
      <c r="I108" t="n">
        <v>3</v>
      </c>
      <c r="J108" t="n">
        <v>3</v>
      </c>
      <c r="K108" t="inlineStr">
        <is>
          <t>Tier 4</t>
        </is>
      </c>
    </row>
    <row r="109">
      <c r="A109" t="inlineStr">
        <is>
          <t>Bacopa</t>
        </is>
      </c>
      <c r="B109" t="inlineStr">
        <is>
          <t>bacopa</t>
        </is>
      </c>
      <c r="C109" t="n">
        <v>1</v>
      </c>
      <c r="D109" t="n">
        <v>0</v>
      </c>
      <c r="E109" t="n">
        <v>0</v>
      </c>
      <c r="F109" t="n">
        <v>0</v>
      </c>
      <c r="G109" t="n">
        <v>2</v>
      </c>
      <c r="H109" t="n">
        <v>5</v>
      </c>
      <c r="I109" t="n">
        <v>3</v>
      </c>
      <c r="J109" t="n">
        <v>3</v>
      </c>
      <c r="K109" t="inlineStr">
        <is>
          <t>Tier 4</t>
        </is>
      </c>
    </row>
    <row r="110">
      <c r="A110" t="inlineStr">
        <is>
          <t>Boswellia</t>
        </is>
      </c>
      <c r="B110" t="inlineStr">
        <is>
          <t>boswellia</t>
        </is>
      </c>
      <c r="C110" t="n">
        <v>1</v>
      </c>
      <c r="D110" t="n">
        <v>0</v>
      </c>
      <c r="E110" t="n">
        <v>0</v>
      </c>
      <c r="F110" t="n">
        <v>0</v>
      </c>
      <c r="G110" t="n">
        <v>2</v>
      </c>
      <c r="H110" t="n">
        <v>5</v>
      </c>
      <c r="I110" t="n">
        <v>3</v>
      </c>
      <c r="J110" t="n">
        <v>3</v>
      </c>
      <c r="K110" t="inlineStr">
        <is>
          <t>Tier 4</t>
        </is>
      </c>
    </row>
    <row r="111">
      <c r="A111" t="inlineStr">
        <is>
          <t>Bupleurum</t>
        </is>
      </c>
      <c r="B111" t="inlineStr">
        <is>
          <t>bupleurum</t>
        </is>
      </c>
      <c r="C111" t="n">
        <v>1</v>
      </c>
      <c r="D111" t="n">
        <v>0</v>
      </c>
      <c r="E111" t="n">
        <v>0</v>
      </c>
      <c r="F111" t="n">
        <v>0</v>
      </c>
      <c r="G111" t="n">
        <v>2</v>
      </c>
      <c r="H111" t="n">
        <v>5</v>
      </c>
      <c r="I111" t="n">
        <v>3</v>
      </c>
      <c r="J111" t="n">
        <v>3</v>
      </c>
      <c r="K111" t="inlineStr">
        <is>
          <t>Tier 4</t>
        </is>
      </c>
    </row>
    <row r="112">
      <c r="A112" t="inlineStr">
        <is>
          <t>Carob</t>
        </is>
      </c>
      <c r="B112" t="inlineStr">
        <is>
          <t>carob</t>
        </is>
      </c>
      <c r="C112" t="n">
        <v>1</v>
      </c>
      <c r="D112" t="n">
        <v>0</v>
      </c>
      <c r="E112" t="n">
        <v>0</v>
      </c>
      <c r="F112" t="n">
        <v>0</v>
      </c>
      <c r="G112" t="n">
        <v>2</v>
      </c>
      <c r="H112" t="n">
        <v>5</v>
      </c>
      <c r="I112" t="n">
        <v>3</v>
      </c>
      <c r="J112" t="n">
        <v>3</v>
      </c>
      <c r="K112" t="inlineStr">
        <is>
          <t>Tier 4</t>
        </is>
      </c>
    </row>
    <row r="113">
      <c r="A113" t="inlineStr">
        <is>
          <t>Catuba</t>
        </is>
      </c>
      <c r="B113" t="inlineStr">
        <is>
          <t>catuaba</t>
        </is>
      </c>
      <c r="C113" t="n">
        <v>1</v>
      </c>
      <c r="D113" t="n">
        <v>0</v>
      </c>
      <c r="E113" t="n">
        <v>0</v>
      </c>
      <c r="F113" t="n">
        <v>0</v>
      </c>
      <c r="G113" t="n">
        <v>2</v>
      </c>
      <c r="H113" t="n">
        <v>5</v>
      </c>
      <c r="I113" t="n">
        <v>3</v>
      </c>
      <c r="J113" t="n">
        <v>3</v>
      </c>
      <c r="K113" t="inlineStr">
        <is>
          <t>Tier 4</t>
        </is>
      </c>
    </row>
    <row r="114">
      <c r="A114" t="inlineStr">
        <is>
          <t>Cissus</t>
        </is>
      </c>
      <c r="B114" t="inlineStr">
        <is>
          <t>cissus</t>
        </is>
      </c>
      <c r="C114" t="n">
        <v>1</v>
      </c>
      <c r="D114" t="n">
        <v>0</v>
      </c>
      <c r="E114" t="n">
        <v>0</v>
      </c>
      <c r="F114" t="n">
        <v>0</v>
      </c>
      <c r="G114" t="n">
        <v>2</v>
      </c>
      <c r="H114" t="n">
        <v>5</v>
      </c>
      <c r="I114" t="n">
        <v>3</v>
      </c>
      <c r="J114" t="n">
        <v>3</v>
      </c>
      <c r="K114" t="inlineStr">
        <is>
          <t>Tier 4</t>
        </is>
      </c>
    </row>
    <row r="115">
      <c r="A115" t="inlineStr">
        <is>
          <t>Codonopsis</t>
        </is>
      </c>
      <c r="B115" t="inlineStr">
        <is>
          <t>codonopsis</t>
        </is>
      </c>
      <c r="C115" t="n">
        <v>1</v>
      </c>
      <c r="D115" t="n">
        <v>0</v>
      </c>
      <c r="E115" t="n">
        <v>0</v>
      </c>
      <c r="F115" t="n">
        <v>0</v>
      </c>
      <c r="G115" t="n">
        <v>2</v>
      </c>
      <c r="H115" t="n">
        <v>5</v>
      </c>
      <c r="I115" t="n">
        <v>3</v>
      </c>
      <c r="J115" t="n">
        <v>3</v>
      </c>
      <c r="K115" t="inlineStr">
        <is>
          <t>Tier 4</t>
        </is>
      </c>
    </row>
    <row r="116">
      <c r="A116" t="inlineStr">
        <is>
          <t>Cranberry</t>
        </is>
      </c>
      <c r="B116" t="inlineStr">
        <is>
          <t>cranberry</t>
        </is>
      </c>
      <c r="C116" t="n">
        <v>1</v>
      </c>
      <c r="D116" t="n">
        <v>0</v>
      </c>
      <c r="E116" t="n">
        <v>0</v>
      </c>
      <c r="F116" t="n">
        <v>0</v>
      </c>
      <c r="G116" t="n">
        <v>2</v>
      </c>
      <c r="H116" t="n">
        <v>5</v>
      </c>
      <c r="I116" t="n">
        <v>3</v>
      </c>
      <c r="J116" t="n">
        <v>3</v>
      </c>
      <c r="K116" t="inlineStr">
        <is>
          <t>Tier 4</t>
        </is>
      </c>
    </row>
    <row r="117">
      <c r="A117" t="inlineStr">
        <is>
          <t>Danshen</t>
        </is>
      </c>
      <c r="B117" t="inlineStr">
        <is>
          <t>danshen</t>
        </is>
      </c>
      <c r="C117" t="n">
        <v>1</v>
      </c>
      <c r="D117" t="n">
        <v>0</v>
      </c>
      <c r="E117" t="n">
        <v>0</v>
      </c>
      <c r="F117" t="n">
        <v>0</v>
      </c>
      <c r="G117" t="n">
        <v>2</v>
      </c>
      <c r="H117" t="n">
        <v>5</v>
      </c>
      <c r="I117" t="n">
        <v>3</v>
      </c>
      <c r="J117" t="n">
        <v>3</v>
      </c>
      <c r="K117" t="inlineStr">
        <is>
          <t>Tier 4</t>
        </is>
      </c>
    </row>
    <row r="118">
      <c r="A118" t="inlineStr">
        <is>
          <t>Echinacea Purpurea</t>
        </is>
      </c>
      <c r="B118" t="inlineStr">
        <is>
          <t>echinacea-purpurea</t>
        </is>
      </c>
      <c r="C118" t="n">
        <v>1</v>
      </c>
      <c r="D118" t="n">
        <v>0</v>
      </c>
      <c r="E118" t="n">
        <v>0</v>
      </c>
      <c r="F118" t="n">
        <v>0</v>
      </c>
      <c r="G118" t="n">
        <v>2</v>
      </c>
      <c r="H118" t="n">
        <v>5</v>
      </c>
      <c r="I118" t="n">
        <v>3</v>
      </c>
      <c r="J118" t="n">
        <v>3</v>
      </c>
      <c r="K118" t="inlineStr">
        <is>
          <t>Tier 4</t>
        </is>
      </c>
    </row>
    <row r="119">
      <c r="A119" t="inlineStr">
        <is>
          <t>Hawthorn</t>
        </is>
      </c>
      <c r="B119" t="inlineStr">
        <is>
          <t>hawthorn</t>
        </is>
      </c>
      <c r="C119" t="n">
        <v>1</v>
      </c>
      <c r="D119" t="n">
        <v>0</v>
      </c>
      <c r="E119" t="n">
        <v>0</v>
      </c>
      <c r="F119" t="n">
        <v>0</v>
      </c>
      <c r="G119" t="n">
        <v>2</v>
      </c>
      <c r="H119" t="n">
        <v>5</v>
      </c>
      <c r="I119" t="n">
        <v>3</v>
      </c>
      <c r="J119" t="n">
        <v>3</v>
      </c>
      <c r="K119" t="inlineStr">
        <is>
          <t>Tier 4</t>
        </is>
      </c>
    </row>
    <row r="120">
      <c r="A120" t="inlineStr">
        <is>
          <t>Holy Basil Seed</t>
        </is>
      </c>
      <c r="B120" t="inlineStr">
        <is>
          <t>holy-basil-seed</t>
        </is>
      </c>
      <c r="C120" t="n">
        <v>1</v>
      </c>
      <c r="D120" t="n">
        <v>0</v>
      </c>
      <c r="E120" t="n">
        <v>0</v>
      </c>
      <c r="F120" t="n">
        <v>0</v>
      </c>
      <c r="G120" t="n">
        <v>2</v>
      </c>
      <c r="H120" t="n">
        <v>5</v>
      </c>
      <c r="I120" t="n">
        <v>3</v>
      </c>
      <c r="J120" t="n">
        <v>3</v>
      </c>
      <c r="K120" t="inlineStr">
        <is>
          <t>Tier 4</t>
        </is>
      </c>
    </row>
    <row r="121">
      <c r="A121" t="inlineStr">
        <is>
          <t>Jujube</t>
        </is>
      </c>
      <c r="B121" t="inlineStr">
        <is>
          <t>jujube</t>
        </is>
      </c>
      <c r="C121" t="n">
        <v>1</v>
      </c>
      <c r="D121" t="n">
        <v>0</v>
      </c>
      <c r="E121" t="n">
        <v>0</v>
      </c>
      <c r="F121" t="n">
        <v>0</v>
      </c>
      <c r="G121" t="n">
        <v>2</v>
      </c>
      <c r="H121" t="n">
        <v>5</v>
      </c>
      <c r="I121" t="n">
        <v>3</v>
      </c>
      <c r="J121" t="n">
        <v>3</v>
      </c>
      <c r="K121" t="inlineStr">
        <is>
          <t>Tier 4</t>
        </is>
      </c>
    </row>
    <row r="122">
      <c r="A122" t="inlineStr">
        <is>
          <t>Lion's Mane</t>
        </is>
      </c>
      <c r="B122" t="inlineStr">
        <is>
          <t>lions-mane</t>
        </is>
      </c>
      <c r="C122" t="n">
        <v>1</v>
      </c>
      <c r="D122" t="n">
        <v>0</v>
      </c>
      <c r="E122" t="n">
        <v>0</v>
      </c>
      <c r="F122" t="n">
        <v>0</v>
      </c>
      <c r="G122" t="n">
        <v>2</v>
      </c>
      <c r="H122" t="n">
        <v>5</v>
      </c>
      <c r="I122" t="n">
        <v>3</v>
      </c>
      <c r="J122" t="n">
        <v>3</v>
      </c>
      <c r="K122" t="inlineStr">
        <is>
          <t>Tier 4</t>
        </is>
      </c>
    </row>
    <row r="123">
      <c r="A123" t="inlineStr">
        <is>
          <t>Luo Han Guo</t>
        </is>
      </c>
      <c r="B123" t="inlineStr">
        <is>
          <t>luo-han-guo</t>
        </is>
      </c>
      <c r="C123" t="n">
        <v>1</v>
      </c>
      <c r="D123" t="n">
        <v>0</v>
      </c>
      <c r="E123" t="n">
        <v>0</v>
      </c>
      <c r="F123" t="n">
        <v>0</v>
      </c>
      <c r="G123" t="n">
        <v>2</v>
      </c>
      <c r="H123" t="n">
        <v>5</v>
      </c>
      <c r="I123" t="n">
        <v>3</v>
      </c>
      <c r="J123" t="n">
        <v>3</v>
      </c>
      <c r="K123" t="inlineStr">
        <is>
          <t>Tier 4</t>
        </is>
      </c>
    </row>
    <row r="124">
      <c r="A124" t="inlineStr">
        <is>
          <t>Milk Thistle</t>
        </is>
      </c>
      <c r="B124" t="inlineStr">
        <is>
          <t>milk-thistle</t>
        </is>
      </c>
      <c r="C124" t="n">
        <v>1</v>
      </c>
      <c r="D124" t="n">
        <v>0</v>
      </c>
      <c r="E124" t="n">
        <v>0</v>
      </c>
      <c r="F124" t="n">
        <v>0</v>
      </c>
      <c r="G124" t="n">
        <v>2</v>
      </c>
      <c r="H124" t="n">
        <v>5</v>
      </c>
      <c r="I124" t="n">
        <v>3</v>
      </c>
      <c r="J124" t="n">
        <v>3</v>
      </c>
      <c r="K124" t="inlineStr">
        <is>
          <t>Tier 4</t>
        </is>
      </c>
    </row>
    <row r="125">
      <c r="A125" t="inlineStr">
        <is>
          <t>Notoginseng</t>
        </is>
      </c>
      <c r="B125" t="inlineStr">
        <is>
          <t>notoginseng</t>
        </is>
      </c>
      <c r="C125" t="n">
        <v>1</v>
      </c>
      <c r="D125" t="n">
        <v>0</v>
      </c>
      <c r="E125" t="n">
        <v>0</v>
      </c>
      <c r="F125" t="n">
        <v>0</v>
      </c>
      <c r="G125" t="n">
        <v>2</v>
      </c>
      <c r="H125" t="n">
        <v>5</v>
      </c>
      <c r="I125" t="n">
        <v>3</v>
      </c>
      <c r="J125" t="n">
        <v>3</v>
      </c>
      <c r="K125" t="inlineStr">
        <is>
          <t>Tier 4</t>
        </is>
      </c>
    </row>
    <row r="126">
      <c r="A126" t="inlineStr">
        <is>
          <t>Ophiopogon</t>
        </is>
      </c>
      <c r="B126" t="inlineStr">
        <is>
          <t>ophiopogon</t>
        </is>
      </c>
      <c r="C126" t="n">
        <v>1</v>
      </c>
      <c r="D126" t="n">
        <v>0</v>
      </c>
      <c r="E126" t="n">
        <v>0</v>
      </c>
      <c r="F126" t="n">
        <v>0</v>
      </c>
      <c r="G126" t="n">
        <v>2</v>
      </c>
      <c r="H126" t="n">
        <v>5</v>
      </c>
      <c r="I126" t="n">
        <v>3</v>
      </c>
      <c r="J126" t="n">
        <v>3</v>
      </c>
      <c r="K126" t="inlineStr">
        <is>
          <t>Tier 4</t>
        </is>
      </c>
    </row>
    <row r="127">
      <c r="A127" t="inlineStr">
        <is>
          <t>Psyllium</t>
        </is>
      </c>
      <c r="B127" t="inlineStr">
        <is>
          <t>psyllium</t>
        </is>
      </c>
      <c r="C127" t="n">
        <v>1</v>
      </c>
      <c r="D127" t="n">
        <v>0</v>
      </c>
      <c r="E127" t="n">
        <v>0</v>
      </c>
      <c r="F127" t="n">
        <v>0</v>
      </c>
      <c r="G127" t="n">
        <v>2</v>
      </c>
      <c r="H127" t="n">
        <v>5</v>
      </c>
      <c r="I127" t="n">
        <v>3</v>
      </c>
      <c r="J127" t="n">
        <v>3</v>
      </c>
      <c r="K127" t="inlineStr">
        <is>
          <t>Tier 4</t>
        </is>
      </c>
    </row>
    <row r="128">
      <c r="A128" t="inlineStr">
        <is>
          <t>Saw Palmetto</t>
        </is>
      </c>
      <c r="B128" t="inlineStr">
        <is>
          <t>saw-palmetto</t>
        </is>
      </c>
      <c r="C128" t="n">
        <v>1</v>
      </c>
      <c r="D128" t="n">
        <v>0</v>
      </c>
      <c r="E128" t="n">
        <v>0</v>
      </c>
      <c r="F128" t="n">
        <v>0</v>
      </c>
      <c r="G128" t="n">
        <v>2</v>
      </c>
      <c r="H128" t="n">
        <v>5</v>
      </c>
      <c r="I128" t="n">
        <v>3</v>
      </c>
      <c r="J128" t="n">
        <v>3</v>
      </c>
      <c r="K128" t="inlineStr">
        <is>
          <t>Tier 4</t>
        </is>
      </c>
    </row>
    <row r="129">
      <c r="A129" t="inlineStr">
        <is>
          <t>Schisandra Berry</t>
        </is>
      </c>
      <c r="B129" t="inlineStr">
        <is>
          <t>schisandra-berry</t>
        </is>
      </c>
      <c r="C129" t="n">
        <v>1</v>
      </c>
      <c r="D129" t="n">
        <v>0</v>
      </c>
      <c r="E129" t="n">
        <v>0</v>
      </c>
      <c r="F129" t="n">
        <v>0</v>
      </c>
      <c r="G129" t="n">
        <v>2</v>
      </c>
      <c r="H129" t="n">
        <v>5</v>
      </c>
      <c r="I129" t="n">
        <v>3</v>
      </c>
      <c r="J129" t="n">
        <v>3</v>
      </c>
      <c r="K129" t="inlineStr">
        <is>
          <t>Tier 4</t>
        </is>
      </c>
    </row>
    <row r="130">
      <c r="A130" t="inlineStr">
        <is>
          <t>Turkey Tail</t>
        </is>
      </c>
      <c r="B130" t="inlineStr">
        <is>
          <t>turkey-tail</t>
        </is>
      </c>
      <c r="C130" t="n">
        <v>1</v>
      </c>
      <c r="D130" t="n">
        <v>0</v>
      </c>
      <c r="E130" t="n">
        <v>0</v>
      </c>
      <c r="F130" t="n">
        <v>0</v>
      </c>
      <c r="G130" t="n">
        <v>2</v>
      </c>
      <c r="H130" t="n">
        <v>5</v>
      </c>
      <c r="I130" t="n">
        <v>3</v>
      </c>
      <c r="J130" t="n">
        <v>3</v>
      </c>
      <c r="K130" t="inlineStr">
        <is>
          <t>Tier 4</t>
        </is>
      </c>
    </row>
    <row r="131">
      <c r="A131" t="inlineStr">
        <is>
          <t>Aloe Vera</t>
        </is>
      </c>
      <c r="B131" t="inlineStr">
        <is>
          <t>aloe-vera</t>
        </is>
      </c>
      <c r="C131" t="n">
        <v>0</v>
      </c>
      <c r="D131" t="n">
        <v>0</v>
      </c>
      <c r="E131" t="n">
        <v>0</v>
      </c>
      <c r="F131" t="n">
        <v>0</v>
      </c>
      <c r="G131" t="n">
        <v>0</v>
      </c>
      <c r="H131" t="n">
        <v>0</v>
      </c>
      <c r="I131" t="n">
        <v>0</v>
      </c>
      <c r="J131" t="n">
        <v>0</v>
      </c>
      <c r="K131" t="inlineStr">
        <is>
          <t>Tier 4</t>
        </is>
      </c>
    </row>
    <row r="132">
      <c r="A132" t="inlineStr">
        <is>
          <t>American Ginseng</t>
        </is>
      </c>
      <c r="B132" t="inlineStr">
        <is>
          <t>american-ginseng</t>
        </is>
      </c>
      <c r="C132" t="n">
        <v>0</v>
      </c>
      <c r="D132" t="n">
        <v>0</v>
      </c>
      <c r="E132" t="n">
        <v>0</v>
      </c>
      <c r="F132" t="n">
        <v>0</v>
      </c>
      <c r="G132" t="n">
        <v>0</v>
      </c>
      <c r="H132" t="n">
        <v>0</v>
      </c>
      <c r="I132" t="n">
        <v>0</v>
      </c>
      <c r="J132" t="n">
        <v>0</v>
      </c>
      <c r="K132" t="inlineStr">
        <is>
          <t>Tier 4</t>
        </is>
      </c>
    </row>
    <row r="133">
      <c r="A133" t="inlineStr">
        <is>
          <t>American Yellow Lotus</t>
        </is>
      </c>
      <c r="B133" t="inlineStr">
        <is>
          <t>nelumbo-lutea</t>
        </is>
      </c>
      <c r="C133" t="n">
        <v>0</v>
      </c>
      <c r="D133" t="n">
        <v>0</v>
      </c>
      <c r="E133" t="n">
        <v>0</v>
      </c>
      <c r="F133" t="n">
        <v>0</v>
      </c>
      <c r="G133" t="n">
        <v>0</v>
      </c>
      <c r="H133" t="n">
        <v>0</v>
      </c>
      <c r="I133" t="n">
        <v>0</v>
      </c>
      <c r="J133" t="n">
        <v>0</v>
      </c>
      <c r="K133" t="inlineStr">
        <is>
          <t>Tier 4</t>
        </is>
      </c>
    </row>
    <row r="134">
      <c r="A134" t="inlineStr">
        <is>
          <t>Anise Hyssop</t>
        </is>
      </c>
      <c r="B134" t="inlineStr">
        <is>
          <t>agastache-foeniculum</t>
        </is>
      </c>
      <c r="C134" t="n">
        <v>0</v>
      </c>
      <c r="D134" t="n">
        <v>0</v>
      </c>
      <c r="E134" t="n">
        <v>0</v>
      </c>
      <c r="F134" t="n">
        <v>0</v>
      </c>
      <c r="G134" t="n">
        <v>0</v>
      </c>
      <c r="H134" t="n">
        <v>0</v>
      </c>
      <c r="I134" t="n">
        <v>0</v>
      </c>
      <c r="J134" t="n">
        <v>0</v>
      </c>
      <c r="K134" t="inlineStr">
        <is>
          <t>Tier 4</t>
        </is>
      </c>
    </row>
    <row r="135">
      <c r="A135" t="inlineStr">
        <is>
          <t>Artemisia Annua</t>
        </is>
      </c>
      <c r="B135" t="inlineStr">
        <is>
          <t>artemisia-annua</t>
        </is>
      </c>
      <c r="C135" t="n">
        <v>0</v>
      </c>
      <c r="D135" t="n">
        <v>0</v>
      </c>
      <c r="E135" t="n">
        <v>0</v>
      </c>
      <c r="F135" t="n">
        <v>0</v>
      </c>
      <c r="G135" t="n">
        <v>0</v>
      </c>
      <c r="H135" t="n">
        <v>0</v>
      </c>
      <c r="I135" t="n">
        <v>0</v>
      </c>
      <c r="J135" t="n">
        <v>0</v>
      </c>
      <c r="K135" t="inlineStr">
        <is>
          <t>Tier 4</t>
        </is>
      </c>
    </row>
    <row r="136">
      <c r="A136" t="inlineStr">
        <is>
          <t>Bael</t>
        </is>
      </c>
      <c r="B136" t="inlineStr">
        <is>
          <t>aegle-marmelos</t>
        </is>
      </c>
      <c r="C136" t="n">
        <v>0</v>
      </c>
      <c r="D136" t="n">
        <v>0</v>
      </c>
      <c r="E136" t="n">
        <v>0</v>
      </c>
      <c r="F136" t="n">
        <v>0</v>
      </c>
      <c r="G136" t="n">
        <v>0</v>
      </c>
      <c r="H136" t="n">
        <v>0</v>
      </c>
      <c r="I136" t="n">
        <v>0</v>
      </c>
      <c r="J136" t="n">
        <v>0</v>
      </c>
      <c r="K136" t="inlineStr">
        <is>
          <t>Tier 4</t>
        </is>
      </c>
    </row>
    <row r="137">
      <c r="A137" t="inlineStr">
        <is>
          <t>Berberis</t>
        </is>
      </c>
      <c r="B137" t="inlineStr">
        <is>
          <t>berberis</t>
        </is>
      </c>
      <c r="C137" t="n">
        <v>0</v>
      </c>
      <c r="D137" t="n">
        <v>0</v>
      </c>
      <c r="E137" t="n">
        <v>0</v>
      </c>
      <c r="F137" t="n">
        <v>0</v>
      </c>
      <c r="G137" t="n">
        <v>0</v>
      </c>
      <c r="H137" t="n">
        <v>0</v>
      </c>
      <c r="I137" t="n">
        <v>0</v>
      </c>
      <c r="J137" t="n">
        <v>0</v>
      </c>
      <c r="K137" t="inlineStr">
        <is>
          <t>Tier 4</t>
        </is>
      </c>
    </row>
    <row r="138">
      <c r="A138" t="inlineStr">
        <is>
          <t>Bitter Melon</t>
        </is>
      </c>
      <c r="B138" t="inlineStr">
        <is>
          <t>bitter-melon</t>
        </is>
      </c>
      <c r="C138" t="n">
        <v>0</v>
      </c>
      <c r="D138" t="n">
        <v>0</v>
      </c>
      <c r="E138" t="n">
        <v>0</v>
      </c>
      <c r="F138" t="n">
        <v>0</v>
      </c>
      <c r="G138" t="n">
        <v>0</v>
      </c>
      <c r="H138" t="n">
        <v>0</v>
      </c>
      <c r="I138" t="n">
        <v>0</v>
      </c>
      <c r="J138" t="n">
        <v>0</v>
      </c>
      <c r="K138" t="inlineStr">
        <is>
          <t>Tier 4</t>
        </is>
      </c>
    </row>
    <row r="139">
      <c r="A139" t="inlineStr">
        <is>
          <t>Cacao</t>
        </is>
      </c>
      <c r="B139" t="inlineStr">
        <is>
          <t>cacao</t>
        </is>
      </c>
      <c r="C139" t="n">
        <v>0</v>
      </c>
      <c r="D139" t="n">
        <v>0</v>
      </c>
      <c r="E139" t="n">
        <v>0</v>
      </c>
      <c r="F139" t="n">
        <v>0</v>
      </c>
      <c r="G139" t="n">
        <v>0</v>
      </c>
      <c r="H139" t="n">
        <v>0</v>
      </c>
      <c r="I139" t="n">
        <v>0</v>
      </c>
      <c r="J139" t="n">
        <v>0</v>
      </c>
      <c r="K139" t="inlineStr">
        <is>
          <t>Tier 4</t>
        </is>
      </c>
    </row>
    <row r="140">
      <c r="A140" t="inlineStr">
        <is>
          <t>Calamus</t>
        </is>
      </c>
      <c r="B140" t="inlineStr">
        <is>
          <t>acorus-calamus</t>
        </is>
      </c>
      <c r="C140" t="n">
        <v>0</v>
      </c>
      <c r="D140" t="n">
        <v>0</v>
      </c>
      <c r="E140" t="n">
        <v>0</v>
      </c>
      <c r="F140" t="n">
        <v>0</v>
      </c>
      <c r="G140" t="n">
        <v>0</v>
      </c>
      <c r="H140" t="n">
        <v>0</v>
      </c>
      <c r="I140" t="n">
        <v>0</v>
      </c>
      <c r="J140" t="n">
        <v>0</v>
      </c>
      <c r="K140" t="inlineStr">
        <is>
          <t>Tier 4</t>
        </is>
      </c>
    </row>
    <row r="141">
      <c r="A141" t="inlineStr">
        <is>
          <t>Cassia Alata</t>
        </is>
      </c>
      <c r="B141" t="inlineStr">
        <is>
          <t>cassia-alata</t>
        </is>
      </c>
      <c r="C141" t="n">
        <v>0</v>
      </c>
      <c r="D141" t="n">
        <v>0</v>
      </c>
      <c r="E141" t="n">
        <v>0</v>
      </c>
      <c r="F141" t="n">
        <v>0</v>
      </c>
      <c r="G141" t="n">
        <v>0</v>
      </c>
      <c r="H141" t="n">
        <v>0</v>
      </c>
      <c r="I141" t="n">
        <v>0</v>
      </c>
      <c r="J141" t="n">
        <v>0</v>
      </c>
      <c r="K141" t="inlineStr">
        <is>
          <t>Tier 4</t>
        </is>
      </c>
    </row>
    <row r="142">
      <c r="A142" t="inlineStr">
        <is>
          <t>Cat's Claw</t>
        </is>
      </c>
      <c r="B142" t="inlineStr">
        <is>
          <t>cats-claw</t>
        </is>
      </c>
      <c r="C142" t="n">
        <v>0</v>
      </c>
      <c r="D142" t="n">
        <v>0</v>
      </c>
      <c r="E142" t="n">
        <v>0</v>
      </c>
      <c r="F142" t="n">
        <v>0</v>
      </c>
      <c r="G142" t="n">
        <v>0</v>
      </c>
      <c r="H142" t="n">
        <v>0</v>
      </c>
      <c r="I142" t="n">
        <v>0</v>
      </c>
      <c r="J142" t="n">
        <v>0</v>
      </c>
      <c r="K142" t="inlineStr">
        <is>
          <t>Tier 4</t>
        </is>
      </c>
    </row>
    <row r="143">
      <c r="A143" t="inlineStr">
        <is>
          <t>Cayenne</t>
        </is>
      </c>
      <c r="B143" t="inlineStr">
        <is>
          <t>capsicum-annuum</t>
        </is>
      </c>
      <c r="C143" t="n">
        <v>0</v>
      </c>
      <c r="D143" t="n">
        <v>0</v>
      </c>
      <c r="E143" t="n">
        <v>0</v>
      </c>
      <c r="F143" t="n">
        <v>0</v>
      </c>
      <c r="G143" t="n">
        <v>0</v>
      </c>
      <c r="H143" t="n">
        <v>0</v>
      </c>
      <c r="I143" t="n">
        <v>0</v>
      </c>
      <c r="J143" t="n">
        <v>0</v>
      </c>
      <c r="K143" t="inlineStr">
        <is>
          <t>Tier 4</t>
        </is>
      </c>
    </row>
    <row r="144">
      <c r="A144" t="inlineStr">
        <is>
          <t>Chaga</t>
        </is>
      </c>
      <c r="B144" t="inlineStr">
        <is>
          <t>chaga</t>
        </is>
      </c>
      <c r="C144" t="n">
        <v>0</v>
      </c>
      <c r="D144" t="n">
        <v>0</v>
      </c>
      <c r="E144" t="n">
        <v>0</v>
      </c>
      <c r="F144" t="n">
        <v>0</v>
      </c>
      <c r="G144" t="n">
        <v>0</v>
      </c>
      <c r="H144" t="n">
        <v>0</v>
      </c>
      <c r="I144" t="n">
        <v>0</v>
      </c>
      <c r="J144" t="n">
        <v>0</v>
      </c>
      <c r="K144" t="inlineStr">
        <is>
          <t>Tier 4</t>
        </is>
      </c>
    </row>
    <row r="145">
      <c r="A145" t="inlineStr">
        <is>
          <t>Chuanxiong</t>
        </is>
      </c>
      <c r="B145" t="inlineStr">
        <is>
          <t>ligusticum-chuanxiong</t>
        </is>
      </c>
      <c r="C145" t="n">
        <v>0</v>
      </c>
      <c r="D145" t="n">
        <v>0</v>
      </c>
      <c r="E145" t="n">
        <v>0</v>
      </c>
      <c r="F145" t="n">
        <v>0</v>
      </c>
      <c r="G145" t="n">
        <v>0</v>
      </c>
      <c r="H145" t="n">
        <v>0</v>
      </c>
      <c r="I145" t="n">
        <v>0</v>
      </c>
      <c r="J145" t="n">
        <v>0</v>
      </c>
      <c r="K145" t="inlineStr">
        <is>
          <t>Tier 4</t>
        </is>
      </c>
    </row>
    <row r="146">
      <c r="A146" t="inlineStr">
        <is>
          <t>Coffee Cherry</t>
        </is>
      </c>
      <c r="B146" t="inlineStr">
        <is>
          <t>coffee</t>
        </is>
      </c>
      <c r="C146" t="n">
        <v>0</v>
      </c>
      <c r="D146" t="n">
        <v>0</v>
      </c>
      <c r="E146" t="n">
        <v>0</v>
      </c>
      <c r="F146" t="n">
        <v>0</v>
      </c>
      <c r="G146" t="n">
        <v>0</v>
      </c>
      <c r="H146" t="n">
        <v>0</v>
      </c>
      <c r="I146" t="n">
        <v>0</v>
      </c>
      <c r="J146" t="n">
        <v>0</v>
      </c>
      <c r="K146" t="inlineStr">
        <is>
          <t>Tier 4</t>
        </is>
      </c>
    </row>
    <row r="147">
      <c r="A147" t="inlineStr">
        <is>
          <t>Coleus Forskohlii</t>
        </is>
      </c>
      <c r="B147" t="inlineStr">
        <is>
          <t>coleus-forskohlii</t>
        </is>
      </c>
      <c r="C147" t="n">
        <v>0</v>
      </c>
      <c r="D147" t="n">
        <v>0</v>
      </c>
      <c r="E147" t="n">
        <v>0</v>
      </c>
      <c r="F147" t="n">
        <v>0</v>
      </c>
      <c r="G147" t="n">
        <v>0</v>
      </c>
      <c r="H147" t="n">
        <v>0</v>
      </c>
      <c r="I147" t="n">
        <v>0</v>
      </c>
      <c r="J147" t="n">
        <v>0</v>
      </c>
      <c r="K147" t="inlineStr">
        <is>
          <t>Tier 4</t>
        </is>
      </c>
    </row>
    <row r="148">
      <c r="A148" t="inlineStr">
        <is>
          <t>Coptis</t>
        </is>
      </c>
      <c r="B148" t="inlineStr">
        <is>
          <t>coptis-chinensis</t>
        </is>
      </c>
      <c r="C148" t="n">
        <v>0</v>
      </c>
      <c r="D148" t="n">
        <v>0</v>
      </c>
      <c r="E148" t="n">
        <v>0</v>
      </c>
      <c r="F148" t="n">
        <v>0</v>
      </c>
      <c r="G148" t="n">
        <v>0</v>
      </c>
      <c r="H148" t="n">
        <v>0</v>
      </c>
      <c r="I148" t="n">
        <v>0</v>
      </c>
      <c r="J148" t="n">
        <v>0</v>
      </c>
      <c r="K148" t="inlineStr">
        <is>
          <t>Tier 4</t>
        </is>
      </c>
    </row>
    <row r="149">
      <c r="A149" t="inlineStr">
        <is>
          <t>Elderberry</t>
        </is>
      </c>
      <c r="B149" t="inlineStr">
        <is>
          <t>sambucus-nigra</t>
        </is>
      </c>
      <c r="C149" t="n">
        <v>0</v>
      </c>
      <c r="D149" t="n">
        <v>0</v>
      </c>
      <c r="E149" t="n">
        <v>0</v>
      </c>
      <c r="F149" t="n">
        <v>0</v>
      </c>
      <c r="G149" t="n">
        <v>0</v>
      </c>
      <c r="H149" t="n">
        <v>0</v>
      </c>
      <c r="I149" t="n">
        <v>0</v>
      </c>
      <c r="J149" t="n">
        <v>0</v>
      </c>
      <c r="K149" t="inlineStr">
        <is>
          <t>Tier 4</t>
        </is>
      </c>
    </row>
    <row r="150">
      <c r="A150" t="inlineStr">
        <is>
          <t>Eucalyptus</t>
        </is>
      </c>
      <c r="B150" t="inlineStr">
        <is>
          <t>eucalyptus</t>
        </is>
      </c>
      <c r="C150" t="n">
        <v>0</v>
      </c>
      <c r="D150" t="n">
        <v>0</v>
      </c>
      <c r="E150" t="n">
        <v>0</v>
      </c>
      <c r="F150" t="n">
        <v>0</v>
      </c>
      <c r="G150" t="n">
        <v>0</v>
      </c>
      <c r="H150" t="n">
        <v>0</v>
      </c>
      <c r="I150" t="n">
        <v>0</v>
      </c>
      <c r="J150" t="n">
        <v>0</v>
      </c>
      <c r="K150" t="inlineStr">
        <is>
          <t>Tier 4</t>
        </is>
      </c>
    </row>
    <row r="151">
      <c r="A151" t="inlineStr">
        <is>
          <t>Fingerroot</t>
        </is>
      </c>
      <c r="B151" t="inlineStr">
        <is>
          <t>boesenbergia-rotunda</t>
        </is>
      </c>
      <c r="C151" t="n">
        <v>0</v>
      </c>
      <c r="D151" t="n">
        <v>0</v>
      </c>
      <c r="E151" t="n">
        <v>0</v>
      </c>
      <c r="F151" t="n">
        <v>0</v>
      </c>
      <c r="G151" t="n">
        <v>0</v>
      </c>
      <c r="H151" t="n">
        <v>0</v>
      </c>
      <c r="I151" t="n">
        <v>0</v>
      </c>
      <c r="J151" t="n">
        <v>0</v>
      </c>
      <c r="K151" t="inlineStr">
        <is>
          <t>Tier 4</t>
        </is>
      </c>
    </row>
    <row r="152">
      <c r="A152" t="inlineStr">
        <is>
          <t>Goldenseal</t>
        </is>
      </c>
      <c r="B152" t="inlineStr">
        <is>
          <t>hydrastis-canadensis</t>
        </is>
      </c>
      <c r="C152" t="n">
        <v>0</v>
      </c>
      <c r="D152" t="n">
        <v>0</v>
      </c>
      <c r="E152" t="n">
        <v>0</v>
      </c>
      <c r="F152" t="n">
        <v>0</v>
      </c>
      <c r="G152" t="n">
        <v>0</v>
      </c>
      <c r="H152" t="n">
        <v>0</v>
      </c>
      <c r="I152" t="n">
        <v>0</v>
      </c>
      <c r="J152" t="n">
        <v>0</v>
      </c>
      <c r="K152" t="inlineStr">
        <is>
          <t>Tier 4</t>
        </is>
      </c>
    </row>
    <row r="153">
      <c r="A153" t="inlineStr">
        <is>
          <t>Gotu Kola</t>
        </is>
      </c>
      <c r="B153" t="inlineStr">
        <is>
          <t>gotu-kola</t>
        </is>
      </c>
      <c r="C153" t="n">
        <v>0</v>
      </c>
      <c r="D153" t="n">
        <v>0</v>
      </c>
      <c r="E153" t="n">
        <v>0</v>
      </c>
      <c r="F153" t="n">
        <v>0</v>
      </c>
      <c r="G153" t="n">
        <v>0</v>
      </c>
      <c r="H153" t="n">
        <v>0</v>
      </c>
      <c r="I153" t="n">
        <v>0</v>
      </c>
      <c r="J153" t="n">
        <v>0</v>
      </c>
      <c r="K153" t="inlineStr">
        <is>
          <t>Tier 4</t>
        </is>
      </c>
    </row>
    <row r="154">
      <c r="A154" t="inlineStr">
        <is>
          <t>Guayusa</t>
        </is>
      </c>
      <c r="B154" t="inlineStr">
        <is>
          <t>ilex-guayusa</t>
        </is>
      </c>
      <c r="C154" t="n">
        <v>0</v>
      </c>
      <c r="D154" t="n">
        <v>0</v>
      </c>
      <c r="E154" t="n">
        <v>0</v>
      </c>
      <c r="F154" t="n">
        <v>0</v>
      </c>
      <c r="G154" t="n">
        <v>0</v>
      </c>
      <c r="H154" t="n">
        <v>0</v>
      </c>
      <c r="I154" t="n">
        <v>0</v>
      </c>
      <c r="J154" t="n">
        <v>0</v>
      </c>
      <c r="K154" t="inlineStr">
        <is>
          <t>Tier 4</t>
        </is>
      </c>
    </row>
    <row r="155">
      <c r="A155" t="inlineStr">
        <is>
          <t>Honeysuckle</t>
        </is>
      </c>
      <c r="B155" t="inlineStr">
        <is>
          <t>lonicera-japonica</t>
        </is>
      </c>
      <c r="C155" t="n">
        <v>0</v>
      </c>
      <c r="D155" t="n">
        <v>0</v>
      </c>
      <c r="E155" t="n">
        <v>0</v>
      </c>
      <c r="F155" t="n">
        <v>0</v>
      </c>
      <c r="G155" t="n">
        <v>0</v>
      </c>
      <c r="H155" t="n">
        <v>0</v>
      </c>
      <c r="I155" t="n">
        <v>0</v>
      </c>
      <c r="J155" t="n">
        <v>0</v>
      </c>
      <c r="K155" t="inlineStr">
        <is>
          <t>Tier 4</t>
        </is>
      </c>
    </row>
    <row r="156">
      <c r="A156" t="inlineStr">
        <is>
          <t>Horse Chestnut</t>
        </is>
      </c>
      <c r="B156" t="inlineStr">
        <is>
          <t>aesculus-hippocastanum</t>
        </is>
      </c>
      <c r="C156" t="n">
        <v>0</v>
      </c>
      <c r="D156" t="n">
        <v>0</v>
      </c>
      <c r="E156" t="n">
        <v>0</v>
      </c>
      <c r="F156" t="n">
        <v>0</v>
      </c>
      <c r="G156" t="n">
        <v>0</v>
      </c>
      <c r="H156" t="n">
        <v>0</v>
      </c>
      <c r="I156" t="n">
        <v>0</v>
      </c>
      <c r="J156" t="n">
        <v>0</v>
      </c>
      <c r="K156" t="inlineStr">
        <is>
          <t>Tier 4</t>
        </is>
      </c>
    </row>
    <row r="157">
      <c r="A157" t="inlineStr">
        <is>
          <t>Kanna</t>
        </is>
      </c>
      <c r="B157" t="inlineStr">
        <is>
          <t>sceletium-tortuosum</t>
        </is>
      </c>
      <c r="C157" t="n">
        <v>0</v>
      </c>
      <c r="D157" t="n">
        <v>0</v>
      </c>
      <c r="E157" t="n">
        <v>0</v>
      </c>
      <c r="F157" t="n">
        <v>0</v>
      </c>
      <c r="G157" t="n">
        <v>0</v>
      </c>
      <c r="H157" t="n">
        <v>0</v>
      </c>
      <c r="I157" t="n">
        <v>0</v>
      </c>
      <c r="J157" t="n">
        <v>0</v>
      </c>
      <c r="K157" t="inlineStr">
        <is>
          <t>Tier 4</t>
        </is>
      </c>
    </row>
    <row r="158">
      <c r="A158" t="inlineStr">
        <is>
          <t>Lavender</t>
        </is>
      </c>
      <c r="B158" t="inlineStr">
        <is>
          <t>lavender</t>
        </is>
      </c>
      <c r="C158" t="n">
        <v>0</v>
      </c>
      <c r="D158" t="n">
        <v>0</v>
      </c>
      <c r="E158" t="n">
        <v>0</v>
      </c>
      <c r="F158" t="n">
        <v>0</v>
      </c>
      <c r="G158" t="n">
        <v>0</v>
      </c>
      <c r="H158" t="n">
        <v>0</v>
      </c>
      <c r="I158" t="n">
        <v>0</v>
      </c>
      <c r="J158" t="n">
        <v>0</v>
      </c>
      <c r="K158" t="inlineStr">
        <is>
          <t>Tier 4</t>
        </is>
      </c>
    </row>
    <row r="159">
      <c r="A159" t="inlineStr">
        <is>
          <t>Licorice</t>
        </is>
      </c>
      <c r="B159" t="inlineStr">
        <is>
          <t>glycyrrhiza-glabra</t>
        </is>
      </c>
      <c r="C159" t="n">
        <v>0</v>
      </c>
      <c r="D159" t="n">
        <v>0</v>
      </c>
      <c r="E159" t="n">
        <v>0</v>
      </c>
      <c r="F159" t="n">
        <v>0</v>
      </c>
      <c r="G159" t="n">
        <v>0</v>
      </c>
      <c r="H159" t="n">
        <v>0</v>
      </c>
      <c r="I159" t="n">
        <v>0</v>
      </c>
      <c r="J159" t="n">
        <v>0</v>
      </c>
      <c r="K159" t="inlineStr">
        <is>
          <t>Tier 4</t>
        </is>
      </c>
    </row>
    <row r="160">
      <c r="A160" t="inlineStr">
        <is>
          <t>Marshmallow</t>
        </is>
      </c>
      <c r="B160" t="inlineStr">
        <is>
          <t>althaea-officinalis</t>
        </is>
      </c>
      <c r="C160" t="n">
        <v>0</v>
      </c>
      <c r="D160" t="n">
        <v>0</v>
      </c>
      <c r="E160" t="n">
        <v>0</v>
      </c>
      <c r="F160" t="n">
        <v>0</v>
      </c>
      <c r="G160" t="n">
        <v>0</v>
      </c>
      <c r="H160" t="n">
        <v>0</v>
      </c>
      <c r="I160" t="n">
        <v>0</v>
      </c>
      <c r="J160" t="n">
        <v>0</v>
      </c>
      <c r="K160" t="inlineStr">
        <is>
          <t>Tier 4</t>
        </is>
      </c>
    </row>
    <row r="161">
      <c r="A161" t="inlineStr">
        <is>
          <t>Mucuna</t>
        </is>
      </c>
      <c r="B161" t="inlineStr">
        <is>
          <t>mucuna</t>
        </is>
      </c>
      <c r="C161" t="n">
        <v>0</v>
      </c>
      <c r="D161" t="n">
        <v>0</v>
      </c>
      <c r="E161" t="n">
        <v>0</v>
      </c>
      <c r="F161" t="n">
        <v>0</v>
      </c>
      <c r="G161" t="n">
        <v>0</v>
      </c>
      <c r="H161" t="n">
        <v>0</v>
      </c>
      <c r="I161" t="n">
        <v>0</v>
      </c>
      <c r="J161" t="n">
        <v>0</v>
      </c>
      <c r="K161" t="inlineStr">
        <is>
          <t>Tier 4</t>
        </is>
      </c>
    </row>
    <row r="162">
      <c r="A162" t="inlineStr">
        <is>
          <t>Oregano</t>
        </is>
      </c>
      <c r="B162" t="inlineStr">
        <is>
          <t>oregano</t>
        </is>
      </c>
      <c r="C162" t="n">
        <v>0</v>
      </c>
      <c r="D162" t="n">
        <v>0</v>
      </c>
      <c r="E162" t="n">
        <v>0</v>
      </c>
      <c r="F162" t="n">
        <v>0</v>
      </c>
      <c r="G162" t="n">
        <v>0</v>
      </c>
      <c r="H162" t="n">
        <v>0</v>
      </c>
      <c r="I162" t="n">
        <v>0</v>
      </c>
      <c r="J162" t="n">
        <v>0</v>
      </c>
      <c r="K162" t="inlineStr">
        <is>
          <t>Tier 4</t>
        </is>
      </c>
    </row>
    <row r="163">
      <c r="A163" t="inlineStr">
        <is>
          <t>Papaya Leaf</t>
        </is>
      </c>
      <c r="B163" t="inlineStr">
        <is>
          <t>carica-papaya</t>
        </is>
      </c>
      <c r="C163" t="n">
        <v>0</v>
      </c>
      <c r="D163" t="n">
        <v>0</v>
      </c>
      <c r="E163" t="n">
        <v>0</v>
      </c>
      <c r="F163" t="n">
        <v>0</v>
      </c>
      <c r="G163" t="n">
        <v>0</v>
      </c>
      <c r="H163" t="n">
        <v>0</v>
      </c>
      <c r="I163" t="n">
        <v>0</v>
      </c>
      <c r="J163" t="n">
        <v>0</v>
      </c>
      <c r="K163" t="inlineStr">
        <is>
          <t>Tier 4</t>
        </is>
      </c>
    </row>
    <row r="164">
      <c r="A164" t="inlineStr">
        <is>
          <t>Phellodendron</t>
        </is>
      </c>
      <c r="B164" t="inlineStr">
        <is>
          <t>phellodendron-amurense</t>
        </is>
      </c>
      <c r="C164" t="n">
        <v>0</v>
      </c>
      <c r="D164" t="n">
        <v>0</v>
      </c>
      <c r="E164" t="n">
        <v>0</v>
      </c>
      <c r="F164" t="n">
        <v>0</v>
      </c>
      <c r="G164" t="n">
        <v>0</v>
      </c>
      <c r="H164" t="n">
        <v>0</v>
      </c>
      <c r="I164" t="n">
        <v>0</v>
      </c>
      <c r="J164" t="n">
        <v>0</v>
      </c>
      <c r="K164" t="inlineStr">
        <is>
          <t>Tier 4</t>
        </is>
      </c>
    </row>
    <row r="165">
      <c r="A165" t="inlineStr">
        <is>
          <t>Pueraria Mirifica</t>
        </is>
      </c>
      <c r="B165" t="inlineStr">
        <is>
          <t>pueraria-mirifica</t>
        </is>
      </c>
      <c r="C165" t="n">
        <v>0</v>
      </c>
      <c r="D165" t="n">
        <v>0</v>
      </c>
      <c r="E165" t="n">
        <v>0</v>
      </c>
      <c r="F165" t="n">
        <v>0</v>
      </c>
      <c r="G165" t="n">
        <v>0</v>
      </c>
      <c r="H165" t="n">
        <v>0</v>
      </c>
      <c r="I165" t="n">
        <v>0</v>
      </c>
      <c r="J165" t="n">
        <v>0</v>
      </c>
      <c r="K165" t="inlineStr">
        <is>
          <t>Tier 4</t>
        </is>
      </c>
    </row>
    <row r="166">
      <c r="A166" t="inlineStr">
        <is>
          <t>Rooibos</t>
        </is>
      </c>
      <c r="B166" t="inlineStr">
        <is>
          <t>rooibos</t>
        </is>
      </c>
      <c r="C166" t="n">
        <v>0</v>
      </c>
      <c r="D166" t="n">
        <v>0</v>
      </c>
      <c r="E166" t="n">
        <v>0</v>
      </c>
      <c r="F166" t="n">
        <v>0</v>
      </c>
      <c r="G166" t="n">
        <v>0</v>
      </c>
      <c r="H166" t="n">
        <v>0</v>
      </c>
      <c r="I166" t="n">
        <v>0</v>
      </c>
      <c r="J166" t="n">
        <v>0</v>
      </c>
      <c r="K166" t="inlineStr">
        <is>
          <t>Tier 4</t>
        </is>
      </c>
    </row>
    <row r="167">
      <c r="A167" t="inlineStr">
        <is>
          <t>Saffron</t>
        </is>
      </c>
      <c r="B167" t="inlineStr">
        <is>
          <t>crocus-sativus</t>
        </is>
      </c>
      <c r="C167" t="n">
        <v>0</v>
      </c>
      <c r="D167" t="n">
        <v>0</v>
      </c>
      <c r="E167" t="n">
        <v>0</v>
      </c>
      <c r="F167" t="n">
        <v>0</v>
      </c>
      <c r="G167" t="n">
        <v>0</v>
      </c>
      <c r="H167" t="n">
        <v>0</v>
      </c>
      <c r="I167" t="n">
        <v>0</v>
      </c>
      <c r="J167" t="n">
        <v>0</v>
      </c>
      <c r="K167" t="inlineStr">
        <is>
          <t>Tier 4</t>
        </is>
      </c>
    </row>
    <row r="168">
      <c r="A168" t="inlineStr">
        <is>
          <t>Salacia</t>
        </is>
      </c>
      <c r="B168" t="inlineStr">
        <is>
          <t>salacia-reticulata</t>
        </is>
      </c>
      <c r="C168" t="n">
        <v>0</v>
      </c>
      <c r="D168" t="n">
        <v>0</v>
      </c>
      <c r="E168" t="n">
        <v>0</v>
      </c>
      <c r="F168" t="n">
        <v>0</v>
      </c>
      <c r="G168" t="n">
        <v>0</v>
      </c>
      <c r="H168" t="n">
        <v>0</v>
      </c>
      <c r="I168" t="n">
        <v>0</v>
      </c>
      <c r="J168" t="n">
        <v>0</v>
      </c>
      <c r="K168" t="inlineStr">
        <is>
          <t>Tier 4</t>
        </is>
      </c>
    </row>
    <row r="169">
      <c r="A169" t="inlineStr">
        <is>
          <t>Schisandra</t>
        </is>
      </c>
      <c r="B169" t="inlineStr">
        <is>
          <t>schisandra</t>
        </is>
      </c>
      <c r="C169" t="n">
        <v>0</v>
      </c>
      <c r="D169" t="n">
        <v>0</v>
      </c>
      <c r="E169" t="n">
        <v>0</v>
      </c>
      <c r="F169" t="n">
        <v>0</v>
      </c>
      <c r="G169" t="n">
        <v>0</v>
      </c>
      <c r="H169" t="n">
        <v>0</v>
      </c>
      <c r="I169" t="n">
        <v>0</v>
      </c>
      <c r="J169" t="n">
        <v>0</v>
      </c>
      <c r="K169" t="inlineStr">
        <is>
          <t>Tier 4</t>
        </is>
      </c>
    </row>
    <row r="170">
      <c r="A170" t="inlineStr">
        <is>
          <t>Shatavari</t>
        </is>
      </c>
      <c r="B170" t="inlineStr">
        <is>
          <t>shatavari</t>
        </is>
      </c>
      <c r="C170" t="n">
        <v>0</v>
      </c>
      <c r="D170" t="n">
        <v>0</v>
      </c>
      <c r="E170" t="n">
        <v>0</v>
      </c>
      <c r="F170" t="n">
        <v>0</v>
      </c>
      <c r="G170" t="n">
        <v>0</v>
      </c>
      <c r="H170" t="n">
        <v>0</v>
      </c>
      <c r="I170" t="n">
        <v>0</v>
      </c>
      <c r="J170" t="n">
        <v>0</v>
      </c>
      <c r="K170" t="inlineStr">
        <is>
          <t>Tier 4</t>
        </is>
      </c>
    </row>
    <row r="171">
      <c r="A171" t="inlineStr">
        <is>
          <t>Skullcap</t>
        </is>
      </c>
      <c r="B171" t="inlineStr">
        <is>
          <t>skullcap</t>
        </is>
      </c>
      <c r="C171" t="n">
        <v>0</v>
      </c>
      <c r="D171" t="n">
        <v>0</v>
      </c>
      <c r="E171" t="n">
        <v>0</v>
      </c>
      <c r="F171" t="n">
        <v>0</v>
      </c>
      <c r="G171" t="n">
        <v>0</v>
      </c>
      <c r="H171" t="n">
        <v>0</v>
      </c>
      <c r="I171" t="n">
        <v>0</v>
      </c>
      <c r="J171" t="n">
        <v>0</v>
      </c>
      <c r="K171" t="inlineStr">
        <is>
          <t>Tier 4</t>
        </is>
      </c>
    </row>
    <row r="172">
      <c r="A172" t="inlineStr">
        <is>
          <t>Tongkat Ali</t>
        </is>
      </c>
      <c r="B172" t="inlineStr">
        <is>
          <t>tongkat-ali</t>
        </is>
      </c>
      <c r="C172" t="n">
        <v>0</v>
      </c>
      <c r="D172" t="n">
        <v>0</v>
      </c>
      <c r="E172" t="n">
        <v>0</v>
      </c>
      <c r="F172" t="n">
        <v>0</v>
      </c>
      <c r="G172" t="n">
        <v>0</v>
      </c>
      <c r="H172" t="n">
        <v>0</v>
      </c>
      <c r="I172" t="n">
        <v>0</v>
      </c>
      <c r="J172" t="n">
        <v>0</v>
      </c>
      <c r="K172" t="inlineStr">
        <is>
          <t>Tier 4</t>
        </is>
      </c>
    </row>
    <row r="173">
      <c r="A173" t="inlineStr">
        <is>
          <t>Wormwood</t>
        </is>
      </c>
      <c r="B173" t="inlineStr">
        <is>
          <t>artemisia-absinthium</t>
        </is>
      </c>
      <c r="C173" t="n">
        <v>0</v>
      </c>
      <c r="D173" t="n">
        <v>0</v>
      </c>
      <c r="E173" t="n">
        <v>0</v>
      </c>
      <c r="F173" t="n">
        <v>0</v>
      </c>
      <c r="G173" t="n">
        <v>0</v>
      </c>
      <c r="H173" t="n">
        <v>0</v>
      </c>
      <c r="I173" t="n">
        <v>0</v>
      </c>
      <c r="J173" t="n">
        <v>0</v>
      </c>
      <c r="K173" t="inlineStr">
        <is>
          <t>Tier 4</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10</t>
        </is>
      </c>
    </row>
    <row r="3">
      <c r="A3" t="inlineStr">
        <is>
          <t>Focus</t>
        </is>
      </c>
      <c r="B3" t="inlineStr">
        <is>
          <t>Herb-level scoring + pathway engine</t>
        </is>
      </c>
    </row>
    <row r="4">
      <c r="A4" t="inlineStr">
        <is>
          <t>Herbs scored</t>
        </is>
      </c>
      <c r="B4" t="n">
        <v>172</v>
      </c>
    </row>
    <row r="5">
      <c r="A5" t="inlineStr">
        <is>
          <t>Herbs with compounds</t>
        </is>
      </c>
      <c r="B5" t="n">
        <v>128</v>
      </c>
    </row>
    <row r="6">
      <c r="A6" t="inlineStr">
        <is>
          <t>Tier 1 herbs</t>
        </is>
      </c>
      <c r="B6" t="n">
        <v>0</v>
      </c>
    </row>
    <row r="7">
      <c r="A7" t="inlineStr">
        <is>
          <t>Tier 2 herbs</t>
        </is>
      </c>
      <c r="B7" t="n">
        <v>0</v>
      </c>
    </row>
    <row r="8">
      <c r="A8" t="inlineStr">
        <is>
          <t>Tier 3 herbs</t>
        </is>
      </c>
      <c r="B8" t="n">
        <v>1</v>
      </c>
    </row>
    <row r="9">
      <c r="A9" t="inlineStr">
        <is>
          <t>Tier 4 herbs</t>
        </is>
      </c>
      <c r="B9" t="n">
        <v>171</v>
      </c>
    </row>
    <row r="10">
      <c r="A10" t="inlineStr">
        <is>
          <t>Top herb by bundle score</t>
        </is>
      </c>
      <c r="B10" t="inlineStr">
        <is>
          <t>Ginkgo Biloba</t>
        </is>
      </c>
    </row>
    <row r="11">
      <c r="A11" t="inlineStr">
        <is>
          <t>Scoring sheet</t>
        </is>
      </c>
      <c r="B11" t="inlineStr">
        <is>
          <t>Herb Pharmacology Scores V1</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11</t>
        </is>
      </c>
    </row>
    <row r="3">
      <c r="A3" t="inlineStr">
        <is>
          <t>Focus</t>
        </is>
      </c>
      <c r="B3" t="inlineStr">
        <is>
          <t>Score calibration + top herb saturation</t>
        </is>
      </c>
    </row>
    <row r="4">
      <c r="A4" t="inlineStr">
        <is>
          <t>Tier1 threshold</t>
        </is>
      </c>
      <c r="B4" t="n">
        <v>5</v>
      </c>
    </row>
    <row r="5">
      <c r="A5" t="inlineStr">
        <is>
          <t>Tier2 threshold</t>
        </is>
      </c>
      <c r="B5" t="n">
        <v>5</v>
      </c>
    </row>
    <row r="6">
      <c r="A6" t="inlineStr">
        <is>
          <t>Tier3 threshold</t>
        </is>
      </c>
      <c r="B6" t="n">
        <v>3</v>
      </c>
    </row>
    <row r="7">
      <c r="A7" t="inlineStr">
        <is>
          <t>Top herbs processed</t>
        </is>
      </c>
      <c r="B7" t="n">
        <v>20</v>
      </c>
    </row>
    <row r="8">
      <c r="A8" t="inlineStr">
        <is>
          <t>New compounds added</t>
        </is>
      </c>
      <c r="B8" t="n">
        <v>40</v>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12B</t>
        </is>
      </c>
    </row>
    <row r="3">
      <c r="A3" t="inlineStr">
        <is>
          <t>Focus</t>
        </is>
      </c>
      <c r="B3" t="inlineStr">
        <is>
          <t>Remove placeholder saturation and replace with real compounds</t>
        </is>
      </c>
    </row>
    <row r="4">
      <c r="A4" t="inlineStr">
        <is>
          <t>Placeholder compounds removed</t>
        </is>
      </c>
      <c r="B4" t="n">
        <v>40</v>
      </c>
    </row>
    <row r="5">
      <c r="A5" t="inlineStr">
        <is>
          <t>Placeholder map rows removed</t>
        </is>
      </c>
      <c r="B5" t="n">
        <v>40</v>
      </c>
    </row>
    <row r="6">
      <c r="A6" t="inlineStr">
        <is>
          <t>Top herbs reviewed</t>
        </is>
      </c>
      <c r="B6" t="n">
        <v>20</v>
      </c>
    </row>
    <row r="7">
      <c r="A7" t="inlineStr">
        <is>
          <t>Top herbs with real replacement sets</t>
        </is>
      </c>
      <c r="B7" t="n">
        <v>2</v>
      </c>
    </row>
    <row r="8">
      <c r="A8" t="inlineStr">
        <is>
          <t>Real compounds added</t>
        </is>
      </c>
      <c r="B8" t="n">
        <v>4</v>
      </c>
    </row>
    <row r="9">
      <c r="A9" t="inlineStr">
        <is>
          <t>Real map rows added</t>
        </is>
      </c>
      <c r="B9" t="n">
        <v>5</v>
      </c>
    </row>
    <row r="10">
      <c r="A10" t="inlineStr">
        <is>
          <t>Duplicate map rows removed</t>
        </is>
      </c>
      <c r="B10" t="n">
        <v>0</v>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5.86000061035156" customWidth="1" min="1" max="1"/>
    <col width="28" customWidth="1" min="2" max="2"/>
    <col width="17.56999969482422" customWidth="1" min="3" max="3"/>
    <col width="65.29000091552734" customWidth="1" min="4" max="4"/>
  </cols>
  <sheetData>
    <row r="1">
      <c r="A1" t="inlineStr">
        <is>
          <t>Scientific/Existing Name</t>
        </is>
      </c>
      <c r="B1" t="inlineStr">
        <is>
          <t>Canonical Common Name</t>
        </is>
      </c>
      <c r="C1" t="inlineStr">
        <is>
          <t>Canonical Slug</t>
        </is>
      </c>
      <c r="D1" t="inlineStr">
        <is>
          <t>Pass 13 Action</t>
        </is>
      </c>
    </row>
    <row r="2">
      <c r="A2" t="inlineStr">
        <is>
          <t>actaea racemosa</t>
        </is>
      </c>
      <c r="B2" t="inlineStr">
        <is>
          <t>Black Cohosh</t>
        </is>
      </c>
      <c r="C2" t="inlineStr">
        <is>
          <t>black-cohosh</t>
        </is>
      </c>
      <c r="D2" t="inlineStr">
        <is>
          <t>normalized in CM/HCM when exact single-herb match found</t>
        </is>
      </c>
    </row>
    <row r="3">
      <c r="A3" t="inlineStr">
        <is>
          <t>camellia sinensis</t>
        </is>
      </c>
      <c r="B3" t="inlineStr">
        <is>
          <t>Green Tea</t>
        </is>
      </c>
      <c r="C3" t="inlineStr">
        <is>
          <t>green-tea</t>
        </is>
      </c>
      <c r="D3" t="inlineStr">
        <is>
          <t>normalized in CM/HCM when exact single-herb match found</t>
        </is>
      </c>
    </row>
    <row r="4">
      <c r="A4" t="inlineStr">
        <is>
          <t>chamomilla recutita</t>
        </is>
      </c>
      <c r="B4" t="inlineStr">
        <is>
          <t>Chamomile</t>
        </is>
      </c>
      <c r="C4" t="inlineStr">
        <is>
          <t>chamomile</t>
        </is>
      </c>
      <c r="D4" t="inlineStr">
        <is>
          <t>normalized in CM/HCM when exact single-herb match found</t>
        </is>
      </c>
    </row>
    <row r="5">
      <c r="A5" t="inlineStr">
        <is>
          <t>curcuma longa</t>
        </is>
      </c>
      <c r="B5" t="inlineStr">
        <is>
          <t>Turmeric</t>
        </is>
      </c>
      <c r="C5" t="inlineStr">
        <is>
          <t>turmeric</t>
        </is>
      </c>
      <c r="D5" t="inlineStr">
        <is>
          <t>normalized in CM/HCM when exact single-herb match found</t>
        </is>
      </c>
    </row>
    <row r="6">
      <c r="A6" t="inlineStr">
        <is>
          <t>epimedium sagittatum</t>
        </is>
      </c>
      <c r="B6" t="inlineStr">
        <is>
          <t>Epimedium</t>
        </is>
      </c>
      <c r="C6" t="inlineStr">
        <is>
          <t>epimedium</t>
        </is>
      </c>
      <c r="D6" t="inlineStr">
        <is>
          <t>normalized in CM/HCM when exact single-herb match found</t>
        </is>
      </c>
    </row>
    <row r="7">
      <c r="A7" t="inlineStr">
        <is>
          <t>ginkgo biloba</t>
        </is>
      </c>
      <c r="B7" t="inlineStr">
        <is>
          <t>Ginkgo Biloba</t>
        </is>
      </c>
      <c r="C7" t="inlineStr">
        <is>
          <t>ginkgo-biloba</t>
        </is>
      </c>
      <c r="D7" t="inlineStr">
        <is>
          <t>normalized in CM/HCM when exact single-herb match found</t>
        </is>
      </c>
    </row>
    <row r="8">
      <c r="A8" t="inlineStr">
        <is>
          <t>matricaria chamomilla</t>
        </is>
      </c>
      <c r="B8" t="inlineStr">
        <is>
          <t>Chamomile</t>
        </is>
      </c>
      <c r="C8" t="inlineStr">
        <is>
          <t>chamomile</t>
        </is>
      </c>
      <c r="D8" t="inlineStr">
        <is>
          <t>normalized in CM/HCM when exact single-herb match found</t>
        </is>
      </c>
    </row>
    <row r="9">
      <c r="A9" t="inlineStr">
        <is>
          <t>nymphaea caerulea</t>
        </is>
      </c>
      <c r="B9" t="inlineStr">
        <is>
          <t>Blue Lotus</t>
        </is>
      </c>
      <c r="C9" t="inlineStr">
        <is>
          <t>blue-lotus</t>
        </is>
      </c>
      <c r="D9" t="inlineStr">
        <is>
          <t>normalized in CM/HCM when exact single-herb match found</t>
        </is>
      </c>
    </row>
    <row r="10">
      <c r="A10" t="inlineStr">
        <is>
          <t>panax ginseng</t>
        </is>
      </c>
      <c r="B10" t="inlineStr">
        <is>
          <t>Panax Ginseng</t>
        </is>
      </c>
      <c r="C10" t="inlineStr">
        <is>
          <t>panax-ginseng</t>
        </is>
      </c>
      <c r="D10" t="inlineStr">
        <is>
          <t>normalized in CM/HCM when exact single-herb match found</t>
        </is>
      </c>
    </row>
    <row r="11">
      <c r="A11" t="inlineStr">
        <is>
          <t>piper nigrum</t>
        </is>
      </c>
      <c r="B11" t="inlineStr">
        <is>
          <t>Black Pepper</t>
        </is>
      </c>
      <c r="C11" t="inlineStr">
        <is>
          <t>black-pepper</t>
        </is>
      </c>
      <c r="D11" t="inlineStr">
        <is>
          <t>normalized in CM/HCM when exact single-herb match found</t>
        </is>
      </c>
    </row>
    <row r="12">
      <c r="A12" t="inlineStr">
        <is>
          <t>scutellaria baicalensis</t>
        </is>
      </c>
      <c r="B12" t="inlineStr">
        <is>
          <t>Chinese Skullcap</t>
        </is>
      </c>
      <c r="C12" t="inlineStr">
        <is>
          <t>chinese-skullcap</t>
        </is>
      </c>
      <c r="D12" t="inlineStr">
        <is>
          <t>normalized in CM/HCM when exact single-herb match found</t>
        </is>
      </c>
    </row>
    <row r="13">
      <c r="A13" t="inlineStr">
        <is>
          <t>terminalia arjuna</t>
        </is>
      </c>
      <c r="B13" t="inlineStr">
        <is>
          <t>Arjuna</t>
        </is>
      </c>
      <c r="C13" t="inlineStr">
        <is>
          <t>arjuna</t>
        </is>
      </c>
      <c r="D13" t="inlineStr">
        <is>
          <t>normalized in CM/HCM when exact single-herb match found</t>
        </is>
      </c>
    </row>
    <row r="14">
      <c r="A14" t="inlineStr">
        <is>
          <t>trachyspermum ammi</t>
        </is>
      </c>
      <c r="B14" t="inlineStr">
        <is>
          <t>Ajwain</t>
        </is>
      </c>
      <c r="C14" t="inlineStr">
        <is>
          <t>ajwain</t>
        </is>
      </c>
      <c r="D14" t="inlineStr">
        <is>
          <t>normalized in CM/HCM when exact single-herb match found</t>
        </is>
      </c>
    </row>
    <row r="15">
      <c r="A15" t="inlineStr">
        <is>
          <t>withania somnifera</t>
        </is>
      </c>
      <c r="B15" t="inlineStr">
        <is>
          <t>Ashwagandha</t>
        </is>
      </c>
      <c r="C15" t="inlineStr">
        <is>
          <t>ashwagandha</t>
        </is>
      </c>
      <c r="D15" t="inlineStr">
        <is>
          <t>normalized in CM/HCM when exact single-herb match found</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48.86000061035156" customWidth="1" min="1" max="1"/>
    <col width="73" customWidth="1" min="2" max="2"/>
  </cols>
  <sheetData>
    <row r="1">
      <c r="A1" t="inlineStr">
        <is>
          <t>Metric</t>
        </is>
      </c>
      <c r="B1" t="inlineStr">
        <is>
          <t>Value</t>
        </is>
      </c>
    </row>
    <row r="2">
      <c r="A2" t="inlineStr">
        <is>
          <t>Pass</t>
        </is>
      </c>
      <c r="B2" t="inlineStr">
        <is>
          <t>13</t>
        </is>
      </c>
    </row>
    <row r="3">
      <c r="A3" t="inlineStr">
        <is>
          <t>Focus</t>
        </is>
      </c>
      <c r="B3" t="inlineStr">
        <is>
          <t>Name normalization + real top-herb replacement sweep + rescoring</t>
        </is>
      </c>
    </row>
    <row r="4">
      <c r="A4" t="inlineStr">
        <is>
          <t>Compound Master rows name-normalized</t>
        </is>
      </c>
      <c r="B4" t="n">
        <v>14</v>
      </c>
    </row>
    <row r="5">
      <c r="A5" t="inlineStr">
        <is>
          <t>Herb Compound Map rows name-normalized</t>
        </is>
      </c>
      <c r="B5" t="n">
        <v>19</v>
      </c>
    </row>
    <row r="6">
      <c r="A6" t="inlineStr">
        <is>
          <t>New real compounds added</t>
        </is>
      </c>
      <c r="B6" t="n">
        <v>12</v>
      </c>
    </row>
    <row r="7">
      <c r="A7" t="inlineStr">
        <is>
          <t>Existing compounds linked to new top herbs</t>
        </is>
      </c>
      <c r="B7" t="n">
        <v>9</v>
      </c>
    </row>
    <row r="8">
      <c r="A8" t="inlineStr">
        <is>
          <t>New herb→compound map rows added</t>
        </is>
      </c>
      <c r="B8" t="n">
        <v>23</v>
      </c>
    </row>
    <row r="9">
      <c r="A9" t="inlineStr">
        <is>
          <t>Tier 1 cutoff</t>
        </is>
      </c>
      <c r="B9" t="n">
        <v>5</v>
      </c>
    </row>
    <row r="10">
      <c r="A10" t="inlineStr">
        <is>
          <t>Tier 2 cutoff</t>
        </is>
      </c>
      <c r="B10" t="n">
        <v>5</v>
      </c>
    </row>
    <row r="11">
      <c r="A11" t="inlineStr">
        <is>
          <t>Tier 3 cutoff</t>
        </is>
      </c>
      <c r="B11" t="n">
        <v>5</v>
      </c>
    </row>
    <row r="12">
      <c r="A12" t="inlineStr">
        <is>
          <t>Top herb after rescoring</t>
        </is>
      </c>
      <c r="B12" t="inlineStr">
        <is>
          <t>Ginkgo Biloba</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Metric</t>
        </is>
      </c>
      <c r="B1" t="inlineStr">
        <is>
          <t>Value</t>
        </is>
      </c>
    </row>
    <row r="2">
      <c r="A2" t="inlineStr">
        <is>
          <t>Top herbs targeted</t>
        </is>
      </c>
      <c r="B2" t="n">
        <v>15</v>
      </c>
    </row>
    <row r="3">
      <c r="A3" t="inlineStr">
        <is>
          <t>Compounds added</t>
        </is>
      </c>
      <c r="B3" t="n">
        <v>8</v>
      </c>
    </row>
    <row r="4">
      <c r="A4" t="inlineStr">
        <is>
          <t>Map rows added</t>
        </is>
      </c>
      <c r="B4" t="n">
        <v>8</v>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Q106"/>
  <sheetViews>
    <sheetView workbookViewId="0">
      <selection activeCell="A1" sqref="A1"/>
    </sheetView>
  </sheetViews>
  <sheetFormatPr baseColWidth="8" defaultRowHeight="15"/>
  <cols>
    <col width="20" customWidth="1" min="1" max="1"/>
    <col width="20" customWidth="1" min="2" max="2"/>
    <col width="18" customWidth="1" min="3" max="3"/>
    <col width="18" customWidth="1" min="4" max="4"/>
    <col width="30" customWidth="1" min="5" max="5"/>
    <col width="30" customWidth="1" min="6" max="6"/>
    <col width="16" customWidth="1" min="7" max="7"/>
    <col width="22" customWidth="1" min="8" max="8"/>
    <col width="16" customWidth="1" min="9" max="9"/>
    <col width="16" customWidth="1" min="10" max="10"/>
    <col width="26" customWidth="1" min="11" max="11"/>
    <col width="16" customWidth="1" min="12" max="12"/>
    <col width="14" customWidth="1" min="13" max="13"/>
    <col width="14" customWidth="1" min="14" max="14"/>
    <col width="12" customWidth="1" min="15" max="15"/>
    <col width="28" customWidth="1" min="16" max="16"/>
    <col width="34" customWidth="1" min="17" max="17"/>
  </cols>
  <sheetData>
    <row r="1">
      <c r="A1" s="58" t="inlineStr">
        <is>
          <t>Herb A</t>
        </is>
      </c>
      <c r="B1" s="58" t="inlineStr">
        <is>
          <t>Herb B</t>
        </is>
      </c>
      <c r="C1" s="58" t="inlineStr">
        <is>
          <t>Herb A Slug</t>
        </is>
      </c>
      <c r="D1" s="58" t="inlineStr">
        <is>
          <t>Herb B Slug</t>
        </is>
      </c>
      <c r="E1" s="58" t="inlineStr">
        <is>
          <t>Shared Pathway Buckets</t>
        </is>
      </c>
      <c r="F1" s="58" t="inlineStr">
        <is>
          <t>Complementary Buckets</t>
        </is>
      </c>
      <c r="G1" s="58" t="inlineStr">
        <is>
          <t>Shared Compound Count</t>
        </is>
      </c>
      <c r="H1" s="58" t="inlineStr">
        <is>
          <t>Shared Compounds</t>
        </is>
      </c>
      <c r="I1" s="58" t="inlineStr">
        <is>
          <t>Unique Compound Count A</t>
        </is>
      </c>
      <c r="J1" s="58" t="inlineStr">
        <is>
          <t>Unique Compound Count B</t>
        </is>
      </c>
      <c r="K1" s="58" t="inlineStr">
        <is>
          <t>Conflict Flags</t>
        </is>
      </c>
      <c r="L1" s="58" t="inlineStr">
        <is>
          <t>Redundancy Penalty</t>
        </is>
      </c>
      <c r="M1" s="58" t="inlineStr">
        <is>
          <t>Conflict Penalty</t>
        </is>
      </c>
      <c r="N1" s="58" t="inlineStr">
        <is>
          <t>Synergy Score</t>
        </is>
      </c>
      <c r="O1" s="58" t="inlineStr">
        <is>
          <t>Blend Grade</t>
        </is>
      </c>
      <c r="P1" s="58" t="inlineStr">
        <is>
          <t>Suggested Use Case</t>
        </is>
      </c>
      <c r="Q1" s="58" t="inlineStr">
        <is>
          <t>Notes</t>
        </is>
      </c>
    </row>
    <row r="2">
      <c r="A2" t="inlineStr">
        <is>
          <t>Ginkgo Biloba</t>
        </is>
      </c>
      <c r="B2" t="inlineStr">
        <is>
          <t>Black Cohosh</t>
        </is>
      </c>
      <c r="C2" t="inlineStr">
        <is>
          <t>ginkgo-biloba</t>
        </is>
      </c>
      <c r="D2" t="inlineStr">
        <is>
          <t>black-cohosh</t>
        </is>
      </c>
      <c r="E2" s="68" t="inlineStr">
        <is>
          <t>Inflammation; Oxidative stress; Vascular/Perfusion</t>
        </is>
      </c>
      <c r="F2" s="68" t="inlineStr">
        <is>
          <t>Monoamine/Stimulant; Neurocognitive</t>
        </is>
      </c>
      <c r="G2" s="68" t="n">
        <v>0</v>
      </c>
      <c r="H2" s="68" t="str"/>
      <c r="I2" s="68" t="n">
        <v>6</v>
      </c>
      <c r="J2" s="68" t="n">
        <v>3</v>
      </c>
      <c r="K2" s="68" t="str"/>
      <c r="L2" s="68" t="n">
        <v>0</v>
      </c>
      <c r="M2" s="68" t="n">
        <v>0</v>
      </c>
      <c r="N2" s="68" t="n">
        <v>58</v>
      </c>
      <c r="O2" s="68" t="inlineStr">
        <is>
          <t>B</t>
        </is>
      </c>
      <c r="P2" s="68" t="inlineStr">
        <is>
          <t>Inflammation + oxidative support</t>
        </is>
      </c>
      <c r="Q2" s="68" t="inlineStr">
        <is>
          <t>High overlap supports coherence; penalties rise with duplicate compounds or overlapping cautions.</t>
        </is>
      </c>
    </row>
    <row r="3">
      <c r="A3" t="inlineStr">
        <is>
          <t>Ginkgo Biloba</t>
        </is>
      </c>
      <c r="B3" t="inlineStr">
        <is>
          <t>Chinese Skullcap</t>
        </is>
      </c>
      <c r="C3" t="inlineStr">
        <is>
          <t>ginkgo-biloba</t>
        </is>
      </c>
      <c r="D3" t="inlineStr">
        <is>
          <t>scutellaria-baicalensis</t>
        </is>
      </c>
      <c r="E3" s="68" t="inlineStr">
        <is>
          <t>Inflammation; Neurocognitive</t>
        </is>
      </c>
      <c r="F3" s="68" t="inlineStr">
        <is>
          <t>Oxidative stress; Vascular/Perfusion</t>
        </is>
      </c>
      <c r="G3" s="68" t="n">
        <v>0</v>
      </c>
      <c r="H3" s="68" t="str"/>
      <c r="I3" s="68" t="n">
        <v>6</v>
      </c>
      <c r="J3" s="68" t="n">
        <v>2</v>
      </c>
      <c r="K3" s="68" t="str"/>
      <c r="L3" s="68" t="n">
        <v>0</v>
      </c>
      <c r="M3" s="68" t="n">
        <v>0</v>
      </c>
      <c r="N3" s="68" t="n">
        <v>46</v>
      </c>
      <c r="O3" s="68" t="inlineStr">
        <is>
          <t>C</t>
        </is>
      </c>
      <c r="P3" s="68" t="inlineStr">
        <is>
          <t>Inflammation + oxidative support</t>
        </is>
      </c>
      <c r="Q3" s="68" t="inlineStr">
        <is>
          <t>High overlap supports coherence; penalties rise with duplicate compounds or overlapping cautions.</t>
        </is>
      </c>
    </row>
    <row r="4">
      <c r="A4" t="inlineStr">
        <is>
          <t>Ginkgo Biloba</t>
        </is>
      </c>
      <c r="B4" t="inlineStr">
        <is>
          <t>Ashwagandha</t>
        </is>
      </c>
      <c r="C4" t="inlineStr">
        <is>
          <t>ginkgo-biloba</t>
        </is>
      </c>
      <c r="D4" t="inlineStr">
        <is>
          <t>ashwagandha</t>
        </is>
      </c>
      <c r="E4" s="68" t="inlineStr">
        <is>
          <t>Inflammation; Neurocognitive</t>
        </is>
      </c>
      <c r="F4" s="68" t="inlineStr">
        <is>
          <t>Oxidative stress; Vascular/Perfusion</t>
        </is>
      </c>
      <c r="G4" s="68" t="n">
        <v>0</v>
      </c>
      <c r="H4" s="68" t="str"/>
      <c r="I4" s="68" t="n">
        <v>6</v>
      </c>
      <c r="J4" s="68" t="n">
        <v>2</v>
      </c>
      <c r="K4" s="68" t="str"/>
      <c r="L4" s="68" t="n">
        <v>0</v>
      </c>
      <c r="M4" s="68" t="n">
        <v>0</v>
      </c>
      <c r="N4" s="68" t="n">
        <v>45</v>
      </c>
      <c r="O4" s="68" t="inlineStr">
        <is>
          <t>C</t>
        </is>
      </c>
      <c r="P4" s="68" t="inlineStr">
        <is>
          <t>Inflammation + oxidative support</t>
        </is>
      </c>
      <c r="Q4" s="68" t="inlineStr">
        <is>
          <t>High overlap supports coherence; penalties rise with duplicate compounds or overlapping cautions.</t>
        </is>
      </c>
    </row>
    <row r="5">
      <c r="A5" t="inlineStr">
        <is>
          <t>Ginkgo Biloba</t>
        </is>
      </c>
      <c r="B5" t="inlineStr">
        <is>
          <t>Green Tea</t>
        </is>
      </c>
      <c r="C5" t="inlineStr">
        <is>
          <t>ginkgo-biloba</t>
        </is>
      </c>
      <c r="D5" t="inlineStr">
        <is>
          <t>camellia-sinensis</t>
        </is>
      </c>
      <c r="E5" s="68" t="inlineStr">
        <is>
          <t>Oxidative stress</t>
        </is>
      </c>
      <c r="F5" s="68" t="inlineStr">
        <is>
          <t>Inflammation; Metabolic/Bioavailability; Monoamine/Stimulant; Neurocognitive; Vascular/Perfusion</t>
        </is>
      </c>
      <c r="G5" s="68" t="n">
        <v>0</v>
      </c>
      <c r="H5" s="68" t="str"/>
      <c r="I5" s="68" t="n">
        <v>6</v>
      </c>
      <c r="J5" s="68" t="n">
        <v>3</v>
      </c>
      <c r="K5" s="68" t="str"/>
      <c r="L5" s="68" t="n">
        <v>0</v>
      </c>
      <c r="M5" s="68" t="n">
        <v>0</v>
      </c>
      <c r="N5" s="68" t="n">
        <v>43</v>
      </c>
      <c r="O5" s="68" t="inlineStr">
        <is>
          <t>C</t>
        </is>
      </c>
      <c r="P5" s="68" t="inlineStr">
        <is>
          <t>Inflammation + oxidative support</t>
        </is>
      </c>
      <c r="Q5" s="68" t="inlineStr">
        <is>
          <t>High overlap supports coherence; penalties rise with duplicate compounds or overlapping cautions.</t>
        </is>
      </c>
    </row>
    <row r="6">
      <c r="A6" t="inlineStr">
        <is>
          <t>Ginkgo Biloba</t>
        </is>
      </c>
      <c r="B6" t="inlineStr">
        <is>
          <t>Panax Ginseng</t>
        </is>
      </c>
      <c r="C6" t="inlineStr">
        <is>
          <t>ginkgo-biloba</t>
        </is>
      </c>
      <c r="D6" t="inlineStr">
        <is>
          <t>panax-ginseng</t>
        </is>
      </c>
      <c r="E6" s="68" t="inlineStr">
        <is>
          <t>Neurocognitive</t>
        </is>
      </c>
      <c r="F6" s="68" t="inlineStr">
        <is>
          <t>Inflammation; Metabolic/Bioavailability; Oxidative stress; Vascular/Perfusion</t>
        </is>
      </c>
      <c r="G6" s="68" t="n">
        <v>0</v>
      </c>
      <c r="H6" s="68" t="str"/>
      <c r="I6" s="68" t="n">
        <v>6</v>
      </c>
      <c r="J6" s="68" t="n">
        <v>6</v>
      </c>
      <c r="K6" s="68" t="str"/>
      <c r="L6" s="68" t="n">
        <v>0</v>
      </c>
      <c r="M6" s="68" t="n">
        <v>0</v>
      </c>
      <c r="N6" s="68" t="n">
        <v>42</v>
      </c>
      <c r="O6" s="68" t="inlineStr">
        <is>
          <t>C</t>
        </is>
      </c>
      <c r="P6" s="68" t="inlineStr">
        <is>
          <t>Inflammation + oxidative support</t>
        </is>
      </c>
      <c r="Q6" s="68" t="inlineStr">
        <is>
          <t>High overlap supports coherence; penalties rise with duplicate compounds or overlapping cautions.</t>
        </is>
      </c>
    </row>
    <row r="7">
      <c r="A7" t="inlineStr">
        <is>
          <t>Ginkgo Biloba</t>
        </is>
      </c>
      <c r="B7" t="inlineStr">
        <is>
          <t>Chamomile</t>
        </is>
      </c>
      <c r="C7" t="inlineStr">
        <is>
          <t>ginkgo-biloba</t>
        </is>
      </c>
      <c r="D7" t="inlineStr">
        <is>
          <t>chamomile</t>
        </is>
      </c>
      <c r="E7" s="68" t="inlineStr">
        <is>
          <t>Inflammation</t>
        </is>
      </c>
      <c r="F7" s="68" t="inlineStr">
        <is>
          <t>Calming/GABA; Metabolic/Bioavailability; Neurocognitive; Oxidative stress; Vascular/Perfusion</t>
        </is>
      </c>
      <c r="G7" s="68" t="n">
        <v>0</v>
      </c>
      <c r="H7" s="68" t="str"/>
      <c r="I7" s="68" t="n">
        <v>6</v>
      </c>
      <c r="J7" s="68" t="n">
        <v>3</v>
      </c>
      <c r="K7" s="68" t="str"/>
      <c r="L7" s="68" t="n">
        <v>0</v>
      </c>
      <c r="M7" s="68" t="n">
        <v>0</v>
      </c>
      <c r="N7" s="68" t="n">
        <v>41</v>
      </c>
      <c r="O7" s="68" t="inlineStr">
        <is>
          <t>C</t>
        </is>
      </c>
      <c r="P7" s="68" t="inlineStr">
        <is>
          <t>Inflammation + oxidative support</t>
        </is>
      </c>
      <c r="Q7" s="68" t="inlineStr">
        <is>
          <t>High overlap supports coherence; penalties rise with duplicate compounds or overlapping cautions.</t>
        </is>
      </c>
    </row>
    <row r="8">
      <c r="A8" t="inlineStr">
        <is>
          <t>Turmeric</t>
        </is>
      </c>
      <c r="B8" t="inlineStr">
        <is>
          <t>Black Cohosh</t>
        </is>
      </c>
      <c r="C8" t="inlineStr">
        <is>
          <t>turmeric</t>
        </is>
      </c>
      <c r="D8" t="inlineStr">
        <is>
          <t>black-cohosh</t>
        </is>
      </c>
      <c r="E8" s="68" t="inlineStr">
        <is>
          <t>Inflammation; Oxidative stress</t>
        </is>
      </c>
      <c r="F8" s="68" t="inlineStr">
        <is>
          <t>Monoamine/Stimulant; Vascular/Perfusion</t>
        </is>
      </c>
      <c r="G8" s="68" t="n">
        <v>0</v>
      </c>
      <c r="H8" s="68" t="str"/>
      <c r="I8" s="68" t="n">
        <v>4</v>
      </c>
      <c r="J8" s="68" t="n">
        <v>3</v>
      </c>
      <c r="K8" s="68" t="str"/>
      <c r="L8" s="68" t="n">
        <v>0</v>
      </c>
      <c r="M8" s="68" t="n">
        <v>0</v>
      </c>
      <c r="N8" s="68" t="n">
        <v>40</v>
      </c>
      <c r="O8" s="68" t="inlineStr">
        <is>
          <t>C</t>
        </is>
      </c>
      <c r="P8" s="68" t="inlineStr">
        <is>
          <t>Inflammation + oxidative support</t>
        </is>
      </c>
      <c r="Q8" s="68" t="inlineStr">
        <is>
          <t>High overlap supports coherence; penalties rise with duplicate compounds or overlapping cautions.</t>
        </is>
      </c>
    </row>
    <row r="9">
      <c r="A9" t="inlineStr">
        <is>
          <t>Panax Ginseng</t>
        </is>
      </c>
      <c r="B9" t="inlineStr">
        <is>
          <t>Green Tea</t>
        </is>
      </c>
      <c r="C9" t="inlineStr">
        <is>
          <t>panax-ginseng</t>
        </is>
      </c>
      <c r="D9" t="inlineStr">
        <is>
          <t>camellia-sinensis</t>
        </is>
      </c>
      <c r="E9" s="68" t="inlineStr">
        <is>
          <t>Metabolic/Bioavailability</t>
        </is>
      </c>
      <c r="F9" s="68" t="inlineStr">
        <is>
          <t>Monoamine/Stimulant; Neurocognitive; Oxidative stress</t>
        </is>
      </c>
      <c r="G9" s="68" t="n">
        <v>0</v>
      </c>
      <c r="H9" s="68" t="str"/>
      <c r="I9" s="68" t="n">
        <v>6</v>
      </c>
      <c r="J9" s="68" t="n">
        <v>3</v>
      </c>
      <c r="K9" s="68" t="str"/>
      <c r="L9" s="68" t="n">
        <v>0</v>
      </c>
      <c r="M9" s="68" t="n">
        <v>0</v>
      </c>
      <c r="N9" s="68" t="n">
        <v>37</v>
      </c>
      <c r="O9" s="68" t="inlineStr">
        <is>
          <t>D</t>
        </is>
      </c>
      <c r="P9" s="68" t="inlineStr">
        <is>
          <t>Focus / cognitive energy</t>
        </is>
      </c>
      <c r="Q9" s="68" t="inlineStr">
        <is>
          <t>High overlap supports coherence; penalties rise with duplicate compounds or overlapping cautions.</t>
        </is>
      </c>
    </row>
    <row r="10">
      <c r="A10" t="inlineStr">
        <is>
          <t>Ginkgo Biloba</t>
        </is>
      </c>
      <c r="B10" t="inlineStr">
        <is>
          <t>Blue Lotus</t>
        </is>
      </c>
      <c r="C10" t="inlineStr">
        <is>
          <t>ginkgo-biloba</t>
        </is>
      </c>
      <c r="D10" t="inlineStr">
        <is>
          <t>blue-lotus</t>
        </is>
      </c>
      <c r="E10" s="68" t="inlineStr">
        <is>
          <t>Neurocognitive</t>
        </is>
      </c>
      <c r="F10" s="68" t="inlineStr">
        <is>
          <t>Calming/GABA; Inflammation; Oxidative stress; Vascular/Perfusion</t>
        </is>
      </c>
      <c r="G10" s="68" t="n">
        <v>0</v>
      </c>
      <c r="H10" s="68" t="str"/>
      <c r="I10" s="68" t="n">
        <v>6</v>
      </c>
      <c r="J10" s="68" t="n">
        <v>3</v>
      </c>
      <c r="K10" s="68" t="str"/>
      <c r="L10" s="68" t="n">
        <v>0</v>
      </c>
      <c r="M10" s="68" t="n">
        <v>0</v>
      </c>
      <c r="N10" s="68" t="n">
        <v>37</v>
      </c>
      <c r="O10" s="68" t="inlineStr">
        <is>
          <t>D</t>
        </is>
      </c>
      <c r="P10" s="68" t="inlineStr">
        <is>
          <t>Inflammation + oxidative support</t>
        </is>
      </c>
      <c r="Q10" s="68" t="inlineStr">
        <is>
          <t>High overlap supports coherence; penalties rise with duplicate compounds or overlapping cautions.</t>
        </is>
      </c>
    </row>
    <row r="11">
      <c r="A11" t="inlineStr">
        <is>
          <t>Green Tea</t>
        </is>
      </c>
      <c r="B11" t="inlineStr">
        <is>
          <t>Chamomile</t>
        </is>
      </c>
      <c r="C11" t="inlineStr">
        <is>
          <t>camellia-sinensis</t>
        </is>
      </c>
      <c r="D11" t="inlineStr">
        <is>
          <t>chamomile</t>
        </is>
      </c>
      <c r="E11" s="68" t="inlineStr">
        <is>
          <t>Metabolic/Bioavailability</t>
        </is>
      </c>
      <c r="F11" s="68" t="inlineStr">
        <is>
          <t>Calming/GABA; Inflammation; Monoamine/Stimulant; Oxidative stress</t>
        </is>
      </c>
      <c r="G11" s="68" t="n">
        <v>0</v>
      </c>
      <c r="H11" s="68" t="str"/>
      <c r="I11" s="68" t="n">
        <v>3</v>
      </c>
      <c r="J11" s="68" t="n">
        <v>3</v>
      </c>
      <c r="K11" s="68" t="str"/>
      <c r="L11" s="68" t="n">
        <v>0</v>
      </c>
      <c r="M11" s="68" t="n">
        <v>0</v>
      </c>
      <c r="N11" s="68" t="n">
        <v>36</v>
      </c>
      <c r="O11" s="68" t="inlineStr">
        <is>
          <t>D</t>
        </is>
      </c>
      <c r="P11" s="68" t="inlineStr">
        <is>
          <t>Inflammation + oxidative support</t>
        </is>
      </c>
      <c r="Q11" s="68" t="inlineStr">
        <is>
          <t>High overlap supports coherence; penalties rise with duplicate compounds or overlapping cautions.</t>
        </is>
      </c>
    </row>
    <row r="12">
      <c r="A12" t="inlineStr">
        <is>
          <t>Chinese Skullcap</t>
        </is>
      </c>
      <c r="B12" t="inlineStr">
        <is>
          <t>Ashwagandha</t>
        </is>
      </c>
      <c r="C12" t="inlineStr">
        <is>
          <t>scutellaria-baicalensis</t>
        </is>
      </c>
      <c r="D12" t="inlineStr">
        <is>
          <t>ashwagandha</t>
        </is>
      </c>
      <c r="E12" s="68" t="inlineStr">
        <is>
          <t>Inflammation; Neurocognitive</t>
        </is>
      </c>
      <c r="F12" s="68" t="str"/>
      <c r="G12" s="68" t="n">
        <v>0</v>
      </c>
      <c r="H12" s="68" t="str"/>
      <c r="I12" s="68" t="n">
        <v>2</v>
      </c>
      <c r="J12" s="68" t="n">
        <v>2</v>
      </c>
      <c r="K12" s="68" t="str"/>
      <c r="L12" s="68" t="n">
        <v>0</v>
      </c>
      <c r="M12" s="68" t="n">
        <v>0</v>
      </c>
      <c r="N12" s="68" t="n">
        <v>36</v>
      </c>
      <c r="O12" s="68" t="inlineStr">
        <is>
          <t>D</t>
        </is>
      </c>
      <c r="P12" s="68" t="inlineStr">
        <is>
          <t>General multi-pathway stack</t>
        </is>
      </c>
      <c r="Q12" s="68" t="inlineStr">
        <is>
          <t>High overlap supports coherence; penalties rise with duplicate compounds or overlapping cautions.</t>
        </is>
      </c>
    </row>
    <row r="13">
      <c r="A13" t="inlineStr">
        <is>
          <t>Chamomile</t>
        </is>
      </c>
      <c r="B13" t="inlineStr">
        <is>
          <t>Black Cohosh</t>
        </is>
      </c>
      <c r="C13" t="inlineStr">
        <is>
          <t>chamomile</t>
        </is>
      </c>
      <c r="D13" t="inlineStr">
        <is>
          <t>black-cohosh</t>
        </is>
      </c>
      <c r="E13" s="68" t="inlineStr">
        <is>
          <t>Inflammation</t>
        </is>
      </c>
      <c r="F13" s="68" t="inlineStr">
        <is>
          <t>Calming/GABA; Metabolic/Bioavailability; Monoamine/Stimulant; Oxidative stress; Vascular/Perfusion</t>
        </is>
      </c>
      <c r="G13" s="68" t="n">
        <v>0</v>
      </c>
      <c r="H13" s="68" t="str"/>
      <c r="I13" s="68" t="n">
        <v>3</v>
      </c>
      <c r="J13" s="68" t="n">
        <v>3</v>
      </c>
      <c r="K13" s="68" t="str"/>
      <c r="L13" s="68" t="n">
        <v>0</v>
      </c>
      <c r="M13" s="68" t="n">
        <v>0</v>
      </c>
      <c r="N13" s="68" t="n">
        <v>36</v>
      </c>
      <c r="O13" s="68" t="inlineStr">
        <is>
          <t>D</t>
        </is>
      </c>
      <c r="P13" s="68" t="inlineStr">
        <is>
          <t>Inflammation + oxidative support</t>
        </is>
      </c>
      <c r="Q13" s="68" t="inlineStr">
        <is>
          <t>High overlap supports coherence; penalties rise with duplicate compounds or overlapping cautions.</t>
        </is>
      </c>
    </row>
    <row r="14">
      <c r="A14" t="inlineStr">
        <is>
          <t>Panax Ginseng</t>
        </is>
      </c>
      <c r="B14" t="inlineStr">
        <is>
          <t>Chamomile</t>
        </is>
      </c>
      <c r="C14" t="inlineStr">
        <is>
          <t>panax-ginseng</t>
        </is>
      </c>
      <c r="D14" t="inlineStr">
        <is>
          <t>chamomile</t>
        </is>
      </c>
      <c r="E14" s="68" t="inlineStr">
        <is>
          <t>Metabolic/Bioavailability</t>
        </is>
      </c>
      <c r="F14" s="68" t="inlineStr">
        <is>
          <t>Calming/GABA; Inflammation; Neurocognitive</t>
        </is>
      </c>
      <c r="G14" s="68" t="n">
        <v>0</v>
      </c>
      <c r="H14" s="68" t="str"/>
      <c r="I14" s="68" t="n">
        <v>6</v>
      </c>
      <c r="J14" s="68" t="n">
        <v>3</v>
      </c>
      <c r="K14" s="68" t="str"/>
      <c r="L14" s="68" t="n">
        <v>0</v>
      </c>
      <c r="M14" s="68" t="n">
        <v>0</v>
      </c>
      <c r="N14" s="68" t="n">
        <v>35</v>
      </c>
      <c r="O14" s="68" t="inlineStr">
        <is>
          <t>D</t>
        </is>
      </c>
      <c r="P14" s="68" t="inlineStr">
        <is>
          <t>Calming neuro support</t>
        </is>
      </c>
      <c r="Q14" s="68" t="inlineStr">
        <is>
          <t>High overlap supports coherence; penalties rise with duplicate compounds or overlapping cautions.</t>
        </is>
      </c>
    </row>
    <row r="15">
      <c r="A15" t="inlineStr">
        <is>
          <t>Ginkgo Biloba</t>
        </is>
      </c>
      <c r="B15" t="inlineStr">
        <is>
          <t>Corydalis</t>
        </is>
      </c>
      <c r="C15" t="inlineStr">
        <is>
          <t>ginkgo-biloba</t>
        </is>
      </c>
      <c r="D15" t="inlineStr">
        <is>
          <t>corydalis-yanhusuo</t>
        </is>
      </c>
      <c r="E15" s="68" t="inlineStr">
        <is>
          <t>Neurocognitive</t>
        </is>
      </c>
      <c r="F15" s="68" t="inlineStr">
        <is>
          <t>Analgesic/NMDA; Inflammation; Oxidative stress; Vascular/Perfusion</t>
        </is>
      </c>
      <c r="G15" s="68" t="n">
        <v>0</v>
      </c>
      <c r="H15" s="68" t="str"/>
      <c r="I15" s="68" t="n">
        <v>6</v>
      </c>
      <c r="J15" s="68" t="n">
        <v>1</v>
      </c>
      <c r="K15" s="68" t="str"/>
      <c r="L15" s="68" t="n">
        <v>0</v>
      </c>
      <c r="M15" s="68" t="n">
        <v>0</v>
      </c>
      <c r="N15" s="68" t="n">
        <v>35</v>
      </c>
      <c r="O15" s="68" t="inlineStr">
        <is>
          <t>D</t>
        </is>
      </c>
      <c r="P15" s="68" t="inlineStr">
        <is>
          <t>Inflammation + oxidative support</t>
        </is>
      </c>
      <c r="Q15" s="68" t="inlineStr">
        <is>
          <t>High overlap supports coherence; penalties rise with duplicate compounds or overlapping cautions.</t>
        </is>
      </c>
    </row>
    <row r="16">
      <c r="A16" t="inlineStr">
        <is>
          <t>Green Tea</t>
        </is>
      </c>
      <c r="B16" t="inlineStr">
        <is>
          <t>Black Cohosh</t>
        </is>
      </c>
      <c r="C16" t="inlineStr">
        <is>
          <t>camellia-sinensis</t>
        </is>
      </c>
      <c r="D16" t="inlineStr">
        <is>
          <t>black-cohosh</t>
        </is>
      </c>
      <c r="E16" s="68" t="inlineStr">
        <is>
          <t>Monoamine/Stimulant; Oxidative stress</t>
        </is>
      </c>
      <c r="F16" s="68" t="inlineStr">
        <is>
          <t>Inflammation; Metabolic/Bioavailability; Vascular/Perfusion</t>
        </is>
      </c>
      <c r="G16" s="68" t="n">
        <v>0</v>
      </c>
      <c r="H16" s="68" t="str"/>
      <c r="I16" s="68" t="n">
        <v>3</v>
      </c>
      <c r="J16" s="68" t="n">
        <v>3</v>
      </c>
      <c r="K16" s="68" t="inlineStr">
        <is>
          <t>Monoamine / serotonergic caution</t>
        </is>
      </c>
      <c r="L16" s="68" t="n">
        <v>0</v>
      </c>
      <c r="M16" s="68" t="n">
        <v>10</v>
      </c>
      <c r="N16" s="68" t="n">
        <v>35</v>
      </c>
      <c r="O16" s="68" t="inlineStr">
        <is>
          <t>D</t>
        </is>
      </c>
      <c r="P16" s="68" t="inlineStr">
        <is>
          <t>Inflammation + oxidative support</t>
        </is>
      </c>
      <c r="Q16" s="68" t="inlineStr">
        <is>
          <t>High overlap supports coherence; penalties rise with duplicate compounds or overlapping cautions.</t>
        </is>
      </c>
    </row>
    <row r="17">
      <c r="A17" t="inlineStr">
        <is>
          <t>Ginkgo Biloba</t>
        </is>
      </c>
      <c r="B17" t="inlineStr">
        <is>
          <t>Turmeric</t>
        </is>
      </c>
      <c r="C17" t="inlineStr">
        <is>
          <t>ginkgo-biloba</t>
        </is>
      </c>
      <c r="D17" t="inlineStr">
        <is>
          <t>turmeric</t>
        </is>
      </c>
      <c r="E17" s="68" t="inlineStr">
        <is>
          <t>Inflammation; Oxidative stress</t>
        </is>
      </c>
      <c r="F17" s="68" t="inlineStr">
        <is>
          <t>Neurocognitive; Vascular/Perfusion</t>
        </is>
      </c>
      <c r="G17" s="68" t="n">
        <v>0</v>
      </c>
      <c r="H17" s="68" t="str"/>
      <c r="I17" s="68" t="n">
        <v>6</v>
      </c>
      <c r="J17" s="68" t="n">
        <v>4</v>
      </c>
      <c r="K17" s="68" t="inlineStr">
        <is>
          <t>Bleeding-risk stack</t>
        </is>
      </c>
      <c r="L17" s="68" t="n">
        <v>0</v>
      </c>
      <c r="M17" s="68" t="n">
        <v>10</v>
      </c>
      <c r="N17" s="68" t="n">
        <v>35</v>
      </c>
      <c r="O17" s="68" t="inlineStr">
        <is>
          <t>D</t>
        </is>
      </c>
      <c r="P17" s="68" t="inlineStr">
        <is>
          <t>Inflammation + oxidative support</t>
        </is>
      </c>
      <c r="Q17" s="68" t="inlineStr">
        <is>
          <t>High overlap supports coherence; penalties rise with duplicate compounds or overlapping cautions.</t>
        </is>
      </c>
    </row>
    <row r="18">
      <c r="A18" t="inlineStr">
        <is>
          <t>Panax Ginseng</t>
        </is>
      </c>
      <c r="B18" t="inlineStr">
        <is>
          <t>Chinese Skullcap</t>
        </is>
      </c>
      <c r="C18" t="inlineStr">
        <is>
          <t>panax-ginseng</t>
        </is>
      </c>
      <c r="D18" t="inlineStr">
        <is>
          <t>scutellaria-baicalensis</t>
        </is>
      </c>
      <c r="E18" s="68" t="inlineStr">
        <is>
          <t>Neurocognitive</t>
        </is>
      </c>
      <c r="F18" s="68" t="inlineStr">
        <is>
          <t>Inflammation; Metabolic/Bioavailability</t>
        </is>
      </c>
      <c r="G18" s="68" t="n">
        <v>0</v>
      </c>
      <c r="H18" s="68" t="str"/>
      <c r="I18" s="68" t="n">
        <v>6</v>
      </c>
      <c r="J18" s="68" t="n">
        <v>2</v>
      </c>
      <c r="K18" s="68" t="str"/>
      <c r="L18" s="68" t="n">
        <v>0</v>
      </c>
      <c r="M18" s="68" t="n">
        <v>0</v>
      </c>
      <c r="N18" s="68" t="n">
        <v>33</v>
      </c>
      <c r="O18" s="68" t="inlineStr">
        <is>
          <t>D</t>
        </is>
      </c>
      <c r="P18" s="68" t="inlineStr">
        <is>
          <t>Absorption + inflammation stack</t>
        </is>
      </c>
      <c r="Q18" s="68" t="inlineStr">
        <is>
          <t>High overlap supports coherence; penalties rise with duplicate compounds or overlapping cautions.</t>
        </is>
      </c>
    </row>
    <row r="19">
      <c r="A19" t="inlineStr">
        <is>
          <t>Green Tea</t>
        </is>
      </c>
      <c r="B19" t="inlineStr">
        <is>
          <t>Turmeric</t>
        </is>
      </c>
      <c r="C19" t="inlineStr">
        <is>
          <t>camellia-sinensis</t>
        </is>
      </c>
      <c r="D19" t="inlineStr">
        <is>
          <t>turmeric</t>
        </is>
      </c>
      <c r="E19" s="68" t="inlineStr">
        <is>
          <t>Oxidative stress</t>
        </is>
      </c>
      <c r="F19" s="68" t="inlineStr">
        <is>
          <t>Inflammation; Metabolic/Bioavailability; Monoamine/Stimulant</t>
        </is>
      </c>
      <c r="G19" s="68" t="n">
        <v>0</v>
      </c>
      <c r="H19" s="68" t="str"/>
      <c r="I19" s="68" t="n">
        <v>3</v>
      </c>
      <c r="J19" s="68" t="n">
        <v>4</v>
      </c>
      <c r="K19" s="68" t="str"/>
      <c r="L19" s="68" t="n">
        <v>0</v>
      </c>
      <c r="M19" s="68" t="n">
        <v>0</v>
      </c>
      <c r="N19" s="68" t="n">
        <v>33</v>
      </c>
      <c r="O19" s="68" t="inlineStr">
        <is>
          <t>D</t>
        </is>
      </c>
      <c r="P19" s="68" t="inlineStr">
        <is>
          <t>Inflammation + oxidative support</t>
        </is>
      </c>
      <c r="Q19" s="68" t="inlineStr">
        <is>
          <t>High overlap supports coherence; penalties rise with duplicate compounds or overlapping cautions.</t>
        </is>
      </c>
    </row>
    <row r="20">
      <c r="A20" t="inlineStr">
        <is>
          <t>Chinese Skullcap</t>
        </is>
      </c>
      <c r="B20" t="inlineStr">
        <is>
          <t>Black Cohosh</t>
        </is>
      </c>
      <c r="C20" t="inlineStr">
        <is>
          <t>scutellaria-baicalensis</t>
        </is>
      </c>
      <c r="D20" t="inlineStr">
        <is>
          <t>black-cohosh</t>
        </is>
      </c>
      <c r="E20" s="68" t="inlineStr">
        <is>
          <t>Inflammation</t>
        </is>
      </c>
      <c r="F20" s="68" t="inlineStr">
        <is>
          <t>Monoamine/Stimulant; Neurocognitive; Oxidative stress; Vascular/Perfusion</t>
        </is>
      </c>
      <c r="G20" s="68" t="n">
        <v>0</v>
      </c>
      <c r="H20" s="68" t="str"/>
      <c r="I20" s="68" t="n">
        <v>2</v>
      </c>
      <c r="J20" s="68" t="n">
        <v>3</v>
      </c>
      <c r="K20" s="68" t="str"/>
      <c r="L20" s="68" t="n">
        <v>0</v>
      </c>
      <c r="M20" s="68" t="n">
        <v>0</v>
      </c>
      <c r="N20" s="68" t="n">
        <v>33</v>
      </c>
      <c r="O20" s="68" t="inlineStr">
        <is>
          <t>D</t>
        </is>
      </c>
      <c r="P20" s="68" t="inlineStr">
        <is>
          <t>Inflammation + oxidative support</t>
        </is>
      </c>
      <c r="Q20" s="68" t="inlineStr">
        <is>
          <t>High overlap supports coherence; penalties rise with duplicate compounds or overlapping cautions.</t>
        </is>
      </c>
    </row>
    <row r="21">
      <c r="A21" t="inlineStr">
        <is>
          <t>Panax Ginseng</t>
        </is>
      </c>
      <c r="B21" t="inlineStr">
        <is>
          <t>Ashwagandha</t>
        </is>
      </c>
      <c r="C21" t="inlineStr">
        <is>
          <t>panax-ginseng</t>
        </is>
      </c>
      <c r="D21" t="inlineStr">
        <is>
          <t>ashwagandha</t>
        </is>
      </c>
      <c r="E21" s="68" t="inlineStr">
        <is>
          <t>Neurocognitive</t>
        </is>
      </c>
      <c r="F21" s="68" t="inlineStr">
        <is>
          <t>Inflammation; Metabolic/Bioavailability</t>
        </is>
      </c>
      <c r="G21" s="68" t="n">
        <v>0</v>
      </c>
      <c r="H21" s="68" t="str"/>
      <c r="I21" s="68" t="n">
        <v>6</v>
      </c>
      <c r="J21" s="68" t="n">
        <v>2</v>
      </c>
      <c r="K21" s="68" t="str"/>
      <c r="L21" s="68" t="n">
        <v>0</v>
      </c>
      <c r="M21" s="68" t="n">
        <v>0</v>
      </c>
      <c r="N21" s="68" t="n">
        <v>32</v>
      </c>
      <c r="O21" s="68" t="inlineStr">
        <is>
          <t>D</t>
        </is>
      </c>
      <c r="P21" s="68" t="inlineStr">
        <is>
          <t>Absorption + inflammation stack</t>
        </is>
      </c>
      <c r="Q21" s="68" t="inlineStr">
        <is>
          <t>High overlap supports coherence; penalties rise with duplicate compounds or overlapping cautions.</t>
        </is>
      </c>
    </row>
    <row r="22">
      <c r="A22" t="inlineStr">
        <is>
          <t>Ginkgo Biloba</t>
        </is>
      </c>
      <c r="B22" t="inlineStr">
        <is>
          <t>Arjuna</t>
        </is>
      </c>
      <c r="C22" t="inlineStr">
        <is>
          <t>ginkgo-biloba</t>
        </is>
      </c>
      <c r="D22" t="inlineStr">
        <is>
          <t>arjuna</t>
        </is>
      </c>
      <c r="E22" s="68" t="inlineStr">
        <is>
          <t>Vascular/Perfusion</t>
        </is>
      </c>
      <c r="F22" s="68" t="inlineStr">
        <is>
          <t>Inflammation; Neurocognitive; Oxidative stress</t>
        </is>
      </c>
      <c r="G22" s="68" t="n">
        <v>0</v>
      </c>
      <c r="H22" s="68" t="str"/>
      <c r="I22" s="68" t="n">
        <v>6</v>
      </c>
      <c r="J22" s="68" t="n">
        <v>2</v>
      </c>
      <c r="K22" s="68" t="str"/>
      <c r="L22" s="68" t="n">
        <v>0</v>
      </c>
      <c r="M22" s="68" t="n">
        <v>0</v>
      </c>
      <c r="N22" s="68" t="n">
        <v>32</v>
      </c>
      <c r="O22" s="68" t="inlineStr">
        <is>
          <t>D</t>
        </is>
      </c>
      <c r="P22" s="68" t="inlineStr">
        <is>
          <t>Inflammation + oxidative support</t>
        </is>
      </c>
      <c r="Q22" s="68" t="inlineStr">
        <is>
          <t>High overlap supports coherence; penalties rise with duplicate compounds or overlapping cautions.</t>
        </is>
      </c>
    </row>
    <row r="23">
      <c r="A23" t="inlineStr">
        <is>
          <t>Chamomile</t>
        </is>
      </c>
      <c r="B23" t="inlineStr">
        <is>
          <t>Chinese Skullcap</t>
        </is>
      </c>
      <c r="C23" t="inlineStr">
        <is>
          <t>chamomile</t>
        </is>
      </c>
      <c r="D23" t="inlineStr">
        <is>
          <t>scutellaria-baicalensis</t>
        </is>
      </c>
      <c r="E23" s="68" t="inlineStr">
        <is>
          <t>Inflammation</t>
        </is>
      </c>
      <c r="F23" s="68" t="inlineStr">
        <is>
          <t>Calming/GABA; Metabolic/Bioavailability; Neurocognitive</t>
        </is>
      </c>
      <c r="G23" s="68" t="n">
        <v>0</v>
      </c>
      <c r="H23" s="68" t="str"/>
      <c r="I23" s="68" t="n">
        <v>3</v>
      </c>
      <c r="J23" s="68" t="n">
        <v>2</v>
      </c>
      <c r="K23" s="68" t="str"/>
      <c r="L23" s="68" t="n">
        <v>0</v>
      </c>
      <c r="M23" s="68" t="n">
        <v>0</v>
      </c>
      <c r="N23" s="68" t="n">
        <v>32</v>
      </c>
      <c r="O23" s="68" t="inlineStr">
        <is>
          <t>D</t>
        </is>
      </c>
      <c r="P23" s="68" t="inlineStr">
        <is>
          <t>Calming neuro support</t>
        </is>
      </c>
      <c r="Q23" s="68" t="inlineStr">
        <is>
          <t>High overlap supports coherence; penalties rise with duplicate compounds or overlapping cautions.</t>
        </is>
      </c>
    </row>
    <row r="24">
      <c r="A24" t="inlineStr">
        <is>
          <t>Ashwagandha</t>
        </is>
      </c>
      <c r="B24" t="inlineStr">
        <is>
          <t>Black Cohosh</t>
        </is>
      </c>
      <c r="C24" t="inlineStr">
        <is>
          <t>ashwagandha</t>
        </is>
      </c>
      <c r="D24" t="inlineStr">
        <is>
          <t>black-cohosh</t>
        </is>
      </c>
      <c r="E24" s="68" t="inlineStr">
        <is>
          <t>Inflammation</t>
        </is>
      </c>
      <c r="F24" s="68" t="inlineStr">
        <is>
          <t>Monoamine/Stimulant; Neurocognitive; Oxidative stress; Vascular/Perfusion</t>
        </is>
      </c>
      <c r="G24" s="68" t="n">
        <v>0</v>
      </c>
      <c r="H24" s="68" t="str"/>
      <c r="I24" s="68" t="n">
        <v>2</v>
      </c>
      <c r="J24" s="68" t="n">
        <v>3</v>
      </c>
      <c r="K24" s="68" t="str"/>
      <c r="L24" s="68" t="n">
        <v>0</v>
      </c>
      <c r="M24" s="68" t="n">
        <v>0</v>
      </c>
      <c r="N24" s="68" t="n">
        <v>32</v>
      </c>
      <c r="O24" s="68" t="inlineStr">
        <is>
          <t>D</t>
        </is>
      </c>
      <c r="P24" s="68" t="inlineStr">
        <is>
          <t>Inflammation + oxidative support</t>
        </is>
      </c>
      <c r="Q24" s="68" t="inlineStr">
        <is>
          <t>High overlap supports coherence; penalties rise with duplicate compounds or overlapping cautions.</t>
        </is>
      </c>
    </row>
    <row r="25">
      <c r="A25" t="inlineStr">
        <is>
          <t>Panax Ginseng</t>
        </is>
      </c>
      <c r="B25" t="inlineStr">
        <is>
          <t>Blue Lotus</t>
        </is>
      </c>
      <c r="C25" t="inlineStr">
        <is>
          <t>panax-ginseng</t>
        </is>
      </c>
      <c r="D25" t="inlineStr">
        <is>
          <t>blue-lotus</t>
        </is>
      </c>
      <c r="E25" s="68" t="inlineStr">
        <is>
          <t>Neurocognitive</t>
        </is>
      </c>
      <c r="F25" s="68" t="inlineStr">
        <is>
          <t>Calming/GABA; Metabolic/Bioavailability</t>
        </is>
      </c>
      <c r="G25" s="68" t="n">
        <v>0</v>
      </c>
      <c r="H25" s="68" t="str"/>
      <c r="I25" s="68" t="n">
        <v>6</v>
      </c>
      <c r="J25" s="68" t="n">
        <v>3</v>
      </c>
      <c r="K25" s="68" t="str"/>
      <c r="L25" s="68" t="n">
        <v>0</v>
      </c>
      <c r="M25" s="68" t="n">
        <v>0</v>
      </c>
      <c r="N25" s="68" t="n">
        <v>31</v>
      </c>
      <c r="O25" s="68" t="inlineStr">
        <is>
          <t>D</t>
        </is>
      </c>
      <c r="P25" s="68" t="inlineStr">
        <is>
          <t>Calming neuro support</t>
        </is>
      </c>
      <c r="Q25" s="68" t="inlineStr">
        <is>
          <t>High overlap supports coherence; penalties rise with duplicate compounds or overlapping cautions.</t>
        </is>
      </c>
    </row>
    <row r="26">
      <c r="A26" t="inlineStr">
        <is>
          <t>Chamomile</t>
        </is>
      </c>
      <c r="B26" t="inlineStr">
        <is>
          <t>Turmeric</t>
        </is>
      </c>
      <c r="C26" t="inlineStr">
        <is>
          <t>chamomile</t>
        </is>
      </c>
      <c r="D26" t="inlineStr">
        <is>
          <t>turmeric</t>
        </is>
      </c>
      <c r="E26" s="68" t="inlineStr">
        <is>
          <t>Inflammation</t>
        </is>
      </c>
      <c r="F26" s="68" t="inlineStr">
        <is>
          <t>Calming/GABA; Metabolic/Bioavailability; Oxidative stress</t>
        </is>
      </c>
      <c r="G26" s="68" t="n">
        <v>0</v>
      </c>
      <c r="H26" s="68" t="str"/>
      <c r="I26" s="68" t="n">
        <v>3</v>
      </c>
      <c r="J26" s="68" t="n">
        <v>4</v>
      </c>
      <c r="K26" s="68" t="str"/>
      <c r="L26" s="68" t="n">
        <v>0</v>
      </c>
      <c r="M26" s="68" t="n">
        <v>0</v>
      </c>
      <c r="N26" s="68" t="n">
        <v>31</v>
      </c>
      <c r="O26" s="68" t="inlineStr">
        <is>
          <t>D</t>
        </is>
      </c>
      <c r="P26" s="68" t="inlineStr">
        <is>
          <t>Inflammation + oxidative support</t>
        </is>
      </c>
      <c r="Q26" s="68" t="inlineStr">
        <is>
          <t>High overlap supports coherence; penalties rise with duplicate compounds or overlapping cautions.</t>
        </is>
      </c>
    </row>
    <row r="27">
      <c r="A27" t="inlineStr">
        <is>
          <t>Panax Ginseng</t>
        </is>
      </c>
      <c r="B27" t="inlineStr">
        <is>
          <t>Corydalis</t>
        </is>
      </c>
      <c r="C27" t="inlineStr">
        <is>
          <t>panax-ginseng</t>
        </is>
      </c>
      <c r="D27" t="inlineStr">
        <is>
          <t>corydalis-yanhusuo</t>
        </is>
      </c>
      <c r="E27" s="68" t="inlineStr">
        <is>
          <t>Neurocognitive</t>
        </is>
      </c>
      <c r="F27" s="68" t="inlineStr">
        <is>
          <t>Analgesic/NMDA; Metabolic/Bioavailability</t>
        </is>
      </c>
      <c r="G27" s="68" t="n">
        <v>0</v>
      </c>
      <c r="H27" s="68" t="str"/>
      <c r="I27" s="68" t="n">
        <v>6</v>
      </c>
      <c r="J27" s="68" t="n">
        <v>1</v>
      </c>
      <c r="K27" s="68" t="str"/>
      <c r="L27" s="68" t="n">
        <v>0</v>
      </c>
      <c r="M27" s="68" t="n">
        <v>0</v>
      </c>
      <c r="N27" s="68" t="n">
        <v>30</v>
      </c>
      <c r="O27" s="68" t="inlineStr">
        <is>
          <t>D</t>
        </is>
      </c>
      <c r="P27" s="68" t="inlineStr">
        <is>
          <t>General multi-pathway stack</t>
        </is>
      </c>
      <c r="Q27" s="68" t="inlineStr">
        <is>
          <t>High overlap supports coherence; penalties rise with duplicate compounds or overlapping cautions.</t>
        </is>
      </c>
    </row>
    <row r="28">
      <c r="A28" t="inlineStr">
        <is>
          <t>Epimedium</t>
        </is>
      </c>
      <c r="B28" t="inlineStr">
        <is>
          <t>Black Cohosh</t>
        </is>
      </c>
      <c r="C28" t="inlineStr">
        <is>
          <t>epimedium</t>
        </is>
      </c>
      <c r="D28" t="inlineStr">
        <is>
          <t>black-cohosh</t>
        </is>
      </c>
      <c r="E28" s="68" t="inlineStr">
        <is>
          <t>Vascular/Perfusion</t>
        </is>
      </c>
      <c r="F28" s="68" t="inlineStr">
        <is>
          <t>Inflammation; Monoamine/Stimulant; Oxidative stress</t>
        </is>
      </c>
      <c r="G28" s="68" t="n">
        <v>0</v>
      </c>
      <c r="H28" s="68" t="str"/>
      <c r="I28" s="68" t="n">
        <v>4</v>
      </c>
      <c r="J28" s="68" t="n">
        <v>3</v>
      </c>
      <c r="K28" s="68" t="str"/>
      <c r="L28" s="68" t="n">
        <v>0</v>
      </c>
      <c r="M28" s="68" t="n">
        <v>0</v>
      </c>
      <c r="N28" s="68" t="n">
        <v>30</v>
      </c>
      <c r="O28" s="68" t="inlineStr">
        <is>
          <t>D</t>
        </is>
      </c>
      <c r="P28" s="68" t="inlineStr">
        <is>
          <t>Inflammation + oxidative support</t>
        </is>
      </c>
      <c r="Q28" s="68" t="inlineStr">
        <is>
          <t>High overlap supports coherence; penalties rise with duplicate compounds or overlapping cautions.</t>
        </is>
      </c>
    </row>
    <row r="29">
      <c r="A29" t="inlineStr">
        <is>
          <t>Panax Ginseng</t>
        </is>
      </c>
      <c r="B29" t="inlineStr">
        <is>
          <t>Black Cohosh</t>
        </is>
      </c>
      <c r="C29" t="inlineStr">
        <is>
          <t>panax-ginseng</t>
        </is>
      </c>
      <c r="D29" t="inlineStr">
        <is>
          <t>black-cohosh</t>
        </is>
      </c>
      <c r="E29" s="68" t="str"/>
      <c r="F29" s="68" t="inlineStr">
        <is>
          <t>Inflammation; Metabolic/Bioavailability; Monoamine/Stimulant; Neurocognitive; Oxidative stress; Vascular/Perfusion</t>
        </is>
      </c>
      <c r="G29" s="68" t="n">
        <v>0</v>
      </c>
      <c r="H29" s="68" t="str"/>
      <c r="I29" s="68" t="n">
        <v>6</v>
      </c>
      <c r="J29" s="68" t="n">
        <v>3</v>
      </c>
      <c r="K29" s="68" t="str"/>
      <c r="L29" s="68" t="n">
        <v>0</v>
      </c>
      <c r="M29" s="68" t="n">
        <v>0</v>
      </c>
      <c r="N29" s="68" t="n">
        <v>29</v>
      </c>
      <c r="O29" s="68" t="inlineStr">
        <is>
          <t>D</t>
        </is>
      </c>
      <c r="P29" s="68" t="inlineStr">
        <is>
          <t>Inflammation + oxidative support</t>
        </is>
      </c>
      <c r="Q29" s="68" t="inlineStr">
        <is>
          <t>High overlap supports coherence; penalties rise with duplicate compounds or overlapping cautions.</t>
        </is>
      </c>
    </row>
    <row r="30">
      <c r="A30" t="inlineStr">
        <is>
          <t>Green Tea</t>
        </is>
      </c>
      <c r="B30" t="inlineStr">
        <is>
          <t>Black Pepper</t>
        </is>
      </c>
      <c r="C30" t="inlineStr">
        <is>
          <t>camellia-sinensis</t>
        </is>
      </c>
      <c r="D30" t="inlineStr">
        <is>
          <t>black-pepper</t>
        </is>
      </c>
      <c r="E30" s="68" t="inlineStr">
        <is>
          <t>Metabolic/Bioavailability</t>
        </is>
      </c>
      <c r="F30" s="68" t="inlineStr">
        <is>
          <t>Monoamine/Stimulant; Oxidative stress</t>
        </is>
      </c>
      <c r="G30" s="68" t="n">
        <v>0</v>
      </c>
      <c r="H30" s="68" t="str"/>
      <c r="I30" s="68" t="n">
        <v>3</v>
      </c>
      <c r="J30" s="68" t="n">
        <v>3</v>
      </c>
      <c r="K30" s="68" t="str"/>
      <c r="L30" s="68" t="n">
        <v>0</v>
      </c>
      <c r="M30" s="68" t="n">
        <v>0</v>
      </c>
      <c r="N30" s="68" t="n">
        <v>29</v>
      </c>
      <c r="O30" s="68" t="inlineStr">
        <is>
          <t>D</t>
        </is>
      </c>
      <c r="P30" s="68" t="inlineStr">
        <is>
          <t>General multi-pathway stack</t>
        </is>
      </c>
      <c r="Q30" s="68" t="inlineStr">
        <is>
          <t>High overlap supports coherence; penalties rise with duplicate compounds or overlapping cautions.</t>
        </is>
      </c>
    </row>
    <row r="31">
      <c r="A31" t="inlineStr">
        <is>
          <t>Panax Ginseng</t>
        </is>
      </c>
      <c r="B31" t="inlineStr">
        <is>
          <t>Black Pepper</t>
        </is>
      </c>
      <c r="C31" t="inlineStr">
        <is>
          <t>panax-ginseng</t>
        </is>
      </c>
      <c r="D31" t="inlineStr">
        <is>
          <t>black-pepper</t>
        </is>
      </c>
      <c r="E31" s="68" t="inlineStr">
        <is>
          <t>Metabolic/Bioavailability</t>
        </is>
      </c>
      <c r="F31" s="68" t="inlineStr">
        <is>
          <t>Neurocognitive</t>
        </is>
      </c>
      <c r="G31" s="68" t="n">
        <v>0</v>
      </c>
      <c r="H31" s="68" t="str"/>
      <c r="I31" s="68" t="n">
        <v>6</v>
      </c>
      <c r="J31" s="68" t="n">
        <v>3</v>
      </c>
      <c r="K31" s="68" t="str"/>
      <c r="L31" s="68" t="n">
        <v>0</v>
      </c>
      <c r="M31" s="68" t="n">
        <v>0</v>
      </c>
      <c r="N31" s="68" t="n">
        <v>28</v>
      </c>
      <c r="O31" s="68" t="inlineStr">
        <is>
          <t>D</t>
        </is>
      </c>
      <c r="P31" s="68" t="inlineStr">
        <is>
          <t>General multi-pathway stack</t>
        </is>
      </c>
      <c r="Q31" s="68" t="inlineStr">
        <is>
          <t>High overlap supports coherence; penalties rise with duplicate compounds or overlapping cautions.</t>
        </is>
      </c>
    </row>
    <row r="32">
      <c r="A32" t="inlineStr">
        <is>
          <t>Green Tea</t>
        </is>
      </c>
      <c r="B32" t="inlineStr">
        <is>
          <t>Ajwain</t>
        </is>
      </c>
      <c r="C32" t="inlineStr">
        <is>
          <t>camellia-sinensis</t>
        </is>
      </c>
      <c r="D32" t="inlineStr">
        <is>
          <t>ajwain</t>
        </is>
      </c>
      <c r="E32" s="68" t="inlineStr">
        <is>
          <t>Metabolic/Bioavailability</t>
        </is>
      </c>
      <c r="F32" s="68" t="inlineStr">
        <is>
          <t>Monoamine/Stimulant; Oxidative stress</t>
        </is>
      </c>
      <c r="G32" s="68" t="n">
        <v>0</v>
      </c>
      <c r="H32" s="68" t="str"/>
      <c r="I32" s="68" t="n">
        <v>3</v>
      </c>
      <c r="J32" s="68" t="n">
        <v>2</v>
      </c>
      <c r="K32" s="68" t="str"/>
      <c r="L32" s="68" t="n">
        <v>0</v>
      </c>
      <c r="M32" s="68" t="n">
        <v>0</v>
      </c>
      <c r="N32" s="68" t="n">
        <v>28</v>
      </c>
      <c r="O32" s="68" t="inlineStr">
        <is>
          <t>D</t>
        </is>
      </c>
      <c r="P32" s="68" t="inlineStr">
        <is>
          <t>General multi-pathway stack</t>
        </is>
      </c>
      <c r="Q32" s="68" t="inlineStr">
        <is>
          <t>High overlap supports coherence; penalties rise with duplicate compounds or overlapping cautions.</t>
        </is>
      </c>
    </row>
    <row r="33">
      <c r="A33" t="inlineStr">
        <is>
          <t>Chinese Skullcap</t>
        </is>
      </c>
      <c r="B33" t="inlineStr">
        <is>
          <t>Turmeric</t>
        </is>
      </c>
      <c r="C33" t="inlineStr">
        <is>
          <t>scutellaria-baicalensis</t>
        </is>
      </c>
      <c r="D33" t="inlineStr">
        <is>
          <t>turmeric</t>
        </is>
      </c>
      <c r="E33" s="68" t="inlineStr">
        <is>
          <t>Inflammation</t>
        </is>
      </c>
      <c r="F33" s="68" t="inlineStr">
        <is>
          <t>Neurocognitive; Oxidative stress</t>
        </is>
      </c>
      <c r="G33" s="68" t="n">
        <v>0</v>
      </c>
      <c r="H33" s="68" t="str"/>
      <c r="I33" s="68" t="n">
        <v>2</v>
      </c>
      <c r="J33" s="68" t="n">
        <v>4</v>
      </c>
      <c r="K33" s="68" t="str"/>
      <c r="L33" s="68" t="n">
        <v>0</v>
      </c>
      <c r="M33" s="68" t="n">
        <v>0</v>
      </c>
      <c r="N33" s="68" t="n">
        <v>28</v>
      </c>
      <c r="O33" s="68" t="inlineStr">
        <is>
          <t>D</t>
        </is>
      </c>
      <c r="P33" s="68" t="inlineStr">
        <is>
          <t>Inflammation + oxidative support</t>
        </is>
      </c>
      <c r="Q33" s="68" t="inlineStr">
        <is>
          <t>High overlap supports coherence; penalties rise with duplicate compounds or overlapping cautions.</t>
        </is>
      </c>
    </row>
    <row r="34">
      <c r="A34" t="inlineStr">
        <is>
          <t>Chinese Skullcap</t>
        </is>
      </c>
      <c r="B34" t="inlineStr">
        <is>
          <t>Blue Lotus</t>
        </is>
      </c>
      <c r="C34" t="inlineStr">
        <is>
          <t>scutellaria-baicalensis</t>
        </is>
      </c>
      <c r="D34" t="inlineStr">
        <is>
          <t>blue-lotus</t>
        </is>
      </c>
      <c r="E34" s="68" t="inlineStr">
        <is>
          <t>Neurocognitive</t>
        </is>
      </c>
      <c r="F34" s="68" t="inlineStr">
        <is>
          <t>Calming/GABA; Inflammation</t>
        </is>
      </c>
      <c r="G34" s="68" t="n">
        <v>0</v>
      </c>
      <c r="H34" s="68" t="str"/>
      <c r="I34" s="68" t="n">
        <v>2</v>
      </c>
      <c r="J34" s="68" t="n">
        <v>3</v>
      </c>
      <c r="K34" s="68" t="str"/>
      <c r="L34" s="68" t="n">
        <v>0</v>
      </c>
      <c r="M34" s="68" t="n">
        <v>0</v>
      </c>
      <c r="N34" s="68" t="n">
        <v>28</v>
      </c>
      <c r="O34" s="68" t="inlineStr">
        <is>
          <t>D</t>
        </is>
      </c>
      <c r="P34" s="68" t="inlineStr">
        <is>
          <t>Calming neuro support</t>
        </is>
      </c>
      <c r="Q34" s="68" t="inlineStr">
        <is>
          <t>High overlap supports coherence; penalties rise with duplicate compounds or overlapping cautions.</t>
        </is>
      </c>
    </row>
    <row r="35">
      <c r="A35" t="inlineStr">
        <is>
          <t>Panax Ginseng</t>
        </is>
      </c>
      <c r="B35" t="inlineStr">
        <is>
          <t>Ajwain</t>
        </is>
      </c>
      <c r="C35" t="inlineStr">
        <is>
          <t>panax-ginseng</t>
        </is>
      </c>
      <c r="D35" t="inlineStr">
        <is>
          <t>ajwain</t>
        </is>
      </c>
      <c r="E35" s="68" t="inlineStr">
        <is>
          <t>Metabolic/Bioavailability</t>
        </is>
      </c>
      <c r="F35" s="68" t="inlineStr">
        <is>
          <t>Neurocognitive</t>
        </is>
      </c>
      <c r="G35" s="68" t="n">
        <v>0</v>
      </c>
      <c r="H35" s="68" t="str"/>
      <c r="I35" s="68" t="n">
        <v>6</v>
      </c>
      <c r="J35" s="68" t="n">
        <v>2</v>
      </c>
      <c r="K35" s="68" t="str"/>
      <c r="L35" s="68" t="n">
        <v>0</v>
      </c>
      <c r="M35" s="68" t="n">
        <v>0</v>
      </c>
      <c r="N35" s="68" t="n">
        <v>27</v>
      </c>
      <c r="O35" s="68" t="inlineStr">
        <is>
          <t>D</t>
        </is>
      </c>
      <c r="P35" s="68" t="inlineStr">
        <is>
          <t>General multi-pathway stack</t>
        </is>
      </c>
      <c r="Q35" s="68" t="inlineStr">
        <is>
          <t>High overlap supports coherence; penalties rise with duplicate compounds or overlapping cautions.</t>
        </is>
      </c>
    </row>
    <row r="36">
      <c r="A36" t="inlineStr">
        <is>
          <t>Chinese Skullcap</t>
        </is>
      </c>
      <c r="B36" t="inlineStr">
        <is>
          <t>Corydalis</t>
        </is>
      </c>
      <c r="C36" t="inlineStr">
        <is>
          <t>scutellaria-baicalensis</t>
        </is>
      </c>
      <c r="D36" t="inlineStr">
        <is>
          <t>corydalis-yanhusuo</t>
        </is>
      </c>
      <c r="E36" s="68" t="inlineStr">
        <is>
          <t>Neurocognitive</t>
        </is>
      </c>
      <c r="F36" s="68" t="inlineStr">
        <is>
          <t>Analgesic/NMDA; Inflammation</t>
        </is>
      </c>
      <c r="G36" s="68" t="n">
        <v>0</v>
      </c>
      <c r="H36" s="68" t="str"/>
      <c r="I36" s="68" t="n">
        <v>2</v>
      </c>
      <c r="J36" s="68" t="n">
        <v>1</v>
      </c>
      <c r="K36" s="68" t="str"/>
      <c r="L36" s="68" t="n">
        <v>0</v>
      </c>
      <c r="M36" s="68" t="n">
        <v>0</v>
      </c>
      <c r="N36" s="68" t="n">
        <v>27</v>
      </c>
      <c r="O36" s="68" t="inlineStr">
        <is>
          <t>D</t>
        </is>
      </c>
      <c r="P36" s="68" t="inlineStr">
        <is>
          <t>General multi-pathway stack</t>
        </is>
      </c>
      <c r="Q36" s="68" t="inlineStr">
        <is>
          <t>High overlap supports coherence; penalties rise with duplicate compounds or overlapping cautions.</t>
        </is>
      </c>
    </row>
    <row r="37">
      <c r="A37" t="inlineStr">
        <is>
          <t>Chamomile</t>
        </is>
      </c>
      <c r="B37" t="inlineStr">
        <is>
          <t>Black Pepper</t>
        </is>
      </c>
      <c r="C37" t="inlineStr">
        <is>
          <t>chamomile</t>
        </is>
      </c>
      <c r="D37" t="inlineStr">
        <is>
          <t>black-pepper</t>
        </is>
      </c>
      <c r="E37" s="68" t="inlineStr">
        <is>
          <t>Metabolic/Bioavailability</t>
        </is>
      </c>
      <c r="F37" s="68" t="inlineStr">
        <is>
          <t>Calming/GABA; Inflammation</t>
        </is>
      </c>
      <c r="G37" s="68" t="n">
        <v>0</v>
      </c>
      <c r="H37" s="68" t="str"/>
      <c r="I37" s="68" t="n">
        <v>3</v>
      </c>
      <c r="J37" s="68" t="n">
        <v>3</v>
      </c>
      <c r="K37" s="68" t="str"/>
      <c r="L37" s="68" t="n">
        <v>0</v>
      </c>
      <c r="M37" s="68" t="n">
        <v>0</v>
      </c>
      <c r="N37" s="68" t="n">
        <v>27</v>
      </c>
      <c r="O37" s="68" t="inlineStr">
        <is>
          <t>D</t>
        </is>
      </c>
      <c r="P37" s="68" t="inlineStr">
        <is>
          <t>Absorption + inflammation stack</t>
        </is>
      </c>
      <c r="Q37" s="68" t="inlineStr">
        <is>
          <t>High overlap supports coherence; penalties rise with duplicate compounds or overlapping cautions.</t>
        </is>
      </c>
    </row>
    <row r="38">
      <c r="A38" t="inlineStr">
        <is>
          <t>Black Cohosh</t>
        </is>
      </c>
      <c r="B38" t="inlineStr">
        <is>
          <t>Arjuna</t>
        </is>
      </c>
      <c r="C38" t="inlineStr">
        <is>
          <t>black-cohosh</t>
        </is>
      </c>
      <c r="D38" t="inlineStr">
        <is>
          <t>arjuna</t>
        </is>
      </c>
      <c r="E38" s="68" t="inlineStr">
        <is>
          <t>Vascular/Perfusion</t>
        </is>
      </c>
      <c r="F38" s="68" t="inlineStr">
        <is>
          <t>Inflammation; Monoamine/Stimulant; Oxidative stress</t>
        </is>
      </c>
      <c r="G38" s="68" t="n">
        <v>0</v>
      </c>
      <c r="H38" s="68" t="str"/>
      <c r="I38" s="68" t="n">
        <v>3</v>
      </c>
      <c r="J38" s="68" t="n">
        <v>2</v>
      </c>
      <c r="K38" s="68" t="str"/>
      <c r="L38" s="68" t="n">
        <v>0</v>
      </c>
      <c r="M38" s="68" t="n">
        <v>0</v>
      </c>
      <c r="N38" s="68" t="n">
        <v>27</v>
      </c>
      <c r="O38" s="68" t="inlineStr">
        <is>
          <t>D</t>
        </is>
      </c>
      <c r="P38" s="68" t="inlineStr">
        <is>
          <t>Inflammation + oxidative support</t>
        </is>
      </c>
      <c r="Q38" s="68" t="inlineStr">
        <is>
          <t>High overlap supports coherence; penalties rise with duplicate compounds or overlapping cautions.</t>
        </is>
      </c>
    </row>
    <row r="39">
      <c r="A39" t="inlineStr">
        <is>
          <t>Ashwagandha</t>
        </is>
      </c>
      <c r="B39" t="inlineStr">
        <is>
          <t>Turmeric</t>
        </is>
      </c>
      <c r="C39" t="inlineStr">
        <is>
          <t>ashwagandha</t>
        </is>
      </c>
      <c r="D39" t="inlineStr">
        <is>
          <t>turmeric</t>
        </is>
      </c>
      <c r="E39" s="68" t="inlineStr">
        <is>
          <t>Inflammation</t>
        </is>
      </c>
      <c r="F39" s="68" t="inlineStr">
        <is>
          <t>Neurocognitive; Oxidative stress</t>
        </is>
      </c>
      <c r="G39" s="68" t="n">
        <v>0</v>
      </c>
      <c r="H39" s="68" t="str"/>
      <c r="I39" s="68" t="n">
        <v>2</v>
      </c>
      <c r="J39" s="68" t="n">
        <v>4</v>
      </c>
      <c r="K39" s="68" t="str"/>
      <c r="L39" s="68" t="n">
        <v>0</v>
      </c>
      <c r="M39" s="68" t="n">
        <v>0</v>
      </c>
      <c r="N39" s="68" t="n">
        <v>27</v>
      </c>
      <c r="O39" s="68" t="inlineStr">
        <is>
          <t>D</t>
        </is>
      </c>
      <c r="P39" s="68" t="inlineStr">
        <is>
          <t>Inflammation + oxidative support</t>
        </is>
      </c>
      <c r="Q39" s="68" t="inlineStr">
        <is>
          <t>High overlap supports coherence; penalties rise with duplicate compounds or overlapping cautions.</t>
        </is>
      </c>
    </row>
    <row r="40">
      <c r="A40" t="inlineStr">
        <is>
          <t>Green Tea</t>
        </is>
      </c>
      <c r="B40" t="inlineStr">
        <is>
          <t>Chinese Skullcap</t>
        </is>
      </c>
      <c r="C40" t="inlineStr">
        <is>
          <t>camellia-sinensis</t>
        </is>
      </c>
      <c r="D40" t="inlineStr">
        <is>
          <t>scutellaria-baicalensis</t>
        </is>
      </c>
      <c r="E40" s="68" t="str"/>
      <c r="F40" s="68" t="inlineStr">
        <is>
          <t>Inflammation; Metabolic/Bioavailability; Monoamine/Stimulant; Neurocognitive; Oxidative stress</t>
        </is>
      </c>
      <c r="G40" s="68" t="n">
        <v>0</v>
      </c>
      <c r="H40" s="68" t="str"/>
      <c r="I40" s="68" t="n">
        <v>3</v>
      </c>
      <c r="J40" s="68" t="n">
        <v>2</v>
      </c>
      <c r="K40" s="68" t="str"/>
      <c r="L40" s="68" t="n">
        <v>0</v>
      </c>
      <c r="M40" s="68" t="n">
        <v>0</v>
      </c>
      <c r="N40" s="68" t="n">
        <v>26</v>
      </c>
      <c r="O40" s="68" t="inlineStr">
        <is>
          <t>D</t>
        </is>
      </c>
      <c r="P40" s="68" t="inlineStr">
        <is>
          <t>Inflammation + oxidative support</t>
        </is>
      </c>
      <c r="Q40" s="68" t="inlineStr">
        <is>
          <t>High overlap supports coherence; penalties rise with duplicate compounds or overlapping cautions.</t>
        </is>
      </c>
    </row>
    <row r="41">
      <c r="A41" t="inlineStr">
        <is>
          <t>Chamomile</t>
        </is>
      </c>
      <c r="B41" t="inlineStr">
        <is>
          <t>Ajwain</t>
        </is>
      </c>
      <c r="C41" t="inlineStr">
        <is>
          <t>chamomile</t>
        </is>
      </c>
      <c r="D41" t="inlineStr">
        <is>
          <t>ajwain</t>
        </is>
      </c>
      <c r="E41" s="68" t="inlineStr">
        <is>
          <t>Metabolic/Bioavailability</t>
        </is>
      </c>
      <c r="F41" s="68" t="inlineStr">
        <is>
          <t>Calming/GABA; Inflammation</t>
        </is>
      </c>
      <c r="G41" s="68" t="n">
        <v>0</v>
      </c>
      <c r="H41" s="68" t="str"/>
      <c r="I41" s="68" t="n">
        <v>3</v>
      </c>
      <c r="J41" s="68" t="n">
        <v>2</v>
      </c>
      <c r="K41" s="68" t="str"/>
      <c r="L41" s="68" t="n">
        <v>0</v>
      </c>
      <c r="M41" s="68" t="n">
        <v>0</v>
      </c>
      <c r="N41" s="68" t="n">
        <v>26</v>
      </c>
      <c r="O41" s="68" t="inlineStr">
        <is>
          <t>D</t>
        </is>
      </c>
      <c r="P41" s="68" t="inlineStr">
        <is>
          <t>Absorption + inflammation stack</t>
        </is>
      </c>
      <c r="Q41" s="68" t="inlineStr">
        <is>
          <t>High overlap supports coherence; penalties rise with duplicate compounds or overlapping cautions.</t>
        </is>
      </c>
    </row>
    <row r="42">
      <c r="A42" t="inlineStr">
        <is>
          <t>Green Tea</t>
        </is>
      </c>
      <c r="B42" t="inlineStr">
        <is>
          <t>Ashwagandha</t>
        </is>
      </c>
      <c r="C42" t="inlineStr">
        <is>
          <t>camellia-sinensis</t>
        </is>
      </c>
      <c r="D42" t="inlineStr">
        <is>
          <t>ashwagandha</t>
        </is>
      </c>
      <c r="E42" s="68" t="str"/>
      <c r="F42" s="68" t="inlineStr">
        <is>
          <t>Inflammation; Metabolic/Bioavailability; Monoamine/Stimulant; Neurocognitive; Oxidative stress</t>
        </is>
      </c>
      <c r="G42" s="68" t="n">
        <v>0</v>
      </c>
      <c r="H42" s="68" t="str"/>
      <c r="I42" s="68" t="n">
        <v>3</v>
      </c>
      <c r="J42" s="68" t="n">
        <v>2</v>
      </c>
      <c r="K42" s="68" t="str"/>
      <c r="L42" s="68" t="n">
        <v>0</v>
      </c>
      <c r="M42" s="68" t="n">
        <v>0</v>
      </c>
      <c r="N42" s="68" t="n">
        <v>25</v>
      </c>
      <c r="O42" s="68" t="inlineStr">
        <is>
          <t>D</t>
        </is>
      </c>
      <c r="P42" s="68" t="inlineStr">
        <is>
          <t>Inflammation + oxidative support</t>
        </is>
      </c>
      <c r="Q42" s="68" t="inlineStr">
        <is>
          <t>High overlap supports coherence; penalties rise with duplicate compounds or overlapping cautions.</t>
        </is>
      </c>
    </row>
    <row r="43">
      <c r="A43" t="inlineStr">
        <is>
          <t>Ginkgo Biloba</t>
        </is>
      </c>
      <c r="B43" t="inlineStr">
        <is>
          <t>Black Pepper</t>
        </is>
      </c>
      <c r="C43" t="inlineStr">
        <is>
          <t>ginkgo-biloba</t>
        </is>
      </c>
      <c r="D43" t="inlineStr">
        <is>
          <t>black-pepper</t>
        </is>
      </c>
      <c r="E43" s="68" t="str"/>
      <c r="F43" s="68" t="inlineStr">
        <is>
          <t>Inflammation; Metabolic/Bioavailability; Neurocognitive; Oxidative stress; Vascular/Perfusion</t>
        </is>
      </c>
      <c r="G43" s="68" t="n">
        <v>0</v>
      </c>
      <c r="H43" s="68" t="str"/>
      <c r="I43" s="68" t="n">
        <v>6</v>
      </c>
      <c r="J43" s="68" t="n">
        <v>3</v>
      </c>
      <c r="K43" s="68" t="str"/>
      <c r="L43" s="68" t="n">
        <v>0</v>
      </c>
      <c r="M43" s="68" t="n">
        <v>0</v>
      </c>
      <c r="N43" s="68" t="n">
        <v>25</v>
      </c>
      <c r="O43" s="68" t="inlineStr">
        <is>
          <t>D</t>
        </is>
      </c>
      <c r="P43" s="68" t="inlineStr">
        <is>
          <t>Inflammation + oxidative support</t>
        </is>
      </c>
      <c r="Q43" s="68" t="inlineStr">
        <is>
          <t>High overlap supports coherence; penalties rise with duplicate compounds or overlapping cautions.</t>
        </is>
      </c>
    </row>
    <row r="44">
      <c r="A44" t="inlineStr">
        <is>
          <t>Blue Lotus</t>
        </is>
      </c>
      <c r="B44" t="inlineStr">
        <is>
          <t>Corydalis</t>
        </is>
      </c>
      <c r="C44" t="inlineStr">
        <is>
          <t>blue-lotus</t>
        </is>
      </c>
      <c r="D44" t="inlineStr">
        <is>
          <t>corydalis-yanhusuo</t>
        </is>
      </c>
      <c r="E44" s="68" t="inlineStr">
        <is>
          <t>Neurocognitive</t>
        </is>
      </c>
      <c r="F44" s="68" t="inlineStr">
        <is>
          <t>Analgesic/NMDA; Calming/GABA</t>
        </is>
      </c>
      <c r="G44" s="68" t="n">
        <v>0</v>
      </c>
      <c r="H44" s="68" t="str"/>
      <c r="I44" s="68" t="n">
        <v>3</v>
      </c>
      <c r="J44" s="68" t="n">
        <v>1</v>
      </c>
      <c r="K44" s="68" t="str"/>
      <c r="L44" s="68" t="n">
        <v>0</v>
      </c>
      <c r="M44" s="68" t="n">
        <v>0</v>
      </c>
      <c r="N44" s="68" t="n">
        <v>25</v>
      </c>
      <c r="O44" s="68" t="inlineStr">
        <is>
          <t>D</t>
        </is>
      </c>
      <c r="P44" s="68" t="inlineStr">
        <is>
          <t>Calming neuro support</t>
        </is>
      </c>
      <c r="Q44" s="68" t="inlineStr">
        <is>
          <t>High overlap supports coherence; penalties rise with duplicate compounds or overlapping cautions.</t>
        </is>
      </c>
    </row>
    <row r="45">
      <c r="A45" t="inlineStr">
        <is>
          <t>Ashwagandha</t>
        </is>
      </c>
      <c r="B45" t="inlineStr">
        <is>
          <t>Corydalis</t>
        </is>
      </c>
      <c r="C45" t="inlineStr">
        <is>
          <t>ashwagandha</t>
        </is>
      </c>
      <c r="D45" t="inlineStr">
        <is>
          <t>corydalis-yanhusuo</t>
        </is>
      </c>
      <c r="E45" s="68" t="inlineStr">
        <is>
          <t>Neurocognitive</t>
        </is>
      </c>
      <c r="F45" s="68" t="inlineStr">
        <is>
          <t>Analgesic/NMDA; Inflammation</t>
        </is>
      </c>
      <c r="G45" s="68" t="n">
        <v>0</v>
      </c>
      <c r="H45" s="68" t="str"/>
      <c r="I45" s="68" t="n">
        <v>2</v>
      </c>
      <c r="J45" s="68" t="n">
        <v>1</v>
      </c>
      <c r="K45" s="68" t="str"/>
      <c r="L45" s="68" t="n">
        <v>0</v>
      </c>
      <c r="M45" s="68" t="n">
        <v>0</v>
      </c>
      <c r="N45" s="68" t="n">
        <v>25</v>
      </c>
      <c r="O45" s="68" t="inlineStr">
        <is>
          <t>D</t>
        </is>
      </c>
      <c r="P45" s="68" t="inlineStr">
        <is>
          <t>General multi-pathway stack</t>
        </is>
      </c>
      <c r="Q45" s="68" t="inlineStr">
        <is>
          <t>High overlap supports coherence; penalties rise with duplicate compounds or overlapping cautions.</t>
        </is>
      </c>
    </row>
    <row r="46">
      <c r="A46" t="inlineStr">
        <is>
          <t>Ginkgo Biloba</t>
        </is>
      </c>
      <c r="B46" t="inlineStr">
        <is>
          <t>Epimedium</t>
        </is>
      </c>
      <c r="C46" t="inlineStr">
        <is>
          <t>ginkgo-biloba</t>
        </is>
      </c>
      <c r="D46" t="inlineStr">
        <is>
          <t>epimedium</t>
        </is>
      </c>
      <c r="E46" s="68" t="inlineStr">
        <is>
          <t>Vascular/Perfusion</t>
        </is>
      </c>
      <c r="F46" s="68" t="inlineStr">
        <is>
          <t>Inflammation; Neurocognitive; Oxidative stress</t>
        </is>
      </c>
      <c r="G46" s="68" t="n">
        <v>0</v>
      </c>
      <c r="H46" s="68" t="str"/>
      <c r="I46" s="68" t="n">
        <v>6</v>
      </c>
      <c r="J46" s="68" t="n">
        <v>4</v>
      </c>
      <c r="K46" s="68" t="inlineStr">
        <is>
          <t>Bleeding-risk stack</t>
        </is>
      </c>
      <c r="L46" s="68" t="n">
        <v>0</v>
      </c>
      <c r="M46" s="68" t="n">
        <v>10</v>
      </c>
      <c r="N46" s="68" t="n">
        <v>25</v>
      </c>
      <c r="O46" s="68" t="inlineStr">
        <is>
          <t>D</t>
        </is>
      </c>
      <c r="P46" s="68" t="inlineStr">
        <is>
          <t>Inflammation + oxidative support</t>
        </is>
      </c>
      <c r="Q46" s="68" t="inlineStr">
        <is>
          <t>High overlap supports coherence; penalties rise with duplicate compounds or overlapping cautions.</t>
        </is>
      </c>
    </row>
    <row r="47">
      <c r="A47" t="inlineStr">
        <is>
          <t>Panax Ginseng</t>
        </is>
      </c>
      <c r="B47" t="inlineStr">
        <is>
          <t>Turmeric</t>
        </is>
      </c>
      <c r="C47" t="inlineStr">
        <is>
          <t>panax-ginseng</t>
        </is>
      </c>
      <c r="D47" t="inlineStr">
        <is>
          <t>turmeric</t>
        </is>
      </c>
      <c r="E47" s="68" t="str"/>
      <c r="F47" s="68" t="inlineStr">
        <is>
          <t>Inflammation; Metabolic/Bioavailability; Neurocognitive; Oxidative stress</t>
        </is>
      </c>
      <c r="G47" s="68" t="n">
        <v>0</v>
      </c>
      <c r="H47" s="68" t="str"/>
      <c r="I47" s="68" t="n">
        <v>6</v>
      </c>
      <c r="J47" s="68" t="n">
        <v>4</v>
      </c>
      <c r="K47" s="68" t="str"/>
      <c r="L47" s="68" t="n">
        <v>0</v>
      </c>
      <c r="M47" s="68" t="n">
        <v>0</v>
      </c>
      <c r="N47" s="68" t="n">
        <v>24</v>
      </c>
      <c r="O47" s="68" t="inlineStr">
        <is>
          <t>D</t>
        </is>
      </c>
      <c r="P47" s="68" t="inlineStr">
        <is>
          <t>Inflammation + oxidative support</t>
        </is>
      </c>
      <c r="Q47" s="68" t="inlineStr">
        <is>
          <t>High overlap supports coherence; penalties rise with duplicate compounds or overlapping cautions.</t>
        </is>
      </c>
    </row>
    <row r="48">
      <c r="A48" t="inlineStr">
        <is>
          <t>Green Tea</t>
        </is>
      </c>
      <c r="B48" t="inlineStr">
        <is>
          <t>Blue Lotus</t>
        </is>
      </c>
      <c r="C48" t="inlineStr">
        <is>
          <t>camellia-sinensis</t>
        </is>
      </c>
      <c r="D48" t="inlineStr">
        <is>
          <t>blue-lotus</t>
        </is>
      </c>
      <c r="E48" s="68" t="str"/>
      <c r="F48" s="68" t="inlineStr">
        <is>
          <t>Calming/GABA; Metabolic/Bioavailability; Monoamine/Stimulant; Neurocognitive; Oxidative stress</t>
        </is>
      </c>
      <c r="G48" s="68" t="n">
        <v>0</v>
      </c>
      <c r="H48" s="68" t="str"/>
      <c r="I48" s="68" t="n">
        <v>3</v>
      </c>
      <c r="J48" s="68" t="n">
        <v>3</v>
      </c>
      <c r="K48" s="68" t="str"/>
      <c r="L48" s="68" t="n">
        <v>0</v>
      </c>
      <c r="M48" s="68" t="n">
        <v>0</v>
      </c>
      <c r="N48" s="68" t="n">
        <v>24</v>
      </c>
      <c r="O48" s="68" t="inlineStr">
        <is>
          <t>D</t>
        </is>
      </c>
      <c r="P48" s="68" t="inlineStr">
        <is>
          <t>Calming neuro support</t>
        </is>
      </c>
      <c r="Q48" s="68" t="inlineStr">
        <is>
          <t>High overlap supports coherence; penalties rise with duplicate compounds or overlapping cautions.</t>
        </is>
      </c>
    </row>
    <row r="49">
      <c r="A49" t="inlineStr">
        <is>
          <t>Ginkgo Biloba</t>
        </is>
      </c>
      <c r="B49" t="inlineStr">
        <is>
          <t>Ajwain</t>
        </is>
      </c>
      <c r="C49" t="inlineStr">
        <is>
          <t>ginkgo-biloba</t>
        </is>
      </c>
      <c r="D49" t="inlineStr">
        <is>
          <t>ajwain</t>
        </is>
      </c>
      <c r="E49" s="68" t="str"/>
      <c r="F49" s="68" t="inlineStr">
        <is>
          <t>Inflammation; Metabolic/Bioavailability; Neurocognitive; Oxidative stress; Vascular/Perfusion</t>
        </is>
      </c>
      <c r="G49" s="68" t="n">
        <v>0</v>
      </c>
      <c r="H49" s="68" t="str"/>
      <c r="I49" s="68" t="n">
        <v>6</v>
      </c>
      <c r="J49" s="68" t="n">
        <v>2</v>
      </c>
      <c r="K49" s="68" t="str"/>
      <c r="L49" s="68" t="n">
        <v>0</v>
      </c>
      <c r="M49" s="68" t="n">
        <v>0</v>
      </c>
      <c r="N49" s="68" t="n">
        <v>24</v>
      </c>
      <c r="O49" s="68" t="inlineStr">
        <is>
          <t>D</t>
        </is>
      </c>
      <c r="P49" s="68" t="inlineStr">
        <is>
          <t>Inflammation + oxidative support</t>
        </is>
      </c>
      <c r="Q49" s="68" t="inlineStr">
        <is>
          <t>High overlap supports coherence; penalties rise with duplicate compounds or overlapping cautions.</t>
        </is>
      </c>
    </row>
    <row r="50">
      <c r="A50" t="inlineStr">
        <is>
          <t>Blue Lotus</t>
        </is>
      </c>
      <c r="B50" t="inlineStr">
        <is>
          <t>Black Cohosh</t>
        </is>
      </c>
      <c r="C50" t="inlineStr">
        <is>
          <t>blue-lotus</t>
        </is>
      </c>
      <c r="D50" t="inlineStr">
        <is>
          <t>black-cohosh</t>
        </is>
      </c>
      <c r="E50" s="68" t="str"/>
      <c r="F50" s="68" t="inlineStr">
        <is>
          <t>Calming/GABA; Inflammation; Monoamine/Stimulant; Neurocognitive; Oxidative stress; Vascular/Perfusion</t>
        </is>
      </c>
      <c r="G50" s="68" t="n">
        <v>0</v>
      </c>
      <c r="H50" s="68" t="str"/>
      <c r="I50" s="68" t="n">
        <v>3</v>
      </c>
      <c r="J50" s="68" t="n">
        <v>3</v>
      </c>
      <c r="K50" s="68" t="str"/>
      <c r="L50" s="68" t="n">
        <v>0</v>
      </c>
      <c r="M50" s="68" t="n">
        <v>0</v>
      </c>
      <c r="N50" s="68" t="n">
        <v>24</v>
      </c>
      <c r="O50" s="68" t="inlineStr">
        <is>
          <t>D</t>
        </is>
      </c>
      <c r="P50" s="68" t="inlineStr">
        <is>
          <t>Inflammation + oxidative support</t>
        </is>
      </c>
      <c r="Q50" s="68" t="inlineStr">
        <is>
          <t>High overlap supports coherence; penalties rise with duplicate compounds or overlapping cautions.</t>
        </is>
      </c>
    </row>
    <row r="51">
      <c r="A51" t="inlineStr">
        <is>
          <t>Green Tea</t>
        </is>
      </c>
      <c r="B51" t="inlineStr">
        <is>
          <t>Epimedium</t>
        </is>
      </c>
      <c r="C51" t="inlineStr">
        <is>
          <t>camellia-sinensis</t>
        </is>
      </c>
      <c r="D51" t="inlineStr">
        <is>
          <t>epimedium</t>
        </is>
      </c>
      <c r="E51" s="68" t="str"/>
      <c r="F51" s="68" t="inlineStr">
        <is>
          <t>Metabolic/Bioavailability; Monoamine/Stimulant; Oxidative stress; Vascular/Perfusion</t>
        </is>
      </c>
      <c r="G51" s="68" t="n">
        <v>0</v>
      </c>
      <c r="H51" s="68" t="str"/>
      <c r="I51" s="68" t="n">
        <v>3</v>
      </c>
      <c r="J51" s="68" t="n">
        <v>4</v>
      </c>
      <c r="K51" s="68" t="str"/>
      <c r="L51" s="68" t="n">
        <v>0</v>
      </c>
      <c r="M51" s="68" t="n">
        <v>0</v>
      </c>
      <c r="N51" s="68" t="n">
        <v>23</v>
      </c>
      <c r="O51" s="68" t="inlineStr">
        <is>
          <t>D</t>
        </is>
      </c>
      <c r="P51" s="68" t="inlineStr">
        <is>
          <t>General multi-pathway stack</t>
        </is>
      </c>
      <c r="Q51" s="68" t="inlineStr">
        <is>
          <t>High overlap supports coherence; penalties rise with duplicate compounds or overlapping cautions.</t>
        </is>
      </c>
    </row>
    <row r="52">
      <c r="A52" t="inlineStr">
        <is>
          <t>Green Tea</t>
        </is>
      </c>
      <c r="B52" t="inlineStr">
        <is>
          <t>Corydalis</t>
        </is>
      </c>
      <c r="C52" t="inlineStr">
        <is>
          <t>camellia-sinensis</t>
        </is>
      </c>
      <c r="D52" t="inlineStr">
        <is>
          <t>corydalis-yanhusuo</t>
        </is>
      </c>
      <c r="E52" s="68" t="str"/>
      <c r="F52" s="68" t="inlineStr">
        <is>
          <t>Analgesic/NMDA; Metabolic/Bioavailability; Monoamine/Stimulant; Neurocognitive; Oxidative stress</t>
        </is>
      </c>
      <c r="G52" s="68" t="n">
        <v>0</v>
      </c>
      <c r="H52" s="68" t="str"/>
      <c r="I52" s="68" t="n">
        <v>3</v>
      </c>
      <c r="J52" s="68" t="n">
        <v>1</v>
      </c>
      <c r="K52" s="68" t="str"/>
      <c r="L52" s="68" t="n">
        <v>0</v>
      </c>
      <c r="M52" s="68" t="n">
        <v>0</v>
      </c>
      <c r="N52" s="68" t="n">
        <v>23</v>
      </c>
      <c r="O52" s="68" t="inlineStr">
        <is>
          <t>D</t>
        </is>
      </c>
      <c r="P52" s="68" t="inlineStr">
        <is>
          <t>Focus / cognitive energy</t>
        </is>
      </c>
      <c r="Q52" s="68" t="inlineStr">
        <is>
          <t>High overlap supports coherence; penalties rise with duplicate compounds or overlapping cautions.</t>
        </is>
      </c>
    </row>
    <row r="53">
      <c r="A53" t="inlineStr">
        <is>
          <t>Black Cohosh</t>
        </is>
      </c>
      <c r="B53" t="inlineStr">
        <is>
          <t>Corydalis</t>
        </is>
      </c>
      <c r="C53" t="inlineStr">
        <is>
          <t>black-cohosh</t>
        </is>
      </c>
      <c r="D53" t="inlineStr">
        <is>
          <t>corydalis-yanhusuo</t>
        </is>
      </c>
      <c r="E53" s="68" t="str"/>
      <c r="F53" s="68" t="inlineStr">
        <is>
          <t>Analgesic/NMDA; Inflammation; Monoamine/Stimulant; Neurocognitive; Oxidative stress; Vascular/Perfusion</t>
        </is>
      </c>
      <c r="G53" s="68" t="n">
        <v>0</v>
      </c>
      <c r="H53" s="68" t="str"/>
      <c r="I53" s="68" t="n">
        <v>3</v>
      </c>
      <c r="J53" s="68" t="n">
        <v>1</v>
      </c>
      <c r="K53" s="68" t="str"/>
      <c r="L53" s="68" t="n">
        <v>0</v>
      </c>
      <c r="M53" s="68" t="n">
        <v>0</v>
      </c>
      <c r="N53" s="68" t="n">
        <v>22</v>
      </c>
      <c r="O53" s="68" t="inlineStr">
        <is>
          <t>D</t>
        </is>
      </c>
      <c r="P53" s="68" t="inlineStr">
        <is>
          <t>Inflammation + oxidative support</t>
        </is>
      </c>
      <c r="Q53" s="68" t="inlineStr">
        <is>
          <t>High overlap supports coherence; penalties rise with duplicate compounds or overlapping cautions.</t>
        </is>
      </c>
    </row>
    <row r="54">
      <c r="A54" t="inlineStr">
        <is>
          <t>Chamomile</t>
        </is>
      </c>
      <c r="B54" t="inlineStr">
        <is>
          <t>Epimedium</t>
        </is>
      </c>
      <c r="C54" t="inlineStr">
        <is>
          <t>chamomile</t>
        </is>
      </c>
      <c r="D54" t="inlineStr">
        <is>
          <t>epimedium</t>
        </is>
      </c>
      <c r="E54" s="68" t="str"/>
      <c r="F54" s="68" t="inlineStr">
        <is>
          <t>Calming/GABA; Inflammation; Metabolic/Bioavailability; Vascular/Perfusion</t>
        </is>
      </c>
      <c r="G54" s="68" t="n">
        <v>0</v>
      </c>
      <c r="H54" s="68" t="str"/>
      <c r="I54" s="68" t="n">
        <v>3</v>
      </c>
      <c r="J54" s="68" t="n">
        <v>4</v>
      </c>
      <c r="K54" s="68" t="str"/>
      <c r="L54" s="68" t="n">
        <v>0</v>
      </c>
      <c r="M54" s="68" t="n">
        <v>0</v>
      </c>
      <c r="N54" s="68" t="n">
        <v>21</v>
      </c>
      <c r="O54" s="68" t="inlineStr">
        <is>
          <t>D</t>
        </is>
      </c>
      <c r="P54" s="68" t="inlineStr">
        <is>
          <t>Absorption + inflammation stack</t>
        </is>
      </c>
      <c r="Q54" s="68" t="inlineStr">
        <is>
          <t>High overlap supports coherence; penalties rise with duplicate compounds or overlapping cautions.</t>
        </is>
      </c>
    </row>
    <row r="55">
      <c r="A55" t="inlineStr">
        <is>
          <t>Chamomile</t>
        </is>
      </c>
      <c r="B55" t="inlineStr">
        <is>
          <t>Corydalis</t>
        </is>
      </c>
      <c r="C55" t="inlineStr">
        <is>
          <t>chamomile</t>
        </is>
      </c>
      <c r="D55" t="inlineStr">
        <is>
          <t>corydalis-yanhusuo</t>
        </is>
      </c>
      <c r="E55" s="68" t="str"/>
      <c r="F55" s="68" t="inlineStr">
        <is>
          <t>Analgesic/NMDA; Calming/GABA; Inflammation; Metabolic/Bioavailability; Neurocognitive</t>
        </is>
      </c>
      <c r="G55" s="68" t="n">
        <v>0</v>
      </c>
      <c r="H55" s="68" t="str"/>
      <c r="I55" s="68" t="n">
        <v>3</v>
      </c>
      <c r="J55" s="68" t="n">
        <v>1</v>
      </c>
      <c r="K55" s="68" t="str"/>
      <c r="L55" s="68" t="n">
        <v>0</v>
      </c>
      <c r="M55" s="68" t="n">
        <v>0</v>
      </c>
      <c r="N55" s="68" t="n">
        <v>21</v>
      </c>
      <c r="O55" s="68" t="inlineStr">
        <is>
          <t>D</t>
        </is>
      </c>
      <c r="P55" s="68" t="inlineStr">
        <is>
          <t>Calming neuro support</t>
        </is>
      </c>
      <c r="Q55" s="68" t="inlineStr">
        <is>
          <t>High overlap supports coherence; penalties rise with duplicate compounds or overlapping cautions.</t>
        </is>
      </c>
    </row>
    <row r="56">
      <c r="A56" t="inlineStr">
        <is>
          <t>Chamomile</t>
        </is>
      </c>
      <c r="B56" t="inlineStr">
        <is>
          <t>Blue Lotus</t>
        </is>
      </c>
      <c r="C56" t="inlineStr">
        <is>
          <t>chamomile</t>
        </is>
      </c>
      <c r="D56" t="inlineStr">
        <is>
          <t>blue-lotus</t>
        </is>
      </c>
      <c r="E56" s="68" t="inlineStr">
        <is>
          <t>Calming/GABA</t>
        </is>
      </c>
      <c r="F56" s="68" t="inlineStr">
        <is>
          <t>Inflammation; Metabolic/Bioavailability; Neurocognitive</t>
        </is>
      </c>
      <c r="G56" s="68" t="n">
        <v>0</v>
      </c>
      <c r="H56" s="68" t="str"/>
      <c r="I56" s="68" t="n">
        <v>3</v>
      </c>
      <c r="J56" s="68" t="n">
        <v>3</v>
      </c>
      <c r="K56" s="68" t="inlineStr">
        <is>
          <t>Sedation stacking</t>
        </is>
      </c>
      <c r="L56" s="68" t="n">
        <v>0</v>
      </c>
      <c r="M56" s="68" t="n">
        <v>10</v>
      </c>
      <c r="N56" s="68" t="n">
        <v>21</v>
      </c>
      <c r="O56" s="68" t="inlineStr">
        <is>
          <t>D</t>
        </is>
      </c>
      <c r="P56" s="68" t="inlineStr">
        <is>
          <t>Calming neuro support</t>
        </is>
      </c>
      <c r="Q56" s="68" t="inlineStr">
        <is>
          <t>High overlap supports coherence; penalties rise with duplicate compounds or overlapping cautions.</t>
        </is>
      </c>
    </row>
    <row r="57">
      <c r="A57" t="inlineStr">
        <is>
          <t>Chamomile</t>
        </is>
      </c>
      <c r="B57" t="inlineStr">
        <is>
          <t>Ashwagandha</t>
        </is>
      </c>
      <c r="C57" t="inlineStr">
        <is>
          <t>chamomile</t>
        </is>
      </c>
      <c r="D57" t="inlineStr">
        <is>
          <t>ashwagandha</t>
        </is>
      </c>
      <c r="E57" s="68" t="inlineStr">
        <is>
          <t>Inflammation</t>
        </is>
      </c>
      <c r="F57" s="68" t="inlineStr">
        <is>
          <t>Calming/GABA; Metabolic/Bioavailability; Neurocognitive</t>
        </is>
      </c>
      <c r="G57" s="68" t="n">
        <v>0</v>
      </c>
      <c r="H57" s="68" t="str"/>
      <c r="I57" s="68" t="n">
        <v>3</v>
      </c>
      <c r="J57" s="68" t="n">
        <v>2</v>
      </c>
      <c r="K57" s="68" t="inlineStr">
        <is>
          <t>Sedation stacking</t>
        </is>
      </c>
      <c r="L57" s="68" t="n">
        <v>0</v>
      </c>
      <c r="M57" s="68" t="n">
        <v>10</v>
      </c>
      <c r="N57" s="68" t="n">
        <v>21</v>
      </c>
      <c r="O57" s="68" t="inlineStr">
        <is>
          <t>D</t>
        </is>
      </c>
      <c r="P57" s="68" t="inlineStr">
        <is>
          <t>Calming neuro support</t>
        </is>
      </c>
      <c r="Q57" s="68" t="inlineStr">
        <is>
          <t>High overlap supports coherence; penalties rise with duplicate compounds or overlapping cautions.</t>
        </is>
      </c>
    </row>
    <row r="58">
      <c r="A58" t="inlineStr">
        <is>
          <t>Green Tea</t>
        </is>
      </c>
      <c r="B58" t="inlineStr">
        <is>
          <t>Arjuna</t>
        </is>
      </c>
      <c r="C58" t="inlineStr">
        <is>
          <t>camellia-sinensis</t>
        </is>
      </c>
      <c r="D58" t="inlineStr">
        <is>
          <t>arjuna</t>
        </is>
      </c>
      <c r="E58" s="68" t="str"/>
      <c r="F58" s="68" t="inlineStr">
        <is>
          <t>Metabolic/Bioavailability; Monoamine/Stimulant; Oxidative stress; Vascular/Perfusion</t>
        </is>
      </c>
      <c r="G58" s="68" t="n">
        <v>0</v>
      </c>
      <c r="H58" s="68" t="str"/>
      <c r="I58" s="68" t="n">
        <v>3</v>
      </c>
      <c r="J58" s="68" t="n">
        <v>2</v>
      </c>
      <c r="K58" s="68" t="str"/>
      <c r="L58" s="68" t="n">
        <v>0</v>
      </c>
      <c r="M58" s="68" t="n">
        <v>0</v>
      </c>
      <c r="N58" s="68" t="n">
        <v>20</v>
      </c>
      <c r="O58" s="68" t="inlineStr">
        <is>
          <t>D</t>
        </is>
      </c>
      <c r="P58" s="68" t="inlineStr">
        <is>
          <t>General multi-pathway stack</t>
        </is>
      </c>
      <c r="Q58" s="68" t="inlineStr">
        <is>
          <t>High overlap supports coherence; penalties rise with duplicate compounds or overlapping cautions.</t>
        </is>
      </c>
    </row>
    <row r="59">
      <c r="A59" t="inlineStr">
        <is>
          <t>Ginkgo Biloba</t>
        </is>
      </c>
      <c r="B59" t="inlineStr">
        <is>
          <t>Agarikon</t>
        </is>
      </c>
      <c r="C59" t="inlineStr">
        <is>
          <t>ginkgo-biloba</t>
        </is>
      </c>
      <c r="D59" t="inlineStr">
        <is>
          <t>agarikon</t>
        </is>
      </c>
      <c r="E59" s="68" t="str"/>
      <c r="F59" s="68" t="inlineStr">
        <is>
          <t>Inflammation; Neurocognitive; Oxidative stress; Vascular/Perfusion</t>
        </is>
      </c>
      <c r="G59" s="68" t="n">
        <v>0</v>
      </c>
      <c r="H59" s="68" t="str"/>
      <c r="I59" s="68" t="n">
        <v>6</v>
      </c>
      <c r="J59" s="68" t="n">
        <v>1</v>
      </c>
      <c r="K59" s="68" t="str"/>
      <c r="L59" s="68" t="n">
        <v>0</v>
      </c>
      <c r="M59" s="68" t="n">
        <v>0</v>
      </c>
      <c r="N59" s="68" t="n">
        <v>20</v>
      </c>
      <c r="O59" s="68" t="inlineStr">
        <is>
          <t>D</t>
        </is>
      </c>
      <c r="P59" s="68" t="inlineStr">
        <is>
          <t>Inflammation + oxidative support</t>
        </is>
      </c>
      <c r="Q59" s="68" t="inlineStr">
        <is>
          <t>High overlap supports coherence; penalties rise with duplicate compounds or overlapping cautions.</t>
        </is>
      </c>
    </row>
    <row r="60">
      <c r="A60" t="inlineStr">
        <is>
          <t>Epimedium</t>
        </is>
      </c>
      <c r="B60" t="inlineStr">
        <is>
          <t>Arjuna</t>
        </is>
      </c>
      <c r="C60" t="inlineStr">
        <is>
          <t>epimedium</t>
        </is>
      </c>
      <c r="D60" t="inlineStr">
        <is>
          <t>arjuna</t>
        </is>
      </c>
      <c r="E60" s="68" t="inlineStr">
        <is>
          <t>Vascular/Perfusion</t>
        </is>
      </c>
      <c r="F60" s="68" t="str"/>
      <c r="G60" s="68" t="n">
        <v>0</v>
      </c>
      <c r="H60" s="68" t="str"/>
      <c r="I60" s="68" t="n">
        <v>4</v>
      </c>
      <c r="J60" s="68" t="n">
        <v>2</v>
      </c>
      <c r="K60" s="68" t="str"/>
      <c r="L60" s="68" t="n">
        <v>0</v>
      </c>
      <c r="M60" s="68" t="n">
        <v>0</v>
      </c>
      <c r="N60" s="68" t="n">
        <v>20</v>
      </c>
      <c r="O60" s="68" t="inlineStr">
        <is>
          <t>D</t>
        </is>
      </c>
      <c r="P60" s="68" t="inlineStr">
        <is>
          <t>General multi-pathway stack</t>
        </is>
      </c>
      <c r="Q60" s="68" t="inlineStr">
        <is>
          <t>High overlap supports coherence; penalties rise with duplicate compounds or overlapping cautions.</t>
        </is>
      </c>
    </row>
    <row r="61">
      <c r="A61" t="inlineStr">
        <is>
          <t>Black Pepper</t>
        </is>
      </c>
      <c r="B61" t="inlineStr">
        <is>
          <t>Black Cohosh</t>
        </is>
      </c>
      <c r="C61" t="inlineStr">
        <is>
          <t>black-pepper</t>
        </is>
      </c>
      <c r="D61" t="inlineStr">
        <is>
          <t>black-cohosh</t>
        </is>
      </c>
      <c r="E61" s="68" t="str"/>
      <c r="F61" s="68" t="inlineStr">
        <is>
          <t>Inflammation; Metabolic/Bioavailability; Monoamine/Stimulant; Oxidative stress; Vascular/Perfusion</t>
        </is>
      </c>
      <c r="G61" s="68" t="n">
        <v>0</v>
      </c>
      <c r="H61" s="68" t="str"/>
      <c r="I61" s="68" t="n">
        <v>3</v>
      </c>
      <c r="J61" s="68" t="n">
        <v>3</v>
      </c>
      <c r="K61" s="68" t="str"/>
      <c r="L61" s="68" t="n">
        <v>0</v>
      </c>
      <c r="M61" s="68" t="n">
        <v>0</v>
      </c>
      <c r="N61" s="68" t="n">
        <v>20</v>
      </c>
      <c r="O61" s="68" t="inlineStr">
        <is>
          <t>D</t>
        </is>
      </c>
      <c r="P61" s="68" t="inlineStr">
        <is>
          <t>Inflammation + oxidative support</t>
        </is>
      </c>
      <c r="Q61" s="68" t="inlineStr">
        <is>
          <t>High overlap supports coherence; penalties rise with duplicate compounds or overlapping cautions.</t>
        </is>
      </c>
    </row>
    <row r="62">
      <c r="A62" t="inlineStr">
        <is>
          <t>Turmeric</t>
        </is>
      </c>
      <c r="B62" t="inlineStr">
        <is>
          <t>Blue Lotus</t>
        </is>
      </c>
      <c r="C62" t="inlineStr">
        <is>
          <t>turmeric</t>
        </is>
      </c>
      <c r="D62" t="inlineStr">
        <is>
          <t>blue-lotus</t>
        </is>
      </c>
      <c r="E62" s="68" t="str"/>
      <c r="F62" s="68" t="inlineStr">
        <is>
          <t>Calming/GABA; Inflammation; Neurocognitive; Oxidative stress</t>
        </is>
      </c>
      <c r="G62" s="68" t="n">
        <v>0</v>
      </c>
      <c r="H62" s="68" t="str"/>
      <c r="I62" s="68" t="n">
        <v>4</v>
      </c>
      <c r="J62" s="68" t="n">
        <v>3</v>
      </c>
      <c r="K62" s="68" t="str"/>
      <c r="L62" s="68" t="n">
        <v>0</v>
      </c>
      <c r="M62" s="68" t="n">
        <v>0</v>
      </c>
      <c r="N62" s="68" t="n">
        <v>19</v>
      </c>
      <c r="O62" s="68" t="inlineStr">
        <is>
          <t>D</t>
        </is>
      </c>
      <c r="P62" s="68" t="inlineStr">
        <is>
          <t>Inflammation + oxidative support</t>
        </is>
      </c>
      <c r="Q62" s="68" t="inlineStr">
        <is>
          <t>High overlap supports coherence; penalties rise with duplicate compounds or overlapping cautions.</t>
        </is>
      </c>
    </row>
    <row r="63">
      <c r="A63" t="inlineStr">
        <is>
          <t>Panax Ginseng</t>
        </is>
      </c>
      <c r="B63" t="inlineStr">
        <is>
          <t>Arjuna</t>
        </is>
      </c>
      <c r="C63" t="inlineStr">
        <is>
          <t>panax-ginseng</t>
        </is>
      </c>
      <c r="D63" t="inlineStr">
        <is>
          <t>arjuna</t>
        </is>
      </c>
      <c r="E63" s="68" t="str"/>
      <c r="F63" s="68" t="inlineStr">
        <is>
          <t>Metabolic/Bioavailability; Neurocognitive; Vascular/Perfusion</t>
        </is>
      </c>
      <c r="G63" s="68" t="n">
        <v>0</v>
      </c>
      <c r="H63" s="68" t="str"/>
      <c r="I63" s="68" t="n">
        <v>6</v>
      </c>
      <c r="J63" s="68" t="n">
        <v>2</v>
      </c>
      <c r="K63" s="68" t="str"/>
      <c r="L63" s="68" t="n">
        <v>0</v>
      </c>
      <c r="M63" s="68" t="n">
        <v>0</v>
      </c>
      <c r="N63" s="68" t="n">
        <v>19</v>
      </c>
      <c r="O63" s="68" t="inlineStr">
        <is>
          <t>D</t>
        </is>
      </c>
      <c r="P63" s="68" t="inlineStr">
        <is>
          <t>Circulation + cognition</t>
        </is>
      </c>
      <c r="Q63" s="68" t="inlineStr">
        <is>
          <t>High overlap supports coherence; penalties rise with duplicate compounds or overlapping cautions.</t>
        </is>
      </c>
    </row>
    <row r="64">
      <c r="A64" t="inlineStr">
        <is>
          <t>Chinese Skullcap</t>
        </is>
      </c>
      <c r="B64" t="inlineStr">
        <is>
          <t>Epimedium</t>
        </is>
      </c>
      <c r="C64" t="inlineStr">
        <is>
          <t>scutellaria-baicalensis</t>
        </is>
      </c>
      <c r="D64" t="inlineStr">
        <is>
          <t>epimedium</t>
        </is>
      </c>
      <c r="E64" s="68" t="str"/>
      <c r="F64" s="68" t="inlineStr">
        <is>
          <t>Inflammation; Neurocognitive; Vascular/Perfusion</t>
        </is>
      </c>
      <c r="G64" s="68" t="n">
        <v>0</v>
      </c>
      <c r="H64" s="68" t="str"/>
      <c r="I64" s="68" t="n">
        <v>2</v>
      </c>
      <c r="J64" s="68" t="n">
        <v>4</v>
      </c>
      <c r="K64" s="68" t="str"/>
      <c r="L64" s="68" t="n">
        <v>0</v>
      </c>
      <c r="M64" s="68" t="n">
        <v>0</v>
      </c>
      <c r="N64" s="68" t="n">
        <v>19</v>
      </c>
      <c r="O64" s="68" t="inlineStr">
        <is>
          <t>D</t>
        </is>
      </c>
      <c r="P64" s="68" t="inlineStr">
        <is>
          <t>Circulation + cognition</t>
        </is>
      </c>
      <c r="Q64" s="68" t="inlineStr">
        <is>
          <t>High overlap supports coherence; penalties rise with duplicate compounds or overlapping cautions.</t>
        </is>
      </c>
    </row>
    <row r="65">
      <c r="A65" t="inlineStr">
        <is>
          <t>Black Pepper</t>
        </is>
      </c>
      <c r="B65" t="inlineStr">
        <is>
          <t>Ajwain</t>
        </is>
      </c>
      <c r="C65" t="inlineStr">
        <is>
          <t>black-pepper</t>
        </is>
      </c>
      <c r="D65" t="inlineStr">
        <is>
          <t>ajwain</t>
        </is>
      </c>
      <c r="E65" s="68" t="inlineStr">
        <is>
          <t>Metabolic/Bioavailability</t>
        </is>
      </c>
      <c r="F65" s="68" t="str"/>
      <c r="G65" s="68" t="n">
        <v>0</v>
      </c>
      <c r="H65" s="68" t="str"/>
      <c r="I65" s="68" t="n">
        <v>3</v>
      </c>
      <c r="J65" s="68" t="n">
        <v>2</v>
      </c>
      <c r="K65" s="68" t="str"/>
      <c r="L65" s="68" t="n">
        <v>0</v>
      </c>
      <c r="M65" s="68" t="n">
        <v>0</v>
      </c>
      <c r="N65" s="68" t="n">
        <v>19</v>
      </c>
      <c r="O65" s="68" t="inlineStr">
        <is>
          <t>D</t>
        </is>
      </c>
      <c r="P65" s="68" t="inlineStr">
        <is>
          <t>General multi-pathway stack</t>
        </is>
      </c>
      <c r="Q65" s="68" t="inlineStr">
        <is>
          <t>High overlap supports coherence; penalties rise with duplicate compounds or overlapping cautions.</t>
        </is>
      </c>
    </row>
    <row r="66">
      <c r="A66" t="inlineStr">
        <is>
          <t>Black Cohosh</t>
        </is>
      </c>
      <c r="B66" t="inlineStr">
        <is>
          <t>Ajwain</t>
        </is>
      </c>
      <c r="C66" t="inlineStr">
        <is>
          <t>black-cohosh</t>
        </is>
      </c>
      <c r="D66" t="inlineStr">
        <is>
          <t>ajwain</t>
        </is>
      </c>
      <c r="E66" s="68" t="str"/>
      <c r="F66" s="68" t="inlineStr">
        <is>
          <t>Inflammation; Metabolic/Bioavailability; Monoamine/Stimulant; Oxidative stress; Vascular/Perfusion</t>
        </is>
      </c>
      <c r="G66" s="68" t="n">
        <v>0</v>
      </c>
      <c r="H66" s="68" t="str"/>
      <c r="I66" s="68" t="n">
        <v>3</v>
      </c>
      <c r="J66" s="68" t="n">
        <v>2</v>
      </c>
      <c r="K66" s="68" t="str"/>
      <c r="L66" s="68" t="n">
        <v>0</v>
      </c>
      <c r="M66" s="68" t="n">
        <v>0</v>
      </c>
      <c r="N66" s="68" t="n">
        <v>19</v>
      </c>
      <c r="O66" s="68" t="inlineStr">
        <is>
          <t>D</t>
        </is>
      </c>
      <c r="P66" s="68" t="inlineStr">
        <is>
          <t>Inflammation + oxidative support</t>
        </is>
      </c>
      <c r="Q66" s="68" t="inlineStr">
        <is>
          <t>High overlap supports coherence; penalties rise with duplicate compounds or overlapping cautions.</t>
        </is>
      </c>
    </row>
    <row r="67">
      <c r="A67" t="inlineStr">
        <is>
          <t>Turmeric</t>
        </is>
      </c>
      <c r="B67" t="inlineStr">
        <is>
          <t>Corydalis</t>
        </is>
      </c>
      <c r="C67" t="inlineStr">
        <is>
          <t>turmeric</t>
        </is>
      </c>
      <c r="D67" t="inlineStr">
        <is>
          <t>corydalis-yanhusuo</t>
        </is>
      </c>
      <c r="E67" s="68" t="str"/>
      <c r="F67" s="68" t="inlineStr">
        <is>
          <t>Analgesic/NMDA; Inflammation; Neurocognitive; Oxidative stress</t>
        </is>
      </c>
      <c r="G67" s="68" t="n">
        <v>0</v>
      </c>
      <c r="H67" s="68" t="str"/>
      <c r="I67" s="68" t="n">
        <v>4</v>
      </c>
      <c r="J67" s="68" t="n">
        <v>1</v>
      </c>
      <c r="K67" s="68" t="str"/>
      <c r="L67" s="68" t="n">
        <v>0</v>
      </c>
      <c r="M67" s="68" t="n">
        <v>0</v>
      </c>
      <c r="N67" s="68" t="n">
        <v>18</v>
      </c>
      <c r="O67" s="68" t="inlineStr">
        <is>
          <t>D</t>
        </is>
      </c>
      <c r="P67" s="68" t="inlineStr">
        <is>
          <t>Inflammation + oxidative support</t>
        </is>
      </c>
      <c r="Q67" s="68" t="inlineStr">
        <is>
          <t>High overlap supports coherence; penalties rise with duplicate compounds or overlapping cautions.</t>
        </is>
      </c>
    </row>
    <row r="68">
      <c r="A68" t="inlineStr">
        <is>
          <t>Chamomile</t>
        </is>
      </c>
      <c r="B68" t="inlineStr">
        <is>
          <t>Arjuna</t>
        </is>
      </c>
      <c r="C68" t="inlineStr">
        <is>
          <t>chamomile</t>
        </is>
      </c>
      <c r="D68" t="inlineStr">
        <is>
          <t>arjuna</t>
        </is>
      </c>
      <c r="E68" s="68" t="str"/>
      <c r="F68" s="68" t="inlineStr">
        <is>
          <t>Calming/GABA; Inflammation; Metabolic/Bioavailability; Vascular/Perfusion</t>
        </is>
      </c>
      <c r="G68" s="68" t="n">
        <v>0</v>
      </c>
      <c r="H68" s="68" t="str"/>
      <c r="I68" s="68" t="n">
        <v>3</v>
      </c>
      <c r="J68" s="68" t="n">
        <v>2</v>
      </c>
      <c r="K68" s="68" t="str"/>
      <c r="L68" s="68" t="n">
        <v>0</v>
      </c>
      <c r="M68" s="68" t="n">
        <v>0</v>
      </c>
      <c r="N68" s="68" t="n">
        <v>18</v>
      </c>
      <c r="O68" s="68" t="inlineStr">
        <is>
          <t>D</t>
        </is>
      </c>
      <c r="P68" s="68" t="inlineStr">
        <is>
          <t>Absorption + inflammation stack</t>
        </is>
      </c>
      <c r="Q68" s="68" t="inlineStr">
        <is>
          <t>High overlap supports coherence; penalties rise with duplicate compounds or overlapping cautions.</t>
        </is>
      </c>
    </row>
    <row r="69">
      <c r="A69" t="inlineStr">
        <is>
          <t>Epimedium</t>
        </is>
      </c>
      <c r="B69" t="inlineStr">
        <is>
          <t>Blue Lotus</t>
        </is>
      </c>
      <c r="C69" t="inlineStr">
        <is>
          <t>epimedium</t>
        </is>
      </c>
      <c r="D69" t="inlineStr">
        <is>
          <t>blue-lotus</t>
        </is>
      </c>
      <c r="E69" s="68" t="str"/>
      <c r="F69" s="68" t="inlineStr">
        <is>
          <t>Calming/GABA; Neurocognitive; Vascular/Perfusion</t>
        </is>
      </c>
      <c r="G69" s="68" t="n">
        <v>0</v>
      </c>
      <c r="H69" s="68" t="str"/>
      <c r="I69" s="68" t="n">
        <v>4</v>
      </c>
      <c r="J69" s="68" t="n">
        <v>3</v>
      </c>
      <c r="K69" s="68" t="str"/>
      <c r="L69" s="68" t="n">
        <v>0</v>
      </c>
      <c r="M69" s="68" t="n">
        <v>0</v>
      </c>
      <c r="N69" s="68" t="n">
        <v>17</v>
      </c>
      <c r="O69" s="68" t="inlineStr">
        <is>
          <t>D</t>
        </is>
      </c>
      <c r="P69" s="68" t="inlineStr">
        <is>
          <t>Calming neuro support</t>
        </is>
      </c>
      <c r="Q69" s="68" t="inlineStr">
        <is>
          <t>High overlap supports coherence; penalties rise with duplicate compounds or overlapping cautions.</t>
        </is>
      </c>
    </row>
    <row r="70">
      <c r="A70" t="inlineStr">
        <is>
          <t>Epimedium</t>
        </is>
      </c>
      <c r="B70" t="inlineStr">
        <is>
          <t>Ashwagandha</t>
        </is>
      </c>
      <c r="C70" t="inlineStr">
        <is>
          <t>epimedium</t>
        </is>
      </c>
      <c r="D70" t="inlineStr">
        <is>
          <t>ashwagandha</t>
        </is>
      </c>
      <c r="E70" s="68" t="str"/>
      <c r="F70" s="68" t="inlineStr">
        <is>
          <t>Inflammation; Neurocognitive; Vascular/Perfusion</t>
        </is>
      </c>
      <c r="G70" s="68" t="n">
        <v>0</v>
      </c>
      <c r="H70" s="68" t="str"/>
      <c r="I70" s="68" t="n">
        <v>4</v>
      </c>
      <c r="J70" s="68" t="n">
        <v>2</v>
      </c>
      <c r="K70" s="68" t="str"/>
      <c r="L70" s="68" t="n">
        <v>0</v>
      </c>
      <c r="M70" s="68" t="n">
        <v>0</v>
      </c>
      <c r="N70" s="68" t="n">
        <v>17</v>
      </c>
      <c r="O70" s="68" t="inlineStr">
        <is>
          <t>D</t>
        </is>
      </c>
      <c r="P70" s="68" t="inlineStr">
        <is>
          <t>Circulation + cognition</t>
        </is>
      </c>
      <c r="Q70" s="68" t="inlineStr">
        <is>
          <t>High overlap supports coherence; penalties rise with duplicate compounds or overlapping cautions.</t>
        </is>
      </c>
    </row>
    <row r="71">
      <c r="A71" t="inlineStr">
        <is>
          <t>Chinese Skullcap</t>
        </is>
      </c>
      <c r="B71" t="inlineStr">
        <is>
          <t>Black Pepper</t>
        </is>
      </c>
      <c r="C71" t="inlineStr">
        <is>
          <t>scutellaria-baicalensis</t>
        </is>
      </c>
      <c r="D71" t="inlineStr">
        <is>
          <t>black-pepper</t>
        </is>
      </c>
      <c r="E71" s="68" t="str"/>
      <c r="F71" s="68" t="inlineStr">
        <is>
          <t>Inflammation; Metabolic/Bioavailability; Neurocognitive</t>
        </is>
      </c>
      <c r="G71" s="68" t="n">
        <v>0</v>
      </c>
      <c r="H71" s="68" t="str"/>
      <c r="I71" s="68" t="n">
        <v>2</v>
      </c>
      <c r="J71" s="68" t="n">
        <v>3</v>
      </c>
      <c r="K71" s="68" t="str"/>
      <c r="L71" s="68" t="n">
        <v>0</v>
      </c>
      <c r="M71" s="68" t="n">
        <v>0</v>
      </c>
      <c r="N71" s="68" t="n">
        <v>17</v>
      </c>
      <c r="O71" s="68" t="inlineStr">
        <is>
          <t>D</t>
        </is>
      </c>
      <c r="P71" s="68" t="inlineStr">
        <is>
          <t>Absorption + inflammation stack</t>
        </is>
      </c>
      <c r="Q71" s="68" t="inlineStr">
        <is>
          <t>High overlap supports coherence; penalties rise with duplicate compounds or overlapping cautions.</t>
        </is>
      </c>
    </row>
    <row r="72">
      <c r="A72" t="inlineStr">
        <is>
          <t>Ashwagandha</t>
        </is>
      </c>
      <c r="B72" t="inlineStr">
        <is>
          <t>Blue Lotus</t>
        </is>
      </c>
      <c r="C72" t="inlineStr">
        <is>
          <t>ashwagandha</t>
        </is>
      </c>
      <c r="D72" t="inlineStr">
        <is>
          <t>blue-lotus</t>
        </is>
      </c>
      <c r="E72" s="68" t="inlineStr">
        <is>
          <t>Neurocognitive</t>
        </is>
      </c>
      <c r="F72" s="68" t="inlineStr">
        <is>
          <t>Calming/GABA; Inflammation</t>
        </is>
      </c>
      <c r="G72" s="68" t="n">
        <v>0</v>
      </c>
      <c r="H72" s="68" t="str"/>
      <c r="I72" s="68" t="n">
        <v>2</v>
      </c>
      <c r="J72" s="68" t="n">
        <v>3</v>
      </c>
      <c r="K72" s="68" t="inlineStr">
        <is>
          <t>Sedation stacking</t>
        </is>
      </c>
      <c r="L72" s="68" t="n">
        <v>0</v>
      </c>
      <c r="M72" s="68" t="n">
        <v>10</v>
      </c>
      <c r="N72" s="68" t="n">
        <v>17</v>
      </c>
      <c r="O72" s="68" t="inlineStr">
        <is>
          <t>D</t>
        </is>
      </c>
      <c r="P72" s="68" t="inlineStr">
        <is>
          <t>Calming neuro support</t>
        </is>
      </c>
      <c r="Q72" s="68" t="inlineStr">
        <is>
          <t>High overlap supports coherence; penalties rise with duplicate compounds or overlapping cautions.</t>
        </is>
      </c>
    </row>
    <row r="73">
      <c r="A73" t="inlineStr">
        <is>
          <t>Green Tea</t>
        </is>
      </c>
      <c r="B73" t="inlineStr">
        <is>
          <t>Agarikon</t>
        </is>
      </c>
      <c r="C73" t="inlineStr">
        <is>
          <t>camellia-sinensis</t>
        </is>
      </c>
      <c r="D73" t="inlineStr">
        <is>
          <t>agarikon</t>
        </is>
      </c>
      <c r="E73" s="68" t="str"/>
      <c r="F73" s="68" t="inlineStr">
        <is>
          <t>Metabolic/Bioavailability; Monoamine/Stimulant; Oxidative stress</t>
        </is>
      </c>
      <c r="G73" s="68" t="n">
        <v>0</v>
      </c>
      <c r="H73" s="68" t="str"/>
      <c r="I73" s="68" t="n">
        <v>3</v>
      </c>
      <c r="J73" s="68" t="n">
        <v>1</v>
      </c>
      <c r="K73" s="68" t="str"/>
      <c r="L73" s="68" t="n">
        <v>0</v>
      </c>
      <c r="M73" s="68" t="n">
        <v>0</v>
      </c>
      <c r="N73" s="68" t="n">
        <v>16</v>
      </c>
      <c r="O73" s="68" t="inlineStr">
        <is>
          <t>D</t>
        </is>
      </c>
      <c r="P73" s="68" t="inlineStr">
        <is>
          <t>General multi-pathway stack</t>
        </is>
      </c>
      <c r="Q73" s="68" t="inlineStr">
        <is>
          <t>High overlap supports coherence; penalties rise with duplicate compounds or overlapping cautions.</t>
        </is>
      </c>
    </row>
    <row r="74">
      <c r="A74" t="inlineStr">
        <is>
          <t>Epimedium</t>
        </is>
      </c>
      <c r="B74" t="inlineStr">
        <is>
          <t>Corydalis</t>
        </is>
      </c>
      <c r="C74" t="inlineStr">
        <is>
          <t>epimedium</t>
        </is>
      </c>
      <c r="D74" t="inlineStr">
        <is>
          <t>corydalis-yanhusuo</t>
        </is>
      </c>
      <c r="E74" s="68" t="str"/>
      <c r="F74" s="68" t="inlineStr">
        <is>
          <t>Analgesic/NMDA; Neurocognitive; Vascular/Perfusion</t>
        </is>
      </c>
      <c r="G74" s="68" t="n">
        <v>0</v>
      </c>
      <c r="H74" s="68" t="str"/>
      <c r="I74" s="68" t="n">
        <v>4</v>
      </c>
      <c r="J74" s="68" t="n">
        <v>1</v>
      </c>
      <c r="K74" s="68" t="str"/>
      <c r="L74" s="68" t="n">
        <v>0</v>
      </c>
      <c r="M74" s="68" t="n">
        <v>0</v>
      </c>
      <c r="N74" s="68" t="n">
        <v>16</v>
      </c>
      <c r="O74" s="68" t="inlineStr">
        <is>
          <t>D</t>
        </is>
      </c>
      <c r="P74" s="68" t="inlineStr">
        <is>
          <t>Circulation + cognition</t>
        </is>
      </c>
      <c r="Q74" s="68" t="inlineStr">
        <is>
          <t>High overlap supports coherence; penalties rise with duplicate compounds or overlapping cautions.</t>
        </is>
      </c>
    </row>
    <row r="75">
      <c r="A75" t="inlineStr">
        <is>
          <t>Chinese Skullcap</t>
        </is>
      </c>
      <c r="B75" t="inlineStr">
        <is>
          <t>Ajwain</t>
        </is>
      </c>
      <c r="C75" t="inlineStr">
        <is>
          <t>scutellaria-baicalensis</t>
        </is>
      </c>
      <c r="D75" t="inlineStr">
        <is>
          <t>ajwain</t>
        </is>
      </c>
      <c r="E75" s="68" t="str"/>
      <c r="F75" s="68" t="inlineStr">
        <is>
          <t>Inflammation; Metabolic/Bioavailability; Neurocognitive</t>
        </is>
      </c>
      <c r="G75" s="68" t="n">
        <v>0</v>
      </c>
      <c r="H75" s="68" t="str"/>
      <c r="I75" s="68" t="n">
        <v>2</v>
      </c>
      <c r="J75" s="68" t="n">
        <v>2</v>
      </c>
      <c r="K75" s="68" t="str"/>
      <c r="L75" s="68" t="n">
        <v>0</v>
      </c>
      <c r="M75" s="68" t="n">
        <v>0</v>
      </c>
      <c r="N75" s="68" t="n">
        <v>16</v>
      </c>
      <c r="O75" s="68" t="inlineStr">
        <is>
          <t>D</t>
        </is>
      </c>
      <c r="P75" s="68" t="inlineStr">
        <is>
          <t>Absorption + inflammation stack</t>
        </is>
      </c>
      <c r="Q75" s="68" t="inlineStr">
        <is>
          <t>High overlap supports coherence; penalties rise with duplicate compounds or overlapping cautions.</t>
        </is>
      </c>
    </row>
    <row r="76">
      <c r="A76" t="inlineStr">
        <is>
          <t>Turmeric</t>
        </is>
      </c>
      <c r="B76" t="inlineStr">
        <is>
          <t>Black Pepper</t>
        </is>
      </c>
      <c r="C76" t="inlineStr">
        <is>
          <t>turmeric</t>
        </is>
      </c>
      <c r="D76" t="inlineStr">
        <is>
          <t>black-pepper</t>
        </is>
      </c>
      <c r="E76" s="68" t="str"/>
      <c r="F76" s="68" t="inlineStr">
        <is>
          <t>Inflammation; Metabolic/Bioavailability; Oxidative stress</t>
        </is>
      </c>
      <c r="G76" s="68" t="n">
        <v>0</v>
      </c>
      <c r="H76" s="68" t="str"/>
      <c r="I76" s="68" t="n">
        <v>4</v>
      </c>
      <c r="J76" s="68" t="n">
        <v>3</v>
      </c>
      <c r="K76" s="68" t="str"/>
      <c r="L76" s="68" t="n">
        <v>0</v>
      </c>
      <c r="M76" s="68" t="n">
        <v>0</v>
      </c>
      <c r="N76" s="68" t="n">
        <v>15</v>
      </c>
      <c r="O76" s="68" t="inlineStr">
        <is>
          <t>D</t>
        </is>
      </c>
      <c r="P76" s="68" t="inlineStr">
        <is>
          <t>Inflammation + oxidative support</t>
        </is>
      </c>
      <c r="Q76" s="68" t="inlineStr">
        <is>
          <t>High overlap supports coherence; penalties rise with duplicate compounds or overlapping cautions.</t>
        </is>
      </c>
    </row>
    <row r="77">
      <c r="A77" t="inlineStr">
        <is>
          <t>Turmeric</t>
        </is>
      </c>
      <c r="B77" t="inlineStr">
        <is>
          <t>Ajwain</t>
        </is>
      </c>
      <c r="C77" t="inlineStr">
        <is>
          <t>turmeric</t>
        </is>
      </c>
      <c r="D77" t="inlineStr">
        <is>
          <t>ajwain</t>
        </is>
      </c>
      <c r="E77" s="68" t="str"/>
      <c r="F77" s="68" t="inlineStr">
        <is>
          <t>Inflammation; Metabolic/Bioavailability; Oxidative stress</t>
        </is>
      </c>
      <c r="G77" s="68" t="n">
        <v>0</v>
      </c>
      <c r="H77" s="68" t="str"/>
      <c r="I77" s="68" t="n">
        <v>4</v>
      </c>
      <c r="J77" s="68" t="n">
        <v>2</v>
      </c>
      <c r="K77" s="68" t="str"/>
      <c r="L77" s="68" t="n">
        <v>0</v>
      </c>
      <c r="M77" s="68" t="n">
        <v>0</v>
      </c>
      <c r="N77" s="68" t="n">
        <v>15</v>
      </c>
      <c r="O77" s="68" t="inlineStr">
        <is>
          <t>D</t>
        </is>
      </c>
      <c r="P77" s="68" t="inlineStr">
        <is>
          <t>Inflammation + oxidative support</t>
        </is>
      </c>
      <c r="Q77" s="68" t="inlineStr">
        <is>
          <t>High overlap supports coherence; penalties rise with duplicate compounds or overlapping cautions.</t>
        </is>
      </c>
    </row>
    <row r="78">
      <c r="A78" t="inlineStr">
        <is>
          <t>Panax Ginseng</t>
        </is>
      </c>
      <c r="B78" t="inlineStr">
        <is>
          <t>Agarikon</t>
        </is>
      </c>
      <c r="C78" t="inlineStr">
        <is>
          <t>panax-ginseng</t>
        </is>
      </c>
      <c r="D78" t="inlineStr">
        <is>
          <t>agarikon</t>
        </is>
      </c>
      <c r="E78" s="68" t="str"/>
      <c r="F78" s="68" t="inlineStr">
        <is>
          <t>Metabolic/Bioavailability; Neurocognitive</t>
        </is>
      </c>
      <c r="G78" s="68" t="n">
        <v>0</v>
      </c>
      <c r="H78" s="68" t="str"/>
      <c r="I78" s="68" t="n">
        <v>6</v>
      </c>
      <c r="J78" s="68" t="n">
        <v>1</v>
      </c>
      <c r="K78" s="68" t="str"/>
      <c r="L78" s="68" t="n">
        <v>0</v>
      </c>
      <c r="M78" s="68" t="n">
        <v>0</v>
      </c>
      <c r="N78" s="68" t="n">
        <v>15</v>
      </c>
      <c r="O78" s="68" t="inlineStr">
        <is>
          <t>D</t>
        </is>
      </c>
      <c r="P78" s="68" t="inlineStr">
        <is>
          <t>General multi-pathway stack</t>
        </is>
      </c>
      <c r="Q78" s="68" t="inlineStr">
        <is>
          <t>High overlap supports coherence; penalties rise with duplicate compounds or overlapping cautions.</t>
        </is>
      </c>
    </row>
    <row r="79">
      <c r="A79" t="inlineStr">
        <is>
          <t>Chinese Skullcap</t>
        </is>
      </c>
      <c r="B79" t="inlineStr">
        <is>
          <t>Arjuna</t>
        </is>
      </c>
      <c r="C79" t="inlineStr">
        <is>
          <t>scutellaria-baicalensis</t>
        </is>
      </c>
      <c r="D79" t="inlineStr">
        <is>
          <t>arjuna</t>
        </is>
      </c>
      <c r="E79" s="68" t="str"/>
      <c r="F79" s="68" t="inlineStr">
        <is>
          <t>Inflammation; Neurocognitive; Vascular/Perfusion</t>
        </is>
      </c>
      <c r="G79" s="68" t="n">
        <v>0</v>
      </c>
      <c r="H79" s="68" t="str"/>
      <c r="I79" s="68" t="n">
        <v>2</v>
      </c>
      <c r="J79" s="68" t="n">
        <v>2</v>
      </c>
      <c r="K79" s="68" t="str"/>
      <c r="L79" s="68" t="n">
        <v>0</v>
      </c>
      <c r="M79" s="68" t="n">
        <v>0</v>
      </c>
      <c r="N79" s="68" t="n">
        <v>15</v>
      </c>
      <c r="O79" s="68" t="inlineStr">
        <is>
          <t>D</t>
        </is>
      </c>
      <c r="P79" s="68" t="inlineStr">
        <is>
          <t>Circulation + cognition</t>
        </is>
      </c>
      <c r="Q79" s="68" t="inlineStr">
        <is>
          <t>High overlap supports coherence; penalties rise with duplicate compounds or overlapping cautions.</t>
        </is>
      </c>
    </row>
    <row r="80">
      <c r="A80" t="inlineStr">
        <is>
          <t>Blue Lotus</t>
        </is>
      </c>
      <c r="B80" t="inlineStr">
        <is>
          <t>Black Pepper</t>
        </is>
      </c>
      <c r="C80" t="inlineStr">
        <is>
          <t>blue-lotus</t>
        </is>
      </c>
      <c r="D80" t="inlineStr">
        <is>
          <t>black-pepper</t>
        </is>
      </c>
      <c r="E80" s="68" t="str"/>
      <c r="F80" s="68" t="inlineStr">
        <is>
          <t>Calming/GABA; Metabolic/Bioavailability; Neurocognitive</t>
        </is>
      </c>
      <c r="G80" s="68" t="n">
        <v>0</v>
      </c>
      <c r="H80" s="68" t="str"/>
      <c r="I80" s="68" t="n">
        <v>3</v>
      </c>
      <c r="J80" s="68" t="n">
        <v>3</v>
      </c>
      <c r="K80" s="68" t="str"/>
      <c r="L80" s="68" t="n">
        <v>0</v>
      </c>
      <c r="M80" s="68" t="n">
        <v>0</v>
      </c>
      <c r="N80" s="68" t="n">
        <v>15</v>
      </c>
      <c r="O80" s="68" t="inlineStr">
        <is>
          <t>D</t>
        </is>
      </c>
      <c r="P80" s="68" t="inlineStr">
        <is>
          <t>Calming neuro support</t>
        </is>
      </c>
      <c r="Q80" s="68" t="inlineStr">
        <is>
          <t>High overlap supports coherence; penalties rise with duplicate compounds or overlapping cautions.</t>
        </is>
      </c>
    </row>
    <row r="81">
      <c r="A81" t="inlineStr">
        <is>
          <t>Black Cohosh</t>
        </is>
      </c>
      <c r="B81" t="inlineStr">
        <is>
          <t>Agarikon</t>
        </is>
      </c>
      <c r="C81" t="inlineStr">
        <is>
          <t>black-cohosh</t>
        </is>
      </c>
      <c r="D81" t="inlineStr">
        <is>
          <t>agarikon</t>
        </is>
      </c>
      <c r="E81" s="68" t="str"/>
      <c r="F81" s="68" t="inlineStr">
        <is>
          <t>Inflammation; Monoamine/Stimulant; Oxidative stress; Vascular/Perfusion</t>
        </is>
      </c>
      <c r="G81" s="68" t="n">
        <v>0</v>
      </c>
      <c r="H81" s="68" t="str"/>
      <c r="I81" s="68" t="n">
        <v>3</v>
      </c>
      <c r="J81" s="68" t="n">
        <v>1</v>
      </c>
      <c r="K81" s="68" t="str"/>
      <c r="L81" s="68" t="n">
        <v>0</v>
      </c>
      <c r="M81" s="68" t="n">
        <v>0</v>
      </c>
      <c r="N81" s="68" t="n">
        <v>15</v>
      </c>
      <c r="O81" s="68" t="inlineStr">
        <is>
          <t>D</t>
        </is>
      </c>
      <c r="P81" s="68" t="inlineStr">
        <is>
          <t>Inflammation + oxidative support</t>
        </is>
      </c>
      <c r="Q81" s="68" t="inlineStr">
        <is>
          <t>High overlap supports coherence; penalties rise with duplicate compounds or overlapping cautions.</t>
        </is>
      </c>
    </row>
    <row r="82">
      <c r="A82" t="inlineStr">
        <is>
          <t>Ashwagandha</t>
        </is>
      </c>
      <c r="B82" t="inlineStr">
        <is>
          <t>Black Pepper</t>
        </is>
      </c>
      <c r="C82" t="inlineStr">
        <is>
          <t>ashwagandha</t>
        </is>
      </c>
      <c r="D82" t="inlineStr">
        <is>
          <t>black-pepper</t>
        </is>
      </c>
      <c r="E82" s="68" t="str"/>
      <c r="F82" s="68" t="inlineStr">
        <is>
          <t>Inflammation; Metabolic/Bioavailability; Neurocognitive</t>
        </is>
      </c>
      <c r="G82" s="68" t="n">
        <v>0</v>
      </c>
      <c r="H82" s="68" t="str"/>
      <c r="I82" s="68" t="n">
        <v>2</v>
      </c>
      <c r="J82" s="68" t="n">
        <v>3</v>
      </c>
      <c r="K82" s="68" t="str"/>
      <c r="L82" s="68" t="n">
        <v>0</v>
      </c>
      <c r="M82" s="68" t="n">
        <v>0</v>
      </c>
      <c r="N82" s="68" t="n">
        <v>15</v>
      </c>
      <c r="O82" s="68" t="inlineStr">
        <is>
          <t>D</t>
        </is>
      </c>
      <c r="P82" s="68" t="inlineStr">
        <is>
          <t>Absorption + inflammation stack</t>
        </is>
      </c>
      <c r="Q82" s="68" t="inlineStr">
        <is>
          <t>High overlap supports coherence; penalties rise with duplicate compounds or overlapping cautions.</t>
        </is>
      </c>
    </row>
    <row r="83">
      <c r="A83" t="inlineStr">
        <is>
          <t>Turmeric</t>
        </is>
      </c>
      <c r="B83" t="inlineStr">
        <is>
          <t>Arjuna</t>
        </is>
      </c>
      <c r="C83" t="inlineStr">
        <is>
          <t>turmeric</t>
        </is>
      </c>
      <c r="D83" t="inlineStr">
        <is>
          <t>arjuna</t>
        </is>
      </c>
      <c r="E83" s="68" t="str"/>
      <c r="F83" s="68" t="inlineStr">
        <is>
          <t>Inflammation; Oxidative stress; Vascular/Perfusion</t>
        </is>
      </c>
      <c r="G83" s="68" t="n">
        <v>0</v>
      </c>
      <c r="H83" s="68" t="str"/>
      <c r="I83" s="68" t="n">
        <v>4</v>
      </c>
      <c r="J83" s="68" t="n">
        <v>2</v>
      </c>
      <c r="K83" s="68" t="str"/>
      <c r="L83" s="68" t="n">
        <v>0</v>
      </c>
      <c r="M83" s="68" t="n">
        <v>0</v>
      </c>
      <c r="N83" s="68" t="n">
        <v>14</v>
      </c>
      <c r="O83" s="68" t="inlineStr">
        <is>
          <t>D</t>
        </is>
      </c>
      <c r="P83" s="68" t="inlineStr">
        <is>
          <t>Inflammation + oxidative support</t>
        </is>
      </c>
      <c r="Q83" s="68" t="inlineStr">
        <is>
          <t>High overlap supports coherence; penalties rise with duplicate compounds or overlapping cautions.</t>
        </is>
      </c>
    </row>
    <row r="84">
      <c r="A84" t="inlineStr">
        <is>
          <t>Epimedium</t>
        </is>
      </c>
      <c r="B84" t="inlineStr">
        <is>
          <t>Black Pepper</t>
        </is>
      </c>
      <c r="C84" t="inlineStr">
        <is>
          <t>epimedium</t>
        </is>
      </c>
      <c r="D84" t="inlineStr">
        <is>
          <t>black-pepper</t>
        </is>
      </c>
      <c r="E84" s="68" t="str"/>
      <c r="F84" s="68" t="inlineStr">
        <is>
          <t>Metabolic/Bioavailability; Vascular/Perfusion</t>
        </is>
      </c>
      <c r="G84" s="68" t="n">
        <v>0</v>
      </c>
      <c r="H84" s="68" t="str"/>
      <c r="I84" s="68" t="n">
        <v>4</v>
      </c>
      <c r="J84" s="68" t="n">
        <v>3</v>
      </c>
      <c r="K84" s="68" t="str"/>
      <c r="L84" s="68" t="n">
        <v>0</v>
      </c>
      <c r="M84" s="68" t="n">
        <v>0</v>
      </c>
      <c r="N84" s="68" t="n">
        <v>14</v>
      </c>
      <c r="O84" s="68" t="inlineStr">
        <is>
          <t>D</t>
        </is>
      </c>
      <c r="P84" s="68" t="inlineStr">
        <is>
          <t>General multi-pathway stack</t>
        </is>
      </c>
      <c r="Q84" s="68" t="inlineStr">
        <is>
          <t>High overlap supports coherence; penalties rise with duplicate compounds or overlapping cautions.</t>
        </is>
      </c>
    </row>
    <row r="85">
      <c r="A85" t="inlineStr">
        <is>
          <t>Chamomile</t>
        </is>
      </c>
      <c r="B85" t="inlineStr">
        <is>
          <t>Agarikon</t>
        </is>
      </c>
      <c r="C85" t="inlineStr">
        <is>
          <t>chamomile</t>
        </is>
      </c>
      <c r="D85" t="inlineStr">
        <is>
          <t>agarikon</t>
        </is>
      </c>
      <c r="E85" s="68" t="str"/>
      <c r="F85" s="68" t="inlineStr">
        <is>
          <t>Calming/GABA; Inflammation; Metabolic/Bioavailability</t>
        </is>
      </c>
      <c r="G85" s="68" t="n">
        <v>0</v>
      </c>
      <c r="H85" s="68" t="str"/>
      <c r="I85" s="68" t="n">
        <v>3</v>
      </c>
      <c r="J85" s="68" t="n">
        <v>1</v>
      </c>
      <c r="K85" s="68" t="str"/>
      <c r="L85" s="68" t="n">
        <v>0</v>
      </c>
      <c r="M85" s="68" t="n">
        <v>0</v>
      </c>
      <c r="N85" s="68" t="n">
        <v>14</v>
      </c>
      <c r="O85" s="68" t="inlineStr">
        <is>
          <t>D</t>
        </is>
      </c>
      <c r="P85" s="68" t="inlineStr">
        <is>
          <t>Absorption + inflammation stack</t>
        </is>
      </c>
      <c r="Q85" s="68" t="inlineStr">
        <is>
          <t>High overlap supports coherence; penalties rise with duplicate compounds or overlapping cautions.</t>
        </is>
      </c>
    </row>
    <row r="86">
      <c r="A86" t="inlineStr">
        <is>
          <t>Blue Lotus</t>
        </is>
      </c>
      <c r="B86" t="inlineStr">
        <is>
          <t>Arjuna</t>
        </is>
      </c>
      <c r="C86" t="inlineStr">
        <is>
          <t>blue-lotus</t>
        </is>
      </c>
      <c r="D86" t="inlineStr">
        <is>
          <t>arjuna</t>
        </is>
      </c>
      <c r="E86" s="68" t="str"/>
      <c r="F86" s="68" t="inlineStr">
        <is>
          <t>Calming/GABA; Neurocognitive; Vascular/Perfusion</t>
        </is>
      </c>
      <c r="G86" s="68" t="n">
        <v>0</v>
      </c>
      <c r="H86" s="68" t="str"/>
      <c r="I86" s="68" t="n">
        <v>3</v>
      </c>
      <c r="J86" s="68" t="n">
        <v>2</v>
      </c>
      <c r="K86" s="68" t="str"/>
      <c r="L86" s="68" t="n">
        <v>0</v>
      </c>
      <c r="M86" s="68" t="n">
        <v>0</v>
      </c>
      <c r="N86" s="68" t="n">
        <v>14</v>
      </c>
      <c r="O86" s="68" t="inlineStr">
        <is>
          <t>D</t>
        </is>
      </c>
      <c r="P86" s="68" t="inlineStr">
        <is>
          <t>Calming neuro support</t>
        </is>
      </c>
      <c r="Q86" s="68" t="inlineStr">
        <is>
          <t>High overlap supports coherence; penalties rise with duplicate compounds or overlapping cautions.</t>
        </is>
      </c>
    </row>
    <row r="87">
      <c r="A87" t="inlineStr">
        <is>
          <t>Blue Lotus</t>
        </is>
      </c>
      <c r="B87" t="inlineStr">
        <is>
          <t>Ajwain</t>
        </is>
      </c>
      <c r="C87" t="inlineStr">
        <is>
          <t>blue-lotus</t>
        </is>
      </c>
      <c r="D87" t="inlineStr">
        <is>
          <t>ajwain</t>
        </is>
      </c>
      <c r="E87" s="68" t="str"/>
      <c r="F87" s="68" t="inlineStr">
        <is>
          <t>Calming/GABA; Metabolic/Bioavailability; Neurocognitive</t>
        </is>
      </c>
      <c r="G87" s="68" t="n">
        <v>0</v>
      </c>
      <c r="H87" s="68" t="str"/>
      <c r="I87" s="68" t="n">
        <v>3</v>
      </c>
      <c r="J87" s="68" t="n">
        <v>2</v>
      </c>
      <c r="K87" s="68" t="str"/>
      <c r="L87" s="68" t="n">
        <v>0</v>
      </c>
      <c r="M87" s="68" t="n">
        <v>0</v>
      </c>
      <c r="N87" s="68" t="n">
        <v>14</v>
      </c>
      <c r="O87" s="68" t="inlineStr">
        <is>
          <t>D</t>
        </is>
      </c>
      <c r="P87" s="68" t="inlineStr">
        <is>
          <t>Calming neuro support</t>
        </is>
      </c>
      <c r="Q87" s="68" t="inlineStr">
        <is>
          <t>High overlap supports coherence; penalties rise with duplicate compounds or overlapping cautions.</t>
        </is>
      </c>
    </row>
    <row r="88">
      <c r="A88" t="inlineStr">
        <is>
          <t>Black Pepper</t>
        </is>
      </c>
      <c r="B88" t="inlineStr">
        <is>
          <t>Corydalis</t>
        </is>
      </c>
      <c r="C88" t="inlineStr">
        <is>
          <t>black-pepper</t>
        </is>
      </c>
      <c r="D88" t="inlineStr">
        <is>
          <t>corydalis-yanhusuo</t>
        </is>
      </c>
      <c r="E88" s="68" t="str"/>
      <c r="F88" s="68" t="inlineStr">
        <is>
          <t>Analgesic/NMDA; Metabolic/Bioavailability; Neurocognitive</t>
        </is>
      </c>
      <c r="G88" s="68" t="n">
        <v>0</v>
      </c>
      <c r="H88" s="68" t="str"/>
      <c r="I88" s="68" t="n">
        <v>3</v>
      </c>
      <c r="J88" s="68" t="n">
        <v>1</v>
      </c>
      <c r="K88" s="68" t="str"/>
      <c r="L88" s="68" t="n">
        <v>0</v>
      </c>
      <c r="M88" s="68" t="n">
        <v>0</v>
      </c>
      <c r="N88" s="68" t="n">
        <v>14</v>
      </c>
      <c r="O88" s="68" t="inlineStr">
        <is>
          <t>D</t>
        </is>
      </c>
      <c r="P88" s="68" t="inlineStr">
        <is>
          <t>General multi-pathway stack</t>
        </is>
      </c>
      <c r="Q88" s="68" t="inlineStr">
        <is>
          <t>High overlap supports coherence; penalties rise with duplicate compounds or overlapping cautions.</t>
        </is>
      </c>
    </row>
    <row r="89">
      <c r="A89" t="inlineStr">
        <is>
          <t>Ashwagandha</t>
        </is>
      </c>
      <c r="B89" t="inlineStr">
        <is>
          <t>Arjuna</t>
        </is>
      </c>
      <c r="C89" t="inlineStr">
        <is>
          <t>ashwagandha</t>
        </is>
      </c>
      <c r="D89" t="inlineStr">
        <is>
          <t>arjuna</t>
        </is>
      </c>
      <c r="E89" s="68" t="str"/>
      <c r="F89" s="68" t="inlineStr">
        <is>
          <t>Inflammation; Neurocognitive; Vascular/Perfusion</t>
        </is>
      </c>
      <c r="G89" s="68" t="n">
        <v>0</v>
      </c>
      <c r="H89" s="68" t="str"/>
      <c r="I89" s="68" t="n">
        <v>2</v>
      </c>
      <c r="J89" s="68" t="n">
        <v>2</v>
      </c>
      <c r="K89" s="68" t="str"/>
      <c r="L89" s="68" t="n">
        <v>0</v>
      </c>
      <c r="M89" s="68" t="n">
        <v>0</v>
      </c>
      <c r="N89" s="68" t="n">
        <v>14</v>
      </c>
      <c r="O89" s="68" t="inlineStr">
        <is>
          <t>D</t>
        </is>
      </c>
      <c r="P89" s="68" t="inlineStr">
        <is>
          <t>Circulation + cognition</t>
        </is>
      </c>
      <c r="Q89" s="68" t="inlineStr">
        <is>
          <t>High overlap supports coherence; penalties rise with duplicate compounds or overlapping cautions.</t>
        </is>
      </c>
    </row>
    <row r="90">
      <c r="A90" t="inlineStr">
        <is>
          <t>Ashwagandha</t>
        </is>
      </c>
      <c r="B90" t="inlineStr">
        <is>
          <t>Ajwain</t>
        </is>
      </c>
      <c r="C90" t="inlineStr">
        <is>
          <t>ashwagandha</t>
        </is>
      </c>
      <c r="D90" t="inlineStr">
        <is>
          <t>ajwain</t>
        </is>
      </c>
      <c r="E90" s="68" t="str"/>
      <c r="F90" s="68" t="inlineStr">
        <is>
          <t>Inflammation; Metabolic/Bioavailability; Neurocognitive</t>
        </is>
      </c>
      <c r="G90" s="68" t="n">
        <v>0</v>
      </c>
      <c r="H90" s="68" t="str"/>
      <c r="I90" s="68" t="n">
        <v>2</v>
      </c>
      <c r="J90" s="68" t="n">
        <v>2</v>
      </c>
      <c r="K90" s="68" t="str"/>
      <c r="L90" s="68" t="n">
        <v>0</v>
      </c>
      <c r="M90" s="68" t="n">
        <v>0</v>
      </c>
      <c r="N90" s="68" t="n">
        <v>14</v>
      </c>
      <c r="O90" s="68" t="inlineStr">
        <is>
          <t>D</t>
        </is>
      </c>
      <c r="P90" s="68" t="inlineStr">
        <is>
          <t>Absorption + inflammation stack</t>
        </is>
      </c>
      <c r="Q90" s="68" t="inlineStr">
        <is>
          <t>High overlap supports coherence; penalties rise with duplicate compounds or overlapping cautions.</t>
        </is>
      </c>
    </row>
    <row r="91">
      <c r="A91" t="inlineStr">
        <is>
          <t>Epimedium</t>
        </is>
      </c>
      <c r="B91" t="inlineStr">
        <is>
          <t>Ajwain</t>
        </is>
      </c>
      <c r="C91" t="inlineStr">
        <is>
          <t>epimedium</t>
        </is>
      </c>
      <c r="D91" t="inlineStr">
        <is>
          <t>ajwain</t>
        </is>
      </c>
      <c r="E91" s="68" t="str"/>
      <c r="F91" s="68" t="inlineStr">
        <is>
          <t>Metabolic/Bioavailability; Vascular/Perfusion</t>
        </is>
      </c>
      <c r="G91" s="68" t="n">
        <v>0</v>
      </c>
      <c r="H91" s="68" t="str"/>
      <c r="I91" s="68" t="n">
        <v>4</v>
      </c>
      <c r="J91" s="68" t="n">
        <v>2</v>
      </c>
      <c r="K91" s="68" t="str"/>
      <c r="L91" s="68" t="n">
        <v>0</v>
      </c>
      <c r="M91" s="68" t="n">
        <v>0</v>
      </c>
      <c r="N91" s="68" t="n">
        <v>13</v>
      </c>
      <c r="O91" s="68" t="inlineStr">
        <is>
          <t>D</t>
        </is>
      </c>
      <c r="P91" s="68" t="inlineStr">
        <is>
          <t>General multi-pathway stack</t>
        </is>
      </c>
      <c r="Q91" s="68" t="inlineStr">
        <is>
          <t>High overlap supports coherence; penalties rise with duplicate compounds or overlapping cautions.</t>
        </is>
      </c>
    </row>
    <row r="92">
      <c r="A92" t="inlineStr">
        <is>
          <t>Corydalis</t>
        </is>
      </c>
      <c r="B92" t="inlineStr">
        <is>
          <t>Ajwain</t>
        </is>
      </c>
      <c r="C92" t="inlineStr">
        <is>
          <t>corydalis-yanhusuo</t>
        </is>
      </c>
      <c r="D92" t="inlineStr">
        <is>
          <t>ajwain</t>
        </is>
      </c>
      <c r="E92" s="68" t="str"/>
      <c r="F92" s="68" t="inlineStr">
        <is>
          <t>Analgesic/NMDA; Metabolic/Bioavailability; Neurocognitive</t>
        </is>
      </c>
      <c r="G92" s="68" t="n">
        <v>0</v>
      </c>
      <c r="H92" s="68" t="str"/>
      <c r="I92" s="68" t="n">
        <v>1</v>
      </c>
      <c r="J92" s="68" t="n">
        <v>2</v>
      </c>
      <c r="K92" s="68" t="str"/>
      <c r="L92" s="68" t="n">
        <v>0</v>
      </c>
      <c r="M92" s="68" t="n">
        <v>0</v>
      </c>
      <c r="N92" s="68" t="n">
        <v>13</v>
      </c>
      <c r="O92" s="68" t="inlineStr">
        <is>
          <t>D</t>
        </is>
      </c>
      <c r="P92" s="68" t="inlineStr">
        <is>
          <t>General multi-pathway stack</t>
        </is>
      </c>
      <c r="Q92" s="68" t="inlineStr">
        <is>
          <t>High overlap supports coherence; penalties rise with duplicate compounds or overlapping cautions.</t>
        </is>
      </c>
    </row>
    <row r="93">
      <c r="A93" t="inlineStr">
        <is>
          <t>Corydalis</t>
        </is>
      </c>
      <c r="B93" t="inlineStr">
        <is>
          <t>Arjuna</t>
        </is>
      </c>
      <c r="C93" t="inlineStr">
        <is>
          <t>corydalis-yanhusuo</t>
        </is>
      </c>
      <c r="D93" t="inlineStr">
        <is>
          <t>arjuna</t>
        </is>
      </c>
      <c r="E93" s="68" t="str"/>
      <c r="F93" s="68" t="inlineStr">
        <is>
          <t>Analgesic/NMDA; Neurocognitive; Vascular/Perfusion</t>
        </is>
      </c>
      <c r="G93" s="68" t="n">
        <v>0</v>
      </c>
      <c r="H93" s="68" t="str"/>
      <c r="I93" s="68" t="n">
        <v>1</v>
      </c>
      <c r="J93" s="68" t="n">
        <v>2</v>
      </c>
      <c r="K93" s="68" t="str"/>
      <c r="L93" s="68" t="n">
        <v>0</v>
      </c>
      <c r="M93" s="68" t="n">
        <v>0</v>
      </c>
      <c r="N93" s="68" t="n">
        <v>12</v>
      </c>
      <c r="O93" s="68" t="inlineStr">
        <is>
          <t>D</t>
        </is>
      </c>
      <c r="P93" s="68" t="inlineStr">
        <is>
          <t>Circulation + cognition</t>
        </is>
      </c>
      <c r="Q93" s="68" t="inlineStr">
        <is>
          <t>High overlap supports coherence; penalties rise with duplicate compounds or overlapping cautions.</t>
        </is>
      </c>
    </row>
    <row r="94">
      <c r="A94" t="inlineStr">
        <is>
          <t>Panax Ginseng</t>
        </is>
      </c>
      <c r="B94" t="inlineStr">
        <is>
          <t>Epimedium</t>
        </is>
      </c>
      <c r="C94" t="inlineStr">
        <is>
          <t>panax-ginseng</t>
        </is>
      </c>
      <c r="D94" t="inlineStr">
        <is>
          <t>epimedium</t>
        </is>
      </c>
      <c r="E94" s="68" t="str"/>
      <c r="F94" s="68" t="inlineStr">
        <is>
          <t>Metabolic/Bioavailability; Neurocognitive; Vascular/Perfusion</t>
        </is>
      </c>
      <c r="G94" s="68" t="n">
        <v>0</v>
      </c>
      <c r="H94" s="68" t="str"/>
      <c r="I94" s="68" t="n">
        <v>6</v>
      </c>
      <c r="J94" s="68" t="n">
        <v>4</v>
      </c>
      <c r="K94" s="68" t="inlineStr">
        <is>
          <t>Stimulation stacking</t>
        </is>
      </c>
      <c r="L94" s="68" t="n">
        <v>0</v>
      </c>
      <c r="M94" s="68" t="n">
        <v>10</v>
      </c>
      <c r="N94" s="68" t="n">
        <v>12</v>
      </c>
      <c r="O94" s="68" t="inlineStr">
        <is>
          <t>D</t>
        </is>
      </c>
      <c r="P94" s="68" t="inlineStr">
        <is>
          <t>Circulation + cognition</t>
        </is>
      </c>
      <c r="Q94" s="68" t="inlineStr">
        <is>
          <t>High overlap supports coherence; penalties rise with duplicate compounds or overlapping cautions.</t>
        </is>
      </c>
    </row>
    <row r="95">
      <c r="A95" t="inlineStr">
        <is>
          <t>Chinese Skullcap</t>
        </is>
      </c>
      <c r="B95" t="inlineStr">
        <is>
          <t>Agarikon</t>
        </is>
      </c>
      <c r="C95" t="inlineStr">
        <is>
          <t>scutellaria-baicalensis</t>
        </is>
      </c>
      <c r="D95" t="inlineStr">
        <is>
          <t>agarikon</t>
        </is>
      </c>
      <c r="E95" s="68" t="str"/>
      <c r="F95" s="68" t="inlineStr">
        <is>
          <t>Inflammation; Neurocognitive</t>
        </is>
      </c>
      <c r="G95" s="68" t="n">
        <v>0</v>
      </c>
      <c r="H95" s="68" t="str"/>
      <c r="I95" s="68" t="n">
        <v>2</v>
      </c>
      <c r="J95" s="68" t="n">
        <v>1</v>
      </c>
      <c r="K95" s="68" t="str"/>
      <c r="L95" s="68" t="n">
        <v>0</v>
      </c>
      <c r="M95" s="68" t="n">
        <v>0</v>
      </c>
      <c r="N95" s="68" t="n">
        <v>11</v>
      </c>
      <c r="O95" s="68" t="inlineStr">
        <is>
          <t>D</t>
        </is>
      </c>
      <c r="P95" s="68" t="inlineStr">
        <is>
          <t>General multi-pathway stack</t>
        </is>
      </c>
      <c r="Q95" s="68" t="inlineStr">
        <is>
          <t>High overlap supports coherence; penalties rise with duplicate compounds or overlapping cautions.</t>
        </is>
      </c>
    </row>
    <row r="96">
      <c r="A96" t="inlineStr">
        <is>
          <t>Turmeric</t>
        </is>
      </c>
      <c r="B96" t="inlineStr">
        <is>
          <t>Agarikon</t>
        </is>
      </c>
      <c r="C96" t="inlineStr">
        <is>
          <t>turmeric</t>
        </is>
      </c>
      <c r="D96" t="inlineStr">
        <is>
          <t>agarikon</t>
        </is>
      </c>
      <c r="E96" s="68" t="str"/>
      <c r="F96" s="68" t="inlineStr">
        <is>
          <t>Inflammation; Oxidative stress</t>
        </is>
      </c>
      <c r="G96" s="68" t="n">
        <v>0</v>
      </c>
      <c r="H96" s="68" t="str"/>
      <c r="I96" s="68" t="n">
        <v>4</v>
      </c>
      <c r="J96" s="68" t="n">
        <v>1</v>
      </c>
      <c r="K96" s="68" t="str"/>
      <c r="L96" s="68" t="n">
        <v>0</v>
      </c>
      <c r="M96" s="68" t="n">
        <v>0</v>
      </c>
      <c r="N96" s="68" t="n">
        <v>10</v>
      </c>
      <c r="O96" s="68" t="inlineStr">
        <is>
          <t>D</t>
        </is>
      </c>
      <c r="P96" s="68" t="inlineStr">
        <is>
          <t>Inflammation + oxidative support</t>
        </is>
      </c>
      <c r="Q96" s="68" t="inlineStr">
        <is>
          <t>High overlap supports coherence; penalties rise with duplicate compounds or overlapping cautions.</t>
        </is>
      </c>
    </row>
    <row r="97">
      <c r="A97" t="inlineStr">
        <is>
          <t>Blue Lotus</t>
        </is>
      </c>
      <c r="B97" t="inlineStr">
        <is>
          <t>Agarikon</t>
        </is>
      </c>
      <c r="C97" t="inlineStr">
        <is>
          <t>blue-lotus</t>
        </is>
      </c>
      <c r="D97" t="inlineStr">
        <is>
          <t>agarikon</t>
        </is>
      </c>
      <c r="E97" s="68" t="str"/>
      <c r="F97" s="68" t="inlineStr">
        <is>
          <t>Calming/GABA; Neurocognitive</t>
        </is>
      </c>
      <c r="G97" s="68" t="n">
        <v>0</v>
      </c>
      <c r="H97" s="68" t="str"/>
      <c r="I97" s="68" t="n">
        <v>3</v>
      </c>
      <c r="J97" s="68" t="n">
        <v>1</v>
      </c>
      <c r="K97" s="68" t="str"/>
      <c r="L97" s="68" t="n">
        <v>0</v>
      </c>
      <c r="M97" s="68" t="n">
        <v>0</v>
      </c>
      <c r="N97" s="68" t="n">
        <v>10</v>
      </c>
      <c r="O97" s="68" t="inlineStr">
        <is>
          <t>D</t>
        </is>
      </c>
      <c r="P97" s="68" t="inlineStr">
        <is>
          <t>Calming neuro support</t>
        </is>
      </c>
      <c r="Q97" s="68" t="inlineStr">
        <is>
          <t>High overlap supports coherence; penalties rise with duplicate compounds or overlapping cautions.</t>
        </is>
      </c>
    </row>
    <row r="98">
      <c r="A98" t="inlineStr">
        <is>
          <t>Black Pepper</t>
        </is>
      </c>
      <c r="B98" t="inlineStr">
        <is>
          <t>Arjuna</t>
        </is>
      </c>
      <c r="C98" t="inlineStr">
        <is>
          <t>black-pepper</t>
        </is>
      </c>
      <c r="D98" t="inlineStr">
        <is>
          <t>arjuna</t>
        </is>
      </c>
      <c r="E98" s="68" t="str"/>
      <c r="F98" s="68" t="inlineStr">
        <is>
          <t>Metabolic/Bioavailability; Vascular/Perfusion</t>
        </is>
      </c>
      <c r="G98" s="68" t="n">
        <v>0</v>
      </c>
      <c r="H98" s="68" t="str"/>
      <c r="I98" s="68" t="n">
        <v>3</v>
      </c>
      <c r="J98" s="68" t="n">
        <v>2</v>
      </c>
      <c r="K98" s="68" t="str"/>
      <c r="L98" s="68" t="n">
        <v>0</v>
      </c>
      <c r="M98" s="68" t="n">
        <v>0</v>
      </c>
      <c r="N98" s="68" t="n">
        <v>10</v>
      </c>
      <c r="O98" s="68" t="inlineStr">
        <is>
          <t>D</t>
        </is>
      </c>
      <c r="P98" s="68" t="inlineStr">
        <is>
          <t>General multi-pathway stack</t>
        </is>
      </c>
      <c r="Q98" s="68" t="inlineStr">
        <is>
          <t>High overlap supports coherence; penalties rise with duplicate compounds or overlapping cautions.</t>
        </is>
      </c>
    </row>
    <row r="99">
      <c r="A99" t="inlineStr">
        <is>
          <t>Ashwagandha</t>
        </is>
      </c>
      <c r="B99" t="inlineStr">
        <is>
          <t>Agarikon</t>
        </is>
      </c>
      <c r="C99" t="inlineStr">
        <is>
          <t>ashwagandha</t>
        </is>
      </c>
      <c r="D99" t="inlineStr">
        <is>
          <t>agarikon</t>
        </is>
      </c>
      <c r="E99" s="68" t="str"/>
      <c r="F99" s="68" t="inlineStr">
        <is>
          <t>Inflammation; Neurocognitive</t>
        </is>
      </c>
      <c r="G99" s="68" t="n">
        <v>0</v>
      </c>
      <c r="H99" s="68" t="str"/>
      <c r="I99" s="68" t="n">
        <v>2</v>
      </c>
      <c r="J99" s="68" t="n">
        <v>1</v>
      </c>
      <c r="K99" s="68" t="str"/>
      <c r="L99" s="68" t="n">
        <v>0</v>
      </c>
      <c r="M99" s="68" t="n">
        <v>0</v>
      </c>
      <c r="N99" s="68" t="n">
        <v>10</v>
      </c>
      <c r="O99" s="68" t="inlineStr">
        <is>
          <t>D</t>
        </is>
      </c>
      <c r="P99" s="68" t="inlineStr">
        <is>
          <t>General multi-pathway stack</t>
        </is>
      </c>
      <c r="Q99" s="68" t="inlineStr">
        <is>
          <t>High overlap supports coherence; penalties rise with duplicate compounds or overlapping cautions.</t>
        </is>
      </c>
    </row>
    <row r="100">
      <c r="A100" t="inlineStr">
        <is>
          <t>Ajwain</t>
        </is>
      </c>
      <c r="B100" t="inlineStr">
        <is>
          <t>Arjuna</t>
        </is>
      </c>
      <c r="C100" t="inlineStr">
        <is>
          <t>ajwain</t>
        </is>
      </c>
      <c r="D100" t="inlineStr">
        <is>
          <t>arjuna</t>
        </is>
      </c>
      <c r="E100" s="68" t="str"/>
      <c r="F100" s="68" t="inlineStr">
        <is>
          <t>Metabolic/Bioavailability; Vascular/Perfusion</t>
        </is>
      </c>
      <c r="G100" s="68" t="n">
        <v>0</v>
      </c>
      <c r="H100" s="68" t="str"/>
      <c r="I100" s="68" t="n">
        <v>2</v>
      </c>
      <c r="J100" s="68" t="n">
        <v>2</v>
      </c>
      <c r="K100" s="68" t="str"/>
      <c r="L100" s="68" t="n">
        <v>0</v>
      </c>
      <c r="M100" s="68" t="n">
        <v>0</v>
      </c>
      <c r="N100" s="68" t="n">
        <v>9</v>
      </c>
      <c r="O100" s="68" t="inlineStr">
        <is>
          <t>D</t>
        </is>
      </c>
      <c r="P100" s="68" t="inlineStr">
        <is>
          <t>General multi-pathway stack</t>
        </is>
      </c>
      <c r="Q100" s="68" t="inlineStr">
        <is>
          <t>High overlap supports coherence; penalties rise with duplicate compounds or overlapping cautions.</t>
        </is>
      </c>
    </row>
    <row r="101">
      <c r="A101" t="inlineStr">
        <is>
          <t>Epimedium</t>
        </is>
      </c>
      <c r="B101" t="inlineStr">
        <is>
          <t>Agarikon</t>
        </is>
      </c>
      <c r="C101" t="inlineStr">
        <is>
          <t>epimedium</t>
        </is>
      </c>
      <c r="D101" t="inlineStr">
        <is>
          <t>agarikon</t>
        </is>
      </c>
      <c r="E101" s="68" t="str"/>
      <c r="F101" s="68" t="inlineStr">
        <is>
          <t>Vascular/Perfusion</t>
        </is>
      </c>
      <c r="G101" s="68" t="n">
        <v>0</v>
      </c>
      <c r="H101" s="68" t="str"/>
      <c r="I101" s="68" t="n">
        <v>4</v>
      </c>
      <c r="J101" s="68" t="n">
        <v>1</v>
      </c>
      <c r="K101" s="68" t="str"/>
      <c r="L101" s="68" t="n">
        <v>0</v>
      </c>
      <c r="M101" s="68" t="n">
        <v>0</v>
      </c>
      <c r="N101" s="68" t="n">
        <v>8</v>
      </c>
      <c r="O101" s="68" t="inlineStr">
        <is>
          <t>D</t>
        </is>
      </c>
      <c r="P101" s="68" t="inlineStr">
        <is>
          <t>General multi-pathway stack</t>
        </is>
      </c>
      <c r="Q101" s="68" t="inlineStr">
        <is>
          <t>High overlap supports coherence; penalties rise with duplicate compounds or overlapping cautions.</t>
        </is>
      </c>
    </row>
    <row r="102">
      <c r="A102" t="inlineStr">
        <is>
          <t>Corydalis</t>
        </is>
      </c>
      <c r="B102" t="inlineStr">
        <is>
          <t>Agarikon</t>
        </is>
      </c>
      <c r="C102" t="inlineStr">
        <is>
          <t>corydalis-yanhusuo</t>
        </is>
      </c>
      <c r="D102" t="inlineStr">
        <is>
          <t>agarikon</t>
        </is>
      </c>
      <c r="E102" s="68" t="str"/>
      <c r="F102" s="68" t="inlineStr">
        <is>
          <t>Analgesic/NMDA; Neurocognitive</t>
        </is>
      </c>
      <c r="G102" s="68" t="n">
        <v>0</v>
      </c>
      <c r="H102" s="68" t="str"/>
      <c r="I102" s="68" t="n">
        <v>1</v>
      </c>
      <c r="J102" s="68" t="n">
        <v>1</v>
      </c>
      <c r="K102" s="68" t="str"/>
      <c r="L102" s="68" t="n">
        <v>0</v>
      </c>
      <c r="M102" s="68" t="n">
        <v>0</v>
      </c>
      <c r="N102" s="68" t="n">
        <v>8</v>
      </c>
      <c r="O102" s="68" t="inlineStr">
        <is>
          <t>D</t>
        </is>
      </c>
      <c r="P102" s="68" t="inlineStr">
        <is>
          <t>General multi-pathway stack</t>
        </is>
      </c>
      <c r="Q102" s="68" t="inlineStr">
        <is>
          <t>High overlap supports coherence; penalties rise with duplicate compounds or overlapping cautions.</t>
        </is>
      </c>
    </row>
    <row r="103">
      <c r="A103" t="inlineStr">
        <is>
          <t>Epimedium</t>
        </is>
      </c>
      <c r="B103" t="inlineStr">
        <is>
          <t>Turmeric</t>
        </is>
      </c>
      <c r="C103" t="inlineStr">
        <is>
          <t>epimedium</t>
        </is>
      </c>
      <c r="D103" t="inlineStr">
        <is>
          <t>turmeric</t>
        </is>
      </c>
      <c r="E103" s="68" t="str"/>
      <c r="F103" s="68" t="inlineStr">
        <is>
          <t>Inflammation; Oxidative stress; Vascular/Perfusion</t>
        </is>
      </c>
      <c r="G103" s="68" t="n">
        <v>0</v>
      </c>
      <c r="H103" s="68" t="str"/>
      <c r="I103" s="68" t="n">
        <v>4</v>
      </c>
      <c r="J103" s="68" t="n">
        <v>4</v>
      </c>
      <c r="K103" s="68" t="inlineStr">
        <is>
          <t>Bleeding-risk stack</t>
        </is>
      </c>
      <c r="L103" s="68" t="n">
        <v>0</v>
      </c>
      <c r="M103" s="68" t="n">
        <v>10</v>
      </c>
      <c r="N103" s="68" t="n">
        <v>7</v>
      </c>
      <c r="O103" s="68" t="inlineStr">
        <is>
          <t>D</t>
        </is>
      </c>
      <c r="P103" s="68" t="inlineStr">
        <is>
          <t>Inflammation + oxidative support</t>
        </is>
      </c>
      <c r="Q103" s="68" t="inlineStr">
        <is>
          <t>High overlap supports coherence; penalties rise with duplicate compounds or overlapping cautions.</t>
        </is>
      </c>
    </row>
    <row r="104">
      <c r="A104" t="inlineStr">
        <is>
          <t>Black Pepper</t>
        </is>
      </c>
      <c r="B104" t="inlineStr">
        <is>
          <t>Agarikon</t>
        </is>
      </c>
      <c r="C104" t="inlineStr">
        <is>
          <t>black-pepper</t>
        </is>
      </c>
      <c r="D104" t="inlineStr">
        <is>
          <t>agarikon</t>
        </is>
      </c>
      <c r="E104" s="68" t="str"/>
      <c r="F104" s="68" t="inlineStr">
        <is>
          <t>Metabolic/Bioavailability</t>
        </is>
      </c>
      <c r="G104" s="68" t="n">
        <v>0</v>
      </c>
      <c r="H104" s="68" t="str"/>
      <c r="I104" s="68" t="n">
        <v>3</v>
      </c>
      <c r="J104" s="68" t="n">
        <v>1</v>
      </c>
      <c r="K104" s="68" t="str"/>
      <c r="L104" s="68" t="n">
        <v>0</v>
      </c>
      <c r="M104" s="68" t="n">
        <v>0</v>
      </c>
      <c r="N104" s="68" t="n">
        <v>6</v>
      </c>
      <c r="O104" s="68" t="inlineStr">
        <is>
          <t>D</t>
        </is>
      </c>
      <c r="P104" s="68" t="inlineStr">
        <is>
          <t>General multi-pathway stack</t>
        </is>
      </c>
      <c r="Q104" s="68" t="inlineStr">
        <is>
          <t>High overlap supports coherence; penalties rise with duplicate compounds or overlapping cautions.</t>
        </is>
      </c>
    </row>
    <row r="105">
      <c r="A105" t="inlineStr">
        <is>
          <t>Arjuna</t>
        </is>
      </c>
      <c r="B105" t="inlineStr">
        <is>
          <t>Agarikon</t>
        </is>
      </c>
      <c r="C105" t="inlineStr">
        <is>
          <t>arjuna</t>
        </is>
      </c>
      <c r="D105" t="inlineStr">
        <is>
          <t>agarikon</t>
        </is>
      </c>
      <c r="E105" s="68" t="str"/>
      <c r="F105" s="68" t="inlineStr">
        <is>
          <t>Vascular/Perfusion</t>
        </is>
      </c>
      <c r="G105" s="68" t="n">
        <v>0</v>
      </c>
      <c r="H105" s="68" t="str"/>
      <c r="I105" s="68" t="n">
        <v>2</v>
      </c>
      <c r="J105" s="68" t="n">
        <v>1</v>
      </c>
      <c r="K105" s="68" t="str"/>
      <c r="L105" s="68" t="n">
        <v>0</v>
      </c>
      <c r="M105" s="68" t="n">
        <v>0</v>
      </c>
      <c r="N105" s="68" t="n">
        <v>5</v>
      </c>
      <c r="O105" s="68" t="inlineStr">
        <is>
          <t>D</t>
        </is>
      </c>
      <c r="P105" s="68" t="inlineStr">
        <is>
          <t>General multi-pathway stack</t>
        </is>
      </c>
      <c r="Q105" s="68" t="inlineStr">
        <is>
          <t>High overlap supports coherence; penalties rise with duplicate compounds or overlapping cautions.</t>
        </is>
      </c>
    </row>
    <row r="106">
      <c r="A106" t="inlineStr">
        <is>
          <t>Ajwain</t>
        </is>
      </c>
      <c r="B106" t="inlineStr">
        <is>
          <t>Agarikon</t>
        </is>
      </c>
      <c r="C106" t="inlineStr">
        <is>
          <t>ajwain</t>
        </is>
      </c>
      <c r="D106" t="inlineStr">
        <is>
          <t>agarikon</t>
        </is>
      </c>
      <c r="E106" s="68" t="str"/>
      <c r="F106" s="68" t="inlineStr">
        <is>
          <t>Metabolic/Bioavailability</t>
        </is>
      </c>
      <c r="G106" s="68" t="n">
        <v>0</v>
      </c>
      <c r="H106" s="68" t="str"/>
      <c r="I106" s="68" t="n">
        <v>2</v>
      </c>
      <c r="J106" s="68" t="n">
        <v>1</v>
      </c>
      <c r="K106" s="68" t="str"/>
      <c r="L106" s="68" t="n">
        <v>0</v>
      </c>
      <c r="M106" s="68" t="n">
        <v>0</v>
      </c>
      <c r="N106" s="68" t="n">
        <v>5</v>
      </c>
      <c r="O106" s="68" t="inlineStr">
        <is>
          <t>D</t>
        </is>
      </c>
      <c r="P106" s="68" t="inlineStr">
        <is>
          <t>General multi-pathway stack</t>
        </is>
      </c>
      <c r="Q106" s="68" t="inlineStr">
        <is>
          <t>High overlap supports coherence; penalties rise with duplicate compounds or overlapping cautions.</t>
        </is>
      </c>
    </row>
  </sheetData>
  <conditionalFormatting sqref="N2:N106">
    <cfRule type="colorScale" priority="1">
      <colorScale>
        <cfvo type="min"/>
        <cfvo type="percentile" val="50"/>
        <cfvo type="max"/>
        <color rgb="00FEE2E2"/>
        <color rgb="00FEF3C7"/>
        <color rgb="00DCFCE7"/>
      </colorScale>
    </cfRule>
  </conditionalFormatting>
  <conditionalFormatting sqref="O2:O106">
    <cfRule type="expression" priority="2" dxfId="3">
      <formula>O2="A"</formula>
    </cfRule>
    <cfRule type="expression" priority="3" dxfId="4">
      <formula>O2="B"</formula>
    </cfRule>
  </conditionalFormatting>
  <conditionalFormatting sqref="K2:K106">
    <cfRule type="expression" priority="4" dxfId="5">
      <formula>K2&lt;&gt;""</formula>
    </cfRule>
  </conditionalFormatting>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R21"/>
  <sheetViews>
    <sheetView workbookViewId="0">
      <selection activeCell="A1" sqref="A1"/>
    </sheetView>
  </sheetViews>
  <sheetFormatPr baseColWidth="8" defaultRowHeight="15"/>
  <cols>
    <col width="8" customWidth="1" min="1" max="1"/>
    <col width="20" customWidth="1" min="2" max="2"/>
    <col width="20" customWidth="1" min="3" max="3"/>
    <col width="18" customWidth="1" min="4" max="4"/>
    <col width="18" customWidth="1" min="5" max="5"/>
    <col width="30" customWidth="1" min="6" max="6"/>
    <col width="30" customWidth="1" min="7" max="7"/>
    <col width="16" customWidth="1" min="8" max="8"/>
    <col width="22" customWidth="1" min="9" max="9"/>
    <col width="16" customWidth="1" min="10" max="10"/>
    <col width="16" customWidth="1" min="11" max="11"/>
    <col width="26" customWidth="1" min="12" max="12"/>
    <col width="16" customWidth="1" min="13" max="13"/>
    <col width="14" customWidth="1" min="14" max="14"/>
    <col width="14" customWidth="1" min="15" max="15"/>
    <col width="12" customWidth="1" min="16" max="16"/>
    <col width="28" customWidth="1" min="17" max="17"/>
    <col width="34" customWidth="1" min="18" max="18"/>
  </cols>
  <sheetData>
    <row r="1">
      <c r="A1" s="63" t="inlineStr">
        <is>
          <t>Rank</t>
        </is>
      </c>
      <c r="B1" s="63" t="inlineStr">
        <is>
          <t>Herb A</t>
        </is>
      </c>
      <c r="C1" s="63" t="inlineStr">
        <is>
          <t>Herb B</t>
        </is>
      </c>
      <c r="D1" s="63" t="inlineStr">
        <is>
          <t>Herb A Slug</t>
        </is>
      </c>
      <c r="E1" s="63" t="inlineStr">
        <is>
          <t>Herb B Slug</t>
        </is>
      </c>
      <c r="F1" s="63" t="inlineStr">
        <is>
          <t>Shared Pathway Buckets</t>
        </is>
      </c>
      <c r="G1" s="63" t="inlineStr">
        <is>
          <t>Complementary Buckets</t>
        </is>
      </c>
      <c r="H1" s="63" t="inlineStr">
        <is>
          <t>Shared Compound Count</t>
        </is>
      </c>
      <c r="I1" s="63" t="inlineStr">
        <is>
          <t>Shared Compounds</t>
        </is>
      </c>
      <c r="J1" s="63" t="inlineStr">
        <is>
          <t>Unique Compound Count A</t>
        </is>
      </c>
      <c r="K1" s="63" t="inlineStr">
        <is>
          <t>Unique Compound Count B</t>
        </is>
      </c>
      <c r="L1" s="63" t="inlineStr">
        <is>
          <t>Conflict Flags</t>
        </is>
      </c>
      <c r="M1" s="63" t="inlineStr">
        <is>
          <t>Redundancy Penalty</t>
        </is>
      </c>
      <c r="N1" s="63" t="inlineStr">
        <is>
          <t>Conflict Penalty</t>
        </is>
      </c>
      <c r="O1" s="63" t="inlineStr">
        <is>
          <t>Synergy Score</t>
        </is>
      </c>
      <c r="P1" s="63" t="inlineStr">
        <is>
          <t>Blend Grade</t>
        </is>
      </c>
      <c r="Q1" s="63" t="inlineStr">
        <is>
          <t>Suggested Use Case</t>
        </is>
      </c>
      <c r="R1" s="63" t="inlineStr">
        <is>
          <t>Notes</t>
        </is>
      </c>
    </row>
    <row r="2">
      <c r="A2" t="n">
        <v>1</v>
      </c>
      <c r="B2" t="inlineStr">
        <is>
          <t>Ginkgo Biloba</t>
        </is>
      </c>
      <c r="C2" t="inlineStr">
        <is>
          <t>Black Cohosh</t>
        </is>
      </c>
      <c r="D2" t="inlineStr">
        <is>
          <t>ginkgo-biloba</t>
        </is>
      </c>
      <c r="E2" t="inlineStr">
        <is>
          <t>black-cohosh</t>
        </is>
      </c>
      <c r="F2" s="68" t="inlineStr">
        <is>
          <t>Inflammation; Oxidative stress; Vascular/Perfusion</t>
        </is>
      </c>
      <c r="G2" s="68" t="inlineStr">
        <is>
          <t>Monoamine/Stimulant; Neurocognitive</t>
        </is>
      </c>
      <c r="H2" s="68" t="n">
        <v>0</v>
      </c>
      <c r="I2" s="68" t="str"/>
      <c r="J2" s="68" t="n">
        <v>6</v>
      </c>
      <c r="K2" s="68" t="n">
        <v>3</v>
      </c>
      <c r="L2" s="68" t="str"/>
      <c r="M2" s="68" t="n">
        <v>0</v>
      </c>
      <c r="N2" s="68" t="n">
        <v>0</v>
      </c>
      <c r="O2" s="68" t="n">
        <v>58</v>
      </c>
      <c r="P2" s="68" t="inlineStr">
        <is>
          <t>B</t>
        </is>
      </c>
      <c r="Q2" s="68" t="inlineStr">
        <is>
          <t>Inflammation + oxidative support</t>
        </is>
      </c>
      <c r="R2" s="68" t="inlineStr">
        <is>
          <t>High overlap supports coherence; penalties rise with duplicate compounds or overlapping cautions.</t>
        </is>
      </c>
    </row>
    <row r="3">
      <c r="A3" t="n">
        <v>2</v>
      </c>
      <c r="B3" t="inlineStr">
        <is>
          <t>Ginkgo Biloba</t>
        </is>
      </c>
      <c r="C3" t="inlineStr">
        <is>
          <t>Chinese Skullcap</t>
        </is>
      </c>
      <c r="D3" t="inlineStr">
        <is>
          <t>ginkgo-biloba</t>
        </is>
      </c>
      <c r="E3" t="inlineStr">
        <is>
          <t>scutellaria-baicalensis</t>
        </is>
      </c>
      <c r="F3" s="68" t="inlineStr">
        <is>
          <t>Inflammation; Neurocognitive</t>
        </is>
      </c>
      <c r="G3" s="68" t="inlineStr">
        <is>
          <t>Oxidative stress; Vascular/Perfusion</t>
        </is>
      </c>
      <c r="H3" s="68" t="n">
        <v>0</v>
      </c>
      <c r="I3" s="68" t="str"/>
      <c r="J3" s="68" t="n">
        <v>6</v>
      </c>
      <c r="K3" s="68" t="n">
        <v>2</v>
      </c>
      <c r="L3" s="68" t="str"/>
      <c r="M3" s="68" t="n">
        <v>0</v>
      </c>
      <c r="N3" s="68" t="n">
        <v>0</v>
      </c>
      <c r="O3" s="68" t="n">
        <v>46</v>
      </c>
      <c r="P3" s="68" t="inlineStr">
        <is>
          <t>C</t>
        </is>
      </c>
      <c r="Q3" s="68" t="inlineStr">
        <is>
          <t>Inflammation + oxidative support</t>
        </is>
      </c>
      <c r="R3" s="68" t="inlineStr">
        <is>
          <t>High overlap supports coherence; penalties rise with duplicate compounds or overlapping cautions.</t>
        </is>
      </c>
    </row>
    <row r="4">
      <c r="A4" t="n">
        <v>3</v>
      </c>
      <c r="B4" t="inlineStr">
        <is>
          <t>Ginkgo Biloba</t>
        </is>
      </c>
      <c r="C4" t="inlineStr">
        <is>
          <t>Ashwagandha</t>
        </is>
      </c>
      <c r="D4" t="inlineStr">
        <is>
          <t>ginkgo-biloba</t>
        </is>
      </c>
      <c r="E4" t="inlineStr">
        <is>
          <t>ashwagandha</t>
        </is>
      </c>
      <c r="F4" s="68" t="inlineStr">
        <is>
          <t>Inflammation; Neurocognitive</t>
        </is>
      </c>
      <c r="G4" s="68" t="inlineStr">
        <is>
          <t>Oxidative stress; Vascular/Perfusion</t>
        </is>
      </c>
      <c r="H4" s="68" t="n">
        <v>0</v>
      </c>
      <c r="I4" s="68" t="str"/>
      <c r="J4" s="68" t="n">
        <v>6</v>
      </c>
      <c r="K4" s="68" t="n">
        <v>2</v>
      </c>
      <c r="L4" s="68" t="str"/>
      <c r="M4" s="68" t="n">
        <v>0</v>
      </c>
      <c r="N4" s="68" t="n">
        <v>0</v>
      </c>
      <c r="O4" s="68" t="n">
        <v>45</v>
      </c>
      <c r="P4" s="68" t="inlineStr">
        <is>
          <t>C</t>
        </is>
      </c>
      <c r="Q4" s="68" t="inlineStr">
        <is>
          <t>Inflammation + oxidative support</t>
        </is>
      </c>
      <c r="R4" s="68" t="inlineStr">
        <is>
          <t>High overlap supports coherence; penalties rise with duplicate compounds or overlapping cautions.</t>
        </is>
      </c>
    </row>
    <row r="5">
      <c r="A5" t="n">
        <v>4</v>
      </c>
      <c r="B5" t="inlineStr">
        <is>
          <t>Ginkgo Biloba</t>
        </is>
      </c>
      <c r="C5" t="inlineStr">
        <is>
          <t>Green Tea</t>
        </is>
      </c>
      <c r="D5" t="inlineStr">
        <is>
          <t>ginkgo-biloba</t>
        </is>
      </c>
      <c r="E5" t="inlineStr">
        <is>
          <t>camellia-sinensis</t>
        </is>
      </c>
      <c r="F5" s="68" t="inlineStr">
        <is>
          <t>Oxidative stress</t>
        </is>
      </c>
      <c r="G5" s="68" t="inlineStr">
        <is>
          <t>Inflammation; Metabolic/Bioavailability; Monoamine/Stimulant; Neurocognitive; Vascular/Perfusion</t>
        </is>
      </c>
      <c r="H5" s="68" t="n">
        <v>0</v>
      </c>
      <c r="I5" s="68" t="str"/>
      <c r="J5" s="68" t="n">
        <v>6</v>
      </c>
      <c r="K5" s="68" t="n">
        <v>3</v>
      </c>
      <c r="L5" s="68" t="str"/>
      <c r="M5" s="68" t="n">
        <v>0</v>
      </c>
      <c r="N5" s="68" t="n">
        <v>0</v>
      </c>
      <c r="O5" s="68" t="n">
        <v>43</v>
      </c>
      <c r="P5" s="68" t="inlineStr">
        <is>
          <t>C</t>
        </is>
      </c>
      <c r="Q5" s="68" t="inlineStr">
        <is>
          <t>Inflammation + oxidative support</t>
        </is>
      </c>
      <c r="R5" s="68" t="inlineStr">
        <is>
          <t>High overlap supports coherence; penalties rise with duplicate compounds or overlapping cautions.</t>
        </is>
      </c>
    </row>
    <row r="6">
      <c r="A6" t="n">
        <v>5</v>
      </c>
      <c r="B6" t="inlineStr">
        <is>
          <t>Ginkgo Biloba</t>
        </is>
      </c>
      <c r="C6" t="inlineStr">
        <is>
          <t>Panax Ginseng</t>
        </is>
      </c>
      <c r="D6" t="inlineStr">
        <is>
          <t>ginkgo-biloba</t>
        </is>
      </c>
      <c r="E6" t="inlineStr">
        <is>
          <t>panax-ginseng</t>
        </is>
      </c>
      <c r="F6" s="68" t="inlineStr">
        <is>
          <t>Neurocognitive</t>
        </is>
      </c>
      <c r="G6" s="68" t="inlineStr">
        <is>
          <t>Inflammation; Metabolic/Bioavailability; Oxidative stress; Vascular/Perfusion</t>
        </is>
      </c>
      <c r="H6" s="68" t="n">
        <v>0</v>
      </c>
      <c r="I6" s="68" t="str"/>
      <c r="J6" s="68" t="n">
        <v>6</v>
      </c>
      <c r="K6" s="68" t="n">
        <v>6</v>
      </c>
      <c r="L6" s="68" t="str"/>
      <c r="M6" s="68" t="n">
        <v>0</v>
      </c>
      <c r="N6" s="68" t="n">
        <v>0</v>
      </c>
      <c r="O6" s="68" t="n">
        <v>42</v>
      </c>
      <c r="P6" s="68" t="inlineStr">
        <is>
          <t>C</t>
        </is>
      </c>
      <c r="Q6" s="68" t="inlineStr">
        <is>
          <t>Inflammation + oxidative support</t>
        </is>
      </c>
      <c r="R6" s="68" t="inlineStr">
        <is>
          <t>High overlap supports coherence; penalties rise with duplicate compounds or overlapping cautions.</t>
        </is>
      </c>
    </row>
    <row r="7">
      <c r="A7" t="n">
        <v>6</v>
      </c>
      <c r="B7" t="inlineStr">
        <is>
          <t>Ginkgo Biloba</t>
        </is>
      </c>
      <c r="C7" t="inlineStr">
        <is>
          <t>Chamomile</t>
        </is>
      </c>
      <c r="D7" t="inlineStr">
        <is>
          <t>ginkgo-biloba</t>
        </is>
      </c>
      <c r="E7" t="inlineStr">
        <is>
          <t>chamomile</t>
        </is>
      </c>
      <c r="F7" s="68" t="inlineStr">
        <is>
          <t>Inflammation</t>
        </is>
      </c>
      <c r="G7" s="68" t="inlineStr">
        <is>
          <t>Calming/GABA; Metabolic/Bioavailability; Neurocognitive; Oxidative stress; Vascular/Perfusion</t>
        </is>
      </c>
      <c r="H7" s="68" t="n">
        <v>0</v>
      </c>
      <c r="I7" s="68" t="str"/>
      <c r="J7" s="68" t="n">
        <v>6</v>
      </c>
      <c r="K7" s="68" t="n">
        <v>3</v>
      </c>
      <c r="L7" s="68" t="str"/>
      <c r="M7" s="68" t="n">
        <v>0</v>
      </c>
      <c r="N7" s="68" t="n">
        <v>0</v>
      </c>
      <c r="O7" s="68" t="n">
        <v>41</v>
      </c>
      <c r="P7" s="68" t="inlineStr">
        <is>
          <t>C</t>
        </is>
      </c>
      <c r="Q7" s="68" t="inlineStr">
        <is>
          <t>Inflammation + oxidative support</t>
        </is>
      </c>
      <c r="R7" s="68" t="inlineStr">
        <is>
          <t>High overlap supports coherence; penalties rise with duplicate compounds or overlapping cautions.</t>
        </is>
      </c>
    </row>
    <row r="8">
      <c r="A8" t="n">
        <v>7</v>
      </c>
      <c r="B8" t="inlineStr">
        <is>
          <t>Turmeric</t>
        </is>
      </c>
      <c r="C8" t="inlineStr">
        <is>
          <t>Black Cohosh</t>
        </is>
      </c>
      <c r="D8" t="inlineStr">
        <is>
          <t>turmeric</t>
        </is>
      </c>
      <c r="E8" t="inlineStr">
        <is>
          <t>black-cohosh</t>
        </is>
      </c>
      <c r="F8" s="68" t="inlineStr">
        <is>
          <t>Inflammation; Oxidative stress</t>
        </is>
      </c>
      <c r="G8" s="68" t="inlineStr">
        <is>
          <t>Monoamine/Stimulant; Vascular/Perfusion</t>
        </is>
      </c>
      <c r="H8" s="68" t="n">
        <v>0</v>
      </c>
      <c r="I8" s="68" t="str"/>
      <c r="J8" s="68" t="n">
        <v>4</v>
      </c>
      <c r="K8" s="68" t="n">
        <v>3</v>
      </c>
      <c r="L8" s="68" t="str"/>
      <c r="M8" s="68" t="n">
        <v>0</v>
      </c>
      <c r="N8" s="68" t="n">
        <v>0</v>
      </c>
      <c r="O8" s="68" t="n">
        <v>40</v>
      </c>
      <c r="P8" s="68" t="inlineStr">
        <is>
          <t>C</t>
        </is>
      </c>
      <c r="Q8" s="68" t="inlineStr">
        <is>
          <t>Inflammation + oxidative support</t>
        </is>
      </c>
      <c r="R8" s="68" t="inlineStr">
        <is>
          <t>High overlap supports coherence; penalties rise with duplicate compounds or overlapping cautions.</t>
        </is>
      </c>
    </row>
    <row r="9">
      <c r="A9" t="n">
        <v>8</v>
      </c>
      <c r="B9" t="inlineStr">
        <is>
          <t>Panax Ginseng</t>
        </is>
      </c>
      <c r="C9" t="inlineStr">
        <is>
          <t>Green Tea</t>
        </is>
      </c>
      <c r="D9" t="inlineStr">
        <is>
          <t>panax-ginseng</t>
        </is>
      </c>
      <c r="E9" t="inlineStr">
        <is>
          <t>camellia-sinensis</t>
        </is>
      </c>
      <c r="F9" s="68" t="inlineStr">
        <is>
          <t>Metabolic/Bioavailability</t>
        </is>
      </c>
      <c r="G9" s="68" t="inlineStr">
        <is>
          <t>Monoamine/Stimulant; Neurocognitive; Oxidative stress</t>
        </is>
      </c>
      <c r="H9" s="68" t="n">
        <v>0</v>
      </c>
      <c r="I9" s="68" t="str"/>
      <c r="J9" s="68" t="n">
        <v>6</v>
      </c>
      <c r="K9" s="68" t="n">
        <v>3</v>
      </c>
      <c r="L9" s="68" t="str"/>
      <c r="M9" s="68" t="n">
        <v>0</v>
      </c>
      <c r="N9" s="68" t="n">
        <v>0</v>
      </c>
      <c r="O9" s="68" t="n">
        <v>37</v>
      </c>
      <c r="P9" s="68" t="inlineStr">
        <is>
          <t>D</t>
        </is>
      </c>
      <c r="Q9" s="68" t="inlineStr">
        <is>
          <t>Focus / cognitive energy</t>
        </is>
      </c>
      <c r="R9" s="68" t="inlineStr">
        <is>
          <t>High overlap supports coherence; penalties rise with duplicate compounds or overlapping cautions.</t>
        </is>
      </c>
    </row>
    <row r="10">
      <c r="A10" t="n">
        <v>9</v>
      </c>
      <c r="B10" t="inlineStr">
        <is>
          <t>Ginkgo Biloba</t>
        </is>
      </c>
      <c r="C10" t="inlineStr">
        <is>
          <t>Blue Lotus</t>
        </is>
      </c>
      <c r="D10" t="inlineStr">
        <is>
          <t>ginkgo-biloba</t>
        </is>
      </c>
      <c r="E10" t="inlineStr">
        <is>
          <t>blue-lotus</t>
        </is>
      </c>
      <c r="F10" s="68" t="inlineStr">
        <is>
          <t>Neurocognitive</t>
        </is>
      </c>
      <c r="G10" s="68" t="inlineStr">
        <is>
          <t>Calming/GABA; Inflammation; Oxidative stress; Vascular/Perfusion</t>
        </is>
      </c>
      <c r="H10" s="68" t="n">
        <v>0</v>
      </c>
      <c r="I10" s="68" t="str"/>
      <c r="J10" s="68" t="n">
        <v>6</v>
      </c>
      <c r="K10" s="68" t="n">
        <v>3</v>
      </c>
      <c r="L10" s="68" t="str"/>
      <c r="M10" s="68" t="n">
        <v>0</v>
      </c>
      <c r="N10" s="68" t="n">
        <v>0</v>
      </c>
      <c r="O10" s="68" t="n">
        <v>37</v>
      </c>
      <c r="P10" s="68" t="inlineStr">
        <is>
          <t>D</t>
        </is>
      </c>
      <c r="Q10" s="68" t="inlineStr">
        <is>
          <t>Inflammation + oxidative support</t>
        </is>
      </c>
      <c r="R10" s="68" t="inlineStr">
        <is>
          <t>High overlap supports coherence; penalties rise with duplicate compounds or overlapping cautions.</t>
        </is>
      </c>
    </row>
    <row r="11">
      <c r="A11" t="n">
        <v>10</v>
      </c>
      <c r="B11" t="inlineStr">
        <is>
          <t>Green Tea</t>
        </is>
      </c>
      <c r="C11" t="inlineStr">
        <is>
          <t>Chamomile</t>
        </is>
      </c>
      <c r="D11" t="inlineStr">
        <is>
          <t>camellia-sinensis</t>
        </is>
      </c>
      <c r="E11" t="inlineStr">
        <is>
          <t>chamomile</t>
        </is>
      </c>
      <c r="F11" s="68" t="inlineStr">
        <is>
          <t>Metabolic/Bioavailability</t>
        </is>
      </c>
      <c r="G11" s="68" t="inlineStr">
        <is>
          <t>Calming/GABA; Inflammation; Monoamine/Stimulant; Oxidative stress</t>
        </is>
      </c>
      <c r="H11" s="68" t="n">
        <v>0</v>
      </c>
      <c r="I11" s="68" t="str"/>
      <c r="J11" s="68" t="n">
        <v>3</v>
      </c>
      <c r="K11" s="68" t="n">
        <v>3</v>
      </c>
      <c r="L11" s="68" t="str"/>
      <c r="M11" s="68" t="n">
        <v>0</v>
      </c>
      <c r="N11" s="68" t="n">
        <v>0</v>
      </c>
      <c r="O11" s="68" t="n">
        <v>36</v>
      </c>
      <c r="P11" s="68" t="inlineStr">
        <is>
          <t>D</t>
        </is>
      </c>
      <c r="Q11" s="68" t="inlineStr">
        <is>
          <t>Inflammation + oxidative support</t>
        </is>
      </c>
      <c r="R11" s="68" t="inlineStr">
        <is>
          <t>High overlap supports coherence; penalties rise with duplicate compounds or overlapping cautions.</t>
        </is>
      </c>
    </row>
    <row r="12">
      <c r="A12" t="n">
        <v>11</v>
      </c>
      <c r="B12" t="inlineStr">
        <is>
          <t>Chinese Skullcap</t>
        </is>
      </c>
      <c r="C12" t="inlineStr">
        <is>
          <t>Ashwagandha</t>
        </is>
      </c>
      <c r="D12" t="inlineStr">
        <is>
          <t>scutellaria-baicalensis</t>
        </is>
      </c>
      <c r="E12" t="inlineStr">
        <is>
          <t>ashwagandha</t>
        </is>
      </c>
      <c r="F12" s="68" t="inlineStr">
        <is>
          <t>Inflammation; Neurocognitive</t>
        </is>
      </c>
      <c r="G12" s="68" t="str"/>
      <c r="H12" s="68" t="n">
        <v>0</v>
      </c>
      <c r="I12" s="68" t="str"/>
      <c r="J12" s="68" t="n">
        <v>2</v>
      </c>
      <c r="K12" s="68" t="n">
        <v>2</v>
      </c>
      <c r="L12" s="68" t="str"/>
      <c r="M12" s="68" t="n">
        <v>0</v>
      </c>
      <c r="N12" s="68" t="n">
        <v>0</v>
      </c>
      <c r="O12" s="68" t="n">
        <v>36</v>
      </c>
      <c r="P12" s="68" t="inlineStr">
        <is>
          <t>D</t>
        </is>
      </c>
      <c r="Q12" s="68" t="inlineStr">
        <is>
          <t>General multi-pathway stack</t>
        </is>
      </c>
      <c r="R12" s="68" t="inlineStr">
        <is>
          <t>High overlap supports coherence; penalties rise with duplicate compounds or overlapping cautions.</t>
        </is>
      </c>
    </row>
    <row r="13">
      <c r="A13" t="n">
        <v>12</v>
      </c>
      <c r="B13" t="inlineStr">
        <is>
          <t>Chamomile</t>
        </is>
      </c>
      <c r="C13" t="inlineStr">
        <is>
          <t>Black Cohosh</t>
        </is>
      </c>
      <c r="D13" t="inlineStr">
        <is>
          <t>chamomile</t>
        </is>
      </c>
      <c r="E13" t="inlineStr">
        <is>
          <t>black-cohosh</t>
        </is>
      </c>
      <c r="F13" s="68" t="inlineStr">
        <is>
          <t>Inflammation</t>
        </is>
      </c>
      <c r="G13" s="68" t="inlineStr">
        <is>
          <t>Calming/GABA; Metabolic/Bioavailability; Monoamine/Stimulant; Oxidative stress; Vascular/Perfusion</t>
        </is>
      </c>
      <c r="H13" s="68" t="n">
        <v>0</v>
      </c>
      <c r="I13" s="68" t="str"/>
      <c r="J13" s="68" t="n">
        <v>3</v>
      </c>
      <c r="K13" s="68" t="n">
        <v>3</v>
      </c>
      <c r="L13" s="68" t="str"/>
      <c r="M13" s="68" t="n">
        <v>0</v>
      </c>
      <c r="N13" s="68" t="n">
        <v>0</v>
      </c>
      <c r="O13" s="68" t="n">
        <v>36</v>
      </c>
      <c r="P13" s="68" t="inlineStr">
        <is>
          <t>D</t>
        </is>
      </c>
      <c r="Q13" s="68" t="inlineStr">
        <is>
          <t>Inflammation + oxidative support</t>
        </is>
      </c>
      <c r="R13" s="68" t="inlineStr">
        <is>
          <t>High overlap supports coherence; penalties rise with duplicate compounds or overlapping cautions.</t>
        </is>
      </c>
    </row>
    <row r="14">
      <c r="A14" t="n">
        <v>13</v>
      </c>
      <c r="B14" t="inlineStr">
        <is>
          <t>Panax Ginseng</t>
        </is>
      </c>
      <c r="C14" t="inlineStr">
        <is>
          <t>Chamomile</t>
        </is>
      </c>
      <c r="D14" t="inlineStr">
        <is>
          <t>panax-ginseng</t>
        </is>
      </c>
      <c r="E14" t="inlineStr">
        <is>
          <t>chamomile</t>
        </is>
      </c>
      <c r="F14" s="68" t="inlineStr">
        <is>
          <t>Metabolic/Bioavailability</t>
        </is>
      </c>
      <c r="G14" s="68" t="inlineStr">
        <is>
          <t>Calming/GABA; Inflammation; Neurocognitive</t>
        </is>
      </c>
      <c r="H14" s="68" t="n">
        <v>0</v>
      </c>
      <c r="I14" s="68" t="str"/>
      <c r="J14" s="68" t="n">
        <v>6</v>
      </c>
      <c r="K14" s="68" t="n">
        <v>3</v>
      </c>
      <c r="L14" s="68" t="str"/>
      <c r="M14" s="68" t="n">
        <v>0</v>
      </c>
      <c r="N14" s="68" t="n">
        <v>0</v>
      </c>
      <c r="O14" s="68" t="n">
        <v>35</v>
      </c>
      <c r="P14" s="68" t="inlineStr">
        <is>
          <t>D</t>
        </is>
      </c>
      <c r="Q14" s="68" t="inlineStr">
        <is>
          <t>Calming neuro support</t>
        </is>
      </c>
      <c r="R14" s="68" t="inlineStr">
        <is>
          <t>High overlap supports coherence; penalties rise with duplicate compounds or overlapping cautions.</t>
        </is>
      </c>
    </row>
    <row r="15">
      <c r="A15" t="n">
        <v>14</v>
      </c>
      <c r="B15" t="inlineStr">
        <is>
          <t>Ginkgo Biloba</t>
        </is>
      </c>
      <c r="C15" t="inlineStr">
        <is>
          <t>Corydalis</t>
        </is>
      </c>
      <c r="D15" t="inlineStr">
        <is>
          <t>ginkgo-biloba</t>
        </is>
      </c>
      <c r="E15" t="inlineStr">
        <is>
          <t>corydalis-yanhusuo</t>
        </is>
      </c>
      <c r="F15" s="68" t="inlineStr">
        <is>
          <t>Neurocognitive</t>
        </is>
      </c>
      <c r="G15" s="68" t="inlineStr">
        <is>
          <t>Analgesic/NMDA; Inflammation; Oxidative stress; Vascular/Perfusion</t>
        </is>
      </c>
      <c r="H15" s="68" t="n">
        <v>0</v>
      </c>
      <c r="I15" s="68" t="str"/>
      <c r="J15" s="68" t="n">
        <v>6</v>
      </c>
      <c r="K15" s="68" t="n">
        <v>1</v>
      </c>
      <c r="L15" s="68" t="str"/>
      <c r="M15" s="68" t="n">
        <v>0</v>
      </c>
      <c r="N15" s="68" t="n">
        <v>0</v>
      </c>
      <c r="O15" s="68" t="n">
        <v>35</v>
      </c>
      <c r="P15" s="68" t="inlineStr">
        <is>
          <t>D</t>
        </is>
      </c>
      <c r="Q15" s="68" t="inlineStr">
        <is>
          <t>Inflammation + oxidative support</t>
        </is>
      </c>
      <c r="R15" s="68" t="inlineStr">
        <is>
          <t>High overlap supports coherence; penalties rise with duplicate compounds or overlapping cautions.</t>
        </is>
      </c>
    </row>
    <row r="16">
      <c r="A16" t="n">
        <v>15</v>
      </c>
      <c r="B16" t="inlineStr">
        <is>
          <t>Green Tea</t>
        </is>
      </c>
      <c r="C16" t="inlineStr">
        <is>
          <t>Black Cohosh</t>
        </is>
      </c>
      <c r="D16" t="inlineStr">
        <is>
          <t>camellia-sinensis</t>
        </is>
      </c>
      <c r="E16" t="inlineStr">
        <is>
          <t>black-cohosh</t>
        </is>
      </c>
      <c r="F16" s="68" t="inlineStr">
        <is>
          <t>Monoamine/Stimulant; Oxidative stress</t>
        </is>
      </c>
      <c r="G16" s="68" t="inlineStr">
        <is>
          <t>Inflammation; Metabolic/Bioavailability; Vascular/Perfusion</t>
        </is>
      </c>
      <c r="H16" s="68" t="n">
        <v>0</v>
      </c>
      <c r="I16" s="68" t="str"/>
      <c r="J16" s="68" t="n">
        <v>3</v>
      </c>
      <c r="K16" s="68" t="n">
        <v>3</v>
      </c>
      <c r="L16" s="68" t="inlineStr">
        <is>
          <t>Monoamine / serotonergic caution</t>
        </is>
      </c>
      <c r="M16" s="68" t="n">
        <v>0</v>
      </c>
      <c r="N16" s="68" t="n">
        <v>10</v>
      </c>
      <c r="O16" s="68" t="n">
        <v>35</v>
      </c>
      <c r="P16" s="68" t="inlineStr">
        <is>
          <t>D</t>
        </is>
      </c>
      <c r="Q16" s="68" t="inlineStr">
        <is>
          <t>Inflammation + oxidative support</t>
        </is>
      </c>
      <c r="R16" s="68" t="inlineStr">
        <is>
          <t>High overlap supports coherence; penalties rise with duplicate compounds or overlapping cautions.</t>
        </is>
      </c>
    </row>
    <row r="17">
      <c r="A17" t="n">
        <v>16</v>
      </c>
      <c r="B17" t="inlineStr">
        <is>
          <t>Ginkgo Biloba</t>
        </is>
      </c>
      <c r="C17" t="inlineStr">
        <is>
          <t>Turmeric</t>
        </is>
      </c>
      <c r="D17" t="inlineStr">
        <is>
          <t>ginkgo-biloba</t>
        </is>
      </c>
      <c r="E17" t="inlineStr">
        <is>
          <t>turmeric</t>
        </is>
      </c>
      <c r="F17" s="68" t="inlineStr">
        <is>
          <t>Inflammation; Oxidative stress</t>
        </is>
      </c>
      <c r="G17" s="68" t="inlineStr">
        <is>
          <t>Neurocognitive; Vascular/Perfusion</t>
        </is>
      </c>
      <c r="H17" s="68" t="n">
        <v>0</v>
      </c>
      <c r="I17" s="68" t="str"/>
      <c r="J17" s="68" t="n">
        <v>6</v>
      </c>
      <c r="K17" s="68" t="n">
        <v>4</v>
      </c>
      <c r="L17" s="68" t="inlineStr">
        <is>
          <t>Bleeding-risk stack</t>
        </is>
      </c>
      <c r="M17" s="68" t="n">
        <v>0</v>
      </c>
      <c r="N17" s="68" t="n">
        <v>10</v>
      </c>
      <c r="O17" s="68" t="n">
        <v>35</v>
      </c>
      <c r="P17" s="68" t="inlineStr">
        <is>
          <t>D</t>
        </is>
      </c>
      <c r="Q17" s="68" t="inlineStr">
        <is>
          <t>Inflammation + oxidative support</t>
        </is>
      </c>
      <c r="R17" s="68" t="inlineStr">
        <is>
          <t>High overlap supports coherence; penalties rise with duplicate compounds or overlapping cautions.</t>
        </is>
      </c>
    </row>
    <row r="18">
      <c r="A18" t="n">
        <v>17</v>
      </c>
      <c r="B18" t="inlineStr">
        <is>
          <t>Panax Ginseng</t>
        </is>
      </c>
      <c r="C18" t="inlineStr">
        <is>
          <t>Chinese Skullcap</t>
        </is>
      </c>
      <c r="D18" t="inlineStr">
        <is>
          <t>panax-ginseng</t>
        </is>
      </c>
      <c r="E18" t="inlineStr">
        <is>
          <t>scutellaria-baicalensis</t>
        </is>
      </c>
      <c r="F18" s="68" t="inlineStr">
        <is>
          <t>Neurocognitive</t>
        </is>
      </c>
      <c r="G18" s="68" t="inlineStr">
        <is>
          <t>Inflammation; Metabolic/Bioavailability</t>
        </is>
      </c>
      <c r="H18" s="68" t="n">
        <v>0</v>
      </c>
      <c r="I18" s="68" t="str"/>
      <c r="J18" s="68" t="n">
        <v>6</v>
      </c>
      <c r="K18" s="68" t="n">
        <v>2</v>
      </c>
      <c r="L18" s="68" t="str"/>
      <c r="M18" s="68" t="n">
        <v>0</v>
      </c>
      <c r="N18" s="68" t="n">
        <v>0</v>
      </c>
      <c r="O18" s="68" t="n">
        <v>33</v>
      </c>
      <c r="P18" s="68" t="inlineStr">
        <is>
          <t>D</t>
        </is>
      </c>
      <c r="Q18" s="68" t="inlineStr">
        <is>
          <t>Absorption + inflammation stack</t>
        </is>
      </c>
      <c r="R18" s="68" t="inlineStr">
        <is>
          <t>High overlap supports coherence; penalties rise with duplicate compounds or overlapping cautions.</t>
        </is>
      </c>
    </row>
    <row r="19">
      <c r="A19" t="n">
        <v>18</v>
      </c>
      <c r="B19" t="inlineStr">
        <is>
          <t>Green Tea</t>
        </is>
      </c>
      <c r="C19" t="inlineStr">
        <is>
          <t>Turmeric</t>
        </is>
      </c>
      <c r="D19" t="inlineStr">
        <is>
          <t>camellia-sinensis</t>
        </is>
      </c>
      <c r="E19" t="inlineStr">
        <is>
          <t>turmeric</t>
        </is>
      </c>
      <c r="F19" s="68" t="inlineStr">
        <is>
          <t>Oxidative stress</t>
        </is>
      </c>
      <c r="G19" s="68" t="inlineStr">
        <is>
          <t>Inflammation; Metabolic/Bioavailability; Monoamine/Stimulant</t>
        </is>
      </c>
      <c r="H19" s="68" t="n">
        <v>0</v>
      </c>
      <c r="I19" s="68" t="str"/>
      <c r="J19" s="68" t="n">
        <v>3</v>
      </c>
      <c r="K19" s="68" t="n">
        <v>4</v>
      </c>
      <c r="L19" s="68" t="str"/>
      <c r="M19" s="68" t="n">
        <v>0</v>
      </c>
      <c r="N19" s="68" t="n">
        <v>0</v>
      </c>
      <c r="O19" s="68" t="n">
        <v>33</v>
      </c>
      <c r="P19" s="68" t="inlineStr">
        <is>
          <t>D</t>
        </is>
      </c>
      <c r="Q19" s="68" t="inlineStr">
        <is>
          <t>Inflammation + oxidative support</t>
        </is>
      </c>
      <c r="R19" s="68" t="inlineStr">
        <is>
          <t>High overlap supports coherence; penalties rise with duplicate compounds or overlapping cautions.</t>
        </is>
      </c>
    </row>
    <row r="20">
      <c r="A20" t="n">
        <v>19</v>
      </c>
      <c r="B20" t="inlineStr">
        <is>
          <t>Chinese Skullcap</t>
        </is>
      </c>
      <c r="C20" t="inlineStr">
        <is>
          <t>Black Cohosh</t>
        </is>
      </c>
      <c r="D20" t="inlineStr">
        <is>
          <t>scutellaria-baicalensis</t>
        </is>
      </c>
      <c r="E20" t="inlineStr">
        <is>
          <t>black-cohosh</t>
        </is>
      </c>
      <c r="F20" s="68" t="inlineStr">
        <is>
          <t>Inflammation</t>
        </is>
      </c>
      <c r="G20" s="68" t="inlineStr">
        <is>
          <t>Monoamine/Stimulant; Neurocognitive; Oxidative stress; Vascular/Perfusion</t>
        </is>
      </c>
      <c r="H20" s="68" t="n">
        <v>0</v>
      </c>
      <c r="I20" s="68" t="str"/>
      <c r="J20" s="68" t="n">
        <v>2</v>
      </c>
      <c r="K20" s="68" t="n">
        <v>3</v>
      </c>
      <c r="L20" s="68" t="str"/>
      <c r="M20" s="68" t="n">
        <v>0</v>
      </c>
      <c r="N20" s="68" t="n">
        <v>0</v>
      </c>
      <c r="O20" s="68" t="n">
        <v>33</v>
      </c>
      <c r="P20" s="68" t="inlineStr">
        <is>
          <t>D</t>
        </is>
      </c>
      <c r="Q20" s="68" t="inlineStr">
        <is>
          <t>Inflammation + oxidative support</t>
        </is>
      </c>
      <c r="R20" s="68" t="inlineStr">
        <is>
          <t>High overlap supports coherence; penalties rise with duplicate compounds or overlapping cautions.</t>
        </is>
      </c>
    </row>
    <row r="21">
      <c r="A21" t="n">
        <v>20</v>
      </c>
      <c r="B21" t="inlineStr">
        <is>
          <t>Panax Ginseng</t>
        </is>
      </c>
      <c r="C21" t="inlineStr">
        <is>
          <t>Ashwagandha</t>
        </is>
      </c>
      <c r="D21" t="inlineStr">
        <is>
          <t>panax-ginseng</t>
        </is>
      </c>
      <c r="E21" t="inlineStr">
        <is>
          <t>ashwagandha</t>
        </is>
      </c>
      <c r="F21" s="68" t="inlineStr">
        <is>
          <t>Neurocognitive</t>
        </is>
      </c>
      <c r="G21" s="68" t="inlineStr">
        <is>
          <t>Inflammation; Metabolic/Bioavailability</t>
        </is>
      </c>
      <c r="H21" s="68" t="n">
        <v>0</v>
      </c>
      <c r="I21" s="68" t="str"/>
      <c r="J21" s="68" t="n">
        <v>6</v>
      </c>
      <c r="K21" s="68" t="n">
        <v>2</v>
      </c>
      <c r="L21" s="68" t="str"/>
      <c r="M21" s="68" t="n">
        <v>0</v>
      </c>
      <c r="N21" s="68" t="n">
        <v>0</v>
      </c>
      <c r="O21" s="68" t="n">
        <v>32</v>
      </c>
      <c r="P21" s="68" t="inlineStr">
        <is>
          <t>D</t>
        </is>
      </c>
      <c r="Q21" s="68" t="inlineStr">
        <is>
          <t>Absorption + inflammation stack</t>
        </is>
      </c>
      <c r="R21" s="68" t="inlineStr">
        <is>
          <t>High overlap supports coherence; penalties rise with duplicate compounds or overlapping cautions.</t>
        </is>
      </c>
    </row>
  </sheetData>
  <conditionalFormatting sqref="O2:O21">
    <cfRule type="colorScale" priority="1">
      <colorScale>
        <cfvo type="min"/>
        <cfvo type="percentile" val="50"/>
        <cfvo type="max"/>
        <color rgb="00FEE2E2"/>
        <color rgb="00FEF3C7"/>
        <color rgb="00DCFCE7"/>
      </colorScale>
    </cfRule>
  </conditionalFormatting>
  <conditionalFormatting sqref="P2:P21">
    <cfRule type="expression" priority="2" dxfId="3">
      <formula>P2="A"</formula>
    </cfRule>
    <cfRule type="expression" priority="3" dxfId="4">
      <formula>P2="B"</formula>
    </cfRule>
  </conditionalFormatting>
  <conditionalFormatting sqref="L2:L21">
    <cfRule type="expression" priority="4" dxfId="5">
      <formula>L2&lt;&gt;""</formula>
    </cfRule>
  </conditionalFormatting>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42" customWidth="1" min="2" max="2"/>
  </cols>
  <sheetData>
    <row r="1">
      <c r="A1" s="67" t="inlineStr">
        <is>
          <t>Metric</t>
        </is>
      </c>
      <c r="B1" s="67" t="inlineStr">
        <is>
          <t>Value</t>
        </is>
      </c>
    </row>
    <row r="2">
      <c r="A2" t="inlineStr">
        <is>
          <t>Pass</t>
        </is>
      </c>
      <c r="B2" t="inlineStr">
        <is>
          <t>15</t>
        </is>
      </c>
    </row>
    <row r="3">
      <c r="A3" t="inlineStr">
        <is>
          <t>Focus</t>
        </is>
      </c>
      <c r="B3" t="inlineStr">
        <is>
          <t>Synergy layer for top-scoring herbs</t>
        </is>
      </c>
    </row>
    <row r="4">
      <c r="A4" t="inlineStr">
        <is>
          <t>Herbs evaluated</t>
        </is>
      </c>
      <c r="B4" t="n">
        <v>15</v>
      </c>
    </row>
    <row r="5">
      <c r="A5" t="inlineStr">
        <is>
          <t>Pair combinations scored</t>
        </is>
      </c>
      <c r="B5" t="n">
        <v>105</v>
      </c>
    </row>
    <row r="6">
      <c r="A6" t="inlineStr">
        <is>
          <t>Top blend candidates listed</t>
        </is>
      </c>
      <c r="B6" t="n">
        <v>20</v>
      </c>
    </row>
    <row r="7">
      <c r="A7" t="inlineStr">
        <is>
          <t>Pairs with conflict flags</t>
        </is>
      </c>
      <c r="B7" t="n">
        <v>8</v>
      </c>
    </row>
    <row r="8">
      <c r="A8" t="inlineStr">
        <is>
          <t>A-grade pairs</t>
        </is>
      </c>
      <c r="B8" t="n">
        <v>0</v>
      </c>
    </row>
    <row r="9">
      <c r="A9" t="inlineStr">
        <is>
          <t>B-grade pairs</t>
        </is>
      </c>
      <c r="B9" t="n">
        <v>1</v>
      </c>
    </row>
    <row r="10">
      <c r="A10" t="inlineStr">
        <is>
          <t>C-grade pairs</t>
        </is>
      </c>
      <c r="B10" t="n">
        <v>6</v>
      </c>
    </row>
    <row r="11">
      <c r="A11" t="inlineStr">
        <is>
          <t>D-grade pairs</t>
        </is>
      </c>
      <c r="B11" t="n">
        <v>98</v>
      </c>
    </row>
    <row r="12">
      <c r="A12" t="inlineStr">
        <is>
          <t>Highest-scoring pair</t>
        </is>
      </c>
      <c r="B12" t="inlineStr">
        <is>
          <t>Ginkgo Biloba + Black Cohosh</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N92"/>
  <sheetViews>
    <sheetView workbookViewId="0">
      <selection activeCell="A1" sqref="A1"/>
    </sheetView>
  </sheetViews>
  <sheetFormatPr baseColWidth="8" defaultRowHeight="15"/>
  <sheetData>
    <row r="1">
      <c r="A1" t="inlineStr">
        <is>
          <t>Herb A</t>
        </is>
      </c>
      <c r="B1" t="inlineStr">
        <is>
          <t>Herb B</t>
        </is>
      </c>
      <c r="C1" t="inlineStr">
        <is>
          <t>Shared Bucket Count</t>
        </is>
      </c>
      <c r="D1" t="inlineStr">
        <is>
          <t>Shared Tag Count</t>
        </is>
      </c>
      <c r="E1" t="inlineStr">
        <is>
          <t>Complement Bucket Count</t>
        </is>
      </c>
      <c r="F1" t="inlineStr">
        <is>
          <t>Shared Buckets</t>
        </is>
      </c>
      <c r="G1" t="inlineStr">
        <is>
          <t>Combined Buckets</t>
        </is>
      </c>
      <c r="H1" t="inlineStr">
        <is>
          <t>Conflict Flags</t>
        </is>
      </c>
      <c r="I1" t="inlineStr">
        <is>
          <t>Redundancy Penalty</t>
        </is>
      </c>
      <c r="J1" t="inlineStr">
        <is>
          <t>Conflict Penalty</t>
        </is>
      </c>
      <c r="K1" t="inlineStr">
        <is>
          <t>Raw Score</t>
        </is>
      </c>
      <c r="L1" t="inlineStr">
        <is>
          <t>Synergy Score</t>
        </is>
      </c>
      <c r="M1" t="inlineStr">
        <is>
          <t>Blend Grade</t>
        </is>
      </c>
      <c r="N1" t="inlineStr">
        <is>
          <t>Suggested Use Case</t>
        </is>
      </c>
    </row>
    <row r="2">
      <c r="A2" t="inlineStr">
        <is>
          <t>Ginkgo Biloba</t>
        </is>
      </c>
      <c r="B2" t="inlineStr">
        <is>
          <t>Panax Ginseng</t>
        </is>
      </c>
      <c r="C2" t="n">
        <v>1</v>
      </c>
      <c r="D2" t="n">
        <v>1</v>
      </c>
      <c r="E2" t="n">
        <v>7</v>
      </c>
      <c r="F2" t="inlineStr">
        <is>
          <t>cognitive-neuroprotective</t>
        </is>
      </c>
      <c r="G2" t="inlineStr">
        <is>
          <t>adaptogenic; cognitive-neuroprotective; gastrointestinal; inflammation; metabolic; neurotransmitter; oxidative-stress; vascular</t>
        </is>
      </c>
      <c r="I2" t="n">
        <v>0</v>
      </c>
      <c r="J2" t="n">
        <v>0</v>
      </c>
      <c r="K2" t="n">
        <v>89.09999999999999</v>
      </c>
      <c r="L2" t="n">
        <v>89.09999999999999</v>
      </c>
      <c r="M2" t="inlineStr">
        <is>
          <t>A</t>
        </is>
      </c>
      <c r="N2" t="inlineStr">
        <is>
          <t>vascular support</t>
        </is>
      </c>
    </row>
    <row r="3">
      <c r="A3" t="inlineStr">
        <is>
          <t>Ginkgo Biloba</t>
        </is>
      </c>
      <c r="B3" t="inlineStr">
        <is>
          <t>Green Tea</t>
        </is>
      </c>
      <c r="C3" t="n">
        <v>1</v>
      </c>
      <c r="D3" t="n">
        <v>2</v>
      </c>
      <c r="E3" t="n">
        <v>5</v>
      </c>
      <c r="F3" t="inlineStr">
        <is>
          <t>oxidative-stress</t>
        </is>
      </c>
      <c r="G3" t="inlineStr">
        <is>
          <t>cognitive-neuroprotective; inflammation; metabolic; neurotransmitter; oxidative-stress; vascular</t>
        </is>
      </c>
      <c r="I3" t="n">
        <v>0</v>
      </c>
      <c r="J3" t="n">
        <v>0</v>
      </c>
      <c r="K3" t="n">
        <v>82.40000000000001</v>
      </c>
      <c r="L3" t="n">
        <v>82.40000000000001</v>
      </c>
      <c r="M3" t="inlineStr">
        <is>
          <t>A</t>
        </is>
      </c>
      <c r="N3" t="inlineStr">
        <is>
          <t>vascular support</t>
        </is>
      </c>
    </row>
    <row r="4">
      <c r="A4" t="inlineStr">
        <is>
          <t>Panax Ginseng</t>
        </is>
      </c>
      <c r="B4" t="inlineStr">
        <is>
          <t>Green Tea</t>
        </is>
      </c>
      <c r="C4" t="n">
        <v>2</v>
      </c>
      <c r="D4" t="n">
        <v>1</v>
      </c>
      <c r="E4" t="n">
        <v>4</v>
      </c>
      <c r="F4" t="inlineStr">
        <is>
          <t>metabolic; neurotransmitter</t>
        </is>
      </c>
      <c r="G4" t="inlineStr">
        <is>
          <t>adaptogenic; cognitive-neuroprotective; gastrointestinal; metabolic; neurotransmitter; oxidative-stress</t>
        </is>
      </c>
      <c r="I4" t="n">
        <v>0</v>
      </c>
      <c r="J4" t="n">
        <v>0</v>
      </c>
      <c r="K4" t="n">
        <v>82</v>
      </c>
      <c r="L4" t="n">
        <v>82</v>
      </c>
      <c r="M4" t="inlineStr">
        <is>
          <t>A</t>
        </is>
      </c>
      <c r="N4" t="inlineStr">
        <is>
          <t>neuroactive stack</t>
        </is>
      </c>
    </row>
    <row r="5">
      <c r="A5" t="inlineStr">
        <is>
          <t>Panax Ginseng</t>
        </is>
      </c>
      <c r="B5" t="inlineStr">
        <is>
          <t>Ashwagandha</t>
        </is>
      </c>
      <c r="C5" t="n">
        <v>2</v>
      </c>
      <c r="D5" t="n">
        <v>2</v>
      </c>
      <c r="E5" t="n">
        <v>5</v>
      </c>
      <c r="F5" t="inlineStr">
        <is>
          <t>adaptogenic; cognitive-neuroprotective</t>
        </is>
      </c>
      <c r="G5" t="inlineStr">
        <is>
          <t>adaptogenic; cognitive-neuroprotective; gastrointestinal; inflammation; metabolic; neurotransmitter; oxidative-stress</t>
        </is>
      </c>
      <c r="I5" t="n">
        <v>0</v>
      </c>
      <c r="J5" t="n">
        <v>0</v>
      </c>
      <c r="K5" t="n">
        <v>79.2</v>
      </c>
      <c r="L5" t="n">
        <v>79.2</v>
      </c>
      <c r="M5" t="inlineStr">
        <is>
          <t>A</t>
        </is>
      </c>
      <c r="N5" t="inlineStr">
        <is>
          <t>stress + cognition</t>
        </is>
      </c>
    </row>
    <row r="6">
      <c r="A6" t="inlineStr">
        <is>
          <t>Ginkgo Biloba</t>
        </is>
      </c>
      <c r="B6" t="inlineStr">
        <is>
          <t>Chamomile</t>
        </is>
      </c>
      <c r="C6" t="n">
        <v>1</v>
      </c>
      <c r="D6" t="n">
        <v>2</v>
      </c>
      <c r="E6" t="n">
        <v>5</v>
      </c>
      <c r="F6" t="inlineStr">
        <is>
          <t>inflammation</t>
        </is>
      </c>
      <c r="G6" t="inlineStr">
        <is>
          <t>cognitive-neuroprotective; gastrointestinal; inflammation; neurotransmitter; oxidative-stress; vascular</t>
        </is>
      </c>
      <c r="I6" t="n">
        <v>0</v>
      </c>
      <c r="J6" t="n">
        <v>0</v>
      </c>
      <c r="K6" t="n">
        <v>78.09999999999999</v>
      </c>
      <c r="L6" t="n">
        <v>78.09999999999999</v>
      </c>
      <c r="M6" t="inlineStr">
        <is>
          <t>A</t>
        </is>
      </c>
      <c r="N6" t="inlineStr">
        <is>
          <t>inflammation + recovery</t>
        </is>
      </c>
    </row>
    <row r="7">
      <c r="A7" t="inlineStr">
        <is>
          <t>Panax Ginseng</t>
        </is>
      </c>
      <c r="B7" t="inlineStr">
        <is>
          <t>Chamomile</t>
        </is>
      </c>
      <c r="C7" t="n">
        <v>2</v>
      </c>
      <c r="D7" t="n">
        <v>1</v>
      </c>
      <c r="E7" t="n">
        <v>4</v>
      </c>
      <c r="F7" t="inlineStr">
        <is>
          <t>gastrointestinal; neurotransmitter</t>
        </is>
      </c>
      <c r="G7" t="inlineStr">
        <is>
          <t>adaptogenic; cognitive-neuroprotective; gastrointestinal; inflammation; metabolic; neurotransmitter</t>
        </is>
      </c>
      <c r="I7" t="n">
        <v>0</v>
      </c>
      <c r="J7" t="n">
        <v>0</v>
      </c>
      <c r="K7" t="n">
        <v>77.8</v>
      </c>
      <c r="L7" t="n">
        <v>77.8</v>
      </c>
      <c r="M7" t="inlineStr">
        <is>
          <t>A</t>
        </is>
      </c>
      <c r="N7" t="inlineStr">
        <is>
          <t>neuroactive stack</t>
        </is>
      </c>
    </row>
    <row r="8">
      <c r="A8" t="inlineStr">
        <is>
          <t>Ginkgo Biloba</t>
        </is>
      </c>
      <c r="B8" t="inlineStr">
        <is>
          <t>Ashwagandha</t>
        </is>
      </c>
      <c r="C8" t="n">
        <v>3</v>
      </c>
      <c r="D8" t="n">
        <v>3</v>
      </c>
      <c r="E8" t="n">
        <v>2</v>
      </c>
      <c r="F8" t="inlineStr">
        <is>
          <t>cognitive-neuroprotective; inflammation; oxidative-stress</t>
        </is>
      </c>
      <c r="G8" t="inlineStr">
        <is>
          <t>adaptogenic; cognitive-neuroprotective; inflammation; oxidative-stress; vascular</t>
        </is>
      </c>
      <c r="I8" t="n">
        <v>3</v>
      </c>
      <c r="J8" t="n">
        <v>0</v>
      </c>
      <c r="K8" t="n">
        <v>79.59999999999999</v>
      </c>
      <c r="L8" t="n">
        <v>76.59999999999999</v>
      </c>
      <c r="M8" t="inlineStr">
        <is>
          <t>A</t>
        </is>
      </c>
      <c r="N8" t="inlineStr">
        <is>
          <t>inflammation + recovery</t>
        </is>
      </c>
    </row>
    <row r="9">
      <c r="A9" t="inlineStr">
        <is>
          <t>Panax Ginseng</t>
        </is>
      </c>
      <c r="B9" t="inlineStr">
        <is>
          <t>Chinese Skullcap</t>
        </is>
      </c>
      <c r="C9" t="n">
        <v>1</v>
      </c>
      <c r="D9" t="n">
        <v>1</v>
      </c>
      <c r="E9" t="n">
        <v>5</v>
      </c>
      <c r="F9" t="inlineStr">
        <is>
          <t>cognitive-neuroprotective</t>
        </is>
      </c>
      <c r="G9" t="inlineStr">
        <is>
          <t>adaptogenic; cognitive-neuroprotective; gastrointestinal; inflammation; metabolic; neurotransmitter</t>
        </is>
      </c>
      <c r="I9" t="n">
        <v>0</v>
      </c>
      <c r="J9" t="n">
        <v>0</v>
      </c>
      <c r="K9" t="n">
        <v>71.8</v>
      </c>
      <c r="L9" t="n">
        <v>71.8</v>
      </c>
      <c r="M9" t="inlineStr">
        <is>
          <t>A</t>
        </is>
      </c>
      <c r="N9" t="inlineStr">
        <is>
          <t>general synergy</t>
        </is>
      </c>
    </row>
    <row r="10">
      <c r="A10" t="inlineStr">
        <is>
          <t>Ginkgo Biloba</t>
        </is>
      </c>
      <c r="B10" t="inlineStr">
        <is>
          <t>Chinese Skullcap</t>
        </is>
      </c>
      <c r="C10" t="n">
        <v>2</v>
      </c>
      <c r="D10" t="n">
        <v>3</v>
      </c>
      <c r="E10" t="n">
        <v>2</v>
      </c>
      <c r="F10" t="inlineStr">
        <is>
          <t>cognitive-neuroprotective; inflammation</t>
        </is>
      </c>
      <c r="G10" t="inlineStr">
        <is>
          <t>cognitive-neuroprotective; inflammation; oxidative-stress; vascular</t>
        </is>
      </c>
      <c r="I10" t="n">
        <v>3</v>
      </c>
      <c r="J10" t="n">
        <v>0</v>
      </c>
      <c r="K10" t="n">
        <v>74.2</v>
      </c>
      <c r="L10" t="n">
        <v>71.2</v>
      </c>
      <c r="M10" t="inlineStr">
        <is>
          <t>A</t>
        </is>
      </c>
      <c r="N10" t="inlineStr">
        <is>
          <t>inflammation + recovery</t>
        </is>
      </c>
    </row>
    <row r="11">
      <c r="A11" t="inlineStr">
        <is>
          <t>Ginkgo Biloba</t>
        </is>
      </c>
      <c r="B11" t="inlineStr">
        <is>
          <t>Black Cohosh</t>
        </is>
      </c>
      <c r="C11" t="n">
        <v>2</v>
      </c>
      <c r="D11" t="n">
        <v>2</v>
      </c>
      <c r="E11" t="n">
        <v>3</v>
      </c>
      <c r="F11" t="inlineStr">
        <is>
          <t>inflammation; oxidative-stress</t>
        </is>
      </c>
      <c r="G11" t="inlineStr">
        <is>
          <t>cognitive-neuroprotective; gastrointestinal; inflammation; oxidative-stress; vascular</t>
        </is>
      </c>
      <c r="I11" t="n">
        <v>0</v>
      </c>
      <c r="J11" t="n">
        <v>0</v>
      </c>
      <c r="K11" t="n">
        <v>70.3</v>
      </c>
      <c r="L11" t="n">
        <v>70.3</v>
      </c>
      <c r="M11" t="inlineStr">
        <is>
          <t>A</t>
        </is>
      </c>
      <c r="N11" t="inlineStr">
        <is>
          <t>inflammation + recovery</t>
        </is>
      </c>
    </row>
    <row r="12">
      <c r="A12" t="inlineStr">
        <is>
          <t>Panax Ginseng</t>
        </is>
      </c>
      <c r="B12" t="inlineStr">
        <is>
          <t>Black Cohosh</t>
        </is>
      </c>
      <c r="C12" t="n">
        <v>1</v>
      </c>
      <c r="D12" t="n">
        <v>1</v>
      </c>
      <c r="E12" t="n">
        <v>6</v>
      </c>
      <c r="F12" t="inlineStr">
        <is>
          <t>gastrointestinal</t>
        </is>
      </c>
      <c r="G12" t="inlineStr">
        <is>
          <t>adaptogenic; cognitive-neuroprotective; gastrointestinal; inflammation; metabolic; neurotransmitter; oxidative-stress</t>
        </is>
      </c>
      <c r="I12" t="n">
        <v>0</v>
      </c>
      <c r="J12" t="n">
        <v>0</v>
      </c>
      <c r="K12" t="n">
        <v>70</v>
      </c>
      <c r="L12" t="n">
        <v>70</v>
      </c>
      <c r="M12" t="inlineStr">
        <is>
          <t>A</t>
        </is>
      </c>
      <c r="N12" t="inlineStr">
        <is>
          <t>general synergy</t>
        </is>
      </c>
    </row>
    <row r="13">
      <c r="A13" t="inlineStr">
        <is>
          <t>Panax Ginseng</t>
        </is>
      </c>
      <c r="B13" t="inlineStr">
        <is>
          <t>Epimedium</t>
        </is>
      </c>
      <c r="C13" t="n">
        <v>0</v>
      </c>
      <c r="D13" t="n">
        <v>1</v>
      </c>
      <c r="E13" t="n">
        <v>6</v>
      </c>
      <c r="G13" t="inlineStr">
        <is>
          <t>adaptogenic; cognitive-neuroprotective; gastrointestinal; metabolic; neurotransmitter; vascular</t>
        </is>
      </c>
      <c r="I13" t="n">
        <v>0</v>
      </c>
      <c r="J13" t="n">
        <v>0</v>
      </c>
      <c r="K13" t="n">
        <v>67.8</v>
      </c>
      <c r="L13" t="n">
        <v>67.8</v>
      </c>
      <c r="M13" t="inlineStr">
        <is>
          <t>A</t>
        </is>
      </c>
      <c r="N13" t="inlineStr">
        <is>
          <t>vascular support</t>
        </is>
      </c>
    </row>
    <row r="14">
      <c r="A14" t="inlineStr">
        <is>
          <t>Green Tea</t>
        </is>
      </c>
      <c r="B14" t="inlineStr">
        <is>
          <t>Ashwagandha</t>
        </is>
      </c>
      <c r="C14" t="n">
        <v>1</v>
      </c>
      <c r="D14" t="n">
        <v>1</v>
      </c>
      <c r="E14" t="n">
        <v>5</v>
      </c>
      <c r="F14" t="inlineStr">
        <is>
          <t>oxidative-stress</t>
        </is>
      </c>
      <c r="G14" t="inlineStr">
        <is>
          <t>adaptogenic; cognitive-neuroprotective; inflammation; metabolic; neurotransmitter; oxidative-stress</t>
        </is>
      </c>
      <c r="I14" t="n">
        <v>0</v>
      </c>
      <c r="J14" t="n">
        <v>0</v>
      </c>
      <c r="K14" t="n">
        <v>64.5</v>
      </c>
      <c r="L14" t="n">
        <v>64.5</v>
      </c>
      <c r="M14" t="inlineStr">
        <is>
          <t>A</t>
        </is>
      </c>
      <c r="N14" t="inlineStr">
        <is>
          <t>general synergy</t>
        </is>
      </c>
    </row>
    <row r="15">
      <c r="A15" t="inlineStr">
        <is>
          <t>Panax Ginseng</t>
        </is>
      </c>
      <c r="B15" t="inlineStr">
        <is>
          <t>Corydalis</t>
        </is>
      </c>
      <c r="C15" t="n">
        <v>2</v>
      </c>
      <c r="D15" t="n">
        <v>1</v>
      </c>
      <c r="E15" t="n">
        <v>3</v>
      </c>
      <c r="F15" t="inlineStr">
        <is>
          <t>gastrointestinal; neurotransmitter</t>
        </is>
      </c>
      <c r="G15" t="inlineStr">
        <is>
          <t>adaptogenic; cognitive-neuroprotective; gastrointestinal; metabolic; neurotransmitter</t>
        </is>
      </c>
      <c r="I15" t="n">
        <v>0</v>
      </c>
      <c r="J15" t="n">
        <v>0</v>
      </c>
      <c r="K15" t="n">
        <v>63.3</v>
      </c>
      <c r="L15" t="n">
        <v>63.3</v>
      </c>
      <c r="M15" t="inlineStr">
        <is>
          <t>A</t>
        </is>
      </c>
      <c r="N15" t="inlineStr">
        <is>
          <t>neuroactive stack</t>
        </is>
      </c>
    </row>
    <row r="16">
      <c r="A16" t="inlineStr">
        <is>
          <t>Panax Ginseng</t>
        </is>
      </c>
      <c r="B16" t="inlineStr">
        <is>
          <t>Turmeric</t>
        </is>
      </c>
      <c r="C16" t="n">
        <v>0</v>
      </c>
      <c r="D16" t="n">
        <v>1</v>
      </c>
      <c r="E16" t="n">
        <v>5</v>
      </c>
      <c r="G16" t="inlineStr">
        <is>
          <t>adaptogenic; cognitive-neuroprotective; gastrointestinal; metabolic; neurotransmitter</t>
        </is>
      </c>
      <c r="I16" t="n">
        <v>0</v>
      </c>
      <c r="J16" t="n">
        <v>0</v>
      </c>
      <c r="K16" t="n">
        <v>63.3</v>
      </c>
      <c r="L16" t="n">
        <v>63.3</v>
      </c>
      <c r="M16" t="inlineStr">
        <is>
          <t>A</t>
        </is>
      </c>
      <c r="N16" t="inlineStr">
        <is>
          <t>general synergy</t>
        </is>
      </c>
    </row>
    <row r="17">
      <c r="A17" t="inlineStr">
        <is>
          <t>Chamomile</t>
        </is>
      </c>
      <c r="B17" t="inlineStr">
        <is>
          <t>Ashwagandha</t>
        </is>
      </c>
      <c r="C17" t="n">
        <v>1</v>
      </c>
      <c r="D17" t="n">
        <v>2</v>
      </c>
      <c r="E17" t="n">
        <v>5</v>
      </c>
      <c r="F17" t="inlineStr">
        <is>
          <t>inflammation</t>
        </is>
      </c>
      <c r="G17" t="inlineStr">
        <is>
          <t>adaptogenic; cognitive-neuroprotective; gastrointestinal; inflammation; neurotransmitter; oxidative-stress</t>
        </is>
      </c>
      <c r="I17" t="n">
        <v>0</v>
      </c>
      <c r="J17" t="n">
        <v>0</v>
      </c>
      <c r="K17" t="n">
        <v>62.2</v>
      </c>
      <c r="L17" t="n">
        <v>62.2</v>
      </c>
      <c r="M17" t="inlineStr">
        <is>
          <t>A</t>
        </is>
      </c>
      <c r="N17" t="inlineStr">
        <is>
          <t>inflammation + recovery</t>
        </is>
      </c>
    </row>
    <row r="18">
      <c r="A18" t="inlineStr">
        <is>
          <t>Panax Ginseng</t>
        </is>
      </c>
      <c r="B18" t="inlineStr">
        <is>
          <t>Black Pepper</t>
        </is>
      </c>
      <c r="C18" t="n">
        <v>1</v>
      </c>
      <c r="D18" t="n">
        <v>1</v>
      </c>
      <c r="E18" t="n">
        <v>4</v>
      </c>
      <c r="F18" t="inlineStr">
        <is>
          <t>gastrointestinal</t>
        </is>
      </c>
      <c r="G18" t="inlineStr">
        <is>
          <t>adaptogenic; cognitive-neuroprotective; gastrointestinal; metabolic; neurotransmitter</t>
        </is>
      </c>
      <c r="I18" t="n">
        <v>0</v>
      </c>
      <c r="J18" t="n">
        <v>0</v>
      </c>
      <c r="K18" t="n">
        <v>62</v>
      </c>
      <c r="L18" t="n">
        <v>62</v>
      </c>
      <c r="M18" t="inlineStr">
        <is>
          <t>A</t>
        </is>
      </c>
      <c r="N18" t="inlineStr">
        <is>
          <t>general synergy</t>
        </is>
      </c>
    </row>
    <row r="19">
      <c r="A19" t="inlineStr">
        <is>
          <t>Ginkgo Biloba</t>
        </is>
      </c>
      <c r="B19" t="inlineStr">
        <is>
          <t>Corydalis</t>
        </is>
      </c>
      <c r="C19" t="n">
        <v>0</v>
      </c>
      <c r="D19" t="n">
        <v>1</v>
      </c>
      <c r="E19" t="n">
        <v>6</v>
      </c>
      <c r="G19" t="inlineStr">
        <is>
          <t>cognitive-neuroprotective; gastrointestinal; inflammation; neurotransmitter; oxidative-stress; vascular</t>
        </is>
      </c>
      <c r="I19" t="n">
        <v>0</v>
      </c>
      <c r="J19" t="n">
        <v>0</v>
      </c>
      <c r="K19" t="n">
        <v>61.7</v>
      </c>
      <c r="L19" t="n">
        <v>61.7</v>
      </c>
      <c r="M19" t="inlineStr">
        <is>
          <t>A</t>
        </is>
      </c>
      <c r="N19" t="inlineStr">
        <is>
          <t>vascular support</t>
        </is>
      </c>
    </row>
    <row r="20">
      <c r="A20" t="inlineStr">
        <is>
          <t>Ginkgo Biloba</t>
        </is>
      </c>
      <c r="B20" t="inlineStr">
        <is>
          <t>Turmeric</t>
        </is>
      </c>
      <c r="C20" t="n">
        <v>0</v>
      </c>
      <c r="D20" t="n">
        <v>1</v>
      </c>
      <c r="E20" t="n">
        <v>4</v>
      </c>
      <c r="G20" t="inlineStr">
        <is>
          <t>cognitive-neuroprotective; inflammation; oxidative-stress; vascular</t>
        </is>
      </c>
      <c r="I20" t="n">
        <v>0</v>
      </c>
      <c r="J20" t="n">
        <v>0</v>
      </c>
      <c r="K20" t="n">
        <v>61.6</v>
      </c>
      <c r="L20" t="n">
        <v>61.6</v>
      </c>
      <c r="M20" t="inlineStr">
        <is>
          <t>A</t>
        </is>
      </c>
      <c r="N20" t="inlineStr">
        <is>
          <t>vascular support</t>
        </is>
      </c>
    </row>
    <row r="21">
      <c r="A21" t="inlineStr">
        <is>
          <t>Panax Ginseng</t>
        </is>
      </c>
      <c r="B21" t="inlineStr">
        <is>
          <t>Blue Lotus</t>
        </is>
      </c>
      <c r="C21" t="n">
        <v>0</v>
      </c>
      <c r="D21" t="n">
        <v>1</v>
      </c>
      <c r="E21" t="n">
        <v>5</v>
      </c>
      <c r="G21" t="inlineStr">
        <is>
          <t>adaptogenic; cognitive-neuroprotective; gastrointestinal; metabolic; neurotransmitter</t>
        </is>
      </c>
      <c r="I21" t="n">
        <v>0</v>
      </c>
      <c r="J21" t="n">
        <v>0</v>
      </c>
      <c r="K21" t="n">
        <v>60.7</v>
      </c>
      <c r="L21" t="n">
        <v>60.7</v>
      </c>
      <c r="M21" t="inlineStr">
        <is>
          <t>A</t>
        </is>
      </c>
      <c r="N21" t="inlineStr">
        <is>
          <t>general synergy</t>
        </is>
      </c>
    </row>
    <row r="22">
      <c r="A22" t="inlineStr">
        <is>
          <t>Ginkgo Biloba</t>
        </is>
      </c>
      <c r="B22" t="inlineStr">
        <is>
          <t>Black Pepper</t>
        </is>
      </c>
      <c r="C22" t="n">
        <v>0</v>
      </c>
      <c r="D22" t="n">
        <v>1</v>
      </c>
      <c r="E22" t="n">
        <v>5</v>
      </c>
      <c r="G22" t="inlineStr">
        <is>
          <t>cognitive-neuroprotective; gastrointestinal; inflammation; oxidative-stress; vascular</t>
        </is>
      </c>
      <c r="I22" t="n">
        <v>0</v>
      </c>
      <c r="J22" t="n">
        <v>0</v>
      </c>
      <c r="K22" t="n">
        <v>60.3</v>
      </c>
      <c r="L22" t="n">
        <v>60.3</v>
      </c>
      <c r="M22" t="inlineStr">
        <is>
          <t>A</t>
        </is>
      </c>
      <c r="N22" t="inlineStr">
        <is>
          <t>vascular support</t>
        </is>
      </c>
    </row>
    <row r="23">
      <c r="A23" t="inlineStr">
        <is>
          <t>Ginkgo Biloba</t>
        </is>
      </c>
      <c r="B23" t="inlineStr">
        <is>
          <t>Epimedium</t>
        </is>
      </c>
      <c r="C23" t="n">
        <v>1</v>
      </c>
      <c r="D23" t="n">
        <v>1</v>
      </c>
      <c r="E23" t="n">
        <v>3</v>
      </c>
      <c r="F23" t="inlineStr">
        <is>
          <t>vascular</t>
        </is>
      </c>
      <c r="G23" t="inlineStr">
        <is>
          <t>cognitive-neuroprotective; inflammation; oxidative-stress; vascular</t>
        </is>
      </c>
      <c r="H23" t="inlineStr">
        <is>
          <t>vascular</t>
        </is>
      </c>
      <c r="I23" t="n">
        <v>0</v>
      </c>
      <c r="J23" t="n">
        <v>6</v>
      </c>
      <c r="K23" t="n">
        <v>66.2</v>
      </c>
      <c r="L23" t="n">
        <v>60.2</v>
      </c>
      <c r="M23" t="inlineStr">
        <is>
          <t>A</t>
        </is>
      </c>
      <c r="N23" t="inlineStr">
        <is>
          <t>vascular support</t>
        </is>
      </c>
    </row>
    <row r="24">
      <c r="A24" t="inlineStr">
        <is>
          <t>Green Tea</t>
        </is>
      </c>
      <c r="B24" t="inlineStr">
        <is>
          <t>Black Cohosh</t>
        </is>
      </c>
      <c r="C24" t="n">
        <v>1</v>
      </c>
      <c r="D24" t="n">
        <v>2</v>
      </c>
      <c r="E24" t="n">
        <v>4</v>
      </c>
      <c r="F24" t="inlineStr">
        <is>
          <t>oxidative-stress</t>
        </is>
      </c>
      <c r="G24" t="inlineStr">
        <is>
          <t>gastrointestinal; inflammation; metabolic; neurotransmitter; oxidative-stress</t>
        </is>
      </c>
      <c r="I24" t="n">
        <v>0</v>
      </c>
      <c r="J24" t="n">
        <v>0</v>
      </c>
      <c r="K24" t="n">
        <v>59.2</v>
      </c>
      <c r="L24" t="n">
        <v>59.2</v>
      </c>
      <c r="M24" t="inlineStr">
        <is>
          <t>A</t>
        </is>
      </c>
      <c r="N24" t="inlineStr">
        <is>
          <t>general synergy</t>
        </is>
      </c>
    </row>
    <row r="25">
      <c r="A25" t="inlineStr">
        <is>
          <t>Ginkgo Biloba</t>
        </is>
      </c>
      <c r="B25" t="inlineStr">
        <is>
          <t>Blue Lotus</t>
        </is>
      </c>
      <c r="C25" t="n">
        <v>0</v>
      </c>
      <c r="D25" t="n">
        <v>1</v>
      </c>
      <c r="E25" t="n">
        <v>4</v>
      </c>
      <c r="G25" t="inlineStr">
        <is>
          <t>cognitive-neuroprotective; inflammation; oxidative-stress; vascular</t>
        </is>
      </c>
      <c r="I25" t="n">
        <v>0</v>
      </c>
      <c r="J25" t="n">
        <v>0</v>
      </c>
      <c r="K25" t="n">
        <v>59.1</v>
      </c>
      <c r="L25" t="n">
        <v>59.1</v>
      </c>
      <c r="M25" t="inlineStr">
        <is>
          <t>A</t>
        </is>
      </c>
      <c r="N25" t="inlineStr">
        <is>
          <t>vascular support</t>
        </is>
      </c>
    </row>
    <row r="26">
      <c r="A26" t="inlineStr">
        <is>
          <t>Green Tea</t>
        </is>
      </c>
      <c r="B26" t="inlineStr">
        <is>
          <t>Chinese Skullcap</t>
        </is>
      </c>
      <c r="C26" t="n">
        <v>0</v>
      </c>
      <c r="D26" t="n">
        <v>1</v>
      </c>
      <c r="E26" t="n">
        <v>5</v>
      </c>
      <c r="G26" t="inlineStr">
        <is>
          <t>cognitive-neuroprotective; inflammation; metabolic; neurotransmitter; oxidative-stress</t>
        </is>
      </c>
      <c r="I26" t="n">
        <v>0</v>
      </c>
      <c r="J26" t="n">
        <v>0</v>
      </c>
      <c r="K26" t="n">
        <v>59.1</v>
      </c>
      <c r="L26" t="n">
        <v>59.1</v>
      </c>
      <c r="M26" t="inlineStr">
        <is>
          <t>A</t>
        </is>
      </c>
      <c r="N26" t="inlineStr">
        <is>
          <t>general synergy</t>
        </is>
      </c>
    </row>
    <row r="27">
      <c r="A27" t="inlineStr">
        <is>
          <t>Green Tea</t>
        </is>
      </c>
      <c r="B27" t="inlineStr">
        <is>
          <t>Chamomile</t>
        </is>
      </c>
      <c r="C27" t="n">
        <v>1</v>
      </c>
      <c r="D27" t="n">
        <v>1</v>
      </c>
      <c r="E27" t="n">
        <v>4</v>
      </c>
      <c r="F27" t="inlineStr">
        <is>
          <t>neurotransmitter</t>
        </is>
      </c>
      <c r="G27" t="inlineStr">
        <is>
          <t>gastrointestinal; inflammation; metabolic; neurotransmitter; oxidative-stress</t>
        </is>
      </c>
      <c r="H27" t="inlineStr">
        <is>
          <t>stimulant-neuro</t>
        </is>
      </c>
      <c r="I27" t="n">
        <v>0</v>
      </c>
      <c r="J27" t="n">
        <v>6</v>
      </c>
      <c r="K27" t="n">
        <v>65</v>
      </c>
      <c r="L27" t="n">
        <v>59</v>
      </c>
      <c r="M27" t="inlineStr">
        <is>
          <t>A</t>
        </is>
      </c>
      <c r="N27" t="inlineStr">
        <is>
          <t>neuroactive stack</t>
        </is>
      </c>
    </row>
    <row r="28">
      <c r="A28" t="inlineStr">
        <is>
          <t>Panax Ginseng</t>
        </is>
      </c>
      <c r="B28" t="inlineStr">
        <is>
          <t>Arjuna</t>
        </is>
      </c>
      <c r="C28" t="n">
        <v>0</v>
      </c>
      <c r="D28" t="n">
        <v>1</v>
      </c>
      <c r="E28" t="n">
        <v>6</v>
      </c>
      <c r="G28" t="inlineStr">
        <is>
          <t>adaptogenic; cognitive-neuroprotective; gastrointestinal; metabolic; neurotransmitter; vascular</t>
        </is>
      </c>
      <c r="I28" t="n">
        <v>0</v>
      </c>
      <c r="J28" t="n">
        <v>0</v>
      </c>
      <c r="K28" t="n">
        <v>58.3</v>
      </c>
      <c r="L28" t="n">
        <v>58.3</v>
      </c>
      <c r="M28" t="inlineStr">
        <is>
          <t>A</t>
        </is>
      </c>
      <c r="N28" t="inlineStr">
        <is>
          <t>vascular support</t>
        </is>
      </c>
    </row>
    <row r="29">
      <c r="A29" t="inlineStr">
        <is>
          <t>Chamomile</t>
        </is>
      </c>
      <c r="B29" t="inlineStr">
        <is>
          <t>Chinese Skullcap</t>
        </is>
      </c>
      <c r="C29" t="n">
        <v>1</v>
      </c>
      <c r="D29" t="n">
        <v>2</v>
      </c>
      <c r="E29" t="n">
        <v>3</v>
      </c>
      <c r="F29" t="inlineStr">
        <is>
          <t>inflammation</t>
        </is>
      </c>
      <c r="G29" t="inlineStr">
        <is>
          <t>cognitive-neuroprotective; gastrointestinal; inflammation; neurotransmitter</t>
        </is>
      </c>
      <c r="I29" t="n">
        <v>0</v>
      </c>
      <c r="J29" t="n">
        <v>0</v>
      </c>
      <c r="K29" t="n">
        <v>56.8</v>
      </c>
      <c r="L29" t="n">
        <v>56.8</v>
      </c>
      <c r="M29" t="inlineStr">
        <is>
          <t>A</t>
        </is>
      </c>
      <c r="N29" t="inlineStr">
        <is>
          <t>general synergy</t>
        </is>
      </c>
    </row>
    <row r="30">
      <c r="A30" t="inlineStr">
        <is>
          <t>Panax Ginseng</t>
        </is>
      </c>
      <c r="B30" t="inlineStr">
        <is>
          <t>Ajwain</t>
        </is>
      </c>
      <c r="C30" t="n">
        <v>0</v>
      </c>
      <c r="D30" t="n">
        <v>1</v>
      </c>
      <c r="E30" t="n">
        <v>5</v>
      </c>
      <c r="G30" t="inlineStr">
        <is>
          <t>adaptogenic; cognitive-neuroprotective; gastrointestinal; metabolic; neurotransmitter</t>
        </is>
      </c>
      <c r="I30" t="n">
        <v>0</v>
      </c>
      <c r="J30" t="n">
        <v>0</v>
      </c>
      <c r="K30" t="n">
        <v>56.2</v>
      </c>
      <c r="L30" t="n">
        <v>56.2</v>
      </c>
      <c r="M30" t="inlineStr">
        <is>
          <t>A</t>
        </is>
      </c>
      <c r="N30" t="inlineStr">
        <is>
          <t>general synergy</t>
        </is>
      </c>
    </row>
    <row r="31">
      <c r="A31" t="inlineStr">
        <is>
          <t>Chinese Skullcap</t>
        </is>
      </c>
      <c r="B31" t="inlineStr">
        <is>
          <t>Ashwagandha</t>
        </is>
      </c>
      <c r="C31" t="n">
        <v>2</v>
      </c>
      <c r="D31" t="n">
        <v>3</v>
      </c>
      <c r="E31" t="n">
        <v>2</v>
      </c>
      <c r="F31" t="inlineStr">
        <is>
          <t>cognitive-neuroprotective; inflammation</t>
        </is>
      </c>
      <c r="G31" t="inlineStr">
        <is>
          <t>adaptogenic; cognitive-neuroprotective; inflammation; oxidative-stress</t>
        </is>
      </c>
      <c r="I31" t="n">
        <v>3</v>
      </c>
      <c r="J31" t="n">
        <v>0</v>
      </c>
      <c r="K31" t="n">
        <v>58.3</v>
      </c>
      <c r="L31" t="n">
        <v>55.3</v>
      </c>
      <c r="M31" t="inlineStr">
        <is>
          <t>A</t>
        </is>
      </c>
      <c r="N31" t="inlineStr">
        <is>
          <t>inflammation + recovery</t>
        </is>
      </c>
    </row>
    <row r="32">
      <c r="A32" t="inlineStr">
        <is>
          <t>Green Tea</t>
        </is>
      </c>
      <c r="B32" t="inlineStr">
        <is>
          <t>Epimedium</t>
        </is>
      </c>
      <c r="C32" t="n">
        <v>0</v>
      </c>
      <c r="D32" t="n">
        <v>1</v>
      </c>
      <c r="E32" t="n">
        <v>4</v>
      </c>
      <c r="G32" t="inlineStr">
        <is>
          <t>metabolic; neurotransmitter; oxidative-stress; vascular</t>
        </is>
      </c>
      <c r="I32" t="n">
        <v>0</v>
      </c>
      <c r="J32" t="n">
        <v>0</v>
      </c>
      <c r="K32" t="n">
        <v>55.1</v>
      </c>
      <c r="L32" t="n">
        <v>55.1</v>
      </c>
      <c r="M32" t="inlineStr">
        <is>
          <t>A</t>
        </is>
      </c>
      <c r="N32" t="inlineStr">
        <is>
          <t>vascular support</t>
        </is>
      </c>
    </row>
    <row r="33">
      <c r="A33" t="inlineStr">
        <is>
          <t>Ginkgo Biloba</t>
        </is>
      </c>
      <c r="B33" t="inlineStr">
        <is>
          <t>Ajwain</t>
        </is>
      </c>
      <c r="C33" t="n">
        <v>0</v>
      </c>
      <c r="D33" t="n">
        <v>1</v>
      </c>
      <c r="E33" t="n">
        <v>4</v>
      </c>
      <c r="G33" t="inlineStr">
        <is>
          <t>cognitive-neuroprotective; inflammation; oxidative-stress; vascular</t>
        </is>
      </c>
      <c r="I33" t="n">
        <v>0</v>
      </c>
      <c r="J33" t="n">
        <v>0</v>
      </c>
      <c r="K33" t="n">
        <v>54.5</v>
      </c>
      <c r="L33" t="n">
        <v>54.5</v>
      </c>
      <c r="M33" t="inlineStr">
        <is>
          <t>B</t>
        </is>
      </c>
      <c r="N33" t="inlineStr">
        <is>
          <t>vascular support</t>
        </is>
      </c>
    </row>
    <row r="34">
      <c r="A34" t="inlineStr">
        <is>
          <t>Chamomile</t>
        </is>
      </c>
      <c r="B34" t="inlineStr">
        <is>
          <t>Black Cohosh</t>
        </is>
      </c>
      <c r="C34" t="n">
        <v>2</v>
      </c>
      <c r="D34" t="n">
        <v>1</v>
      </c>
      <c r="E34" t="n">
        <v>2</v>
      </c>
      <c r="F34" t="inlineStr">
        <is>
          <t>gastrointestinal; inflammation</t>
        </is>
      </c>
      <c r="G34" t="inlineStr">
        <is>
          <t>gastrointestinal; inflammation; neurotransmitter; oxidative-stress</t>
        </is>
      </c>
      <c r="I34" t="n">
        <v>0</v>
      </c>
      <c r="J34" t="n">
        <v>0</v>
      </c>
      <c r="K34" t="n">
        <v>52.9</v>
      </c>
      <c r="L34" t="n">
        <v>52.9</v>
      </c>
      <c r="M34" t="inlineStr">
        <is>
          <t>B</t>
        </is>
      </c>
      <c r="N34" t="inlineStr">
        <is>
          <t>inflammation + recovery</t>
        </is>
      </c>
    </row>
    <row r="35">
      <c r="A35" t="inlineStr">
        <is>
          <t>Ashwagandha</t>
        </is>
      </c>
      <c r="B35" t="inlineStr">
        <is>
          <t>Black Cohosh</t>
        </is>
      </c>
      <c r="C35" t="n">
        <v>2</v>
      </c>
      <c r="D35" t="n">
        <v>1</v>
      </c>
      <c r="E35" t="n">
        <v>3</v>
      </c>
      <c r="F35" t="inlineStr">
        <is>
          <t>inflammation; oxidative-stress</t>
        </is>
      </c>
      <c r="G35" t="inlineStr">
        <is>
          <t>adaptogenic; cognitive-neuroprotective; gastrointestinal; inflammation; oxidative-stress</t>
        </is>
      </c>
      <c r="I35" t="n">
        <v>0</v>
      </c>
      <c r="J35" t="n">
        <v>0</v>
      </c>
      <c r="K35" t="n">
        <v>52.4</v>
      </c>
      <c r="L35" t="n">
        <v>52.4</v>
      </c>
      <c r="M35" t="inlineStr">
        <is>
          <t>B</t>
        </is>
      </c>
      <c r="N35" t="inlineStr">
        <is>
          <t>inflammation + recovery</t>
        </is>
      </c>
    </row>
    <row r="36">
      <c r="A36" t="inlineStr">
        <is>
          <t>Chamomile</t>
        </is>
      </c>
      <c r="B36" t="inlineStr">
        <is>
          <t>Epimedium</t>
        </is>
      </c>
      <c r="C36" t="n">
        <v>0</v>
      </c>
      <c r="D36" t="n">
        <v>1</v>
      </c>
      <c r="E36" t="n">
        <v>4</v>
      </c>
      <c r="G36" t="inlineStr">
        <is>
          <t>gastrointestinal; inflammation; neurotransmitter; vascular</t>
        </is>
      </c>
      <c r="I36" t="n">
        <v>0</v>
      </c>
      <c r="J36" t="n">
        <v>0</v>
      </c>
      <c r="K36" t="n">
        <v>50.8</v>
      </c>
      <c r="L36" t="n">
        <v>50.8</v>
      </c>
      <c r="M36" t="inlineStr">
        <is>
          <t>B</t>
        </is>
      </c>
      <c r="N36" t="inlineStr">
        <is>
          <t>vascular support</t>
        </is>
      </c>
    </row>
    <row r="37">
      <c r="A37" t="inlineStr">
        <is>
          <t>Ginkgo Biloba</t>
        </is>
      </c>
      <c r="B37" t="inlineStr">
        <is>
          <t>Arjuna</t>
        </is>
      </c>
      <c r="C37" t="n">
        <v>1</v>
      </c>
      <c r="D37" t="n">
        <v>1</v>
      </c>
      <c r="E37" t="n">
        <v>3</v>
      </c>
      <c r="F37" t="inlineStr">
        <is>
          <t>vascular</t>
        </is>
      </c>
      <c r="G37" t="inlineStr">
        <is>
          <t>cognitive-neuroprotective; inflammation; oxidative-stress; vascular</t>
        </is>
      </c>
      <c r="H37" t="inlineStr">
        <is>
          <t>vascular</t>
        </is>
      </c>
      <c r="I37" t="n">
        <v>0</v>
      </c>
      <c r="J37" t="n">
        <v>6</v>
      </c>
      <c r="K37" t="n">
        <v>56.6</v>
      </c>
      <c r="L37" t="n">
        <v>50.6</v>
      </c>
      <c r="M37" t="inlineStr">
        <is>
          <t>B</t>
        </is>
      </c>
      <c r="N37" t="inlineStr">
        <is>
          <t>vascular support</t>
        </is>
      </c>
    </row>
    <row r="38">
      <c r="A38" t="inlineStr">
        <is>
          <t>Green Tea</t>
        </is>
      </c>
      <c r="B38" t="inlineStr">
        <is>
          <t>Turmeric</t>
        </is>
      </c>
      <c r="C38" t="n">
        <v>0</v>
      </c>
      <c r="D38" t="n">
        <v>1</v>
      </c>
      <c r="E38" t="n">
        <v>3</v>
      </c>
      <c r="G38" t="inlineStr">
        <is>
          <t>metabolic; neurotransmitter; oxidative-stress</t>
        </is>
      </c>
      <c r="I38" t="n">
        <v>0</v>
      </c>
      <c r="J38" t="n">
        <v>0</v>
      </c>
      <c r="K38" t="n">
        <v>50.5</v>
      </c>
      <c r="L38" t="n">
        <v>50.5</v>
      </c>
      <c r="M38" t="inlineStr">
        <is>
          <t>B</t>
        </is>
      </c>
      <c r="N38" t="inlineStr">
        <is>
          <t>general synergy</t>
        </is>
      </c>
    </row>
    <row r="39">
      <c r="A39" t="inlineStr">
        <is>
          <t>Epimedium</t>
        </is>
      </c>
      <c r="B39" t="inlineStr">
        <is>
          <t>Ashwagandha</t>
        </is>
      </c>
      <c r="C39" t="n">
        <v>0</v>
      </c>
      <c r="D39" t="n">
        <v>1</v>
      </c>
      <c r="E39" t="n">
        <v>5</v>
      </c>
      <c r="G39" t="inlineStr">
        <is>
          <t>adaptogenic; cognitive-neuroprotective; inflammation; oxidative-stress; vascular</t>
        </is>
      </c>
      <c r="I39" t="n">
        <v>0</v>
      </c>
      <c r="J39" t="n">
        <v>0</v>
      </c>
      <c r="K39" t="n">
        <v>50.3</v>
      </c>
      <c r="L39" t="n">
        <v>50.3</v>
      </c>
      <c r="M39" t="inlineStr">
        <is>
          <t>B</t>
        </is>
      </c>
      <c r="N39" t="inlineStr">
        <is>
          <t>vascular support</t>
        </is>
      </c>
    </row>
    <row r="40">
      <c r="A40" t="inlineStr">
        <is>
          <t>Green Tea</t>
        </is>
      </c>
      <c r="B40" t="inlineStr">
        <is>
          <t>Black Pepper</t>
        </is>
      </c>
      <c r="C40" t="n">
        <v>0</v>
      </c>
      <c r="D40" t="n">
        <v>1</v>
      </c>
      <c r="E40" t="n">
        <v>4</v>
      </c>
      <c r="G40" t="inlineStr">
        <is>
          <t>gastrointestinal; metabolic; neurotransmitter; oxidative-stress</t>
        </is>
      </c>
      <c r="I40" t="n">
        <v>0</v>
      </c>
      <c r="J40" t="n">
        <v>0</v>
      </c>
      <c r="K40" t="n">
        <v>49.2</v>
      </c>
      <c r="L40" t="n">
        <v>49.2</v>
      </c>
      <c r="M40" t="inlineStr">
        <is>
          <t>B</t>
        </is>
      </c>
      <c r="N40" t="inlineStr">
        <is>
          <t>general synergy</t>
        </is>
      </c>
    </row>
    <row r="41">
      <c r="A41" t="inlineStr">
        <is>
          <t>Green Tea</t>
        </is>
      </c>
      <c r="B41" t="inlineStr">
        <is>
          <t>Blue Lotus</t>
        </is>
      </c>
      <c r="C41" t="n">
        <v>0</v>
      </c>
      <c r="D41" t="n">
        <v>1</v>
      </c>
      <c r="E41" t="n">
        <v>3</v>
      </c>
      <c r="G41" t="inlineStr">
        <is>
          <t>metabolic; neurotransmitter; oxidative-stress</t>
        </is>
      </c>
      <c r="I41" t="n">
        <v>0</v>
      </c>
      <c r="J41" t="n">
        <v>0</v>
      </c>
      <c r="K41" t="n">
        <v>48</v>
      </c>
      <c r="L41" t="n">
        <v>48</v>
      </c>
      <c r="M41" t="inlineStr">
        <is>
          <t>B</t>
        </is>
      </c>
      <c r="N41" t="inlineStr">
        <is>
          <t>general synergy</t>
        </is>
      </c>
    </row>
    <row r="42">
      <c r="A42" t="inlineStr">
        <is>
          <t>Chinese Skullcap</t>
        </is>
      </c>
      <c r="B42" t="inlineStr">
        <is>
          <t>Black Cohosh</t>
        </is>
      </c>
      <c r="C42" t="n">
        <v>1</v>
      </c>
      <c r="D42" t="n">
        <v>1</v>
      </c>
      <c r="E42" t="n">
        <v>3</v>
      </c>
      <c r="F42" t="inlineStr">
        <is>
          <t>inflammation</t>
        </is>
      </c>
      <c r="G42" t="inlineStr">
        <is>
          <t>cognitive-neuroprotective; gastrointestinal; inflammation; oxidative-stress</t>
        </is>
      </c>
      <c r="I42" t="n">
        <v>0</v>
      </c>
      <c r="J42" t="n">
        <v>0</v>
      </c>
      <c r="K42" t="n">
        <v>47</v>
      </c>
      <c r="L42" t="n">
        <v>47</v>
      </c>
      <c r="M42" t="inlineStr">
        <is>
          <t>B</t>
        </is>
      </c>
      <c r="N42" t="inlineStr">
        <is>
          <t>inflammation + recovery</t>
        </is>
      </c>
    </row>
    <row r="43">
      <c r="A43" t="inlineStr">
        <is>
          <t>Chamomile</t>
        </is>
      </c>
      <c r="B43" t="inlineStr">
        <is>
          <t>Turmeric</t>
        </is>
      </c>
      <c r="C43" t="n">
        <v>0</v>
      </c>
      <c r="D43" t="n">
        <v>1</v>
      </c>
      <c r="E43" t="n">
        <v>3</v>
      </c>
      <c r="G43" t="inlineStr">
        <is>
          <t>gastrointestinal; inflammation; neurotransmitter</t>
        </is>
      </c>
      <c r="I43" t="n">
        <v>0</v>
      </c>
      <c r="J43" t="n">
        <v>0</v>
      </c>
      <c r="K43" t="n">
        <v>46.2</v>
      </c>
      <c r="L43" t="n">
        <v>46.2</v>
      </c>
      <c r="M43" t="inlineStr">
        <is>
          <t>B</t>
        </is>
      </c>
      <c r="N43" t="inlineStr">
        <is>
          <t>general synergy</t>
        </is>
      </c>
    </row>
    <row r="44">
      <c r="A44" t="inlineStr">
        <is>
          <t>Ashwagandha</t>
        </is>
      </c>
      <c r="B44" t="inlineStr">
        <is>
          <t>Corydalis</t>
        </is>
      </c>
      <c r="C44" t="n">
        <v>0</v>
      </c>
      <c r="D44" t="n">
        <v>1</v>
      </c>
      <c r="E44" t="n">
        <v>6</v>
      </c>
      <c r="G44" t="inlineStr">
        <is>
          <t>adaptogenic; cognitive-neuroprotective; gastrointestinal; inflammation; neurotransmitter; oxidative-stress</t>
        </is>
      </c>
      <c r="I44" t="n">
        <v>0</v>
      </c>
      <c r="J44" t="n">
        <v>0</v>
      </c>
      <c r="K44" t="n">
        <v>45.8</v>
      </c>
      <c r="L44" t="n">
        <v>45.8</v>
      </c>
      <c r="M44" t="inlineStr">
        <is>
          <t>B</t>
        </is>
      </c>
      <c r="N44" t="inlineStr">
        <is>
          <t>general synergy</t>
        </is>
      </c>
    </row>
    <row r="45">
      <c r="A45" t="inlineStr">
        <is>
          <t>Ashwagandha</t>
        </is>
      </c>
      <c r="B45" t="inlineStr">
        <is>
          <t>Turmeric</t>
        </is>
      </c>
      <c r="C45" t="n">
        <v>0</v>
      </c>
      <c r="D45" t="n">
        <v>1</v>
      </c>
      <c r="E45" t="n">
        <v>4</v>
      </c>
      <c r="G45" t="inlineStr">
        <is>
          <t>adaptogenic; cognitive-neuroprotective; inflammation; oxidative-stress</t>
        </is>
      </c>
      <c r="I45" t="n">
        <v>0</v>
      </c>
      <c r="J45" t="n">
        <v>0</v>
      </c>
      <c r="K45" t="n">
        <v>45.8</v>
      </c>
      <c r="L45" t="n">
        <v>45.8</v>
      </c>
      <c r="M45" t="inlineStr">
        <is>
          <t>B</t>
        </is>
      </c>
      <c r="N45" t="inlineStr">
        <is>
          <t>general synergy</t>
        </is>
      </c>
    </row>
    <row r="46">
      <c r="A46" t="inlineStr">
        <is>
          <t>Green Tea</t>
        </is>
      </c>
      <c r="B46" t="inlineStr">
        <is>
          <t>Arjuna</t>
        </is>
      </c>
      <c r="C46" t="n">
        <v>0</v>
      </c>
      <c r="D46" t="n">
        <v>1</v>
      </c>
      <c r="E46" t="n">
        <v>4</v>
      </c>
      <c r="G46" t="inlineStr">
        <is>
          <t>metabolic; neurotransmitter; oxidative-stress; vascular</t>
        </is>
      </c>
      <c r="I46" t="n">
        <v>0</v>
      </c>
      <c r="J46" t="n">
        <v>0</v>
      </c>
      <c r="K46" t="n">
        <v>45.5</v>
      </c>
      <c r="L46" t="n">
        <v>45.5</v>
      </c>
      <c r="M46" t="inlineStr">
        <is>
          <t>B</t>
        </is>
      </c>
      <c r="N46" t="inlineStr">
        <is>
          <t>vascular support</t>
        </is>
      </c>
    </row>
    <row r="47">
      <c r="A47" t="inlineStr">
        <is>
          <t>Chamomile</t>
        </is>
      </c>
      <c r="B47" t="inlineStr">
        <is>
          <t>Black Pepper</t>
        </is>
      </c>
      <c r="C47" t="n">
        <v>1</v>
      </c>
      <c r="D47" t="n">
        <v>1</v>
      </c>
      <c r="E47" t="n">
        <v>2</v>
      </c>
      <c r="F47" t="inlineStr">
        <is>
          <t>gastrointestinal</t>
        </is>
      </c>
      <c r="G47" t="inlineStr">
        <is>
          <t>gastrointestinal; inflammation; neurotransmitter</t>
        </is>
      </c>
      <c r="I47" t="n">
        <v>0</v>
      </c>
      <c r="J47" t="n">
        <v>0</v>
      </c>
      <c r="K47" t="n">
        <v>44.9</v>
      </c>
      <c r="L47" t="n">
        <v>44.9</v>
      </c>
      <c r="M47" t="inlineStr">
        <is>
          <t>B</t>
        </is>
      </c>
      <c r="N47" t="inlineStr">
        <is>
          <t>general synergy</t>
        </is>
      </c>
    </row>
    <row r="48">
      <c r="A48" t="inlineStr">
        <is>
          <t>Chinese Skullcap</t>
        </is>
      </c>
      <c r="B48" t="inlineStr">
        <is>
          <t>Epimedium</t>
        </is>
      </c>
      <c r="C48" t="n">
        <v>0</v>
      </c>
      <c r="D48" t="n">
        <v>1</v>
      </c>
      <c r="E48" t="n">
        <v>3</v>
      </c>
      <c r="G48" t="inlineStr">
        <is>
          <t>cognitive-neuroprotective; inflammation; vascular</t>
        </is>
      </c>
      <c r="I48" t="n">
        <v>0</v>
      </c>
      <c r="J48" t="n">
        <v>0</v>
      </c>
      <c r="K48" t="n">
        <v>44.9</v>
      </c>
      <c r="L48" t="n">
        <v>44.9</v>
      </c>
      <c r="M48" t="inlineStr">
        <is>
          <t>B</t>
        </is>
      </c>
      <c r="N48" t="inlineStr">
        <is>
          <t>vascular support</t>
        </is>
      </c>
    </row>
    <row r="49">
      <c r="A49" t="inlineStr">
        <is>
          <t>Green Tea</t>
        </is>
      </c>
      <c r="B49" t="inlineStr">
        <is>
          <t>Corydalis</t>
        </is>
      </c>
      <c r="C49" t="n">
        <v>1</v>
      </c>
      <c r="D49" t="n">
        <v>1</v>
      </c>
      <c r="E49" t="n">
        <v>3</v>
      </c>
      <c r="F49" t="inlineStr">
        <is>
          <t>neurotransmitter</t>
        </is>
      </c>
      <c r="G49" t="inlineStr">
        <is>
          <t>gastrointestinal; metabolic; neurotransmitter; oxidative-stress</t>
        </is>
      </c>
      <c r="H49" t="inlineStr">
        <is>
          <t>stimulant-neuro</t>
        </is>
      </c>
      <c r="I49" t="n">
        <v>0</v>
      </c>
      <c r="J49" t="n">
        <v>6</v>
      </c>
      <c r="K49" t="n">
        <v>50.6</v>
      </c>
      <c r="L49" t="n">
        <v>44.6</v>
      </c>
      <c r="M49" t="inlineStr">
        <is>
          <t>B</t>
        </is>
      </c>
      <c r="N49" t="inlineStr">
        <is>
          <t>neuroactive stack</t>
        </is>
      </c>
    </row>
    <row r="50">
      <c r="A50" t="inlineStr">
        <is>
          <t>Ashwagandha</t>
        </is>
      </c>
      <c r="B50" t="inlineStr">
        <is>
          <t>Black Pepper</t>
        </is>
      </c>
      <c r="C50" t="n">
        <v>0</v>
      </c>
      <c r="D50" t="n">
        <v>1</v>
      </c>
      <c r="E50" t="n">
        <v>5</v>
      </c>
      <c r="G50" t="inlineStr">
        <is>
          <t>adaptogenic; cognitive-neuroprotective; gastrointestinal; inflammation; oxidative-stress</t>
        </is>
      </c>
      <c r="I50" t="n">
        <v>0</v>
      </c>
      <c r="J50" t="n">
        <v>0</v>
      </c>
      <c r="K50" t="n">
        <v>44.4</v>
      </c>
      <c r="L50" t="n">
        <v>44.4</v>
      </c>
      <c r="M50" t="inlineStr">
        <is>
          <t>B</t>
        </is>
      </c>
      <c r="N50" t="inlineStr">
        <is>
          <t>general synergy</t>
        </is>
      </c>
    </row>
    <row r="51">
      <c r="A51" t="inlineStr">
        <is>
          <t>Chamomile</t>
        </is>
      </c>
      <c r="B51" t="inlineStr">
        <is>
          <t>Blue Lotus</t>
        </is>
      </c>
      <c r="C51" t="n">
        <v>0</v>
      </c>
      <c r="D51" t="n">
        <v>1</v>
      </c>
      <c r="E51" t="n">
        <v>3</v>
      </c>
      <c r="G51" t="inlineStr">
        <is>
          <t>gastrointestinal; inflammation; neurotransmitter</t>
        </is>
      </c>
      <c r="I51" t="n">
        <v>0</v>
      </c>
      <c r="J51" t="n">
        <v>0</v>
      </c>
      <c r="K51" t="n">
        <v>43.6</v>
      </c>
      <c r="L51" t="n">
        <v>43.6</v>
      </c>
      <c r="M51" t="inlineStr">
        <is>
          <t>B</t>
        </is>
      </c>
      <c r="N51" t="inlineStr">
        <is>
          <t>general synergy</t>
        </is>
      </c>
    </row>
    <row r="52">
      <c r="A52" t="inlineStr">
        <is>
          <t>Green Tea</t>
        </is>
      </c>
      <c r="B52" t="inlineStr">
        <is>
          <t>Ajwain</t>
        </is>
      </c>
      <c r="C52" t="n">
        <v>0</v>
      </c>
      <c r="D52" t="n">
        <v>1</v>
      </c>
      <c r="E52" t="n">
        <v>3</v>
      </c>
      <c r="G52" t="inlineStr">
        <is>
          <t>metabolic; neurotransmitter; oxidative-stress</t>
        </is>
      </c>
      <c r="I52" t="n">
        <v>0</v>
      </c>
      <c r="J52" t="n">
        <v>0</v>
      </c>
      <c r="K52" t="n">
        <v>43.4</v>
      </c>
      <c r="L52" t="n">
        <v>43.4</v>
      </c>
      <c r="M52" t="inlineStr">
        <is>
          <t>B</t>
        </is>
      </c>
      <c r="N52" t="inlineStr">
        <is>
          <t>general synergy</t>
        </is>
      </c>
    </row>
    <row r="53">
      <c r="A53" t="inlineStr">
        <is>
          <t>Ashwagandha</t>
        </is>
      </c>
      <c r="B53" t="inlineStr">
        <is>
          <t>Blue Lotus</t>
        </is>
      </c>
      <c r="C53" t="n">
        <v>0</v>
      </c>
      <c r="D53" t="n">
        <v>1</v>
      </c>
      <c r="E53" t="n">
        <v>4</v>
      </c>
      <c r="G53" t="inlineStr">
        <is>
          <t>adaptogenic; cognitive-neuroprotective; inflammation; oxidative-stress</t>
        </is>
      </c>
      <c r="I53" t="n">
        <v>0</v>
      </c>
      <c r="J53" t="n">
        <v>0</v>
      </c>
      <c r="K53" t="n">
        <v>43.1</v>
      </c>
      <c r="L53" t="n">
        <v>43.1</v>
      </c>
      <c r="M53" t="inlineStr">
        <is>
          <t>B</t>
        </is>
      </c>
      <c r="N53" t="inlineStr">
        <is>
          <t>general synergy</t>
        </is>
      </c>
    </row>
    <row r="54">
      <c r="A54" t="inlineStr">
        <is>
          <t>Epimedium</t>
        </is>
      </c>
      <c r="B54" t="inlineStr">
        <is>
          <t>Black Cohosh</t>
        </is>
      </c>
      <c r="C54" t="n">
        <v>0</v>
      </c>
      <c r="D54" t="n">
        <v>1</v>
      </c>
      <c r="E54" t="n">
        <v>4</v>
      </c>
      <c r="G54" t="inlineStr">
        <is>
          <t>gastrointestinal; inflammation; oxidative-stress; vascular</t>
        </is>
      </c>
      <c r="I54" t="n">
        <v>0</v>
      </c>
      <c r="J54" t="n">
        <v>0</v>
      </c>
      <c r="K54" t="n">
        <v>43</v>
      </c>
      <c r="L54" t="n">
        <v>43</v>
      </c>
      <c r="M54" t="inlineStr">
        <is>
          <t>B</t>
        </is>
      </c>
      <c r="N54" t="inlineStr">
        <is>
          <t>vascular support</t>
        </is>
      </c>
    </row>
    <row r="55">
      <c r="A55" t="inlineStr">
        <is>
          <t>Chamomile</t>
        </is>
      </c>
      <c r="B55" t="inlineStr">
        <is>
          <t>Arjuna</t>
        </is>
      </c>
      <c r="C55" t="n">
        <v>0</v>
      </c>
      <c r="D55" t="n">
        <v>1</v>
      </c>
      <c r="E55" t="n">
        <v>4</v>
      </c>
      <c r="G55" t="inlineStr">
        <is>
          <t>gastrointestinal; inflammation; neurotransmitter; vascular</t>
        </is>
      </c>
      <c r="I55" t="n">
        <v>0</v>
      </c>
      <c r="J55" t="n">
        <v>0</v>
      </c>
      <c r="K55" t="n">
        <v>41.2</v>
      </c>
      <c r="L55" t="n">
        <v>41.2</v>
      </c>
      <c r="M55" t="inlineStr">
        <is>
          <t>C</t>
        </is>
      </c>
      <c r="N55" t="inlineStr">
        <is>
          <t>vascular support</t>
        </is>
      </c>
    </row>
    <row r="56">
      <c r="A56" t="inlineStr">
        <is>
          <t>Ashwagandha</t>
        </is>
      </c>
      <c r="B56" t="inlineStr">
        <is>
          <t>Arjuna</t>
        </is>
      </c>
      <c r="C56" t="n">
        <v>0</v>
      </c>
      <c r="D56" t="n">
        <v>1</v>
      </c>
      <c r="E56" t="n">
        <v>5</v>
      </c>
      <c r="G56" t="inlineStr">
        <is>
          <t>adaptogenic; cognitive-neuroprotective; inflammation; oxidative-stress; vascular</t>
        </is>
      </c>
      <c r="I56" t="n">
        <v>0</v>
      </c>
      <c r="J56" t="n">
        <v>0</v>
      </c>
      <c r="K56" t="n">
        <v>40.8</v>
      </c>
      <c r="L56" t="n">
        <v>40.8</v>
      </c>
      <c r="M56" t="inlineStr">
        <is>
          <t>C</t>
        </is>
      </c>
      <c r="N56" t="inlineStr">
        <is>
          <t>vascular support</t>
        </is>
      </c>
    </row>
    <row r="57">
      <c r="A57" t="inlineStr">
        <is>
          <t>Chinese Skullcap</t>
        </is>
      </c>
      <c r="B57" t="inlineStr">
        <is>
          <t>Corydalis</t>
        </is>
      </c>
      <c r="C57" t="n">
        <v>0</v>
      </c>
      <c r="D57" t="n">
        <v>1</v>
      </c>
      <c r="E57" t="n">
        <v>4</v>
      </c>
      <c r="G57" t="inlineStr">
        <is>
          <t>cognitive-neuroprotective; gastrointestinal; inflammation; neurotransmitter</t>
        </is>
      </c>
      <c r="I57" t="n">
        <v>0</v>
      </c>
      <c r="J57" t="n">
        <v>0</v>
      </c>
      <c r="K57" t="n">
        <v>40.4</v>
      </c>
      <c r="L57" t="n">
        <v>40.4</v>
      </c>
      <c r="M57" t="inlineStr">
        <is>
          <t>C</t>
        </is>
      </c>
      <c r="N57" t="inlineStr">
        <is>
          <t>general synergy</t>
        </is>
      </c>
    </row>
    <row r="58">
      <c r="A58" t="inlineStr">
        <is>
          <t>Chamomile</t>
        </is>
      </c>
      <c r="B58" t="inlineStr">
        <is>
          <t>Corydalis</t>
        </is>
      </c>
      <c r="C58" t="n">
        <v>2</v>
      </c>
      <c r="D58" t="n">
        <v>1</v>
      </c>
      <c r="E58" t="n">
        <v>1</v>
      </c>
      <c r="F58" t="inlineStr">
        <is>
          <t>gastrointestinal; neurotransmitter</t>
        </is>
      </c>
      <c r="G58" t="inlineStr">
        <is>
          <t>gastrointestinal; inflammation; neurotransmitter</t>
        </is>
      </c>
      <c r="H58" t="inlineStr">
        <is>
          <t>stimulant-neuro</t>
        </is>
      </c>
      <c r="I58" t="n">
        <v>0</v>
      </c>
      <c r="J58" t="n">
        <v>6</v>
      </c>
      <c r="K58" t="n">
        <v>46.3</v>
      </c>
      <c r="L58" t="n">
        <v>40.3</v>
      </c>
      <c r="M58" t="inlineStr">
        <is>
          <t>C</t>
        </is>
      </c>
      <c r="N58" t="inlineStr">
        <is>
          <t>neuroactive stack</t>
        </is>
      </c>
    </row>
    <row r="59">
      <c r="A59" t="inlineStr">
        <is>
          <t>Chinese Skullcap</t>
        </is>
      </c>
      <c r="B59" t="inlineStr">
        <is>
          <t>Turmeric</t>
        </is>
      </c>
      <c r="C59" t="n">
        <v>0</v>
      </c>
      <c r="D59" t="n">
        <v>1</v>
      </c>
      <c r="E59" t="n">
        <v>2</v>
      </c>
      <c r="G59" t="inlineStr">
        <is>
          <t>cognitive-neuroprotective; inflammation</t>
        </is>
      </c>
      <c r="I59" t="n">
        <v>0</v>
      </c>
      <c r="J59" t="n">
        <v>0</v>
      </c>
      <c r="K59" t="n">
        <v>40.3</v>
      </c>
      <c r="L59" t="n">
        <v>40.3</v>
      </c>
      <c r="M59" t="inlineStr">
        <is>
          <t>C</t>
        </is>
      </c>
      <c r="N59" t="inlineStr">
        <is>
          <t>general synergy</t>
        </is>
      </c>
    </row>
    <row r="60">
      <c r="A60" t="inlineStr">
        <is>
          <t>Chamomile</t>
        </is>
      </c>
      <c r="B60" t="inlineStr">
        <is>
          <t>Ajwain</t>
        </is>
      </c>
      <c r="C60" t="n">
        <v>0</v>
      </c>
      <c r="D60" t="n">
        <v>1</v>
      </c>
      <c r="E60" t="n">
        <v>3</v>
      </c>
      <c r="G60" t="inlineStr">
        <is>
          <t>gastrointestinal; inflammation; neurotransmitter</t>
        </is>
      </c>
      <c r="I60" t="n">
        <v>0</v>
      </c>
      <c r="J60" t="n">
        <v>0</v>
      </c>
      <c r="K60" t="n">
        <v>39.1</v>
      </c>
      <c r="L60" t="n">
        <v>39.1</v>
      </c>
      <c r="M60" t="inlineStr">
        <is>
          <t>C</t>
        </is>
      </c>
      <c r="N60" t="inlineStr">
        <is>
          <t>general synergy</t>
        </is>
      </c>
    </row>
    <row r="61">
      <c r="A61" t="inlineStr">
        <is>
          <t>Chinese Skullcap</t>
        </is>
      </c>
      <c r="B61" t="inlineStr">
        <is>
          <t>Black Pepper</t>
        </is>
      </c>
      <c r="C61" t="n">
        <v>0</v>
      </c>
      <c r="D61" t="n">
        <v>1</v>
      </c>
      <c r="E61" t="n">
        <v>3</v>
      </c>
      <c r="G61" t="inlineStr">
        <is>
          <t>cognitive-neuroprotective; gastrointestinal; inflammation</t>
        </is>
      </c>
      <c r="I61" t="n">
        <v>0</v>
      </c>
      <c r="J61" t="n">
        <v>0</v>
      </c>
      <c r="K61" t="n">
        <v>39</v>
      </c>
      <c r="L61" t="n">
        <v>39</v>
      </c>
      <c r="M61" t="inlineStr">
        <is>
          <t>C</t>
        </is>
      </c>
      <c r="N61" t="inlineStr">
        <is>
          <t>general synergy</t>
        </is>
      </c>
    </row>
    <row r="62">
      <c r="A62" t="inlineStr">
        <is>
          <t>Ashwagandha</t>
        </is>
      </c>
      <c r="B62" t="inlineStr">
        <is>
          <t>Ajwain</t>
        </is>
      </c>
      <c r="C62" t="n">
        <v>0</v>
      </c>
      <c r="D62" t="n">
        <v>1</v>
      </c>
      <c r="E62" t="n">
        <v>4</v>
      </c>
      <c r="G62" t="inlineStr">
        <is>
          <t>adaptogenic; cognitive-neuroprotective; inflammation; oxidative-stress</t>
        </is>
      </c>
      <c r="I62" t="n">
        <v>0</v>
      </c>
      <c r="J62" t="n">
        <v>0</v>
      </c>
      <c r="K62" t="n">
        <v>38.6</v>
      </c>
      <c r="L62" t="n">
        <v>38.6</v>
      </c>
      <c r="M62" t="inlineStr">
        <is>
          <t>C</t>
        </is>
      </c>
      <c r="N62" t="inlineStr">
        <is>
          <t>general synergy</t>
        </is>
      </c>
    </row>
    <row r="63">
      <c r="A63" t="inlineStr">
        <is>
          <t>Black Cohosh</t>
        </is>
      </c>
      <c r="B63" t="inlineStr">
        <is>
          <t>Corydalis</t>
        </is>
      </c>
      <c r="C63" t="n">
        <v>1</v>
      </c>
      <c r="D63" t="n">
        <v>1</v>
      </c>
      <c r="E63" t="n">
        <v>3</v>
      </c>
      <c r="F63" t="inlineStr">
        <is>
          <t>gastrointestinal</t>
        </is>
      </c>
      <c r="G63" t="inlineStr">
        <is>
          <t>gastrointestinal; inflammation; neurotransmitter; oxidative-stress</t>
        </is>
      </c>
      <c r="I63" t="n">
        <v>0</v>
      </c>
      <c r="J63" t="n">
        <v>0</v>
      </c>
      <c r="K63" t="n">
        <v>38.5</v>
      </c>
      <c r="L63" t="n">
        <v>38.5</v>
      </c>
      <c r="M63" t="inlineStr">
        <is>
          <t>C</t>
        </is>
      </c>
      <c r="N63" t="inlineStr">
        <is>
          <t>general synergy</t>
        </is>
      </c>
    </row>
    <row r="64">
      <c r="A64" t="inlineStr">
        <is>
          <t>Turmeric</t>
        </is>
      </c>
      <c r="B64" t="inlineStr">
        <is>
          <t>Black Cohosh</t>
        </is>
      </c>
      <c r="C64" t="n">
        <v>0</v>
      </c>
      <c r="D64" t="n">
        <v>1</v>
      </c>
      <c r="E64" t="n">
        <v>3</v>
      </c>
      <c r="G64" t="inlineStr">
        <is>
          <t>gastrointestinal; inflammation; oxidative-stress</t>
        </is>
      </c>
      <c r="I64" t="n">
        <v>0</v>
      </c>
      <c r="J64" t="n">
        <v>0</v>
      </c>
      <c r="K64" t="n">
        <v>38.4</v>
      </c>
      <c r="L64" t="n">
        <v>38.4</v>
      </c>
      <c r="M64" t="inlineStr">
        <is>
          <t>C</t>
        </is>
      </c>
      <c r="N64" t="inlineStr">
        <is>
          <t>general synergy</t>
        </is>
      </c>
    </row>
    <row r="65">
      <c r="A65" t="inlineStr">
        <is>
          <t>Chinese Skullcap</t>
        </is>
      </c>
      <c r="B65" t="inlineStr">
        <is>
          <t>Blue Lotus</t>
        </is>
      </c>
      <c r="C65" t="n">
        <v>0</v>
      </c>
      <c r="D65" t="n">
        <v>1</v>
      </c>
      <c r="E65" t="n">
        <v>2</v>
      </c>
      <c r="G65" t="inlineStr">
        <is>
          <t>cognitive-neuroprotective; inflammation</t>
        </is>
      </c>
      <c r="I65" t="n">
        <v>0</v>
      </c>
      <c r="J65" t="n">
        <v>0</v>
      </c>
      <c r="K65" t="n">
        <v>37.8</v>
      </c>
      <c r="L65" t="n">
        <v>37.8</v>
      </c>
      <c r="M65" t="inlineStr">
        <is>
          <t>C</t>
        </is>
      </c>
      <c r="N65" t="inlineStr">
        <is>
          <t>general synergy</t>
        </is>
      </c>
    </row>
    <row r="66">
      <c r="A66" t="inlineStr">
        <is>
          <t>Black Cohosh</t>
        </is>
      </c>
      <c r="B66" t="inlineStr">
        <is>
          <t>Black Pepper</t>
        </is>
      </c>
      <c r="C66" t="n">
        <v>1</v>
      </c>
      <c r="D66" t="n">
        <v>1</v>
      </c>
      <c r="E66" t="n">
        <v>2</v>
      </c>
      <c r="F66" t="inlineStr">
        <is>
          <t>gastrointestinal</t>
        </is>
      </c>
      <c r="G66" t="inlineStr">
        <is>
          <t>gastrointestinal; inflammation; oxidative-stress</t>
        </is>
      </c>
      <c r="I66" t="n">
        <v>0</v>
      </c>
      <c r="J66" t="n">
        <v>0</v>
      </c>
      <c r="K66" t="n">
        <v>37.1</v>
      </c>
      <c r="L66" t="n">
        <v>37.1</v>
      </c>
      <c r="M66" t="inlineStr">
        <is>
          <t>C</t>
        </is>
      </c>
      <c r="N66" t="inlineStr">
        <is>
          <t>general synergy</t>
        </is>
      </c>
    </row>
    <row r="67">
      <c r="A67" t="inlineStr">
        <is>
          <t>Epimedium</t>
        </is>
      </c>
      <c r="B67" t="inlineStr">
        <is>
          <t>Corydalis</t>
        </is>
      </c>
      <c r="C67" t="n">
        <v>0</v>
      </c>
      <c r="D67" t="n">
        <v>1</v>
      </c>
      <c r="E67" t="n">
        <v>3</v>
      </c>
      <c r="G67" t="inlineStr">
        <is>
          <t>gastrointestinal; neurotransmitter; vascular</t>
        </is>
      </c>
      <c r="I67" t="n">
        <v>0</v>
      </c>
      <c r="J67" t="n">
        <v>0</v>
      </c>
      <c r="K67" t="n">
        <v>36.4</v>
      </c>
      <c r="L67" t="n">
        <v>36.4</v>
      </c>
      <c r="M67" t="inlineStr">
        <is>
          <t>C</t>
        </is>
      </c>
      <c r="N67" t="inlineStr">
        <is>
          <t>vascular support</t>
        </is>
      </c>
    </row>
    <row r="68">
      <c r="A68" t="inlineStr">
        <is>
          <t>Epimedium</t>
        </is>
      </c>
      <c r="B68" t="inlineStr">
        <is>
          <t>Turmeric</t>
        </is>
      </c>
      <c r="C68" t="n">
        <v>0</v>
      </c>
      <c r="D68" t="n">
        <v>1</v>
      </c>
      <c r="E68" t="n">
        <v>1</v>
      </c>
      <c r="G68" t="inlineStr">
        <is>
          <t>vascular</t>
        </is>
      </c>
      <c r="I68" t="n">
        <v>0</v>
      </c>
      <c r="J68" t="n">
        <v>0</v>
      </c>
      <c r="K68" t="n">
        <v>36.3</v>
      </c>
      <c r="L68" t="n">
        <v>36.3</v>
      </c>
      <c r="M68" t="inlineStr">
        <is>
          <t>C</t>
        </is>
      </c>
      <c r="N68" t="inlineStr">
        <is>
          <t>vascular support</t>
        </is>
      </c>
    </row>
    <row r="69">
      <c r="A69" t="inlineStr">
        <is>
          <t>Blue Lotus</t>
        </is>
      </c>
      <c r="B69" t="inlineStr">
        <is>
          <t>Black Cohosh</t>
        </is>
      </c>
      <c r="C69" t="n">
        <v>0</v>
      </c>
      <c r="D69" t="n">
        <v>1</v>
      </c>
      <c r="E69" t="n">
        <v>3</v>
      </c>
      <c r="G69" t="inlineStr">
        <is>
          <t>gastrointestinal; inflammation; oxidative-stress</t>
        </is>
      </c>
      <c r="I69" t="n">
        <v>0</v>
      </c>
      <c r="J69" t="n">
        <v>0</v>
      </c>
      <c r="K69" t="n">
        <v>35.9</v>
      </c>
      <c r="L69" t="n">
        <v>35.9</v>
      </c>
      <c r="M69" t="inlineStr">
        <is>
          <t>C</t>
        </is>
      </c>
      <c r="N69" t="inlineStr">
        <is>
          <t>general synergy</t>
        </is>
      </c>
    </row>
    <row r="70">
      <c r="A70" t="inlineStr">
        <is>
          <t>Chinese Skullcap</t>
        </is>
      </c>
      <c r="B70" t="inlineStr">
        <is>
          <t>Arjuna</t>
        </is>
      </c>
      <c r="C70" t="n">
        <v>0</v>
      </c>
      <c r="D70" t="n">
        <v>1</v>
      </c>
      <c r="E70" t="n">
        <v>3</v>
      </c>
      <c r="G70" t="inlineStr">
        <is>
          <t>cognitive-neuroprotective; inflammation; vascular</t>
        </is>
      </c>
      <c r="I70" t="n">
        <v>0</v>
      </c>
      <c r="J70" t="n">
        <v>0</v>
      </c>
      <c r="K70" t="n">
        <v>35.4</v>
      </c>
      <c r="L70" t="n">
        <v>35.4</v>
      </c>
      <c r="M70" t="inlineStr">
        <is>
          <t>C</t>
        </is>
      </c>
      <c r="N70" t="inlineStr">
        <is>
          <t>vascular support</t>
        </is>
      </c>
    </row>
    <row r="71">
      <c r="A71" t="inlineStr">
        <is>
          <t>Epimedium</t>
        </is>
      </c>
      <c r="B71" t="inlineStr">
        <is>
          <t>Black Pepper</t>
        </is>
      </c>
      <c r="C71" t="n">
        <v>0</v>
      </c>
      <c r="D71" t="n">
        <v>1</v>
      </c>
      <c r="E71" t="n">
        <v>2</v>
      </c>
      <c r="G71" t="inlineStr">
        <is>
          <t>gastrointestinal; vascular</t>
        </is>
      </c>
      <c r="I71" t="n">
        <v>0</v>
      </c>
      <c r="J71" t="n">
        <v>0</v>
      </c>
      <c r="K71" t="n">
        <v>35</v>
      </c>
      <c r="L71" t="n">
        <v>35</v>
      </c>
      <c r="M71" t="inlineStr">
        <is>
          <t>C</t>
        </is>
      </c>
      <c r="N71" t="inlineStr">
        <is>
          <t>vascular support</t>
        </is>
      </c>
    </row>
    <row r="72">
      <c r="A72" t="inlineStr">
        <is>
          <t>Epimedium</t>
        </is>
      </c>
      <c r="B72" t="inlineStr">
        <is>
          <t>Blue Lotus</t>
        </is>
      </c>
      <c r="C72" t="n">
        <v>0</v>
      </c>
      <c r="D72" t="n">
        <v>1</v>
      </c>
      <c r="E72" t="n">
        <v>1</v>
      </c>
      <c r="G72" t="inlineStr">
        <is>
          <t>vascular</t>
        </is>
      </c>
      <c r="I72" t="n">
        <v>0</v>
      </c>
      <c r="J72" t="n">
        <v>0</v>
      </c>
      <c r="K72" t="n">
        <v>33.8</v>
      </c>
      <c r="L72" t="n">
        <v>33.8</v>
      </c>
      <c r="M72" t="inlineStr">
        <is>
          <t>C</t>
        </is>
      </c>
      <c r="N72" t="inlineStr">
        <is>
          <t>vascular support</t>
        </is>
      </c>
    </row>
    <row r="73">
      <c r="A73" t="inlineStr">
        <is>
          <t>Black Cohosh</t>
        </is>
      </c>
      <c r="B73" t="inlineStr">
        <is>
          <t>Arjuna</t>
        </is>
      </c>
      <c r="C73" t="n">
        <v>0</v>
      </c>
      <c r="D73" t="n">
        <v>1</v>
      </c>
      <c r="E73" t="n">
        <v>4</v>
      </c>
      <c r="G73" t="inlineStr">
        <is>
          <t>gastrointestinal; inflammation; oxidative-stress; vascular</t>
        </is>
      </c>
      <c r="I73" t="n">
        <v>0</v>
      </c>
      <c r="J73" t="n">
        <v>0</v>
      </c>
      <c r="K73" t="n">
        <v>33.5</v>
      </c>
      <c r="L73" t="n">
        <v>33.5</v>
      </c>
      <c r="M73" t="inlineStr">
        <is>
          <t>C</t>
        </is>
      </c>
      <c r="N73" t="inlineStr">
        <is>
          <t>vascular support</t>
        </is>
      </c>
    </row>
    <row r="74">
      <c r="A74" t="inlineStr">
        <is>
          <t>Chinese Skullcap</t>
        </is>
      </c>
      <c r="B74" t="inlineStr">
        <is>
          <t>Ajwain</t>
        </is>
      </c>
      <c r="C74" t="n">
        <v>0</v>
      </c>
      <c r="D74" t="n">
        <v>1</v>
      </c>
      <c r="E74" t="n">
        <v>2</v>
      </c>
      <c r="G74" t="inlineStr">
        <is>
          <t>cognitive-neuroprotective; inflammation</t>
        </is>
      </c>
      <c r="I74" t="n">
        <v>0</v>
      </c>
      <c r="J74" t="n">
        <v>0</v>
      </c>
      <c r="K74" t="n">
        <v>33.2</v>
      </c>
      <c r="L74" t="n">
        <v>33.2</v>
      </c>
      <c r="M74" t="inlineStr">
        <is>
          <t>C</t>
        </is>
      </c>
      <c r="N74" t="inlineStr">
        <is>
          <t>general synergy</t>
        </is>
      </c>
    </row>
    <row r="75">
      <c r="A75" t="inlineStr">
        <is>
          <t>Turmeric</t>
        </is>
      </c>
      <c r="B75" t="inlineStr">
        <is>
          <t>Corydalis</t>
        </is>
      </c>
      <c r="C75" t="n">
        <v>0</v>
      </c>
      <c r="D75" t="n">
        <v>1</v>
      </c>
      <c r="E75" t="n">
        <v>2</v>
      </c>
      <c r="G75" t="inlineStr">
        <is>
          <t>gastrointestinal; neurotransmitter</t>
        </is>
      </c>
      <c r="I75" t="n">
        <v>0</v>
      </c>
      <c r="J75" t="n">
        <v>0</v>
      </c>
      <c r="K75" t="n">
        <v>31.9</v>
      </c>
      <c r="L75" t="n">
        <v>31.9</v>
      </c>
      <c r="M75" t="inlineStr">
        <is>
          <t>C</t>
        </is>
      </c>
      <c r="N75" t="inlineStr">
        <is>
          <t>general synergy</t>
        </is>
      </c>
    </row>
    <row r="76">
      <c r="A76" t="inlineStr">
        <is>
          <t>Black Cohosh</t>
        </is>
      </c>
      <c r="B76" t="inlineStr">
        <is>
          <t>Ajwain</t>
        </is>
      </c>
      <c r="C76" t="n">
        <v>0</v>
      </c>
      <c r="D76" t="n">
        <v>1</v>
      </c>
      <c r="E76" t="n">
        <v>3</v>
      </c>
      <c r="G76" t="inlineStr">
        <is>
          <t>gastrointestinal; inflammation; oxidative-stress</t>
        </is>
      </c>
      <c r="I76" t="n">
        <v>0</v>
      </c>
      <c r="J76" t="n">
        <v>0</v>
      </c>
      <c r="K76" t="n">
        <v>31.3</v>
      </c>
      <c r="L76" t="n">
        <v>31.3</v>
      </c>
      <c r="M76" t="inlineStr">
        <is>
          <t>C</t>
        </is>
      </c>
      <c r="N76" t="inlineStr">
        <is>
          <t>general synergy</t>
        </is>
      </c>
    </row>
    <row r="77">
      <c r="A77" t="inlineStr">
        <is>
          <t>Black Pepper</t>
        </is>
      </c>
      <c r="B77" t="inlineStr">
        <is>
          <t>Corydalis</t>
        </is>
      </c>
      <c r="C77" t="n">
        <v>1</v>
      </c>
      <c r="D77" t="n">
        <v>1</v>
      </c>
      <c r="E77" t="n">
        <v>1</v>
      </c>
      <c r="F77" t="inlineStr">
        <is>
          <t>gastrointestinal</t>
        </is>
      </c>
      <c r="G77" t="inlineStr">
        <is>
          <t>gastrointestinal; neurotransmitter</t>
        </is>
      </c>
      <c r="I77" t="n">
        <v>0</v>
      </c>
      <c r="J77" t="n">
        <v>0</v>
      </c>
      <c r="K77" t="n">
        <v>30.5</v>
      </c>
      <c r="L77" t="n">
        <v>30.5</v>
      </c>
      <c r="M77" t="inlineStr">
        <is>
          <t>C</t>
        </is>
      </c>
      <c r="N77" t="inlineStr">
        <is>
          <t>general synergy</t>
        </is>
      </c>
    </row>
    <row r="78">
      <c r="A78" t="inlineStr">
        <is>
          <t>Turmeric</t>
        </is>
      </c>
      <c r="B78" t="inlineStr">
        <is>
          <t>Black Pepper</t>
        </is>
      </c>
      <c r="C78" t="n">
        <v>0</v>
      </c>
      <c r="D78" t="n">
        <v>1</v>
      </c>
      <c r="E78" t="n">
        <v>1</v>
      </c>
      <c r="G78" t="inlineStr">
        <is>
          <t>gastrointestinal</t>
        </is>
      </c>
      <c r="I78" t="n">
        <v>0</v>
      </c>
      <c r="J78" t="n">
        <v>0</v>
      </c>
      <c r="K78" t="n">
        <v>30.4</v>
      </c>
      <c r="L78" t="n">
        <v>30.4</v>
      </c>
      <c r="M78" t="inlineStr">
        <is>
          <t>C</t>
        </is>
      </c>
      <c r="N78" t="inlineStr">
        <is>
          <t>general synergy</t>
        </is>
      </c>
    </row>
    <row r="79">
      <c r="A79" t="inlineStr">
        <is>
          <t>Blue Lotus</t>
        </is>
      </c>
      <c r="B79" t="inlineStr">
        <is>
          <t>Corydalis</t>
        </is>
      </c>
      <c r="C79" t="n">
        <v>0</v>
      </c>
      <c r="D79" t="n">
        <v>1</v>
      </c>
      <c r="E79" t="n">
        <v>2</v>
      </c>
      <c r="G79" t="inlineStr">
        <is>
          <t>gastrointestinal; neurotransmitter</t>
        </is>
      </c>
      <c r="I79" t="n">
        <v>0</v>
      </c>
      <c r="J79" t="n">
        <v>0</v>
      </c>
      <c r="K79" t="n">
        <v>29.2</v>
      </c>
      <c r="L79" t="n">
        <v>29.2</v>
      </c>
      <c r="M79" t="inlineStr">
        <is>
          <t>D</t>
        </is>
      </c>
      <c r="N79" t="inlineStr">
        <is>
          <t>general synergy</t>
        </is>
      </c>
    </row>
    <row r="80">
      <c r="A80" t="inlineStr">
        <is>
          <t>Epimedium</t>
        </is>
      </c>
      <c r="B80" t="inlineStr">
        <is>
          <t>Ajwain</t>
        </is>
      </c>
      <c r="C80" t="n">
        <v>0</v>
      </c>
      <c r="D80" t="n">
        <v>1</v>
      </c>
      <c r="E80" t="n">
        <v>1</v>
      </c>
      <c r="G80" t="inlineStr">
        <is>
          <t>vascular</t>
        </is>
      </c>
      <c r="I80" t="n">
        <v>0</v>
      </c>
      <c r="J80" t="n">
        <v>0</v>
      </c>
      <c r="K80" t="n">
        <v>29.2</v>
      </c>
      <c r="L80" t="n">
        <v>29.2</v>
      </c>
      <c r="M80" t="inlineStr">
        <is>
          <t>D</t>
        </is>
      </c>
      <c r="N80" t="inlineStr">
        <is>
          <t>vascular support</t>
        </is>
      </c>
    </row>
    <row r="81">
      <c r="A81" t="inlineStr">
        <is>
          <t>Turmeric</t>
        </is>
      </c>
      <c r="B81" t="inlineStr">
        <is>
          <t>Blue Lotus</t>
        </is>
      </c>
      <c r="C81" t="n">
        <v>0</v>
      </c>
      <c r="D81" t="n">
        <v>1</v>
      </c>
      <c r="E81" t="n">
        <v>0</v>
      </c>
      <c r="I81" t="n">
        <v>0</v>
      </c>
      <c r="J81" t="n">
        <v>0</v>
      </c>
      <c r="K81" t="n">
        <v>29.2</v>
      </c>
      <c r="L81" t="n">
        <v>29.2</v>
      </c>
      <c r="M81" t="inlineStr">
        <is>
          <t>D</t>
        </is>
      </c>
      <c r="N81" t="inlineStr">
        <is>
          <t>general synergy</t>
        </is>
      </c>
    </row>
    <row r="82">
      <c r="A82" t="inlineStr">
        <is>
          <t>Blue Lotus</t>
        </is>
      </c>
      <c r="B82" t="inlineStr">
        <is>
          <t>Black Pepper</t>
        </is>
      </c>
      <c r="C82" t="n">
        <v>0</v>
      </c>
      <c r="D82" t="n">
        <v>1</v>
      </c>
      <c r="E82" t="n">
        <v>1</v>
      </c>
      <c r="G82" t="inlineStr">
        <is>
          <t>gastrointestinal</t>
        </is>
      </c>
      <c r="I82" t="n">
        <v>0</v>
      </c>
      <c r="J82" t="n">
        <v>0</v>
      </c>
      <c r="K82" t="n">
        <v>27.9</v>
      </c>
      <c r="L82" t="n">
        <v>27.9</v>
      </c>
      <c r="M82" t="inlineStr">
        <is>
          <t>D</t>
        </is>
      </c>
      <c r="N82" t="inlineStr">
        <is>
          <t>general synergy</t>
        </is>
      </c>
    </row>
    <row r="83">
      <c r="A83" t="inlineStr">
        <is>
          <t>Corydalis</t>
        </is>
      </c>
      <c r="B83" t="inlineStr">
        <is>
          <t>Arjuna</t>
        </is>
      </c>
      <c r="C83" t="n">
        <v>0</v>
      </c>
      <c r="D83" t="n">
        <v>1</v>
      </c>
      <c r="E83" t="n">
        <v>3</v>
      </c>
      <c r="G83" t="inlineStr">
        <is>
          <t>gastrointestinal; neurotransmitter; vascular</t>
        </is>
      </c>
      <c r="I83" t="n">
        <v>0</v>
      </c>
      <c r="J83" t="n">
        <v>0</v>
      </c>
      <c r="K83" t="n">
        <v>26.8</v>
      </c>
      <c r="L83" t="n">
        <v>26.8</v>
      </c>
      <c r="M83" t="inlineStr">
        <is>
          <t>D</t>
        </is>
      </c>
      <c r="N83" t="inlineStr">
        <is>
          <t>vascular support</t>
        </is>
      </c>
    </row>
    <row r="84">
      <c r="A84" t="inlineStr">
        <is>
          <t>Turmeric</t>
        </is>
      </c>
      <c r="B84" t="inlineStr">
        <is>
          <t>Arjuna</t>
        </is>
      </c>
      <c r="C84" t="n">
        <v>0</v>
      </c>
      <c r="D84" t="n">
        <v>1</v>
      </c>
      <c r="E84" t="n">
        <v>1</v>
      </c>
      <c r="G84" t="inlineStr">
        <is>
          <t>vascular</t>
        </is>
      </c>
      <c r="I84" t="n">
        <v>0</v>
      </c>
      <c r="J84" t="n">
        <v>0</v>
      </c>
      <c r="K84" t="n">
        <v>26.8</v>
      </c>
      <c r="L84" t="n">
        <v>26.8</v>
      </c>
      <c r="M84" t="inlineStr">
        <is>
          <t>D</t>
        </is>
      </c>
      <c r="N84" t="inlineStr">
        <is>
          <t>vascular support</t>
        </is>
      </c>
    </row>
    <row r="85">
      <c r="A85" t="inlineStr">
        <is>
          <t>Black Pepper</t>
        </is>
      </c>
      <c r="B85" t="inlineStr">
        <is>
          <t>Arjuna</t>
        </is>
      </c>
      <c r="C85" t="n">
        <v>0</v>
      </c>
      <c r="D85" t="n">
        <v>1</v>
      </c>
      <c r="E85" t="n">
        <v>2</v>
      </c>
      <c r="G85" t="inlineStr">
        <is>
          <t>gastrointestinal; vascular</t>
        </is>
      </c>
      <c r="I85" t="n">
        <v>0</v>
      </c>
      <c r="J85" t="n">
        <v>0</v>
      </c>
      <c r="K85" t="n">
        <v>25.4</v>
      </c>
      <c r="L85" t="n">
        <v>25.4</v>
      </c>
      <c r="M85" t="inlineStr">
        <is>
          <t>D</t>
        </is>
      </c>
      <c r="N85" t="inlineStr">
        <is>
          <t>vascular support</t>
        </is>
      </c>
    </row>
    <row r="86">
      <c r="A86" t="inlineStr">
        <is>
          <t>Epimedium</t>
        </is>
      </c>
      <c r="B86" t="inlineStr">
        <is>
          <t>Arjuna</t>
        </is>
      </c>
      <c r="C86" t="n">
        <v>1</v>
      </c>
      <c r="D86" t="n">
        <v>1</v>
      </c>
      <c r="E86" t="n">
        <v>0</v>
      </c>
      <c r="F86" t="inlineStr">
        <is>
          <t>vascular</t>
        </is>
      </c>
      <c r="G86" t="inlineStr">
        <is>
          <t>vascular</t>
        </is>
      </c>
      <c r="H86" t="inlineStr">
        <is>
          <t>vascular</t>
        </is>
      </c>
      <c r="I86" t="n">
        <v>0</v>
      </c>
      <c r="J86" t="n">
        <v>6</v>
      </c>
      <c r="K86" t="n">
        <v>31.4</v>
      </c>
      <c r="L86" t="n">
        <v>25.4</v>
      </c>
      <c r="M86" t="inlineStr">
        <is>
          <t>D</t>
        </is>
      </c>
      <c r="N86" t="inlineStr">
        <is>
          <t>vascular support</t>
        </is>
      </c>
    </row>
    <row r="87">
      <c r="A87" t="inlineStr">
        <is>
          <t>Corydalis</t>
        </is>
      </c>
      <c r="B87" t="inlineStr">
        <is>
          <t>Ajwain</t>
        </is>
      </c>
      <c r="C87" t="n">
        <v>0</v>
      </c>
      <c r="D87" t="n">
        <v>1</v>
      </c>
      <c r="E87" t="n">
        <v>2</v>
      </c>
      <c r="G87" t="inlineStr">
        <is>
          <t>gastrointestinal; neurotransmitter</t>
        </is>
      </c>
      <c r="I87" t="n">
        <v>0</v>
      </c>
      <c r="J87" t="n">
        <v>0</v>
      </c>
      <c r="K87" t="n">
        <v>24.8</v>
      </c>
      <c r="L87" t="n">
        <v>24.8</v>
      </c>
      <c r="M87" t="inlineStr">
        <is>
          <t>D</t>
        </is>
      </c>
      <c r="N87" t="inlineStr">
        <is>
          <t>general synergy</t>
        </is>
      </c>
    </row>
    <row r="88">
      <c r="A88" t="inlineStr">
        <is>
          <t>Turmeric</t>
        </is>
      </c>
      <c r="B88" t="inlineStr">
        <is>
          <t>Ajwain</t>
        </is>
      </c>
      <c r="C88" t="n">
        <v>0</v>
      </c>
      <c r="D88" t="n">
        <v>1</v>
      </c>
      <c r="E88" t="n">
        <v>0</v>
      </c>
      <c r="I88" t="n">
        <v>0</v>
      </c>
      <c r="J88" t="n">
        <v>0</v>
      </c>
      <c r="K88" t="n">
        <v>24.7</v>
      </c>
      <c r="L88" t="n">
        <v>24.7</v>
      </c>
      <c r="M88" t="inlineStr">
        <is>
          <t>D</t>
        </is>
      </c>
      <c r="N88" t="inlineStr">
        <is>
          <t>general synergy</t>
        </is>
      </c>
    </row>
    <row r="89">
      <c r="A89" t="inlineStr">
        <is>
          <t>Blue Lotus</t>
        </is>
      </c>
      <c r="B89" t="inlineStr">
        <is>
          <t>Arjuna</t>
        </is>
      </c>
      <c r="C89" t="n">
        <v>0</v>
      </c>
      <c r="D89" t="n">
        <v>1</v>
      </c>
      <c r="E89" t="n">
        <v>1</v>
      </c>
      <c r="G89" t="inlineStr">
        <is>
          <t>vascular</t>
        </is>
      </c>
      <c r="I89" t="n">
        <v>0</v>
      </c>
      <c r="J89" t="n">
        <v>0</v>
      </c>
      <c r="K89" t="n">
        <v>24.2</v>
      </c>
      <c r="L89" t="n">
        <v>24.2</v>
      </c>
      <c r="M89" t="inlineStr">
        <is>
          <t>D</t>
        </is>
      </c>
      <c r="N89" t="inlineStr">
        <is>
          <t>vascular support</t>
        </is>
      </c>
    </row>
    <row r="90">
      <c r="A90" t="inlineStr">
        <is>
          <t>Black Pepper</t>
        </is>
      </c>
      <c r="B90" t="inlineStr">
        <is>
          <t>Ajwain</t>
        </is>
      </c>
      <c r="C90" t="n">
        <v>0</v>
      </c>
      <c r="D90" t="n">
        <v>1</v>
      </c>
      <c r="E90" t="n">
        <v>1</v>
      </c>
      <c r="G90" t="inlineStr">
        <is>
          <t>gastrointestinal</t>
        </is>
      </c>
      <c r="I90" t="n">
        <v>0</v>
      </c>
      <c r="J90" t="n">
        <v>0</v>
      </c>
      <c r="K90" t="n">
        <v>23.3</v>
      </c>
      <c r="L90" t="n">
        <v>23.3</v>
      </c>
      <c r="M90" t="inlineStr">
        <is>
          <t>D</t>
        </is>
      </c>
      <c r="N90" t="inlineStr">
        <is>
          <t>general synergy</t>
        </is>
      </c>
    </row>
    <row r="91">
      <c r="A91" t="inlineStr">
        <is>
          <t>Blue Lotus</t>
        </is>
      </c>
      <c r="B91" t="inlineStr">
        <is>
          <t>Ajwain</t>
        </is>
      </c>
      <c r="C91" t="n">
        <v>0</v>
      </c>
      <c r="D91" t="n">
        <v>1</v>
      </c>
      <c r="E91" t="n">
        <v>0</v>
      </c>
      <c r="I91" t="n">
        <v>0</v>
      </c>
      <c r="J91" t="n">
        <v>0</v>
      </c>
      <c r="K91" t="n">
        <v>22.1</v>
      </c>
      <c r="L91" t="n">
        <v>22.1</v>
      </c>
      <c r="M91" t="inlineStr">
        <is>
          <t>D</t>
        </is>
      </c>
      <c r="N91" t="inlineStr">
        <is>
          <t>general synergy</t>
        </is>
      </c>
    </row>
    <row r="92">
      <c r="A92" t="inlineStr">
        <is>
          <t>Ajwain</t>
        </is>
      </c>
      <c r="B92" t="inlineStr">
        <is>
          <t>Arjuna</t>
        </is>
      </c>
      <c r="C92" t="n">
        <v>0</v>
      </c>
      <c r="D92" t="n">
        <v>1</v>
      </c>
      <c r="E92" t="n">
        <v>1</v>
      </c>
      <c r="G92" t="inlineStr">
        <is>
          <t>vascular</t>
        </is>
      </c>
      <c r="I92" t="n">
        <v>0</v>
      </c>
      <c r="J92" t="n">
        <v>0</v>
      </c>
      <c r="K92" t="n">
        <v>19.7</v>
      </c>
      <c r="L92" t="n">
        <v>19.7</v>
      </c>
      <c r="M92" t="inlineStr">
        <is>
          <t>D</t>
        </is>
      </c>
      <c r="N92" t="inlineStr">
        <is>
          <t>vascular support</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S221"/>
  <sheetViews>
    <sheetView workbookViewId="0">
      <selection activeCell="A1" sqref="A1"/>
    </sheetView>
  </sheetViews>
  <sheetFormatPr baseColWidth="8" defaultRowHeight="15"/>
  <sheetData>
    <row r="1">
      <c r="A1" t="inlineStr">
        <is>
          <t>Herb A</t>
        </is>
      </c>
      <c r="B1" t="inlineStr">
        <is>
          <t>Herb B</t>
        </is>
      </c>
      <c r="C1" t="inlineStr">
        <is>
          <t>Herb C</t>
        </is>
      </c>
      <c r="D1" t="inlineStr">
        <is>
          <t>Union Bucket Count</t>
        </is>
      </c>
      <c r="E1" t="inlineStr">
        <is>
          <t>Shared-All Bucket Count</t>
        </is>
      </c>
      <c r="F1" t="inlineStr">
        <is>
          <t>Duplicate Tag Count</t>
        </is>
      </c>
      <c r="G1" t="inlineStr">
        <is>
          <t>Union Buckets</t>
        </is>
      </c>
      <c r="H1" t="inlineStr">
        <is>
          <t>Shared-All Buckets</t>
        </is>
      </c>
      <c r="I1" t="inlineStr">
        <is>
          <t>Conflict Flags</t>
        </is>
      </c>
      <c r="J1" t="inlineStr">
        <is>
          <t>Redundancy Penalty</t>
        </is>
      </c>
      <c r="K1" t="inlineStr">
        <is>
          <t>Conflict Penalty</t>
        </is>
      </c>
      <c r="L1" t="inlineStr">
        <is>
          <t>Stack Score</t>
        </is>
      </c>
      <c r="M1" t="inlineStr">
        <is>
          <t>Stack Grade</t>
        </is>
      </c>
      <c r="N1" t="inlineStr">
        <is>
          <t>Suggested Use Case</t>
        </is>
      </c>
      <c r="O1" t="inlineStr">
        <is>
          <t>Risk Tier</t>
        </is>
      </c>
      <c r="P1" t="inlineStr">
        <is>
          <t>Suppressed</t>
        </is>
      </c>
      <c r="Q1" t="inlineStr">
        <is>
          <t>Suppression Reason</t>
        </is>
      </c>
      <c r="R1" t="inlineStr">
        <is>
          <t>Category Pack</t>
        </is>
      </c>
      <c r="S1" t="inlineStr">
        <is>
          <t>Refined Stack Score</t>
        </is>
      </c>
    </row>
    <row r="2">
      <c r="A2" t="inlineStr">
        <is>
          <t>Ginkgo Biloba</t>
        </is>
      </c>
      <c r="B2" t="inlineStr">
        <is>
          <t>Panax Ginseng</t>
        </is>
      </c>
      <c r="C2" t="inlineStr">
        <is>
          <t>Ashwagandha</t>
        </is>
      </c>
      <c r="D2" t="n">
        <v>8</v>
      </c>
      <c r="E2" t="n">
        <v>1</v>
      </c>
      <c r="F2" t="n">
        <v>4</v>
      </c>
      <c r="G2" t="inlineStr">
        <is>
          <t>adaptogenic; cognitive-neuroprotective; gastrointestinal; inflammation; metabolic; neurotransmitter; oxidative-stress; vascular</t>
        </is>
      </c>
      <c r="H2" t="inlineStr">
        <is>
          <t>cognitive-neuroprotective</t>
        </is>
      </c>
      <c r="J2" t="n">
        <v>0</v>
      </c>
      <c r="K2" t="n">
        <v>0</v>
      </c>
      <c r="L2" t="n">
        <v>100.5</v>
      </c>
      <c r="M2" t="inlineStr">
        <is>
          <t>A</t>
        </is>
      </c>
      <c r="N2" t="inlineStr">
        <is>
          <t>stress + cognition</t>
        </is>
      </c>
      <c r="O2" t="inlineStr">
        <is>
          <t>Low</t>
        </is>
      </c>
      <c r="P2" t="inlineStr">
        <is>
          <t>FALSE</t>
        </is>
      </c>
      <c r="R2" t="inlineStr">
        <is>
          <t>Focus</t>
        </is>
      </c>
      <c r="S2" t="n">
        <v>100.5</v>
      </c>
    </row>
    <row r="3">
      <c r="A3" t="inlineStr">
        <is>
          <t>Ginkgo Biloba</t>
        </is>
      </c>
      <c r="B3" t="inlineStr">
        <is>
          <t>Panax Ginseng</t>
        </is>
      </c>
      <c r="C3" t="inlineStr">
        <is>
          <t>Chinese Skullcap</t>
        </is>
      </c>
      <c r="D3" t="n">
        <v>8</v>
      </c>
      <c r="E3" t="n">
        <v>1</v>
      </c>
      <c r="F3" t="n">
        <v>3</v>
      </c>
      <c r="G3" t="inlineStr">
        <is>
          <t>adaptogenic; cognitive-neuroprotective; gastrointestinal; inflammation; metabolic; neurotransmitter; oxidative-stress; vascular</t>
        </is>
      </c>
      <c r="H3" t="inlineStr">
        <is>
          <t>cognitive-neuroprotective</t>
        </is>
      </c>
      <c r="J3" t="n">
        <v>0</v>
      </c>
      <c r="K3" t="n">
        <v>0</v>
      </c>
      <c r="L3" t="n">
        <v>100.1</v>
      </c>
      <c r="M3" t="inlineStr">
        <is>
          <t>A</t>
        </is>
      </c>
      <c r="N3" t="inlineStr">
        <is>
          <t>stress + cognition</t>
        </is>
      </c>
      <c r="O3" t="inlineStr">
        <is>
          <t>Low</t>
        </is>
      </c>
      <c r="P3" t="inlineStr">
        <is>
          <t>FALSE</t>
        </is>
      </c>
      <c r="R3" t="inlineStr">
        <is>
          <t>Focus</t>
        </is>
      </c>
      <c r="S3" t="n">
        <v>100.1</v>
      </c>
    </row>
    <row r="4">
      <c r="A4" t="inlineStr">
        <is>
          <t>Ginkgo Biloba</t>
        </is>
      </c>
      <c r="B4" t="inlineStr">
        <is>
          <t>Panax Ginseng</t>
        </is>
      </c>
      <c r="C4" t="inlineStr">
        <is>
          <t>Green Tea</t>
        </is>
      </c>
      <c r="D4" t="n">
        <v>8</v>
      </c>
      <c r="E4" t="n">
        <v>0</v>
      </c>
      <c r="F4" t="n">
        <v>2</v>
      </c>
      <c r="G4" t="inlineStr">
        <is>
          <t>adaptogenic; cognitive-neuroprotective; gastrointestinal; inflammation; metabolic; neurotransmitter; oxidative-stress; vascular</t>
        </is>
      </c>
      <c r="J4" t="n">
        <v>0</v>
      </c>
      <c r="K4" t="n">
        <v>0</v>
      </c>
      <c r="L4" t="n">
        <v>96.40000000000001</v>
      </c>
      <c r="M4" t="inlineStr">
        <is>
          <t>A</t>
        </is>
      </c>
      <c r="N4" t="inlineStr">
        <is>
          <t>stress + cognition</t>
        </is>
      </c>
      <c r="O4" t="inlineStr">
        <is>
          <t>Low</t>
        </is>
      </c>
      <c r="P4" t="inlineStr">
        <is>
          <t>FALSE</t>
        </is>
      </c>
      <c r="R4" t="inlineStr">
        <is>
          <t>Focus</t>
        </is>
      </c>
      <c r="S4" t="n">
        <v>96.40000000000001</v>
      </c>
    </row>
    <row r="5">
      <c r="A5" t="inlineStr">
        <is>
          <t>Ginkgo Biloba</t>
        </is>
      </c>
      <c r="B5" t="inlineStr">
        <is>
          <t>Panax Ginseng</t>
        </is>
      </c>
      <c r="C5" t="inlineStr">
        <is>
          <t>Chamomile</t>
        </is>
      </c>
      <c r="D5" t="n">
        <v>8</v>
      </c>
      <c r="E5" t="n">
        <v>0</v>
      </c>
      <c r="F5" t="n">
        <v>2</v>
      </c>
      <c r="G5" t="inlineStr">
        <is>
          <t>adaptogenic; cognitive-neuroprotective; gastrointestinal; inflammation; metabolic; neurotransmitter; oxidative-stress; vascular</t>
        </is>
      </c>
      <c r="J5" t="n">
        <v>0</v>
      </c>
      <c r="K5" t="n">
        <v>0</v>
      </c>
      <c r="L5" t="n">
        <v>94.40000000000001</v>
      </c>
      <c r="M5" t="inlineStr">
        <is>
          <t>A</t>
        </is>
      </c>
      <c r="N5" t="inlineStr">
        <is>
          <t>stress + cognition</t>
        </is>
      </c>
      <c r="O5" t="inlineStr">
        <is>
          <t>Low</t>
        </is>
      </c>
      <c r="P5" t="inlineStr">
        <is>
          <t>FALSE</t>
        </is>
      </c>
      <c r="R5" t="inlineStr">
        <is>
          <t>Focus</t>
        </is>
      </c>
      <c r="S5" t="n">
        <v>94.40000000000001</v>
      </c>
    </row>
    <row r="6">
      <c r="A6" t="inlineStr">
        <is>
          <t>Ginkgo Biloba</t>
        </is>
      </c>
      <c r="B6" t="inlineStr">
        <is>
          <t>Green Tea</t>
        </is>
      </c>
      <c r="C6" t="inlineStr">
        <is>
          <t>Ashwagandha</t>
        </is>
      </c>
      <c r="D6" t="n">
        <v>7</v>
      </c>
      <c r="E6" t="n">
        <v>1</v>
      </c>
      <c r="F6" t="n">
        <v>4</v>
      </c>
      <c r="G6" t="inlineStr">
        <is>
          <t>adaptogenic; cognitive-neuroprotective; inflammation; metabolic; neurotransmitter; oxidative-stress; vascular</t>
        </is>
      </c>
      <c r="H6" t="inlineStr">
        <is>
          <t>oxidative-stress</t>
        </is>
      </c>
      <c r="J6" t="n">
        <v>0</v>
      </c>
      <c r="K6" t="n">
        <v>0</v>
      </c>
      <c r="L6" t="n">
        <v>91.7</v>
      </c>
      <c r="M6" t="inlineStr">
        <is>
          <t>A</t>
        </is>
      </c>
      <c r="N6" t="inlineStr">
        <is>
          <t>stress + cognition</t>
        </is>
      </c>
      <c r="O6" t="inlineStr">
        <is>
          <t>Low</t>
        </is>
      </c>
      <c r="P6" t="inlineStr">
        <is>
          <t>FALSE</t>
        </is>
      </c>
      <c r="R6" t="inlineStr">
        <is>
          <t>Focus</t>
        </is>
      </c>
      <c r="S6" t="n">
        <v>91.7</v>
      </c>
    </row>
    <row r="7">
      <c r="A7" t="inlineStr">
        <is>
          <t>Ginkgo Biloba</t>
        </is>
      </c>
      <c r="B7" t="inlineStr">
        <is>
          <t>Panax Ginseng</t>
        </is>
      </c>
      <c r="C7" t="inlineStr">
        <is>
          <t>Turmeric</t>
        </is>
      </c>
      <c r="D7" t="n">
        <v>8</v>
      </c>
      <c r="E7" t="n">
        <v>0</v>
      </c>
      <c r="F7" t="n">
        <v>1</v>
      </c>
      <c r="G7" t="inlineStr">
        <is>
          <t>adaptogenic; cognitive-neuroprotective; gastrointestinal; inflammation; metabolic; neurotransmitter; oxidative-stress; vascular</t>
        </is>
      </c>
      <c r="J7" t="n">
        <v>0</v>
      </c>
      <c r="K7" t="n">
        <v>0</v>
      </c>
      <c r="L7" t="n">
        <v>91.3</v>
      </c>
      <c r="M7" t="inlineStr">
        <is>
          <t>A</t>
        </is>
      </c>
      <c r="N7" t="inlineStr">
        <is>
          <t>stress + cognition</t>
        </is>
      </c>
      <c r="O7" t="inlineStr">
        <is>
          <t>Low</t>
        </is>
      </c>
      <c r="P7" t="inlineStr">
        <is>
          <t>FALSE</t>
        </is>
      </c>
      <c r="R7" t="inlineStr">
        <is>
          <t>Focus</t>
        </is>
      </c>
      <c r="S7" t="n">
        <v>91.3</v>
      </c>
    </row>
    <row r="8">
      <c r="A8" t="inlineStr">
        <is>
          <t>Ginkgo Biloba</t>
        </is>
      </c>
      <c r="B8" t="inlineStr">
        <is>
          <t>Panax Ginseng</t>
        </is>
      </c>
      <c r="C8" t="inlineStr">
        <is>
          <t>Blue Lotus</t>
        </is>
      </c>
      <c r="D8" t="n">
        <v>8</v>
      </c>
      <c r="E8" t="n">
        <v>0</v>
      </c>
      <c r="F8" t="n">
        <v>1</v>
      </c>
      <c r="G8" t="inlineStr">
        <is>
          <t>adaptogenic; cognitive-neuroprotective; gastrointestinal; inflammation; metabolic; neurotransmitter; oxidative-stress; vascular</t>
        </is>
      </c>
      <c r="J8" t="n">
        <v>0</v>
      </c>
      <c r="K8" t="n">
        <v>0</v>
      </c>
      <c r="L8" t="n">
        <v>89.8</v>
      </c>
      <c r="M8" t="inlineStr">
        <is>
          <t>A</t>
        </is>
      </c>
      <c r="N8" t="inlineStr">
        <is>
          <t>stress + cognition</t>
        </is>
      </c>
      <c r="O8" t="inlineStr">
        <is>
          <t>Low</t>
        </is>
      </c>
      <c r="P8" t="inlineStr">
        <is>
          <t>FALSE</t>
        </is>
      </c>
      <c r="R8" t="inlineStr">
        <is>
          <t>Focus</t>
        </is>
      </c>
      <c r="S8" t="n">
        <v>89.8</v>
      </c>
    </row>
    <row r="9">
      <c r="A9" t="inlineStr">
        <is>
          <t>Ginkgo Biloba</t>
        </is>
      </c>
      <c r="B9" t="inlineStr">
        <is>
          <t>Panax Ginseng</t>
        </is>
      </c>
      <c r="C9" t="inlineStr">
        <is>
          <t>Black Cohosh</t>
        </is>
      </c>
      <c r="D9" t="n">
        <v>8</v>
      </c>
      <c r="E9" t="n">
        <v>0</v>
      </c>
      <c r="F9" t="n">
        <v>2</v>
      </c>
      <c r="G9" t="inlineStr">
        <is>
          <t>adaptogenic; cognitive-neuroprotective; gastrointestinal; inflammation; metabolic; neurotransmitter; oxidative-stress; vascular</t>
        </is>
      </c>
      <c r="J9" t="n">
        <v>0</v>
      </c>
      <c r="K9" t="n">
        <v>0</v>
      </c>
      <c r="L9" t="n">
        <v>89.59999999999999</v>
      </c>
      <c r="M9" t="inlineStr">
        <is>
          <t>A</t>
        </is>
      </c>
      <c r="N9" t="inlineStr">
        <is>
          <t>stress + cognition</t>
        </is>
      </c>
      <c r="O9" t="inlineStr">
        <is>
          <t>Low</t>
        </is>
      </c>
      <c r="P9" t="inlineStr">
        <is>
          <t>FALSE</t>
        </is>
      </c>
      <c r="R9" t="inlineStr">
        <is>
          <t>Focus</t>
        </is>
      </c>
      <c r="S9" t="n">
        <v>89.59999999999999</v>
      </c>
    </row>
    <row r="10">
      <c r="A10" t="inlineStr">
        <is>
          <t>Ginkgo Biloba</t>
        </is>
      </c>
      <c r="B10" t="inlineStr">
        <is>
          <t>Chamomile</t>
        </is>
      </c>
      <c r="C10" t="inlineStr">
        <is>
          <t>Ashwagandha</t>
        </is>
      </c>
      <c r="D10" t="n">
        <v>7</v>
      </c>
      <c r="E10" t="n">
        <v>1</v>
      </c>
      <c r="F10" t="n">
        <v>3</v>
      </c>
      <c r="G10" t="inlineStr">
        <is>
          <t>adaptogenic; cognitive-neuroprotective; gastrointestinal; inflammation; neurotransmitter; oxidative-stress; vascular</t>
        </is>
      </c>
      <c r="H10" t="inlineStr">
        <is>
          <t>inflammation</t>
        </is>
      </c>
      <c r="J10" t="n">
        <v>0</v>
      </c>
      <c r="K10" t="n">
        <v>0</v>
      </c>
      <c r="L10" t="n">
        <v>87.7</v>
      </c>
      <c r="M10" t="inlineStr">
        <is>
          <t>A</t>
        </is>
      </c>
      <c r="N10" t="inlineStr">
        <is>
          <t>stress + cognition</t>
        </is>
      </c>
      <c r="O10" t="inlineStr">
        <is>
          <t>Low</t>
        </is>
      </c>
      <c r="P10" t="inlineStr">
        <is>
          <t>FALSE</t>
        </is>
      </c>
      <c r="R10" t="inlineStr">
        <is>
          <t>Focus</t>
        </is>
      </c>
      <c r="S10" t="n">
        <v>87.7</v>
      </c>
    </row>
    <row r="11">
      <c r="A11" t="inlineStr">
        <is>
          <t>Ginkgo Biloba</t>
        </is>
      </c>
      <c r="B11" t="inlineStr">
        <is>
          <t>Panax Ginseng</t>
        </is>
      </c>
      <c r="C11" t="inlineStr">
        <is>
          <t>Black Pepper</t>
        </is>
      </c>
      <c r="D11" t="n">
        <v>8</v>
      </c>
      <c r="E11" t="n">
        <v>0</v>
      </c>
      <c r="F11" t="n">
        <v>1</v>
      </c>
      <c r="G11" t="inlineStr">
        <is>
          <t>adaptogenic; cognitive-neuroprotective; gastrointestinal; inflammation; metabolic; neurotransmitter; oxidative-stress; vascular</t>
        </is>
      </c>
      <c r="J11" t="n">
        <v>0</v>
      </c>
      <c r="K11" t="n">
        <v>0</v>
      </c>
      <c r="L11" t="n">
        <v>87.59999999999999</v>
      </c>
      <c r="M11" t="inlineStr">
        <is>
          <t>A</t>
        </is>
      </c>
      <c r="N11" t="inlineStr">
        <is>
          <t>stress + cognition</t>
        </is>
      </c>
      <c r="O11" t="inlineStr">
        <is>
          <t>Low</t>
        </is>
      </c>
      <c r="P11" t="inlineStr">
        <is>
          <t>FALSE</t>
        </is>
      </c>
      <c r="R11" t="inlineStr">
        <is>
          <t>Focus</t>
        </is>
      </c>
      <c r="S11" t="n">
        <v>87.59999999999999</v>
      </c>
    </row>
    <row r="12">
      <c r="A12" t="inlineStr">
        <is>
          <t>Panax Ginseng</t>
        </is>
      </c>
      <c r="B12" t="inlineStr">
        <is>
          <t>Chinese Skullcap</t>
        </is>
      </c>
      <c r="C12" t="inlineStr">
        <is>
          <t>Ashwagandha</t>
        </is>
      </c>
      <c r="D12" t="n">
        <v>7</v>
      </c>
      <c r="E12" t="n">
        <v>1</v>
      </c>
      <c r="F12" t="n">
        <v>4</v>
      </c>
      <c r="G12" t="inlineStr">
        <is>
          <t>adaptogenic; cognitive-neuroprotective; gastrointestinal; inflammation; metabolic; neurotransmitter; oxidative-stress</t>
        </is>
      </c>
      <c r="H12" t="inlineStr">
        <is>
          <t>cognitive-neuroprotective</t>
        </is>
      </c>
      <c r="J12" t="n">
        <v>0</v>
      </c>
      <c r="K12" t="n">
        <v>0</v>
      </c>
      <c r="L12" t="n">
        <v>86.7</v>
      </c>
      <c r="M12" t="inlineStr">
        <is>
          <t>A</t>
        </is>
      </c>
      <c r="N12" t="inlineStr">
        <is>
          <t>stress + cognition</t>
        </is>
      </c>
      <c r="O12" t="inlineStr">
        <is>
          <t>Low</t>
        </is>
      </c>
      <c r="P12" t="inlineStr">
        <is>
          <t>FALSE</t>
        </is>
      </c>
      <c r="R12" t="inlineStr">
        <is>
          <t>Focus</t>
        </is>
      </c>
      <c r="S12" t="n">
        <v>86.7</v>
      </c>
    </row>
    <row r="13">
      <c r="A13" t="inlineStr">
        <is>
          <t>Ginkgo Biloba</t>
        </is>
      </c>
      <c r="B13" t="inlineStr">
        <is>
          <t>Panax Ginseng</t>
        </is>
      </c>
      <c r="C13" t="inlineStr">
        <is>
          <t>Corydalis</t>
        </is>
      </c>
      <c r="D13" t="n">
        <v>8</v>
      </c>
      <c r="E13" t="n">
        <v>0</v>
      </c>
      <c r="F13" t="n">
        <v>1</v>
      </c>
      <c r="G13" t="inlineStr">
        <is>
          <t>adaptogenic; cognitive-neuroprotective; gastrointestinal; inflammation; metabolic; neurotransmitter; oxidative-stress; vascular</t>
        </is>
      </c>
      <c r="J13" t="n">
        <v>0</v>
      </c>
      <c r="K13" t="n">
        <v>0</v>
      </c>
      <c r="L13" t="n">
        <v>86</v>
      </c>
      <c r="M13" t="inlineStr">
        <is>
          <t>A</t>
        </is>
      </c>
      <c r="N13" t="inlineStr">
        <is>
          <t>stress + cognition</t>
        </is>
      </c>
      <c r="O13" t="inlineStr">
        <is>
          <t>Low</t>
        </is>
      </c>
      <c r="P13" t="inlineStr">
        <is>
          <t>FALSE</t>
        </is>
      </c>
      <c r="R13" t="inlineStr">
        <is>
          <t>Focus</t>
        </is>
      </c>
      <c r="S13" t="n">
        <v>86</v>
      </c>
    </row>
    <row r="14">
      <c r="A14" t="inlineStr">
        <is>
          <t>Ginkgo Biloba</t>
        </is>
      </c>
      <c r="B14" t="inlineStr">
        <is>
          <t>Green Tea</t>
        </is>
      </c>
      <c r="C14" t="inlineStr">
        <is>
          <t>Black Cohosh</t>
        </is>
      </c>
      <c r="D14" t="n">
        <v>7</v>
      </c>
      <c r="E14" t="n">
        <v>1</v>
      </c>
      <c r="F14" t="n">
        <v>2</v>
      </c>
      <c r="G14" t="inlineStr">
        <is>
          <t>cognitive-neuroprotective; gastrointestinal; inflammation; metabolic; neurotransmitter; oxidative-stress; vascular</t>
        </is>
      </c>
      <c r="H14" t="inlineStr">
        <is>
          <t>oxidative-stress</t>
        </is>
      </c>
      <c r="J14" t="n">
        <v>0</v>
      </c>
      <c r="K14" t="n">
        <v>0</v>
      </c>
      <c r="L14" t="n">
        <v>85.8</v>
      </c>
      <c r="M14" t="inlineStr">
        <is>
          <t>A</t>
        </is>
      </c>
      <c r="N14" t="inlineStr">
        <is>
          <t>recovery / anti-inflammatory</t>
        </is>
      </c>
      <c r="O14" t="inlineStr">
        <is>
          <t>Low</t>
        </is>
      </c>
      <c r="P14" t="inlineStr">
        <is>
          <t>FALSE</t>
        </is>
      </c>
      <c r="R14" t="inlineStr">
        <is>
          <t>Focus</t>
        </is>
      </c>
      <c r="S14" t="n">
        <v>85.8</v>
      </c>
    </row>
    <row r="15">
      <c r="A15" t="inlineStr">
        <is>
          <t>Ginkgo Biloba</t>
        </is>
      </c>
      <c r="B15" t="inlineStr">
        <is>
          <t>Panax Ginseng</t>
        </is>
      </c>
      <c r="C15" t="inlineStr">
        <is>
          <t>Epimedium</t>
        </is>
      </c>
      <c r="D15" t="n">
        <v>8</v>
      </c>
      <c r="E15" t="n">
        <v>0</v>
      </c>
      <c r="F15" t="n">
        <v>1</v>
      </c>
      <c r="G15" t="inlineStr">
        <is>
          <t>adaptogenic; cognitive-neuroprotective; gastrointestinal; inflammation; metabolic; neurotransmitter; oxidative-stress; vascular</t>
        </is>
      </c>
      <c r="I15" t="inlineStr">
        <is>
          <t>vascular</t>
        </is>
      </c>
      <c r="J15" t="n">
        <v>0</v>
      </c>
      <c r="K15" t="n">
        <v>7</v>
      </c>
      <c r="L15" t="n">
        <v>84.09999999999999</v>
      </c>
      <c r="M15" t="inlineStr">
        <is>
          <t>A</t>
        </is>
      </c>
      <c r="N15" t="inlineStr">
        <is>
          <t>stress + cognition</t>
        </is>
      </c>
      <c r="O15" t="inlineStr">
        <is>
          <t>Low</t>
        </is>
      </c>
      <c r="P15" t="inlineStr">
        <is>
          <t>FALSE</t>
        </is>
      </c>
      <c r="R15" t="inlineStr">
        <is>
          <t>Focus</t>
        </is>
      </c>
      <c r="S15" t="n">
        <v>80.09999999999999</v>
      </c>
    </row>
    <row r="16">
      <c r="A16" t="inlineStr">
        <is>
          <t>Ginkgo Biloba</t>
        </is>
      </c>
      <c r="B16" t="inlineStr">
        <is>
          <t>Ashwagandha</t>
        </is>
      </c>
      <c r="C16" t="inlineStr">
        <is>
          <t>Black Cohosh</t>
        </is>
      </c>
      <c r="D16" t="n">
        <v>6</v>
      </c>
      <c r="E16" t="n">
        <v>2</v>
      </c>
      <c r="F16" t="n">
        <v>4</v>
      </c>
      <c r="G16" t="inlineStr">
        <is>
          <t>adaptogenic; cognitive-neuroprotective; gastrointestinal; inflammation; oxidative-stress; vascular</t>
        </is>
      </c>
      <c r="H16" t="inlineStr">
        <is>
          <t>inflammation; oxidative-stress</t>
        </is>
      </c>
      <c r="J16" t="n">
        <v>0</v>
      </c>
      <c r="K16" t="n">
        <v>0</v>
      </c>
      <c r="L16" t="n">
        <v>83.8</v>
      </c>
      <c r="M16" t="inlineStr">
        <is>
          <t>A</t>
        </is>
      </c>
      <c r="N16" t="inlineStr">
        <is>
          <t>stress + cognition</t>
        </is>
      </c>
      <c r="O16" t="inlineStr">
        <is>
          <t>Low</t>
        </is>
      </c>
      <c r="P16" t="inlineStr">
        <is>
          <t>FALSE</t>
        </is>
      </c>
      <c r="R16" t="inlineStr">
        <is>
          <t>Stress</t>
        </is>
      </c>
      <c r="S16" t="n">
        <v>83.8</v>
      </c>
    </row>
    <row r="17">
      <c r="A17" t="inlineStr">
        <is>
          <t>Panax Ginseng</t>
        </is>
      </c>
      <c r="B17" t="inlineStr">
        <is>
          <t>Epimedium</t>
        </is>
      </c>
      <c r="C17" t="inlineStr">
        <is>
          <t>Ashwagandha</t>
        </is>
      </c>
      <c r="D17" t="n">
        <v>8</v>
      </c>
      <c r="E17" t="n">
        <v>0</v>
      </c>
      <c r="F17" t="n">
        <v>2</v>
      </c>
      <c r="G17" t="inlineStr">
        <is>
          <t>adaptogenic; cognitive-neuroprotective; gastrointestinal; inflammation; metabolic; neurotransmitter; oxidative-stress; vascular</t>
        </is>
      </c>
      <c r="J17" t="n">
        <v>0</v>
      </c>
      <c r="K17" t="n">
        <v>0</v>
      </c>
      <c r="L17" t="n">
        <v>83.7</v>
      </c>
      <c r="M17" t="inlineStr">
        <is>
          <t>A</t>
        </is>
      </c>
      <c r="N17" t="inlineStr">
        <is>
          <t>stress + cognition</t>
        </is>
      </c>
      <c r="O17" t="inlineStr">
        <is>
          <t>Low</t>
        </is>
      </c>
      <c r="P17" t="inlineStr">
        <is>
          <t>FALSE</t>
        </is>
      </c>
      <c r="R17" t="inlineStr">
        <is>
          <t>Focus</t>
        </is>
      </c>
      <c r="S17" t="n">
        <v>83.7</v>
      </c>
    </row>
    <row r="18">
      <c r="A18" t="inlineStr">
        <is>
          <t>Ginkgo Biloba</t>
        </is>
      </c>
      <c r="B18" t="inlineStr">
        <is>
          <t>Chamomile</t>
        </is>
      </c>
      <c r="C18" t="inlineStr">
        <is>
          <t>Chinese Skullcap</t>
        </is>
      </c>
      <c r="D18" t="n">
        <v>6</v>
      </c>
      <c r="E18" t="n">
        <v>1</v>
      </c>
      <c r="F18" t="n">
        <v>3</v>
      </c>
      <c r="G18" t="inlineStr">
        <is>
          <t>cognitive-neuroprotective; gastrointestinal; inflammation; neurotransmitter; oxidative-stress; vascular</t>
        </is>
      </c>
      <c r="H18" t="inlineStr">
        <is>
          <t>inflammation</t>
        </is>
      </c>
      <c r="J18" t="n">
        <v>0</v>
      </c>
      <c r="K18" t="n">
        <v>0</v>
      </c>
      <c r="L18" t="n">
        <v>83.2</v>
      </c>
      <c r="M18" t="inlineStr">
        <is>
          <t>A</t>
        </is>
      </c>
      <c r="N18" t="inlineStr">
        <is>
          <t>recovery / anti-inflammatory</t>
        </is>
      </c>
      <c r="O18" t="inlineStr">
        <is>
          <t>Low</t>
        </is>
      </c>
      <c r="P18" t="inlineStr">
        <is>
          <t>FALSE</t>
        </is>
      </c>
      <c r="R18" t="inlineStr">
        <is>
          <t>Focus</t>
        </is>
      </c>
      <c r="S18" t="n">
        <v>83.2</v>
      </c>
    </row>
    <row r="19">
      <c r="A19" t="inlineStr">
        <is>
          <t>Ginkgo Biloba</t>
        </is>
      </c>
      <c r="B19" t="inlineStr">
        <is>
          <t>Green Tea</t>
        </is>
      </c>
      <c r="C19" t="inlineStr">
        <is>
          <t>Chinese Skullcap</t>
        </is>
      </c>
      <c r="D19" t="n">
        <v>6</v>
      </c>
      <c r="E19" t="n">
        <v>0</v>
      </c>
      <c r="F19" t="n">
        <v>4</v>
      </c>
      <c r="G19" t="inlineStr">
        <is>
          <t>cognitive-neuroprotective; inflammation; metabolic; neurotransmitter; oxidative-stress; vascular</t>
        </is>
      </c>
      <c r="J19" t="n">
        <v>0</v>
      </c>
      <c r="K19" t="n">
        <v>0</v>
      </c>
      <c r="L19" t="n">
        <v>82.2</v>
      </c>
      <c r="M19" t="inlineStr">
        <is>
          <t>A</t>
        </is>
      </c>
      <c r="N19" t="inlineStr">
        <is>
          <t>recovery / anti-inflammatory</t>
        </is>
      </c>
      <c r="O19" t="inlineStr">
        <is>
          <t>Low</t>
        </is>
      </c>
      <c r="P19" t="inlineStr">
        <is>
          <t>FALSE</t>
        </is>
      </c>
      <c r="R19" t="inlineStr">
        <is>
          <t>Focus</t>
        </is>
      </c>
      <c r="S19" t="n">
        <v>82.2</v>
      </c>
    </row>
    <row r="20">
      <c r="A20" t="inlineStr">
        <is>
          <t>Panax Ginseng</t>
        </is>
      </c>
      <c r="B20" t="inlineStr">
        <is>
          <t>Chamomile</t>
        </is>
      </c>
      <c r="C20" t="inlineStr">
        <is>
          <t>Ashwagandha</t>
        </is>
      </c>
      <c r="D20" t="n">
        <v>7</v>
      </c>
      <c r="E20" t="n">
        <v>0</v>
      </c>
      <c r="F20" t="n">
        <v>3</v>
      </c>
      <c r="G20" t="inlineStr">
        <is>
          <t>adaptogenic; cognitive-neuroprotective; gastrointestinal; inflammation; metabolic; neurotransmitter; oxidative-stress</t>
        </is>
      </c>
      <c r="J20" t="n">
        <v>0</v>
      </c>
      <c r="K20" t="n">
        <v>0</v>
      </c>
      <c r="L20" t="n">
        <v>81</v>
      </c>
      <c r="M20" t="inlineStr">
        <is>
          <t>A</t>
        </is>
      </c>
      <c r="N20" t="inlineStr">
        <is>
          <t>stress + cognition</t>
        </is>
      </c>
      <c r="O20" t="inlineStr">
        <is>
          <t>Low</t>
        </is>
      </c>
      <c r="P20" t="inlineStr">
        <is>
          <t>FALSE</t>
        </is>
      </c>
      <c r="R20" t="inlineStr">
        <is>
          <t>Focus</t>
        </is>
      </c>
      <c r="S20" t="n">
        <v>81</v>
      </c>
    </row>
    <row r="21">
      <c r="A21" t="inlineStr">
        <is>
          <t>Panax Ginseng</t>
        </is>
      </c>
      <c r="B21" t="inlineStr">
        <is>
          <t>Green Tea</t>
        </is>
      </c>
      <c r="C21" t="inlineStr">
        <is>
          <t>Ashwagandha</t>
        </is>
      </c>
      <c r="D21" t="n">
        <v>7</v>
      </c>
      <c r="E21" t="n">
        <v>0</v>
      </c>
      <c r="F21" t="n">
        <v>2</v>
      </c>
      <c r="G21" t="inlineStr">
        <is>
          <t>adaptogenic; cognitive-neuroprotective; gastrointestinal; inflammation; metabolic; neurotransmitter; oxidative-stress</t>
        </is>
      </c>
      <c r="J21" t="n">
        <v>0</v>
      </c>
      <c r="K21" t="n">
        <v>0</v>
      </c>
      <c r="L21" t="n">
        <v>81</v>
      </c>
      <c r="M21" t="inlineStr">
        <is>
          <t>A</t>
        </is>
      </c>
      <c r="N21" t="inlineStr">
        <is>
          <t>stress + cognition</t>
        </is>
      </c>
      <c r="O21" t="inlineStr">
        <is>
          <t>Low</t>
        </is>
      </c>
      <c r="P21" t="inlineStr">
        <is>
          <t>FALSE</t>
        </is>
      </c>
      <c r="R21" t="inlineStr">
        <is>
          <t>Focus</t>
        </is>
      </c>
      <c r="S21" t="n">
        <v>81</v>
      </c>
    </row>
    <row r="22">
      <c r="A22" t="inlineStr">
        <is>
          <t>Ginkgo Biloba</t>
        </is>
      </c>
      <c r="B22" t="inlineStr">
        <is>
          <t>Green Tea</t>
        </is>
      </c>
      <c r="C22" t="inlineStr">
        <is>
          <t>Black Pepper</t>
        </is>
      </c>
      <c r="D22" t="n">
        <v>7</v>
      </c>
      <c r="E22" t="n">
        <v>0</v>
      </c>
      <c r="F22" t="n">
        <v>2</v>
      </c>
      <c r="G22" t="inlineStr">
        <is>
          <t>cognitive-neuroprotective; gastrointestinal; inflammation; metabolic; neurotransmitter; oxidative-stress; vascular</t>
        </is>
      </c>
      <c r="J22" t="n">
        <v>0</v>
      </c>
      <c r="K22" t="n">
        <v>0</v>
      </c>
      <c r="L22" t="n">
        <v>80.8</v>
      </c>
      <c r="M22" t="inlineStr">
        <is>
          <t>A</t>
        </is>
      </c>
      <c r="N22" t="inlineStr">
        <is>
          <t>recovery / anti-inflammatory</t>
        </is>
      </c>
      <c r="O22" t="inlineStr">
        <is>
          <t>Low</t>
        </is>
      </c>
      <c r="P22" t="inlineStr">
        <is>
          <t>FALSE</t>
        </is>
      </c>
      <c r="R22" t="inlineStr">
        <is>
          <t>Focus</t>
        </is>
      </c>
      <c r="S22" t="n">
        <v>80.8</v>
      </c>
    </row>
    <row r="23">
      <c r="A23" t="inlineStr">
        <is>
          <t>Panax Ginseng</t>
        </is>
      </c>
      <c r="B23" t="inlineStr">
        <is>
          <t>Green Tea</t>
        </is>
      </c>
      <c r="C23" t="inlineStr">
        <is>
          <t>Chinese Skullcap</t>
        </is>
      </c>
      <c r="D23" t="n">
        <v>7</v>
      </c>
      <c r="E23" t="n">
        <v>0</v>
      </c>
      <c r="F23" t="n">
        <v>1</v>
      </c>
      <c r="G23" t="inlineStr">
        <is>
          <t>adaptogenic; cognitive-neuroprotective; gastrointestinal; inflammation; metabolic; neurotransmitter; oxidative-stress</t>
        </is>
      </c>
      <c r="J23" t="n">
        <v>0</v>
      </c>
      <c r="K23" t="n">
        <v>0</v>
      </c>
      <c r="L23" t="n">
        <v>80.59999999999999</v>
      </c>
      <c r="M23" t="inlineStr">
        <is>
          <t>A</t>
        </is>
      </c>
      <c r="N23" t="inlineStr">
        <is>
          <t>stress + cognition</t>
        </is>
      </c>
      <c r="O23" t="inlineStr">
        <is>
          <t>Low</t>
        </is>
      </c>
      <c r="P23" t="inlineStr">
        <is>
          <t>FALSE</t>
        </is>
      </c>
      <c r="R23" t="inlineStr">
        <is>
          <t>Focus</t>
        </is>
      </c>
      <c r="S23" t="n">
        <v>80.59999999999999</v>
      </c>
    </row>
    <row r="24">
      <c r="A24" t="inlineStr">
        <is>
          <t>Panax Ginseng</t>
        </is>
      </c>
      <c r="B24" t="inlineStr">
        <is>
          <t>Green Tea</t>
        </is>
      </c>
      <c r="C24" t="inlineStr">
        <is>
          <t>Epimedium</t>
        </is>
      </c>
      <c r="D24" t="n">
        <v>7</v>
      </c>
      <c r="E24" t="n">
        <v>0</v>
      </c>
      <c r="F24" t="n">
        <v>1</v>
      </c>
      <c r="G24" t="inlineStr">
        <is>
          <t>adaptogenic; cognitive-neuroprotective; gastrointestinal; metabolic; neurotransmitter; oxidative-stress; vascular</t>
        </is>
      </c>
      <c r="J24" t="n">
        <v>0</v>
      </c>
      <c r="K24" t="n">
        <v>0</v>
      </c>
      <c r="L24" t="n">
        <v>80.59999999999999</v>
      </c>
      <c r="M24" t="inlineStr">
        <is>
          <t>A</t>
        </is>
      </c>
      <c r="N24" t="inlineStr">
        <is>
          <t>stress + cognition</t>
        </is>
      </c>
      <c r="O24" t="inlineStr">
        <is>
          <t>Low</t>
        </is>
      </c>
      <c r="P24" t="inlineStr">
        <is>
          <t>FALSE</t>
        </is>
      </c>
      <c r="R24" t="inlineStr">
        <is>
          <t>Focus</t>
        </is>
      </c>
      <c r="S24" t="n">
        <v>80.59999999999999</v>
      </c>
    </row>
    <row r="25">
      <c r="A25" t="inlineStr">
        <is>
          <t>Ginkgo Biloba</t>
        </is>
      </c>
      <c r="B25" t="inlineStr">
        <is>
          <t>Green Tea</t>
        </is>
      </c>
      <c r="C25" t="inlineStr">
        <is>
          <t>Chamomile</t>
        </is>
      </c>
      <c r="D25" t="n">
        <v>7</v>
      </c>
      <c r="E25" t="n">
        <v>0</v>
      </c>
      <c r="F25" t="n">
        <v>3</v>
      </c>
      <c r="G25" t="inlineStr">
        <is>
          <t>cognitive-neuroprotective; gastrointestinal; inflammation; metabolic; neurotransmitter; oxidative-stress; vascular</t>
        </is>
      </c>
      <c r="I25" t="inlineStr">
        <is>
          <t>stimulant-neuro</t>
        </is>
      </c>
      <c r="J25" t="n">
        <v>0</v>
      </c>
      <c r="K25" t="n">
        <v>7</v>
      </c>
      <c r="L25" t="n">
        <v>80.5</v>
      </c>
      <c r="M25" t="inlineStr">
        <is>
          <t>A</t>
        </is>
      </c>
      <c r="N25" t="inlineStr">
        <is>
          <t>recovery / anti-inflammatory</t>
        </is>
      </c>
      <c r="O25" t="inlineStr">
        <is>
          <t>Elevated</t>
        </is>
      </c>
      <c r="P25" t="inlineStr">
        <is>
          <t>FALSE</t>
        </is>
      </c>
      <c r="R25" t="inlineStr">
        <is>
          <t>Focus</t>
        </is>
      </c>
      <c r="S25" t="n">
        <v>67.5</v>
      </c>
    </row>
    <row r="26">
      <c r="A26" t="inlineStr">
        <is>
          <t>Panax Ginseng</t>
        </is>
      </c>
      <c r="B26" t="inlineStr">
        <is>
          <t>Chamomile</t>
        </is>
      </c>
      <c r="C26" t="inlineStr">
        <is>
          <t>Black Cohosh</t>
        </is>
      </c>
      <c r="D26" t="n">
        <v>7</v>
      </c>
      <c r="E26" t="n">
        <v>1</v>
      </c>
      <c r="F26" t="n">
        <v>1</v>
      </c>
      <c r="G26" t="inlineStr">
        <is>
          <t>adaptogenic; cognitive-neuroprotective; gastrointestinal; inflammation; metabolic; neurotransmitter; oxidative-stress</t>
        </is>
      </c>
      <c r="H26" t="inlineStr">
        <is>
          <t>gastrointestinal</t>
        </is>
      </c>
      <c r="J26" t="n">
        <v>0</v>
      </c>
      <c r="K26" t="n">
        <v>0</v>
      </c>
      <c r="L26" t="n">
        <v>80.09999999999999</v>
      </c>
      <c r="M26" t="inlineStr">
        <is>
          <t>A</t>
        </is>
      </c>
      <c r="N26" t="inlineStr">
        <is>
          <t>stress + cognition</t>
        </is>
      </c>
      <c r="O26" t="inlineStr">
        <is>
          <t>Low</t>
        </is>
      </c>
      <c r="P26" t="inlineStr">
        <is>
          <t>FALSE</t>
        </is>
      </c>
      <c r="R26" t="inlineStr">
        <is>
          <t>Focus</t>
        </is>
      </c>
      <c r="S26" t="n">
        <v>80.09999999999999</v>
      </c>
    </row>
    <row r="27">
      <c r="A27" t="inlineStr">
        <is>
          <t>Panax Ginseng</t>
        </is>
      </c>
      <c r="B27" t="inlineStr">
        <is>
          <t>Green Tea</t>
        </is>
      </c>
      <c r="C27" t="inlineStr">
        <is>
          <t>Chamomile</t>
        </is>
      </c>
      <c r="D27" t="n">
        <v>7</v>
      </c>
      <c r="E27" t="n">
        <v>1</v>
      </c>
      <c r="F27" t="n">
        <v>1</v>
      </c>
      <c r="G27" t="inlineStr">
        <is>
          <t>adaptogenic; cognitive-neuroprotective; gastrointestinal; inflammation; metabolic; neurotransmitter; oxidative-stress</t>
        </is>
      </c>
      <c r="H27" t="inlineStr">
        <is>
          <t>neurotransmitter</t>
        </is>
      </c>
      <c r="I27" t="inlineStr">
        <is>
          <t>stimulant-neuro</t>
        </is>
      </c>
      <c r="J27" t="n">
        <v>0</v>
      </c>
      <c r="K27" t="n">
        <v>7</v>
      </c>
      <c r="L27" t="n">
        <v>79.90000000000001</v>
      </c>
      <c r="M27" t="inlineStr">
        <is>
          <t>A</t>
        </is>
      </c>
      <c r="N27" t="inlineStr">
        <is>
          <t>stress + cognition</t>
        </is>
      </c>
      <c r="O27" t="inlineStr">
        <is>
          <t>Elevated</t>
        </is>
      </c>
      <c r="P27" t="inlineStr">
        <is>
          <t>FALSE</t>
        </is>
      </c>
      <c r="R27" t="inlineStr">
        <is>
          <t>Focus</t>
        </is>
      </c>
      <c r="S27" t="n">
        <v>66.90000000000001</v>
      </c>
    </row>
    <row r="28">
      <c r="A28" t="inlineStr">
        <is>
          <t>Ginkgo Biloba</t>
        </is>
      </c>
      <c r="B28" t="inlineStr">
        <is>
          <t>Chamomile</t>
        </is>
      </c>
      <c r="C28" t="inlineStr">
        <is>
          <t>Black Cohosh</t>
        </is>
      </c>
      <c r="D28" t="n">
        <v>6</v>
      </c>
      <c r="E28" t="n">
        <v>1</v>
      </c>
      <c r="F28" t="n">
        <v>3</v>
      </c>
      <c r="G28" t="inlineStr">
        <is>
          <t>cognitive-neuroprotective; gastrointestinal; inflammation; neurotransmitter; oxidative-stress; vascular</t>
        </is>
      </c>
      <c r="H28" t="inlineStr">
        <is>
          <t>inflammation</t>
        </is>
      </c>
      <c r="J28" t="n">
        <v>0</v>
      </c>
      <c r="K28" t="n">
        <v>0</v>
      </c>
      <c r="L28" t="n">
        <v>79.8</v>
      </c>
      <c r="M28" t="inlineStr">
        <is>
          <t>A</t>
        </is>
      </c>
      <c r="N28" t="inlineStr">
        <is>
          <t>recovery / anti-inflammatory</t>
        </is>
      </c>
      <c r="O28" t="inlineStr">
        <is>
          <t>Low</t>
        </is>
      </c>
      <c r="P28" t="inlineStr">
        <is>
          <t>FALSE</t>
        </is>
      </c>
      <c r="R28" t="inlineStr">
        <is>
          <t>Focus</t>
        </is>
      </c>
      <c r="S28" t="n">
        <v>79.8</v>
      </c>
    </row>
    <row r="29">
      <c r="A29" t="inlineStr">
        <is>
          <t>Panax Ginseng</t>
        </is>
      </c>
      <c r="B29" t="inlineStr">
        <is>
          <t>Epimedium</t>
        </is>
      </c>
      <c r="C29" t="inlineStr">
        <is>
          <t>Black Cohosh</t>
        </is>
      </c>
      <c r="D29" t="n">
        <v>8</v>
      </c>
      <c r="E29" t="n">
        <v>0</v>
      </c>
      <c r="F29" t="n">
        <v>1</v>
      </c>
      <c r="G29" t="inlineStr">
        <is>
          <t>adaptogenic; cognitive-neuroprotective; gastrointestinal; inflammation; metabolic; neurotransmitter; oxidative-stress; vascular</t>
        </is>
      </c>
      <c r="J29" t="n">
        <v>0</v>
      </c>
      <c r="K29" t="n">
        <v>0</v>
      </c>
      <c r="L29" t="n">
        <v>79.8</v>
      </c>
      <c r="M29" t="inlineStr">
        <is>
          <t>A</t>
        </is>
      </c>
      <c r="N29" t="inlineStr">
        <is>
          <t>stress + cognition</t>
        </is>
      </c>
      <c r="O29" t="inlineStr">
        <is>
          <t>Low</t>
        </is>
      </c>
      <c r="P29" t="inlineStr">
        <is>
          <t>FALSE</t>
        </is>
      </c>
      <c r="R29" t="inlineStr">
        <is>
          <t>Focus</t>
        </is>
      </c>
      <c r="S29" t="n">
        <v>79.8</v>
      </c>
    </row>
    <row r="30">
      <c r="A30" t="inlineStr">
        <is>
          <t>Ginkgo Biloba</t>
        </is>
      </c>
      <c r="B30" t="inlineStr">
        <is>
          <t>Chinese Skullcap</t>
        </is>
      </c>
      <c r="C30" t="inlineStr">
        <is>
          <t>Ashwagandha</t>
        </is>
      </c>
      <c r="D30" t="n">
        <v>5</v>
      </c>
      <c r="E30" t="n">
        <v>2</v>
      </c>
      <c r="F30" t="n">
        <v>3</v>
      </c>
      <c r="G30" t="inlineStr">
        <is>
          <t>adaptogenic; cognitive-neuroprotective; inflammation; oxidative-stress; vascular</t>
        </is>
      </c>
      <c r="H30" t="inlineStr">
        <is>
          <t>cognitive-neuroprotective; inflammation</t>
        </is>
      </c>
      <c r="J30" t="n">
        <v>0</v>
      </c>
      <c r="K30" t="n">
        <v>0</v>
      </c>
      <c r="L30" t="n">
        <v>79.3</v>
      </c>
      <c r="M30" t="inlineStr">
        <is>
          <t>A</t>
        </is>
      </c>
      <c r="N30" t="inlineStr">
        <is>
          <t>stress + cognition</t>
        </is>
      </c>
      <c r="O30" t="inlineStr">
        <is>
          <t>Low</t>
        </is>
      </c>
      <c r="P30" t="inlineStr">
        <is>
          <t>FALSE</t>
        </is>
      </c>
      <c r="R30" t="inlineStr">
        <is>
          <t>Stress</t>
        </is>
      </c>
      <c r="S30" t="n">
        <v>79.3</v>
      </c>
    </row>
    <row r="31">
      <c r="A31" t="inlineStr">
        <is>
          <t>Panax Ginseng</t>
        </is>
      </c>
      <c r="B31" t="inlineStr">
        <is>
          <t>Green Tea</t>
        </is>
      </c>
      <c r="C31" t="inlineStr">
        <is>
          <t>Black Cohosh</t>
        </is>
      </c>
      <c r="D31" t="n">
        <v>7</v>
      </c>
      <c r="E31" t="n">
        <v>0</v>
      </c>
      <c r="F31" t="n">
        <v>2</v>
      </c>
      <c r="G31" t="inlineStr">
        <is>
          <t>adaptogenic; cognitive-neuroprotective; gastrointestinal; inflammation; metabolic; neurotransmitter; oxidative-stress</t>
        </is>
      </c>
      <c r="J31" t="n">
        <v>0</v>
      </c>
      <c r="K31" t="n">
        <v>0</v>
      </c>
      <c r="L31" t="n">
        <v>79.09999999999999</v>
      </c>
      <c r="M31" t="inlineStr">
        <is>
          <t>A</t>
        </is>
      </c>
      <c r="N31" t="inlineStr">
        <is>
          <t>stress + cognition</t>
        </is>
      </c>
      <c r="O31" t="inlineStr">
        <is>
          <t>Low</t>
        </is>
      </c>
      <c r="P31" t="inlineStr">
        <is>
          <t>FALSE</t>
        </is>
      </c>
      <c r="R31" t="inlineStr">
        <is>
          <t>Focus</t>
        </is>
      </c>
      <c r="S31" t="n">
        <v>79.09999999999999</v>
      </c>
    </row>
    <row r="32">
      <c r="A32" t="inlineStr">
        <is>
          <t>Panax Ginseng</t>
        </is>
      </c>
      <c r="B32" t="inlineStr">
        <is>
          <t>Chamomile</t>
        </is>
      </c>
      <c r="C32" t="inlineStr">
        <is>
          <t>Epimedium</t>
        </is>
      </c>
      <c r="D32" t="n">
        <v>7</v>
      </c>
      <c r="E32" t="n">
        <v>0</v>
      </c>
      <c r="F32" t="n">
        <v>1</v>
      </c>
      <c r="G32" t="inlineStr">
        <is>
          <t>adaptogenic; cognitive-neuroprotective; gastrointestinal; inflammation; metabolic; neurotransmitter; vascular</t>
        </is>
      </c>
      <c r="J32" t="n">
        <v>0</v>
      </c>
      <c r="K32" t="n">
        <v>0</v>
      </c>
      <c r="L32" t="n">
        <v>78.59999999999999</v>
      </c>
      <c r="M32" t="inlineStr">
        <is>
          <t>A</t>
        </is>
      </c>
      <c r="N32" t="inlineStr">
        <is>
          <t>stress + cognition</t>
        </is>
      </c>
      <c r="O32" t="inlineStr">
        <is>
          <t>Low</t>
        </is>
      </c>
      <c r="P32" t="inlineStr">
        <is>
          <t>FALSE</t>
        </is>
      </c>
      <c r="R32" t="inlineStr">
        <is>
          <t>Focus</t>
        </is>
      </c>
      <c r="S32" t="n">
        <v>78.59999999999999</v>
      </c>
    </row>
    <row r="33">
      <c r="A33" t="inlineStr">
        <is>
          <t>Ginkgo Biloba</t>
        </is>
      </c>
      <c r="B33" t="inlineStr">
        <is>
          <t>Green Tea</t>
        </is>
      </c>
      <c r="C33" t="inlineStr">
        <is>
          <t>Turmeric</t>
        </is>
      </c>
      <c r="D33" t="n">
        <v>6</v>
      </c>
      <c r="E33" t="n">
        <v>0</v>
      </c>
      <c r="F33" t="n">
        <v>2</v>
      </c>
      <c r="G33" t="inlineStr">
        <is>
          <t>cognitive-neuroprotective; inflammation; metabolic; neurotransmitter; oxidative-stress; vascular</t>
        </is>
      </c>
      <c r="J33" t="n">
        <v>0</v>
      </c>
      <c r="K33" t="n">
        <v>0</v>
      </c>
      <c r="L33" t="n">
        <v>78.5</v>
      </c>
      <c r="M33" t="inlineStr">
        <is>
          <t>A</t>
        </is>
      </c>
      <c r="N33" t="inlineStr">
        <is>
          <t>recovery / anti-inflammatory</t>
        </is>
      </c>
      <c r="O33" t="inlineStr">
        <is>
          <t>Low</t>
        </is>
      </c>
      <c r="P33" t="inlineStr">
        <is>
          <t>FALSE</t>
        </is>
      </c>
      <c r="R33" t="inlineStr">
        <is>
          <t>Focus</t>
        </is>
      </c>
      <c r="S33" t="n">
        <v>78.5</v>
      </c>
    </row>
    <row r="34">
      <c r="A34" t="inlineStr">
        <is>
          <t>Panax Ginseng</t>
        </is>
      </c>
      <c r="B34" t="inlineStr">
        <is>
          <t>Ashwagandha</t>
        </is>
      </c>
      <c r="C34" t="inlineStr">
        <is>
          <t>Turmeric</t>
        </is>
      </c>
      <c r="D34" t="n">
        <v>7</v>
      </c>
      <c r="E34" t="n">
        <v>0</v>
      </c>
      <c r="F34" t="n">
        <v>2</v>
      </c>
      <c r="G34" t="inlineStr">
        <is>
          <t>adaptogenic; cognitive-neuroprotective; gastrointestinal; inflammation; metabolic; neurotransmitter; oxidative-stress</t>
        </is>
      </c>
      <c r="J34" t="n">
        <v>0</v>
      </c>
      <c r="K34" t="n">
        <v>0</v>
      </c>
      <c r="L34" t="n">
        <v>78</v>
      </c>
      <c r="M34" t="inlineStr">
        <is>
          <t>A</t>
        </is>
      </c>
      <c r="N34" t="inlineStr">
        <is>
          <t>stress + cognition</t>
        </is>
      </c>
      <c r="O34" t="inlineStr">
        <is>
          <t>Low</t>
        </is>
      </c>
      <c r="P34" t="inlineStr">
        <is>
          <t>FALSE</t>
        </is>
      </c>
      <c r="R34" t="inlineStr">
        <is>
          <t>Focus</t>
        </is>
      </c>
      <c r="S34" t="n">
        <v>78</v>
      </c>
    </row>
    <row r="35">
      <c r="A35" t="inlineStr">
        <is>
          <t>Panax Ginseng</t>
        </is>
      </c>
      <c r="B35" t="inlineStr">
        <is>
          <t>Chinese Skullcap</t>
        </is>
      </c>
      <c r="C35" t="inlineStr">
        <is>
          <t>Epimedium</t>
        </is>
      </c>
      <c r="D35" t="n">
        <v>7</v>
      </c>
      <c r="E35" t="n">
        <v>0</v>
      </c>
      <c r="F35" t="n">
        <v>1</v>
      </c>
      <c r="G35" t="inlineStr">
        <is>
          <t>adaptogenic; cognitive-neuroprotective; gastrointestinal; inflammation; metabolic; neurotransmitter; vascular</t>
        </is>
      </c>
      <c r="J35" t="n">
        <v>0</v>
      </c>
      <c r="K35" t="n">
        <v>0</v>
      </c>
      <c r="L35" t="n">
        <v>77.3</v>
      </c>
      <c r="M35" t="inlineStr">
        <is>
          <t>A</t>
        </is>
      </c>
      <c r="N35" t="inlineStr">
        <is>
          <t>stress + cognition</t>
        </is>
      </c>
      <c r="O35" t="inlineStr">
        <is>
          <t>Low</t>
        </is>
      </c>
      <c r="P35" t="inlineStr">
        <is>
          <t>FALSE</t>
        </is>
      </c>
      <c r="R35" t="inlineStr">
        <is>
          <t>Focus</t>
        </is>
      </c>
      <c r="S35" t="n">
        <v>77.3</v>
      </c>
    </row>
    <row r="36">
      <c r="A36" t="inlineStr">
        <is>
          <t>Ginkgo Biloba</t>
        </is>
      </c>
      <c r="B36" t="inlineStr">
        <is>
          <t>Green Tea</t>
        </is>
      </c>
      <c r="C36" t="inlineStr">
        <is>
          <t>Blue Lotus</t>
        </is>
      </c>
      <c r="D36" t="n">
        <v>6</v>
      </c>
      <c r="E36" t="n">
        <v>0</v>
      </c>
      <c r="F36" t="n">
        <v>2</v>
      </c>
      <c r="G36" t="inlineStr">
        <is>
          <t>cognitive-neuroprotective; inflammation; metabolic; neurotransmitter; oxidative-stress; vascular</t>
        </is>
      </c>
      <c r="J36" t="n">
        <v>0</v>
      </c>
      <c r="K36" t="n">
        <v>0</v>
      </c>
      <c r="L36" t="n">
        <v>76.90000000000001</v>
      </c>
      <c r="M36" t="inlineStr">
        <is>
          <t>A</t>
        </is>
      </c>
      <c r="N36" t="inlineStr">
        <is>
          <t>recovery / anti-inflammatory</t>
        </is>
      </c>
      <c r="O36" t="inlineStr">
        <is>
          <t>Low</t>
        </is>
      </c>
      <c r="P36" t="inlineStr">
        <is>
          <t>FALSE</t>
        </is>
      </c>
      <c r="R36" t="inlineStr">
        <is>
          <t>Focus</t>
        </is>
      </c>
      <c r="S36" t="n">
        <v>76.90000000000001</v>
      </c>
    </row>
    <row r="37">
      <c r="A37" t="inlineStr">
        <is>
          <t>Ginkgo Biloba</t>
        </is>
      </c>
      <c r="B37" t="inlineStr">
        <is>
          <t>Chamomile</t>
        </is>
      </c>
      <c r="C37" t="inlineStr">
        <is>
          <t>Turmeric</t>
        </is>
      </c>
      <c r="D37" t="n">
        <v>6</v>
      </c>
      <c r="E37" t="n">
        <v>0</v>
      </c>
      <c r="F37" t="n">
        <v>2</v>
      </c>
      <c r="G37" t="inlineStr">
        <is>
          <t>cognitive-neuroprotective; gastrointestinal; inflammation; neurotransmitter; oxidative-stress; vascular</t>
        </is>
      </c>
      <c r="J37" t="n">
        <v>0</v>
      </c>
      <c r="K37" t="n">
        <v>0</v>
      </c>
      <c r="L37" t="n">
        <v>76.5</v>
      </c>
      <c r="M37" t="inlineStr">
        <is>
          <t>A</t>
        </is>
      </c>
      <c r="N37" t="inlineStr">
        <is>
          <t>recovery / anti-inflammatory</t>
        </is>
      </c>
      <c r="O37" t="inlineStr">
        <is>
          <t>Low</t>
        </is>
      </c>
      <c r="P37" t="inlineStr">
        <is>
          <t>FALSE</t>
        </is>
      </c>
      <c r="R37" t="inlineStr">
        <is>
          <t>Focus</t>
        </is>
      </c>
      <c r="S37" t="n">
        <v>76.5</v>
      </c>
    </row>
    <row r="38">
      <c r="A38" t="inlineStr">
        <is>
          <t>Green Tea</t>
        </is>
      </c>
      <c r="B38" t="inlineStr">
        <is>
          <t>Ashwagandha</t>
        </is>
      </c>
      <c r="C38" t="inlineStr">
        <is>
          <t>Black Cohosh</t>
        </is>
      </c>
      <c r="D38" t="n">
        <v>7</v>
      </c>
      <c r="E38" t="n">
        <v>1</v>
      </c>
      <c r="F38" t="n">
        <v>2</v>
      </c>
      <c r="G38" t="inlineStr">
        <is>
          <t>adaptogenic; cognitive-neuroprotective; gastrointestinal; inflammation; metabolic; neurotransmitter; oxidative-stress</t>
        </is>
      </c>
      <c r="H38" t="inlineStr">
        <is>
          <t>oxidative-stress</t>
        </is>
      </c>
      <c r="J38" t="n">
        <v>0</v>
      </c>
      <c r="K38" t="n">
        <v>0</v>
      </c>
      <c r="L38" t="n">
        <v>76.3</v>
      </c>
      <c r="M38" t="inlineStr">
        <is>
          <t>A</t>
        </is>
      </c>
      <c r="N38" t="inlineStr">
        <is>
          <t>stress + cognition</t>
        </is>
      </c>
      <c r="O38" t="inlineStr">
        <is>
          <t>Low</t>
        </is>
      </c>
      <c r="P38" t="inlineStr">
        <is>
          <t>FALSE</t>
        </is>
      </c>
      <c r="R38" t="inlineStr">
        <is>
          <t>Focus</t>
        </is>
      </c>
      <c r="S38" t="n">
        <v>76.3</v>
      </c>
    </row>
    <row r="39">
      <c r="A39" t="inlineStr">
        <is>
          <t>Panax Ginseng</t>
        </is>
      </c>
      <c r="B39" t="inlineStr">
        <is>
          <t>Ashwagandha</t>
        </is>
      </c>
      <c r="C39" t="inlineStr">
        <is>
          <t>Blue Lotus</t>
        </is>
      </c>
      <c r="D39" t="n">
        <v>7</v>
      </c>
      <c r="E39" t="n">
        <v>0</v>
      </c>
      <c r="F39" t="n">
        <v>2</v>
      </c>
      <c r="G39" t="inlineStr">
        <is>
          <t>adaptogenic; cognitive-neuroprotective; gastrointestinal; inflammation; metabolic; neurotransmitter; oxidative-stress</t>
        </is>
      </c>
      <c r="J39" t="n">
        <v>0</v>
      </c>
      <c r="K39" t="n">
        <v>0</v>
      </c>
      <c r="L39" t="n">
        <v>76.3</v>
      </c>
      <c r="M39" t="inlineStr">
        <is>
          <t>A</t>
        </is>
      </c>
      <c r="N39" t="inlineStr">
        <is>
          <t>stress + cognition</t>
        </is>
      </c>
      <c r="O39" t="inlineStr">
        <is>
          <t>Low</t>
        </is>
      </c>
      <c r="P39" t="inlineStr">
        <is>
          <t>FALSE</t>
        </is>
      </c>
      <c r="R39" t="inlineStr">
        <is>
          <t>Focus</t>
        </is>
      </c>
      <c r="S39" t="n">
        <v>76.3</v>
      </c>
    </row>
    <row r="40">
      <c r="A40" t="inlineStr">
        <is>
          <t>Ginkgo Biloba</t>
        </is>
      </c>
      <c r="B40" t="inlineStr">
        <is>
          <t>Ashwagandha</t>
        </is>
      </c>
      <c r="C40" t="inlineStr">
        <is>
          <t>Corydalis</t>
        </is>
      </c>
      <c r="D40" t="n">
        <v>7</v>
      </c>
      <c r="E40" t="n">
        <v>0</v>
      </c>
      <c r="F40" t="n">
        <v>3</v>
      </c>
      <c r="G40" t="inlineStr">
        <is>
          <t>adaptogenic; cognitive-neuroprotective; gastrointestinal; inflammation; neurotransmitter; oxidative-stress; vascular</t>
        </is>
      </c>
      <c r="J40" t="n">
        <v>0</v>
      </c>
      <c r="K40" t="n">
        <v>0</v>
      </c>
      <c r="L40" t="n">
        <v>76.2</v>
      </c>
      <c r="M40" t="inlineStr">
        <is>
          <t>A</t>
        </is>
      </c>
      <c r="N40" t="inlineStr">
        <is>
          <t>stress + cognition</t>
        </is>
      </c>
      <c r="O40" t="inlineStr">
        <is>
          <t>Low</t>
        </is>
      </c>
      <c r="P40" t="inlineStr">
        <is>
          <t>FALSE</t>
        </is>
      </c>
      <c r="R40" t="inlineStr">
        <is>
          <t>Focus</t>
        </is>
      </c>
      <c r="S40" t="n">
        <v>76.2</v>
      </c>
    </row>
    <row r="41">
      <c r="A41" t="inlineStr">
        <is>
          <t>Panax Ginseng</t>
        </is>
      </c>
      <c r="B41" t="inlineStr">
        <is>
          <t>Black Cohosh</t>
        </is>
      </c>
      <c r="C41" t="inlineStr">
        <is>
          <t>Black Pepper</t>
        </is>
      </c>
      <c r="D41" t="n">
        <v>7</v>
      </c>
      <c r="E41" t="n">
        <v>1</v>
      </c>
      <c r="F41" t="n">
        <v>1</v>
      </c>
      <c r="G41" t="inlineStr">
        <is>
          <t>adaptogenic; cognitive-neuroprotective; gastrointestinal; inflammation; metabolic; neurotransmitter; oxidative-stress</t>
        </is>
      </c>
      <c r="H41" t="inlineStr">
        <is>
          <t>gastrointestinal</t>
        </is>
      </c>
      <c r="J41" t="n">
        <v>0</v>
      </c>
      <c r="K41" t="n">
        <v>0</v>
      </c>
      <c r="L41" t="n">
        <v>75.3</v>
      </c>
      <c r="M41" t="inlineStr">
        <is>
          <t>A</t>
        </is>
      </c>
      <c r="N41" t="inlineStr">
        <is>
          <t>stress + cognition</t>
        </is>
      </c>
      <c r="O41" t="inlineStr">
        <is>
          <t>Low</t>
        </is>
      </c>
      <c r="P41" t="inlineStr">
        <is>
          <t>FALSE</t>
        </is>
      </c>
      <c r="R41" t="inlineStr">
        <is>
          <t>Focus</t>
        </is>
      </c>
      <c r="S41" t="n">
        <v>75.3</v>
      </c>
    </row>
    <row r="42">
      <c r="A42" t="inlineStr">
        <is>
          <t>Ginkgo Biloba</t>
        </is>
      </c>
      <c r="B42" t="inlineStr">
        <is>
          <t>Chamomile</t>
        </is>
      </c>
      <c r="C42" t="inlineStr">
        <is>
          <t>Blue Lotus</t>
        </is>
      </c>
      <c r="D42" t="n">
        <v>6</v>
      </c>
      <c r="E42" t="n">
        <v>0</v>
      </c>
      <c r="F42" t="n">
        <v>2</v>
      </c>
      <c r="G42" t="inlineStr">
        <is>
          <t>cognitive-neuroprotective; gastrointestinal; inflammation; neurotransmitter; oxidative-stress; vascular</t>
        </is>
      </c>
      <c r="J42" t="n">
        <v>0</v>
      </c>
      <c r="K42" t="n">
        <v>0</v>
      </c>
      <c r="L42" t="n">
        <v>74.90000000000001</v>
      </c>
      <c r="M42" t="inlineStr">
        <is>
          <t>A</t>
        </is>
      </c>
      <c r="N42" t="inlineStr">
        <is>
          <t>recovery / anti-inflammatory</t>
        </is>
      </c>
      <c r="O42" t="inlineStr">
        <is>
          <t>Low</t>
        </is>
      </c>
      <c r="P42" t="inlineStr">
        <is>
          <t>FALSE</t>
        </is>
      </c>
      <c r="R42" t="inlineStr">
        <is>
          <t>Focus</t>
        </is>
      </c>
      <c r="S42" t="n">
        <v>74.90000000000001</v>
      </c>
    </row>
    <row r="43">
      <c r="A43" t="inlineStr">
        <is>
          <t>Panax Ginseng</t>
        </is>
      </c>
      <c r="B43" t="inlineStr">
        <is>
          <t>Green Tea</t>
        </is>
      </c>
      <c r="C43" t="inlineStr">
        <is>
          <t>Turmeric</t>
        </is>
      </c>
      <c r="D43" t="n">
        <v>6</v>
      </c>
      <c r="E43" t="n">
        <v>0</v>
      </c>
      <c r="F43" t="n">
        <v>1</v>
      </c>
      <c r="G43" t="inlineStr">
        <is>
          <t>adaptogenic; cognitive-neuroprotective; gastrointestinal; metabolic; neurotransmitter; oxidative-stress</t>
        </is>
      </c>
      <c r="J43" t="n">
        <v>0</v>
      </c>
      <c r="K43" t="n">
        <v>0</v>
      </c>
      <c r="L43" t="n">
        <v>74.8</v>
      </c>
      <c r="M43" t="inlineStr">
        <is>
          <t>A</t>
        </is>
      </c>
      <c r="N43" t="inlineStr">
        <is>
          <t>stress + cognition</t>
        </is>
      </c>
      <c r="O43" t="inlineStr">
        <is>
          <t>Low</t>
        </is>
      </c>
      <c r="P43" t="inlineStr">
        <is>
          <t>FALSE</t>
        </is>
      </c>
      <c r="R43" t="inlineStr">
        <is>
          <t>Focus</t>
        </is>
      </c>
      <c r="S43" t="n">
        <v>74.8</v>
      </c>
    </row>
    <row r="44">
      <c r="A44" t="inlineStr">
        <is>
          <t>Panax Ginseng</t>
        </is>
      </c>
      <c r="B44" t="inlineStr">
        <is>
          <t>Chamomile</t>
        </is>
      </c>
      <c r="C44" t="inlineStr">
        <is>
          <t>Chinese Skullcap</t>
        </is>
      </c>
      <c r="D44" t="n">
        <v>6</v>
      </c>
      <c r="E44" t="n">
        <v>0</v>
      </c>
      <c r="F44" t="n">
        <v>2</v>
      </c>
      <c r="G44" t="inlineStr">
        <is>
          <t>adaptogenic; cognitive-neuroprotective; gastrointestinal; inflammation; metabolic; neurotransmitter</t>
        </is>
      </c>
      <c r="J44" t="n">
        <v>0</v>
      </c>
      <c r="K44" t="n">
        <v>0</v>
      </c>
      <c r="L44" t="n">
        <v>74.59999999999999</v>
      </c>
      <c r="M44" t="inlineStr">
        <is>
          <t>A</t>
        </is>
      </c>
      <c r="N44" t="inlineStr">
        <is>
          <t>stress + cognition</t>
        </is>
      </c>
      <c r="O44" t="inlineStr">
        <is>
          <t>Low</t>
        </is>
      </c>
      <c r="P44" t="inlineStr">
        <is>
          <t>FALSE</t>
        </is>
      </c>
      <c r="R44" t="inlineStr">
        <is>
          <t>Focus</t>
        </is>
      </c>
      <c r="S44" t="n">
        <v>74.59999999999999</v>
      </c>
    </row>
    <row r="45">
      <c r="A45" t="inlineStr">
        <is>
          <t>Ginkgo Biloba</t>
        </is>
      </c>
      <c r="B45" t="inlineStr">
        <is>
          <t>Chinese Skullcap</t>
        </is>
      </c>
      <c r="C45" t="inlineStr">
        <is>
          <t>Black Cohosh</t>
        </is>
      </c>
      <c r="D45" t="n">
        <v>5</v>
      </c>
      <c r="E45" t="n">
        <v>1</v>
      </c>
      <c r="F45" t="n">
        <v>4</v>
      </c>
      <c r="G45" t="inlineStr">
        <is>
          <t>cognitive-neuroprotective; gastrointestinal; inflammation; oxidative-stress; vascular</t>
        </is>
      </c>
      <c r="H45" t="inlineStr">
        <is>
          <t>inflammation</t>
        </is>
      </c>
      <c r="J45" t="n">
        <v>0</v>
      </c>
      <c r="K45" t="n">
        <v>0</v>
      </c>
      <c r="L45" t="n">
        <v>74.5</v>
      </c>
      <c r="M45" t="inlineStr">
        <is>
          <t>A</t>
        </is>
      </c>
      <c r="N45" t="inlineStr">
        <is>
          <t>recovery / anti-inflammatory</t>
        </is>
      </c>
      <c r="O45" t="inlineStr">
        <is>
          <t>Low</t>
        </is>
      </c>
      <c r="P45" t="inlineStr">
        <is>
          <t>FALSE</t>
        </is>
      </c>
      <c r="R45" t="inlineStr">
        <is>
          <t>Recovery</t>
        </is>
      </c>
      <c r="S45" t="n">
        <v>74.5</v>
      </c>
    </row>
    <row r="46">
      <c r="A46" t="inlineStr">
        <is>
          <t>Panax Ginseng</t>
        </is>
      </c>
      <c r="B46" t="inlineStr">
        <is>
          <t>Ashwagandha</t>
        </is>
      </c>
      <c r="C46" t="inlineStr">
        <is>
          <t>Black Cohosh</t>
        </is>
      </c>
      <c r="D46" t="n">
        <v>7</v>
      </c>
      <c r="E46" t="n">
        <v>0</v>
      </c>
      <c r="F46" t="n">
        <v>2</v>
      </c>
      <c r="G46" t="inlineStr">
        <is>
          <t>adaptogenic; cognitive-neuroprotective; gastrointestinal; inflammation; metabolic; neurotransmitter; oxidative-stress</t>
        </is>
      </c>
      <c r="J46" t="n">
        <v>0</v>
      </c>
      <c r="K46" t="n">
        <v>0</v>
      </c>
      <c r="L46" t="n">
        <v>74.2</v>
      </c>
      <c r="M46" t="inlineStr">
        <is>
          <t>A</t>
        </is>
      </c>
      <c r="N46" t="inlineStr">
        <is>
          <t>stress + cognition</t>
        </is>
      </c>
      <c r="O46" t="inlineStr">
        <is>
          <t>Low</t>
        </is>
      </c>
      <c r="P46" t="inlineStr">
        <is>
          <t>FALSE</t>
        </is>
      </c>
      <c r="R46" t="inlineStr">
        <is>
          <t>Focus</t>
        </is>
      </c>
      <c r="S46" t="n">
        <v>74.2</v>
      </c>
    </row>
    <row r="47">
      <c r="A47" t="inlineStr">
        <is>
          <t>Panax Ginseng</t>
        </is>
      </c>
      <c r="B47" t="inlineStr">
        <is>
          <t>Ashwagandha</t>
        </is>
      </c>
      <c r="C47" t="inlineStr">
        <is>
          <t>Black Pepper</t>
        </is>
      </c>
      <c r="D47" t="n">
        <v>7</v>
      </c>
      <c r="E47" t="n">
        <v>0</v>
      </c>
      <c r="F47" t="n">
        <v>2</v>
      </c>
      <c r="G47" t="inlineStr">
        <is>
          <t>adaptogenic; cognitive-neuroprotective; gastrointestinal; inflammation; metabolic; neurotransmitter; oxidative-stress</t>
        </is>
      </c>
      <c r="J47" t="n">
        <v>0</v>
      </c>
      <c r="K47" t="n">
        <v>0</v>
      </c>
      <c r="L47" t="n">
        <v>74.2</v>
      </c>
      <c r="M47" t="inlineStr">
        <is>
          <t>A</t>
        </is>
      </c>
      <c r="N47" t="inlineStr">
        <is>
          <t>stress + cognition</t>
        </is>
      </c>
      <c r="O47" t="inlineStr">
        <is>
          <t>Low</t>
        </is>
      </c>
      <c r="P47" t="inlineStr">
        <is>
          <t>FALSE</t>
        </is>
      </c>
      <c r="R47" t="inlineStr">
        <is>
          <t>Focus</t>
        </is>
      </c>
      <c r="S47" t="n">
        <v>74.2</v>
      </c>
    </row>
    <row r="48">
      <c r="A48" t="inlineStr">
        <is>
          <t>Panax Ginseng</t>
        </is>
      </c>
      <c r="B48" t="inlineStr">
        <is>
          <t>Chamomile</t>
        </is>
      </c>
      <c r="C48" t="inlineStr">
        <is>
          <t>Black Pepper</t>
        </is>
      </c>
      <c r="D48" t="n">
        <v>6</v>
      </c>
      <c r="E48" t="n">
        <v>1</v>
      </c>
      <c r="F48" t="n">
        <v>1</v>
      </c>
      <c r="G48" t="inlineStr">
        <is>
          <t>adaptogenic; cognitive-neuroprotective; gastrointestinal; inflammation; metabolic; neurotransmitter</t>
        </is>
      </c>
      <c r="H48" t="inlineStr">
        <is>
          <t>gastrointestinal</t>
        </is>
      </c>
      <c r="J48" t="n">
        <v>0</v>
      </c>
      <c r="K48" t="n">
        <v>0</v>
      </c>
      <c r="L48" t="n">
        <v>74.09999999999999</v>
      </c>
      <c r="M48" t="inlineStr">
        <is>
          <t>A</t>
        </is>
      </c>
      <c r="N48" t="inlineStr">
        <is>
          <t>stress + cognition</t>
        </is>
      </c>
      <c r="O48" t="inlineStr">
        <is>
          <t>Low</t>
        </is>
      </c>
      <c r="P48" t="inlineStr">
        <is>
          <t>FALSE</t>
        </is>
      </c>
      <c r="R48" t="inlineStr">
        <is>
          <t>Focus</t>
        </is>
      </c>
      <c r="S48" t="n">
        <v>74.09999999999999</v>
      </c>
    </row>
    <row r="49">
      <c r="A49" t="inlineStr">
        <is>
          <t>Panax Ginseng</t>
        </is>
      </c>
      <c r="B49" t="inlineStr">
        <is>
          <t>Turmeric</t>
        </is>
      </c>
      <c r="C49" t="inlineStr">
        <is>
          <t>Black Cohosh</t>
        </is>
      </c>
      <c r="D49" t="n">
        <v>7</v>
      </c>
      <c r="E49" t="n">
        <v>0</v>
      </c>
      <c r="F49" t="n">
        <v>1</v>
      </c>
      <c r="G49" t="inlineStr">
        <is>
          <t>adaptogenic; cognitive-neuroprotective; gastrointestinal; inflammation; metabolic; neurotransmitter; oxidative-stress</t>
        </is>
      </c>
      <c r="J49" t="n">
        <v>0</v>
      </c>
      <c r="K49" t="n">
        <v>0</v>
      </c>
      <c r="L49" t="n">
        <v>74</v>
      </c>
      <c r="M49" t="inlineStr">
        <is>
          <t>A</t>
        </is>
      </c>
      <c r="N49" t="inlineStr">
        <is>
          <t>stress + cognition</t>
        </is>
      </c>
      <c r="O49" t="inlineStr">
        <is>
          <t>Low</t>
        </is>
      </c>
      <c r="P49" t="inlineStr">
        <is>
          <t>FALSE</t>
        </is>
      </c>
      <c r="R49" t="inlineStr">
        <is>
          <t>Focus</t>
        </is>
      </c>
      <c r="S49" t="n">
        <v>74</v>
      </c>
    </row>
    <row r="50">
      <c r="A50" t="inlineStr">
        <is>
          <t>Chamomile</t>
        </is>
      </c>
      <c r="B50" t="inlineStr">
        <is>
          <t>Chinese Skullcap</t>
        </is>
      </c>
      <c r="C50" t="inlineStr">
        <is>
          <t>Ashwagandha</t>
        </is>
      </c>
      <c r="D50" t="n">
        <v>6</v>
      </c>
      <c r="E50" t="n">
        <v>1</v>
      </c>
      <c r="F50" t="n">
        <v>3</v>
      </c>
      <c r="G50" t="inlineStr">
        <is>
          <t>adaptogenic; cognitive-neuroprotective; gastrointestinal; inflammation; neurotransmitter; oxidative-stress</t>
        </is>
      </c>
      <c r="H50" t="inlineStr">
        <is>
          <t>inflammation</t>
        </is>
      </c>
      <c r="J50" t="n">
        <v>0</v>
      </c>
      <c r="K50" t="n">
        <v>0</v>
      </c>
      <c r="L50" t="n">
        <v>73.8</v>
      </c>
      <c r="M50" t="inlineStr">
        <is>
          <t>A</t>
        </is>
      </c>
      <c r="N50" t="inlineStr">
        <is>
          <t>stress + cognition</t>
        </is>
      </c>
      <c r="O50" t="inlineStr">
        <is>
          <t>Low</t>
        </is>
      </c>
      <c r="P50" t="inlineStr">
        <is>
          <t>FALSE</t>
        </is>
      </c>
      <c r="R50" t="inlineStr">
        <is>
          <t>Focus</t>
        </is>
      </c>
      <c r="S50" t="n">
        <v>73.8</v>
      </c>
    </row>
    <row r="51">
      <c r="A51" t="inlineStr">
        <is>
          <t>Panax Ginseng</t>
        </is>
      </c>
      <c r="B51" t="inlineStr">
        <is>
          <t>Chinese Skullcap</t>
        </is>
      </c>
      <c r="C51" t="inlineStr">
        <is>
          <t>Black Cohosh</t>
        </is>
      </c>
      <c r="D51" t="n">
        <v>7</v>
      </c>
      <c r="E51" t="n">
        <v>0</v>
      </c>
      <c r="F51" t="n">
        <v>1</v>
      </c>
      <c r="G51" t="inlineStr">
        <is>
          <t>adaptogenic; cognitive-neuroprotective; gastrointestinal; inflammation; metabolic; neurotransmitter; oxidative-stress</t>
        </is>
      </c>
      <c r="J51" t="n">
        <v>0</v>
      </c>
      <c r="K51" t="n">
        <v>0</v>
      </c>
      <c r="L51" t="n">
        <v>73.8</v>
      </c>
      <c r="M51" t="inlineStr">
        <is>
          <t>A</t>
        </is>
      </c>
      <c r="N51" t="inlineStr">
        <is>
          <t>stress + cognition</t>
        </is>
      </c>
      <c r="O51" t="inlineStr">
        <is>
          <t>Low</t>
        </is>
      </c>
      <c r="P51" t="inlineStr">
        <is>
          <t>FALSE</t>
        </is>
      </c>
      <c r="R51" t="inlineStr">
        <is>
          <t>Focus</t>
        </is>
      </c>
      <c r="S51" t="n">
        <v>73.8</v>
      </c>
    </row>
    <row r="52">
      <c r="A52" t="inlineStr">
        <is>
          <t>Panax Ginseng</t>
        </is>
      </c>
      <c r="B52" t="inlineStr">
        <is>
          <t>Black Cohosh</t>
        </is>
      </c>
      <c r="C52" t="inlineStr">
        <is>
          <t>Corydalis</t>
        </is>
      </c>
      <c r="D52" t="n">
        <v>7</v>
      </c>
      <c r="E52" t="n">
        <v>1</v>
      </c>
      <c r="F52" t="n">
        <v>1</v>
      </c>
      <c r="G52" t="inlineStr">
        <is>
          <t>adaptogenic; cognitive-neuroprotective; gastrointestinal; inflammation; metabolic; neurotransmitter; oxidative-stress</t>
        </is>
      </c>
      <c r="H52" t="inlineStr">
        <is>
          <t>gastrointestinal</t>
        </is>
      </c>
      <c r="J52" t="n">
        <v>0</v>
      </c>
      <c r="K52" t="n">
        <v>0</v>
      </c>
      <c r="L52" t="n">
        <v>73.7</v>
      </c>
      <c r="M52" t="inlineStr">
        <is>
          <t>A</t>
        </is>
      </c>
      <c r="N52" t="inlineStr">
        <is>
          <t>stress + cognition</t>
        </is>
      </c>
      <c r="O52" t="inlineStr">
        <is>
          <t>Low</t>
        </is>
      </c>
      <c r="P52" t="inlineStr">
        <is>
          <t>FALSE</t>
        </is>
      </c>
      <c r="R52" t="inlineStr">
        <is>
          <t>Focus</t>
        </is>
      </c>
      <c r="S52" t="n">
        <v>73.7</v>
      </c>
    </row>
    <row r="53">
      <c r="A53" t="inlineStr">
        <is>
          <t>Panax Ginseng</t>
        </is>
      </c>
      <c r="B53" t="inlineStr">
        <is>
          <t>Green Tea</t>
        </is>
      </c>
      <c r="C53" t="inlineStr">
        <is>
          <t>Blue Lotus</t>
        </is>
      </c>
      <c r="D53" t="n">
        <v>6</v>
      </c>
      <c r="E53" t="n">
        <v>0</v>
      </c>
      <c r="F53" t="n">
        <v>1</v>
      </c>
      <c r="G53" t="inlineStr">
        <is>
          <t>adaptogenic; cognitive-neuroprotective; gastrointestinal; metabolic; neurotransmitter; oxidative-stress</t>
        </is>
      </c>
      <c r="J53" t="n">
        <v>0</v>
      </c>
      <c r="K53" t="n">
        <v>0</v>
      </c>
      <c r="L53" t="n">
        <v>73.2</v>
      </c>
      <c r="M53" t="inlineStr">
        <is>
          <t>A</t>
        </is>
      </c>
      <c r="N53" t="inlineStr">
        <is>
          <t>stress + cognition</t>
        </is>
      </c>
      <c r="O53" t="inlineStr">
        <is>
          <t>Low</t>
        </is>
      </c>
      <c r="P53" t="inlineStr">
        <is>
          <t>FALSE</t>
        </is>
      </c>
      <c r="R53" t="inlineStr">
        <is>
          <t>Focus</t>
        </is>
      </c>
      <c r="S53" t="n">
        <v>73.2</v>
      </c>
    </row>
    <row r="54">
      <c r="A54" t="inlineStr">
        <is>
          <t>Chamomile</t>
        </is>
      </c>
      <c r="B54" t="inlineStr">
        <is>
          <t>Epimedium</t>
        </is>
      </c>
      <c r="C54" t="inlineStr">
        <is>
          <t>Ashwagandha</t>
        </is>
      </c>
      <c r="D54" t="n">
        <v>7</v>
      </c>
      <c r="E54" t="n">
        <v>0</v>
      </c>
      <c r="F54" t="n">
        <v>2</v>
      </c>
      <c r="G54" t="inlineStr">
        <is>
          <t>adaptogenic; cognitive-neuroprotective; gastrointestinal; inflammation; neurotransmitter; oxidative-stress; vascular</t>
        </is>
      </c>
      <c r="J54" t="n">
        <v>0</v>
      </c>
      <c r="K54" t="n">
        <v>0</v>
      </c>
      <c r="L54" t="n">
        <v>72.8</v>
      </c>
      <c r="M54" t="inlineStr">
        <is>
          <t>A</t>
        </is>
      </c>
      <c r="N54" t="inlineStr">
        <is>
          <t>stress + cognition</t>
        </is>
      </c>
      <c r="O54" t="inlineStr">
        <is>
          <t>Low</t>
        </is>
      </c>
      <c r="P54" t="inlineStr">
        <is>
          <t>FALSE</t>
        </is>
      </c>
      <c r="R54" t="inlineStr">
        <is>
          <t>Focus</t>
        </is>
      </c>
      <c r="S54" t="n">
        <v>72.8</v>
      </c>
    </row>
    <row r="55">
      <c r="A55" t="inlineStr">
        <is>
          <t>Ginkgo Biloba</t>
        </is>
      </c>
      <c r="B55" t="inlineStr">
        <is>
          <t>Chamomile</t>
        </is>
      </c>
      <c r="C55" t="inlineStr">
        <is>
          <t>Black Pepper</t>
        </is>
      </c>
      <c r="D55" t="n">
        <v>6</v>
      </c>
      <c r="E55" t="n">
        <v>0</v>
      </c>
      <c r="F55" t="n">
        <v>2</v>
      </c>
      <c r="G55" t="inlineStr">
        <is>
          <t>cognitive-neuroprotective; gastrointestinal; inflammation; neurotransmitter; oxidative-stress; vascular</t>
        </is>
      </c>
      <c r="J55" t="n">
        <v>0</v>
      </c>
      <c r="K55" t="n">
        <v>0</v>
      </c>
      <c r="L55" t="n">
        <v>72.8</v>
      </c>
      <c r="M55" t="inlineStr">
        <is>
          <t>A</t>
        </is>
      </c>
      <c r="N55" t="inlineStr">
        <is>
          <t>recovery / anti-inflammatory</t>
        </is>
      </c>
      <c r="O55" t="inlineStr">
        <is>
          <t>Low</t>
        </is>
      </c>
      <c r="P55" t="inlineStr">
        <is>
          <t>FALSE</t>
        </is>
      </c>
      <c r="R55" t="inlineStr">
        <is>
          <t>Focus</t>
        </is>
      </c>
      <c r="S55" t="n">
        <v>72.8</v>
      </c>
    </row>
    <row r="56">
      <c r="A56" t="inlineStr">
        <is>
          <t>Green Tea</t>
        </is>
      </c>
      <c r="B56" t="inlineStr">
        <is>
          <t>Epimedium</t>
        </is>
      </c>
      <c r="C56" t="inlineStr">
        <is>
          <t>Ashwagandha</t>
        </is>
      </c>
      <c r="D56" t="n">
        <v>7</v>
      </c>
      <c r="E56" t="n">
        <v>0</v>
      </c>
      <c r="F56" t="n">
        <v>1</v>
      </c>
      <c r="G56" t="inlineStr">
        <is>
          <t>adaptogenic; cognitive-neuroprotective; inflammation; metabolic; neurotransmitter; oxidative-stress; vascular</t>
        </is>
      </c>
      <c r="J56" t="n">
        <v>0</v>
      </c>
      <c r="K56" t="n">
        <v>0</v>
      </c>
      <c r="L56" t="n">
        <v>72.8</v>
      </c>
      <c r="M56" t="inlineStr">
        <is>
          <t>A</t>
        </is>
      </c>
      <c r="N56" t="inlineStr">
        <is>
          <t>stress + cognition</t>
        </is>
      </c>
      <c r="O56" t="inlineStr">
        <is>
          <t>Low</t>
        </is>
      </c>
      <c r="P56" t="inlineStr">
        <is>
          <t>FALSE</t>
        </is>
      </c>
      <c r="R56" t="inlineStr">
        <is>
          <t>Focus</t>
        </is>
      </c>
      <c r="S56" t="n">
        <v>72.8</v>
      </c>
    </row>
    <row r="57">
      <c r="A57" t="inlineStr">
        <is>
          <t>Panax Ginseng</t>
        </is>
      </c>
      <c r="B57" t="inlineStr">
        <is>
          <t>Chamomile</t>
        </is>
      </c>
      <c r="C57" t="inlineStr">
        <is>
          <t>Turmeric</t>
        </is>
      </c>
      <c r="D57" t="n">
        <v>6</v>
      </c>
      <c r="E57" t="n">
        <v>0</v>
      </c>
      <c r="F57" t="n">
        <v>1</v>
      </c>
      <c r="G57" t="inlineStr">
        <is>
          <t>adaptogenic; cognitive-neuroprotective; gastrointestinal; inflammation; metabolic; neurotransmitter</t>
        </is>
      </c>
      <c r="J57" t="n">
        <v>0</v>
      </c>
      <c r="K57" t="n">
        <v>0</v>
      </c>
      <c r="L57" t="n">
        <v>72.8</v>
      </c>
      <c r="M57" t="inlineStr">
        <is>
          <t>A</t>
        </is>
      </c>
      <c r="N57" t="inlineStr">
        <is>
          <t>stress + cognition</t>
        </is>
      </c>
      <c r="O57" t="inlineStr">
        <is>
          <t>Low</t>
        </is>
      </c>
      <c r="P57" t="inlineStr">
        <is>
          <t>FALSE</t>
        </is>
      </c>
      <c r="R57" t="inlineStr">
        <is>
          <t>Focus</t>
        </is>
      </c>
      <c r="S57" t="n">
        <v>72.8</v>
      </c>
    </row>
    <row r="58">
      <c r="A58" t="inlineStr">
        <is>
          <t>Panax Ginseng</t>
        </is>
      </c>
      <c r="B58" t="inlineStr">
        <is>
          <t>Ashwagandha</t>
        </is>
      </c>
      <c r="C58" t="inlineStr">
        <is>
          <t>Corydalis</t>
        </is>
      </c>
      <c r="D58" t="n">
        <v>7</v>
      </c>
      <c r="E58" t="n">
        <v>0</v>
      </c>
      <c r="F58" t="n">
        <v>2</v>
      </c>
      <c r="G58" t="inlineStr">
        <is>
          <t>adaptogenic; cognitive-neuroprotective; gastrointestinal; inflammation; metabolic; neurotransmitter; oxidative-stress</t>
        </is>
      </c>
      <c r="J58" t="n">
        <v>0</v>
      </c>
      <c r="K58" t="n">
        <v>0</v>
      </c>
      <c r="L58" t="n">
        <v>72.59999999999999</v>
      </c>
      <c r="M58" t="inlineStr">
        <is>
          <t>A</t>
        </is>
      </c>
      <c r="N58" t="inlineStr">
        <is>
          <t>stress + cognition</t>
        </is>
      </c>
      <c r="O58" t="inlineStr">
        <is>
          <t>Low</t>
        </is>
      </c>
      <c r="P58" t="inlineStr">
        <is>
          <t>FALSE</t>
        </is>
      </c>
      <c r="R58" t="inlineStr">
        <is>
          <t>Focus</t>
        </is>
      </c>
      <c r="S58" t="n">
        <v>72.59999999999999</v>
      </c>
    </row>
    <row r="59">
      <c r="A59" t="inlineStr">
        <is>
          <t>Panax Ginseng</t>
        </is>
      </c>
      <c r="B59" t="inlineStr">
        <is>
          <t>Blue Lotus</t>
        </is>
      </c>
      <c r="C59" t="inlineStr">
        <is>
          <t>Black Cohosh</t>
        </is>
      </c>
      <c r="D59" t="n">
        <v>7</v>
      </c>
      <c r="E59" t="n">
        <v>0</v>
      </c>
      <c r="F59" t="n">
        <v>1</v>
      </c>
      <c r="G59" t="inlineStr">
        <is>
          <t>adaptogenic; cognitive-neuroprotective; gastrointestinal; inflammation; metabolic; neurotransmitter; oxidative-stress</t>
        </is>
      </c>
      <c r="J59" t="n">
        <v>0</v>
      </c>
      <c r="K59" t="n">
        <v>0</v>
      </c>
      <c r="L59" t="n">
        <v>72.5</v>
      </c>
      <c r="M59" t="inlineStr">
        <is>
          <t>A</t>
        </is>
      </c>
      <c r="N59" t="inlineStr">
        <is>
          <t>stress + cognition</t>
        </is>
      </c>
      <c r="O59" t="inlineStr">
        <is>
          <t>Low</t>
        </is>
      </c>
      <c r="P59" t="inlineStr">
        <is>
          <t>FALSE</t>
        </is>
      </c>
      <c r="R59" t="inlineStr">
        <is>
          <t>Focus</t>
        </is>
      </c>
      <c r="S59" t="n">
        <v>72.5</v>
      </c>
    </row>
    <row r="60">
      <c r="A60" t="inlineStr">
        <is>
          <t>Ginkgo Biloba</t>
        </is>
      </c>
      <c r="B60" t="inlineStr">
        <is>
          <t>Green Tea</t>
        </is>
      </c>
      <c r="C60" t="inlineStr">
        <is>
          <t>Corydalis</t>
        </is>
      </c>
      <c r="D60" t="n">
        <v>7</v>
      </c>
      <c r="E60" t="n">
        <v>0</v>
      </c>
      <c r="F60" t="n">
        <v>2</v>
      </c>
      <c r="G60" t="inlineStr">
        <is>
          <t>cognitive-neuroprotective; gastrointestinal; inflammation; metabolic; neurotransmitter; oxidative-stress; vascular</t>
        </is>
      </c>
      <c r="I60" t="inlineStr">
        <is>
          <t>stimulant-neuro</t>
        </is>
      </c>
      <c r="J60" t="n">
        <v>0</v>
      </c>
      <c r="K60" t="n">
        <v>7</v>
      </c>
      <c r="L60" t="n">
        <v>72.2</v>
      </c>
      <c r="M60" t="inlineStr">
        <is>
          <t>A</t>
        </is>
      </c>
      <c r="N60" t="inlineStr">
        <is>
          <t>recovery / anti-inflammatory</t>
        </is>
      </c>
      <c r="O60" t="inlineStr">
        <is>
          <t>Moderate</t>
        </is>
      </c>
      <c r="P60" t="inlineStr">
        <is>
          <t>FALSE</t>
        </is>
      </c>
      <c r="R60" t="inlineStr">
        <is>
          <t>Focus</t>
        </is>
      </c>
      <c r="S60" t="n">
        <v>66.2</v>
      </c>
    </row>
    <row r="61">
      <c r="A61" t="inlineStr">
        <is>
          <t>Ginkgo Biloba</t>
        </is>
      </c>
      <c r="B61" t="inlineStr">
        <is>
          <t>Ashwagandha</t>
        </is>
      </c>
      <c r="C61" t="inlineStr">
        <is>
          <t>Black Pepper</t>
        </is>
      </c>
      <c r="D61" t="n">
        <v>6</v>
      </c>
      <c r="E61" t="n">
        <v>0</v>
      </c>
      <c r="F61" t="n">
        <v>3</v>
      </c>
      <c r="G61" t="inlineStr">
        <is>
          <t>adaptogenic; cognitive-neuroprotective; gastrointestinal; inflammation; oxidative-stress; vascular</t>
        </is>
      </c>
      <c r="J61" t="n">
        <v>0</v>
      </c>
      <c r="K61" t="n">
        <v>0</v>
      </c>
      <c r="L61" t="n">
        <v>71.8</v>
      </c>
      <c r="M61" t="inlineStr">
        <is>
          <t>A</t>
        </is>
      </c>
      <c r="N61" t="inlineStr">
        <is>
          <t>stress + cognition</t>
        </is>
      </c>
      <c r="O61" t="inlineStr">
        <is>
          <t>Low</t>
        </is>
      </c>
      <c r="P61" t="inlineStr">
        <is>
          <t>FALSE</t>
        </is>
      </c>
      <c r="R61" t="inlineStr">
        <is>
          <t>Stress</t>
        </is>
      </c>
      <c r="S61" t="n">
        <v>71.8</v>
      </c>
    </row>
    <row r="62">
      <c r="A62" t="inlineStr">
        <is>
          <t>Ginkgo Biloba</t>
        </is>
      </c>
      <c r="B62" t="inlineStr">
        <is>
          <t>Chinese Skullcap</t>
        </is>
      </c>
      <c r="C62" t="inlineStr">
        <is>
          <t>Corydalis</t>
        </is>
      </c>
      <c r="D62" t="n">
        <v>6</v>
      </c>
      <c r="E62" t="n">
        <v>0</v>
      </c>
      <c r="F62" t="n">
        <v>3</v>
      </c>
      <c r="G62" t="inlineStr">
        <is>
          <t>cognitive-neuroprotective; gastrointestinal; inflammation; neurotransmitter; oxidative-stress; vascular</t>
        </is>
      </c>
      <c r="J62" t="n">
        <v>0</v>
      </c>
      <c r="K62" t="n">
        <v>0</v>
      </c>
      <c r="L62" t="n">
        <v>71.8</v>
      </c>
      <c r="M62" t="inlineStr">
        <is>
          <t>A</t>
        </is>
      </c>
      <c r="N62" t="inlineStr">
        <is>
          <t>recovery / anti-inflammatory</t>
        </is>
      </c>
      <c r="O62" t="inlineStr">
        <is>
          <t>Low</t>
        </is>
      </c>
      <c r="P62" t="inlineStr">
        <is>
          <t>FALSE</t>
        </is>
      </c>
      <c r="R62" t="inlineStr">
        <is>
          <t>Focus</t>
        </is>
      </c>
      <c r="S62" t="n">
        <v>71.8</v>
      </c>
    </row>
    <row r="63">
      <c r="A63" t="inlineStr">
        <is>
          <t>Panax Ginseng</t>
        </is>
      </c>
      <c r="B63" t="inlineStr">
        <is>
          <t>Chinese Skullcap</t>
        </is>
      </c>
      <c r="C63" t="inlineStr">
        <is>
          <t>Turmeric</t>
        </is>
      </c>
      <c r="D63" t="n">
        <v>6</v>
      </c>
      <c r="E63" t="n">
        <v>0</v>
      </c>
      <c r="F63" t="n">
        <v>1</v>
      </c>
      <c r="G63" t="inlineStr">
        <is>
          <t>adaptogenic; cognitive-neuroprotective; gastrointestinal; inflammation; metabolic; neurotransmitter</t>
        </is>
      </c>
      <c r="J63" t="n">
        <v>0</v>
      </c>
      <c r="K63" t="n">
        <v>0</v>
      </c>
      <c r="L63" t="n">
        <v>71.5</v>
      </c>
      <c r="M63" t="inlineStr">
        <is>
          <t>A</t>
        </is>
      </c>
      <c r="N63" t="inlineStr">
        <is>
          <t>stress + cognition</t>
        </is>
      </c>
      <c r="O63" t="inlineStr">
        <is>
          <t>Low</t>
        </is>
      </c>
      <c r="P63" t="inlineStr">
        <is>
          <t>FALSE</t>
        </is>
      </c>
      <c r="R63" t="inlineStr">
        <is>
          <t>Focus</t>
        </is>
      </c>
      <c r="S63" t="n">
        <v>71.5</v>
      </c>
    </row>
    <row r="64">
      <c r="A64" t="inlineStr">
        <is>
          <t>Panax Ginseng</t>
        </is>
      </c>
      <c r="B64" t="inlineStr">
        <is>
          <t>Epimedium</t>
        </is>
      </c>
      <c r="C64" t="inlineStr">
        <is>
          <t>Turmeric</t>
        </is>
      </c>
      <c r="D64" t="n">
        <v>6</v>
      </c>
      <c r="E64" t="n">
        <v>0</v>
      </c>
      <c r="F64" t="n">
        <v>1</v>
      </c>
      <c r="G64" t="inlineStr">
        <is>
          <t>adaptogenic; cognitive-neuroprotective; gastrointestinal; metabolic; neurotransmitter; vascular</t>
        </is>
      </c>
      <c r="J64" t="n">
        <v>0</v>
      </c>
      <c r="K64" t="n">
        <v>0</v>
      </c>
      <c r="L64" t="n">
        <v>71.5</v>
      </c>
      <c r="M64" t="inlineStr">
        <is>
          <t>A</t>
        </is>
      </c>
      <c r="N64" t="inlineStr">
        <is>
          <t>stress + cognition</t>
        </is>
      </c>
      <c r="O64" t="inlineStr">
        <is>
          <t>Low</t>
        </is>
      </c>
      <c r="P64" t="inlineStr">
        <is>
          <t>FALSE</t>
        </is>
      </c>
      <c r="R64" t="inlineStr">
        <is>
          <t>Focus</t>
        </is>
      </c>
      <c r="S64" t="n">
        <v>71.5</v>
      </c>
    </row>
    <row r="65">
      <c r="A65" t="inlineStr">
        <is>
          <t>Ginkgo Biloba</t>
        </is>
      </c>
      <c r="B65" t="inlineStr">
        <is>
          <t>Green Tea</t>
        </is>
      </c>
      <c r="C65" t="inlineStr">
        <is>
          <t>Epimedium</t>
        </is>
      </c>
      <c r="D65" t="n">
        <v>6</v>
      </c>
      <c r="E65" t="n">
        <v>0</v>
      </c>
      <c r="F65" t="n">
        <v>2</v>
      </c>
      <c r="G65" t="inlineStr">
        <is>
          <t>cognitive-neuroprotective; inflammation; metabolic; neurotransmitter; oxidative-stress; vascular</t>
        </is>
      </c>
      <c r="I65" t="inlineStr">
        <is>
          <t>vascular</t>
        </is>
      </c>
      <c r="J65" t="n">
        <v>0</v>
      </c>
      <c r="K65" t="n">
        <v>7</v>
      </c>
      <c r="L65" t="n">
        <v>71.2</v>
      </c>
      <c r="M65" t="inlineStr">
        <is>
          <t>A</t>
        </is>
      </c>
      <c r="N65" t="inlineStr">
        <is>
          <t>recovery / anti-inflammatory</t>
        </is>
      </c>
      <c r="O65" t="inlineStr">
        <is>
          <t>Low</t>
        </is>
      </c>
      <c r="P65" t="inlineStr">
        <is>
          <t>FALSE</t>
        </is>
      </c>
      <c r="R65" t="inlineStr">
        <is>
          <t>Focus</t>
        </is>
      </c>
      <c r="S65" t="n">
        <v>67.2</v>
      </c>
    </row>
    <row r="66">
      <c r="A66" t="inlineStr">
        <is>
          <t>Panax Ginseng</t>
        </is>
      </c>
      <c r="B66" t="inlineStr">
        <is>
          <t>Chamomile</t>
        </is>
      </c>
      <c r="C66" t="inlineStr">
        <is>
          <t>Blue Lotus</t>
        </is>
      </c>
      <c r="D66" t="n">
        <v>6</v>
      </c>
      <c r="E66" t="n">
        <v>0</v>
      </c>
      <c r="F66" t="n">
        <v>1</v>
      </c>
      <c r="G66" t="inlineStr">
        <is>
          <t>adaptogenic; cognitive-neuroprotective; gastrointestinal; inflammation; metabolic; neurotransmitter</t>
        </is>
      </c>
      <c r="J66" t="n">
        <v>0</v>
      </c>
      <c r="K66" t="n">
        <v>0</v>
      </c>
      <c r="L66" t="n">
        <v>71.2</v>
      </c>
      <c r="M66" t="inlineStr">
        <is>
          <t>A</t>
        </is>
      </c>
      <c r="N66" t="inlineStr">
        <is>
          <t>stress + cognition</t>
        </is>
      </c>
      <c r="O66" t="inlineStr">
        <is>
          <t>Low</t>
        </is>
      </c>
      <c r="P66" t="inlineStr">
        <is>
          <t>FALSE</t>
        </is>
      </c>
      <c r="R66" t="inlineStr">
        <is>
          <t>Focus</t>
        </is>
      </c>
      <c r="S66" t="n">
        <v>71.2</v>
      </c>
    </row>
    <row r="67">
      <c r="A67" t="inlineStr">
        <is>
          <t>Panax Ginseng</t>
        </is>
      </c>
      <c r="B67" t="inlineStr">
        <is>
          <t>Green Tea</t>
        </is>
      </c>
      <c r="C67" t="inlineStr">
        <is>
          <t>Black Pepper</t>
        </is>
      </c>
      <c r="D67" t="n">
        <v>6</v>
      </c>
      <c r="E67" t="n">
        <v>0</v>
      </c>
      <c r="F67" t="n">
        <v>1</v>
      </c>
      <c r="G67" t="inlineStr">
        <is>
          <t>adaptogenic; cognitive-neuroprotective; gastrointestinal; metabolic; neurotransmitter; oxidative-stress</t>
        </is>
      </c>
      <c r="J67" t="n">
        <v>0</v>
      </c>
      <c r="K67" t="n">
        <v>0</v>
      </c>
      <c r="L67" t="n">
        <v>71.09999999999999</v>
      </c>
      <c r="M67" t="inlineStr">
        <is>
          <t>A</t>
        </is>
      </c>
      <c r="N67" t="inlineStr">
        <is>
          <t>stress + cognition</t>
        </is>
      </c>
      <c r="O67" t="inlineStr">
        <is>
          <t>Low</t>
        </is>
      </c>
      <c r="P67" t="inlineStr">
        <is>
          <t>FALSE</t>
        </is>
      </c>
      <c r="R67" t="inlineStr">
        <is>
          <t>Focus</t>
        </is>
      </c>
      <c r="S67" t="n">
        <v>71.09999999999999</v>
      </c>
    </row>
    <row r="68">
      <c r="A68" t="inlineStr">
        <is>
          <t>Green Tea</t>
        </is>
      </c>
      <c r="B68" t="inlineStr">
        <is>
          <t>Chinese Skullcap</t>
        </is>
      </c>
      <c r="C68" t="inlineStr">
        <is>
          <t>Ashwagandha</t>
        </is>
      </c>
      <c r="D68" t="n">
        <v>6</v>
      </c>
      <c r="E68" t="n">
        <v>0</v>
      </c>
      <c r="F68" t="n">
        <v>3</v>
      </c>
      <c r="G68" t="inlineStr">
        <is>
          <t>adaptogenic; cognitive-neuroprotective; inflammation; metabolic; neurotransmitter; oxidative-stress</t>
        </is>
      </c>
      <c r="J68" t="n">
        <v>0</v>
      </c>
      <c r="K68" t="n">
        <v>0</v>
      </c>
      <c r="L68" t="n">
        <v>70.8</v>
      </c>
      <c r="M68" t="inlineStr">
        <is>
          <t>A</t>
        </is>
      </c>
      <c r="N68" t="inlineStr">
        <is>
          <t>stress + cognition</t>
        </is>
      </c>
      <c r="O68" t="inlineStr">
        <is>
          <t>Low</t>
        </is>
      </c>
      <c r="P68" t="inlineStr">
        <is>
          <t>FALSE</t>
        </is>
      </c>
      <c r="R68" t="inlineStr">
        <is>
          <t>Focus</t>
        </is>
      </c>
      <c r="S68" t="n">
        <v>70.8</v>
      </c>
    </row>
    <row r="69">
      <c r="A69" t="inlineStr">
        <is>
          <t>Panax Ginseng</t>
        </is>
      </c>
      <c r="B69" t="inlineStr">
        <is>
          <t>Chamomile</t>
        </is>
      </c>
      <c r="C69" t="inlineStr">
        <is>
          <t>Corydalis</t>
        </is>
      </c>
      <c r="D69" t="n">
        <v>6</v>
      </c>
      <c r="E69" t="n">
        <v>2</v>
      </c>
      <c r="F69" t="n">
        <v>1</v>
      </c>
      <c r="G69" t="inlineStr">
        <is>
          <t>adaptogenic; cognitive-neuroprotective; gastrointestinal; inflammation; metabolic; neurotransmitter</t>
        </is>
      </c>
      <c r="H69" t="inlineStr">
        <is>
          <t>gastrointestinal; neurotransmitter</t>
        </is>
      </c>
      <c r="I69" t="inlineStr">
        <is>
          <t>stimulant-neuro</t>
        </is>
      </c>
      <c r="J69" t="n">
        <v>0</v>
      </c>
      <c r="K69" t="n">
        <v>7</v>
      </c>
      <c r="L69" t="n">
        <v>70.5</v>
      </c>
      <c r="M69" t="inlineStr">
        <is>
          <t>A</t>
        </is>
      </c>
      <c r="N69" t="inlineStr">
        <is>
          <t>stress + cognition</t>
        </is>
      </c>
      <c r="O69" t="inlineStr">
        <is>
          <t>Moderate</t>
        </is>
      </c>
      <c r="P69" t="inlineStr">
        <is>
          <t>FALSE</t>
        </is>
      </c>
      <c r="R69" t="inlineStr">
        <is>
          <t>Focus</t>
        </is>
      </c>
      <c r="S69" t="n">
        <v>64.5</v>
      </c>
    </row>
    <row r="70">
      <c r="A70" t="inlineStr">
        <is>
          <t>Panax Ginseng</t>
        </is>
      </c>
      <c r="B70" t="inlineStr">
        <is>
          <t>Chinese Skullcap</t>
        </is>
      </c>
      <c r="C70" t="inlineStr">
        <is>
          <t>Blue Lotus</t>
        </is>
      </c>
      <c r="D70" t="n">
        <v>6</v>
      </c>
      <c r="E70" t="n">
        <v>0</v>
      </c>
      <c r="F70" t="n">
        <v>1</v>
      </c>
      <c r="G70" t="inlineStr">
        <is>
          <t>adaptogenic; cognitive-neuroprotective; gastrointestinal; inflammation; metabolic; neurotransmitter</t>
        </is>
      </c>
      <c r="J70" t="n">
        <v>0</v>
      </c>
      <c r="K70" t="n">
        <v>0</v>
      </c>
      <c r="L70" t="n">
        <v>70</v>
      </c>
      <c r="M70" t="inlineStr">
        <is>
          <t>A</t>
        </is>
      </c>
      <c r="N70" t="inlineStr">
        <is>
          <t>stress + cognition</t>
        </is>
      </c>
      <c r="O70" t="inlineStr">
        <is>
          <t>Low</t>
        </is>
      </c>
      <c r="P70" t="inlineStr">
        <is>
          <t>FALSE</t>
        </is>
      </c>
      <c r="R70" t="inlineStr">
        <is>
          <t>Focus</t>
        </is>
      </c>
      <c r="S70" t="n">
        <v>70</v>
      </c>
    </row>
    <row r="71">
      <c r="A71" t="inlineStr">
        <is>
          <t>Panax Ginseng</t>
        </is>
      </c>
      <c r="B71" t="inlineStr">
        <is>
          <t>Epimedium</t>
        </is>
      </c>
      <c r="C71" t="inlineStr">
        <is>
          <t>Blue Lotus</t>
        </is>
      </c>
      <c r="D71" t="n">
        <v>6</v>
      </c>
      <c r="E71" t="n">
        <v>0</v>
      </c>
      <c r="F71" t="n">
        <v>1</v>
      </c>
      <c r="G71" t="inlineStr">
        <is>
          <t>adaptogenic; cognitive-neuroprotective; gastrointestinal; metabolic; neurotransmitter; vascular</t>
        </is>
      </c>
      <c r="J71" t="n">
        <v>0</v>
      </c>
      <c r="K71" t="n">
        <v>0</v>
      </c>
      <c r="L71" t="n">
        <v>70</v>
      </c>
      <c r="M71" t="inlineStr">
        <is>
          <t>A</t>
        </is>
      </c>
      <c r="N71" t="inlineStr">
        <is>
          <t>stress + cognition</t>
        </is>
      </c>
      <c r="O71" t="inlineStr">
        <is>
          <t>Low</t>
        </is>
      </c>
      <c r="P71" t="inlineStr">
        <is>
          <t>FALSE</t>
        </is>
      </c>
      <c r="R71" t="inlineStr">
        <is>
          <t>Focus</t>
        </is>
      </c>
      <c r="S71" t="n">
        <v>70</v>
      </c>
    </row>
    <row r="72">
      <c r="A72" t="inlineStr">
        <is>
          <t>Ginkgo Biloba</t>
        </is>
      </c>
      <c r="B72" t="inlineStr">
        <is>
          <t>Ashwagandha</t>
        </is>
      </c>
      <c r="C72" t="inlineStr">
        <is>
          <t>Turmeric</t>
        </is>
      </c>
      <c r="D72" t="n">
        <v>5</v>
      </c>
      <c r="E72" t="n">
        <v>0</v>
      </c>
      <c r="F72" t="n">
        <v>3</v>
      </c>
      <c r="G72" t="inlineStr">
        <is>
          <t>adaptogenic; cognitive-neuroprotective; inflammation; oxidative-stress; vascular</t>
        </is>
      </c>
      <c r="J72" t="n">
        <v>0</v>
      </c>
      <c r="K72" t="n">
        <v>0</v>
      </c>
      <c r="L72" t="n">
        <v>69.59999999999999</v>
      </c>
      <c r="M72" t="inlineStr">
        <is>
          <t>A</t>
        </is>
      </c>
      <c r="N72" t="inlineStr">
        <is>
          <t>stress + cognition</t>
        </is>
      </c>
      <c r="O72" t="inlineStr">
        <is>
          <t>Low</t>
        </is>
      </c>
      <c r="P72" t="inlineStr">
        <is>
          <t>FALSE</t>
        </is>
      </c>
      <c r="R72" t="inlineStr">
        <is>
          <t>Stress</t>
        </is>
      </c>
      <c r="S72" t="n">
        <v>69.59999999999999</v>
      </c>
    </row>
    <row r="73">
      <c r="A73" t="inlineStr">
        <is>
          <t>Green Tea</t>
        </is>
      </c>
      <c r="B73" t="inlineStr">
        <is>
          <t>Ashwagandha</t>
        </is>
      </c>
      <c r="C73" t="inlineStr">
        <is>
          <t>Black Pepper</t>
        </is>
      </c>
      <c r="D73" t="n">
        <v>7</v>
      </c>
      <c r="E73" t="n">
        <v>0</v>
      </c>
      <c r="F73" t="n">
        <v>1</v>
      </c>
      <c r="G73" t="inlineStr">
        <is>
          <t>adaptogenic; cognitive-neuroprotective; gastrointestinal; inflammation; metabolic; neurotransmitter; oxidative-stress</t>
        </is>
      </c>
      <c r="J73" t="n">
        <v>0</v>
      </c>
      <c r="K73" t="n">
        <v>0</v>
      </c>
      <c r="L73" t="n">
        <v>69.3</v>
      </c>
      <c r="M73" t="inlineStr">
        <is>
          <t>A</t>
        </is>
      </c>
      <c r="N73" t="inlineStr">
        <is>
          <t>stress + cognition</t>
        </is>
      </c>
      <c r="O73" t="inlineStr">
        <is>
          <t>Low</t>
        </is>
      </c>
      <c r="P73" t="inlineStr">
        <is>
          <t>FALSE</t>
        </is>
      </c>
      <c r="R73" t="inlineStr">
        <is>
          <t>Focus</t>
        </is>
      </c>
      <c r="S73" t="n">
        <v>69.3</v>
      </c>
    </row>
    <row r="74">
      <c r="A74" t="inlineStr">
        <is>
          <t>Ginkgo Biloba</t>
        </is>
      </c>
      <c r="B74" t="inlineStr">
        <is>
          <t>Chamomile</t>
        </is>
      </c>
      <c r="C74" t="inlineStr">
        <is>
          <t>Epimedium</t>
        </is>
      </c>
      <c r="D74" t="n">
        <v>6</v>
      </c>
      <c r="E74" t="n">
        <v>0</v>
      </c>
      <c r="F74" t="n">
        <v>2</v>
      </c>
      <c r="G74" t="inlineStr">
        <is>
          <t>cognitive-neuroprotective; gastrointestinal; inflammation; neurotransmitter; oxidative-stress; vascular</t>
        </is>
      </c>
      <c r="I74" t="inlineStr">
        <is>
          <t>vascular</t>
        </is>
      </c>
      <c r="J74" t="n">
        <v>0</v>
      </c>
      <c r="K74" t="n">
        <v>7</v>
      </c>
      <c r="L74" t="n">
        <v>69.2</v>
      </c>
      <c r="M74" t="inlineStr">
        <is>
          <t>A</t>
        </is>
      </c>
      <c r="N74" t="inlineStr">
        <is>
          <t>recovery / anti-inflammatory</t>
        </is>
      </c>
      <c r="O74" t="inlineStr">
        <is>
          <t>Low</t>
        </is>
      </c>
      <c r="P74" t="inlineStr">
        <is>
          <t>FALSE</t>
        </is>
      </c>
      <c r="R74" t="inlineStr">
        <is>
          <t>Focus</t>
        </is>
      </c>
      <c r="S74" t="n">
        <v>65.2</v>
      </c>
    </row>
    <row r="75">
      <c r="A75" t="inlineStr">
        <is>
          <t>Green Tea</t>
        </is>
      </c>
      <c r="B75" t="inlineStr">
        <is>
          <t>Chamomile</t>
        </is>
      </c>
      <c r="C75" t="inlineStr">
        <is>
          <t>Ashwagandha</t>
        </is>
      </c>
      <c r="D75" t="n">
        <v>7</v>
      </c>
      <c r="E75" t="n">
        <v>0</v>
      </c>
      <c r="F75" t="n">
        <v>2</v>
      </c>
      <c r="G75" t="inlineStr">
        <is>
          <t>adaptogenic; cognitive-neuroprotective; gastrointestinal; inflammation; metabolic; neurotransmitter; oxidative-stress</t>
        </is>
      </c>
      <c r="I75" t="inlineStr">
        <is>
          <t>stimulant-neuro</t>
        </is>
      </c>
      <c r="J75" t="n">
        <v>0</v>
      </c>
      <c r="K75" t="n">
        <v>7</v>
      </c>
      <c r="L75" t="n">
        <v>69.2</v>
      </c>
      <c r="M75" t="inlineStr">
        <is>
          <t>A</t>
        </is>
      </c>
      <c r="N75" t="inlineStr">
        <is>
          <t>stress + cognition</t>
        </is>
      </c>
      <c r="O75" t="inlineStr">
        <is>
          <t>Elevated</t>
        </is>
      </c>
      <c r="P75" t="inlineStr">
        <is>
          <t>FALSE</t>
        </is>
      </c>
      <c r="R75" t="inlineStr">
        <is>
          <t>Focus</t>
        </is>
      </c>
      <c r="S75" t="n">
        <v>56.2</v>
      </c>
    </row>
    <row r="76">
      <c r="A76" t="inlineStr">
        <is>
          <t>Green Tea</t>
        </is>
      </c>
      <c r="B76" t="inlineStr">
        <is>
          <t>Chinese Skullcap</t>
        </is>
      </c>
      <c r="C76" t="inlineStr">
        <is>
          <t>Epimedium</t>
        </is>
      </c>
      <c r="D76" t="n">
        <v>6</v>
      </c>
      <c r="E76" t="n">
        <v>0</v>
      </c>
      <c r="F76" t="n">
        <v>1</v>
      </c>
      <c r="G76" t="inlineStr">
        <is>
          <t>cognitive-neuroprotective; inflammation; metabolic; neurotransmitter; oxidative-stress; vascular</t>
        </is>
      </c>
      <c r="J76" t="n">
        <v>0</v>
      </c>
      <c r="K76" t="n">
        <v>0</v>
      </c>
      <c r="L76" t="n">
        <v>68.5</v>
      </c>
      <c r="M76" t="inlineStr">
        <is>
          <t>A</t>
        </is>
      </c>
      <c r="N76" t="inlineStr">
        <is>
          <t>recovery / anti-inflammatory</t>
        </is>
      </c>
      <c r="O76" t="inlineStr">
        <is>
          <t>Low</t>
        </is>
      </c>
      <c r="P76" t="inlineStr">
        <is>
          <t>FALSE</t>
        </is>
      </c>
      <c r="R76" t="inlineStr">
        <is>
          <t>Focus</t>
        </is>
      </c>
      <c r="S76" t="n">
        <v>68.5</v>
      </c>
    </row>
    <row r="77">
      <c r="A77" t="inlineStr">
        <is>
          <t>Chamomile</t>
        </is>
      </c>
      <c r="B77" t="inlineStr">
        <is>
          <t>Ashwagandha</t>
        </is>
      </c>
      <c r="C77" t="inlineStr">
        <is>
          <t>Black Cohosh</t>
        </is>
      </c>
      <c r="D77" t="n">
        <v>6</v>
      </c>
      <c r="E77" t="n">
        <v>1</v>
      </c>
      <c r="F77" t="n">
        <v>2</v>
      </c>
      <c r="G77" t="inlineStr">
        <is>
          <t>adaptogenic; cognitive-neuroprotective; gastrointestinal; inflammation; neurotransmitter; oxidative-stress</t>
        </is>
      </c>
      <c r="H77" t="inlineStr">
        <is>
          <t>inflammation</t>
        </is>
      </c>
      <c r="J77" t="n">
        <v>0</v>
      </c>
      <c r="K77" t="n">
        <v>0</v>
      </c>
      <c r="L77" t="n">
        <v>68.3</v>
      </c>
      <c r="M77" t="inlineStr">
        <is>
          <t>A</t>
        </is>
      </c>
      <c r="N77" t="inlineStr">
        <is>
          <t>stress + cognition</t>
        </is>
      </c>
      <c r="O77" t="inlineStr">
        <is>
          <t>Low</t>
        </is>
      </c>
      <c r="P77" t="inlineStr">
        <is>
          <t>FALSE</t>
        </is>
      </c>
      <c r="R77" t="inlineStr">
        <is>
          <t>Focus</t>
        </is>
      </c>
      <c r="S77" t="n">
        <v>68.3</v>
      </c>
    </row>
    <row r="78">
      <c r="A78" t="inlineStr">
        <is>
          <t>Ginkgo Biloba</t>
        </is>
      </c>
      <c r="B78" t="inlineStr">
        <is>
          <t>Turmeric</t>
        </is>
      </c>
      <c r="C78" t="inlineStr">
        <is>
          <t>Corydalis</t>
        </is>
      </c>
      <c r="D78" t="n">
        <v>6</v>
      </c>
      <c r="E78" t="n">
        <v>0</v>
      </c>
      <c r="F78" t="n">
        <v>1</v>
      </c>
      <c r="G78" t="inlineStr">
        <is>
          <t>cognitive-neuroprotective; gastrointestinal; inflammation; neurotransmitter; oxidative-stress; vascular</t>
        </is>
      </c>
      <c r="J78" t="n">
        <v>0</v>
      </c>
      <c r="K78" t="n">
        <v>0</v>
      </c>
      <c r="L78" t="n">
        <v>68.09999999999999</v>
      </c>
      <c r="M78" t="inlineStr">
        <is>
          <t>A</t>
        </is>
      </c>
      <c r="N78" t="inlineStr">
        <is>
          <t>recovery / anti-inflammatory</t>
        </is>
      </c>
      <c r="O78" t="inlineStr">
        <is>
          <t>Low</t>
        </is>
      </c>
      <c r="P78" t="inlineStr">
        <is>
          <t>FALSE</t>
        </is>
      </c>
      <c r="R78" t="inlineStr">
        <is>
          <t>Focus</t>
        </is>
      </c>
      <c r="S78" t="n">
        <v>68.09999999999999</v>
      </c>
    </row>
    <row r="79">
      <c r="A79" t="inlineStr">
        <is>
          <t>Ginkgo Biloba</t>
        </is>
      </c>
      <c r="B79" t="inlineStr">
        <is>
          <t>Ashwagandha</t>
        </is>
      </c>
      <c r="C79" t="inlineStr">
        <is>
          <t>Blue Lotus</t>
        </is>
      </c>
      <c r="D79" t="n">
        <v>5</v>
      </c>
      <c r="E79" t="n">
        <v>0</v>
      </c>
      <c r="F79" t="n">
        <v>3</v>
      </c>
      <c r="G79" t="inlineStr">
        <is>
          <t>adaptogenic; cognitive-neuroprotective; inflammation; oxidative-stress; vascular</t>
        </is>
      </c>
      <c r="J79" t="n">
        <v>0</v>
      </c>
      <c r="K79" t="n">
        <v>0</v>
      </c>
      <c r="L79" t="n">
        <v>68</v>
      </c>
      <c r="M79" t="inlineStr">
        <is>
          <t>A</t>
        </is>
      </c>
      <c r="N79" t="inlineStr">
        <is>
          <t>stress + cognition</t>
        </is>
      </c>
      <c r="O79" t="inlineStr">
        <is>
          <t>Low</t>
        </is>
      </c>
      <c r="P79" t="inlineStr">
        <is>
          <t>FALSE</t>
        </is>
      </c>
      <c r="R79" t="inlineStr">
        <is>
          <t>Stress</t>
        </is>
      </c>
      <c r="S79" t="n">
        <v>68</v>
      </c>
    </row>
    <row r="80">
      <c r="A80" t="inlineStr">
        <is>
          <t>Panax Ginseng</t>
        </is>
      </c>
      <c r="B80" t="inlineStr">
        <is>
          <t>Chinese Skullcap</t>
        </is>
      </c>
      <c r="C80" t="inlineStr">
        <is>
          <t>Black Pepper</t>
        </is>
      </c>
      <c r="D80" t="n">
        <v>6</v>
      </c>
      <c r="E80" t="n">
        <v>0</v>
      </c>
      <c r="F80" t="n">
        <v>1</v>
      </c>
      <c r="G80" t="inlineStr">
        <is>
          <t>adaptogenic; cognitive-neuroprotective; gastrointestinal; inflammation; metabolic; neurotransmitter</t>
        </is>
      </c>
      <c r="J80" t="n">
        <v>0</v>
      </c>
      <c r="K80" t="n">
        <v>0</v>
      </c>
      <c r="L80" t="n">
        <v>67.8</v>
      </c>
      <c r="M80" t="inlineStr">
        <is>
          <t>A</t>
        </is>
      </c>
      <c r="N80" t="inlineStr">
        <is>
          <t>stress + cognition</t>
        </is>
      </c>
      <c r="O80" t="inlineStr">
        <is>
          <t>Low</t>
        </is>
      </c>
      <c r="P80" t="inlineStr">
        <is>
          <t>FALSE</t>
        </is>
      </c>
      <c r="R80" t="inlineStr">
        <is>
          <t>Focus</t>
        </is>
      </c>
      <c r="S80" t="n">
        <v>67.8</v>
      </c>
    </row>
    <row r="81">
      <c r="A81" t="inlineStr">
        <is>
          <t>Panax Ginseng</t>
        </is>
      </c>
      <c r="B81" t="inlineStr">
        <is>
          <t>Epimedium</t>
        </is>
      </c>
      <c r="C81" t="inlineStr">
        <is>
          <t>Black Pepper</t>
        </is>
      </c>
      <c r="D81" t="n">
        <v>6</v>
      </c>
      <c r="E81" t="n">
        <v>0</v>
      </c>
      <c r="F81" t="n">
        <v>1</v>
      </c>
      <c r="G81" t="inlineStr">
        <is>
          <t>adaptogenic; cognitive-neuroprotective; gastrointestinal; metabolic; neurotransmitter; vascular</t>
        </is>
      </c>
      <c r="J81" t="n">
        <v>0</v>
      </c>
      <c r="K81" t="n">
        <v>0</v>
      </c>
      <c r="L81" t="n">
        <v>67.8</v>
      </c>
      <c r="M81" t="inlineStr">
        <is>
          <t>A</t>
        </is>
      </c>
      <c r="N81" t="inlineStr">
        <is>
          <t>stress + cognition</t>
        </is>
      </c>
      <c r="O81" t="inlineStr">
        <is>
          <t>Low</t>
        </is>
      </c>
      <c r="P81" t="inlineStr">
        <is>
          <t>FALSE</t>
        </is>
      </c>
      <c r="R81" t="inlineStr">
        <is>
          <t>Focus</t>
        </is>
      </c>
      <c r="S81" t="n">
        <v>67.8</v>
      </c>
    </row>
    <row r="82">
      <c r="A82" t="inlineStr">
        <is>
          <t>Ginkgo Biloba</t>
        </is>
      </c>
      <c r="B82" t="inlineStr">
        <is>
          <t>Chinese Skullcap</t>
        </is>
      </c>
      <c r="C82" t="inlineStr">
        <is>
          <t>Black Pepper</t>
        </is>
      </c>
      <c r="D82" t="n">
        <v>5</v>
      </c>
      <c r="E82" t="n">
        <v>0</v>
      </c>
      <c r="F82" t="n">
        <v>3</v>
      </c>
      <c r="G82" t="inlineStr">
        <is>
          <t>cognitive-neuroprotective; gastrointestinal; inflammation; oxidative-stress; vascular</t>
        </is>
      </c>
      <c r="J82" t="n">
        <v>0</v>
      </c>
      <c r="K82" t="n">
        <v>0</v>
      </c>
      <c r="L82" t="n">
        <v>67.5</v>
      </c>
      <c r="M82" t="inlineStr">
        <is>
          <t>A</t>
        </is>
      </c>
      <c r="N82" t="inlineStr">
        <is>
          <t>recovery / anti-inflammatory</t>
        </is>
      </c>
      <c r="O82" t="inlineStr">
        <is>
          <t>Low</t>
        </is>
      </c>
      <c r="P82" t="inlineStr">
        <is>
          <t>FALSE</t>
        </is>
      </c>
      <c r="R82" t="inlineStr">
        <is>
          <t>Recovery</t>
        </is>
      </c>
      <c r="S82" t="n">
        <v>67.5</v>
      </c>
    </row>
    <row r="83">
      <c r="A83" t="inlineStr">
        <is>
          <t>Panax Ginseng</t>
        </is>
      </c>
      <c r="B83" t="inlineStr">
        <is>
          <t>Green Tea</t>
        </is>
      </c>
      <c r="C83" t="inlineStr">
        <is>
          <t>Corydalis</t>
        </is>
      </c>
      <c r="D83" t="n">
        <v>6</v>
      </c>
      <c r="E83" t="n">
        <v>1</v>
      </c>
      <c r="F83" t="n">
        <v>1</v>
      </c>
      <c r="G83" t="inlineStr">
        <is>
          <t>adaptogenic; cognitive-neuroprotective; gastrointestinal; metabolic; neurotransmitter; oxidative-stress</t>
        </is>
      </c>
      <c r="H83" t="inlineStr">
        <is>
          <t>neurotransmitter</t>
        </is>
      </c>
      <c r="I83" t="inlineStr">
        <is>
          <t>stimulant-neuro</t>
        </is>
      </c>
      <c r="J83" t="n">
        <v>0</v>
      </c>
      <c r="K83" t="n">
        <v>7</v>
      </c>
      <c r="L83" t="n">
        <v>67.5</v>
      </c>
      <c r="M83" t="inlineStr">
        <is>
          <t>A</t>
        </is>
      </c>
      <c r="N83" t="inlineStr">
        <is>
          <t>stress + cognition</t>
        </is>
      </c>
      <c r="O83" t="inlineStr">
        <is>
          <t>Moderate</t>
        </is>
      </c>
      <c r="P83" t="inlineStr">
        <is>
          <t>FALSE</t>
        </is>
      </c>
      <c r="R83" t="inlineStr">
        <is>
          <t>Focus</t>
        </is>
      </c>
      <c r="S83" t="n">
        <v>61.5</v>
      </c>
    </row>
    <row r="84">
      <c r="A84" t="inlineStr">
        <is>
          <t>Chamomile</t>
        </is>
      </c>
      <c r="B84" t="inlineStr">
        <is>
          <t>Ashwagandha</t>
        </is>
      </c>
      <c r="C84" t="inlineStr">
        <is>
          <t>Turmeric</t>
        </is>
      </c>
      <c r="D84" t="n">
        <v>6</v>
      </c>
      <c r="E84" t="n">
        <v>0</v>
      </c>
      <c r="F84" t="n">
        <v>2</v>
      </c>
      <c r="G84" t="inlineStr">
        <is>
          <t>adaptogenic; cognitive-neuroprotective; gastrointestinal; inflammation; neurotransmitter; oxidative-stress</t>
        </is>
      </c>
      <c r="J84" t="n">
        <v>0</v>
      </c>
      <c r="K84" t="n">
        <v>0</v>
      </c>
      <c r="L84" t="n">
        <v>67.09999999999999</v>
      </c>
      <c r="M84" t="inlineStr">
        <is>
          <t>A</t>
        </is>
      </c>
      <c r="N84" t="inlineStr">
        <is>
          <t>stress + cognition</t>
        </is>
      </c>
      <c r="O84" t="inlineStr">
        <is>
          <t>Low</t>
        </is>
      </c>
      <c r="P84" t="inlineStr">
        <is>
          <t>FALSE</t>
        </is>
      </c>
      <c r="R84" t="inlineStr">
        <is>
          <t>Focus</t>
        </is>
      </c>
      <c r="S84" t="n">
        <v>67.09999999999999</v>
      </c>
    </row>
    <row r="85">
      <c r="A85" t="inlineStr">
        <is>
          <t>Green Tea</t>
        </is>
      </c>
      <c r="B85" t="inlineStr">
        <is>
          <t>Ashwagandha</t>
        </is>
      </c>
      <c r="C85" t="inlineStr">
        <is>
          <t>Turmeric</t>
        </is>
      </c>
      <c r="D85" t="n">
        <v>6</v>
      </c>
      <c r="E85" t="n">
        <v>0</v>
      </c>
      <c r="F85" t="n">
        <v>1</v>
      </c>
      <c r="G85" t="inlineStr">
        <is>
          <t>adaptogenic; cognitive-neuroprotective; inflammation; metabolic; neurotransmitter; oxidative-stress</t>
        </is>
      </c>
      <c r="J85" t="n">
        <v>0</v>
      </c>
      <c r="K85" t="n">
        <v>0</v>
      </c>
      <c r="L85" t="n">
        <v>67.09999999999999</v>
      </c>
      <c r="M85" t="inlineStr">
        <is>
          <t>A</t>
        </is>
      </c>
      <c r="N85" t="inlineStr">
        <is>
          <t>stress + cognition</t>
        </is>
      </c>
      <c r="O85" t="inlineStr">
        <is>
          <t>Low</t>
        </is>
      </c>
      <c r="P85" t="inlineStr">
        <is>
          <t>FALSE</t>
        </is>
      </c>
      <c r="R85" t="inlineStr">
        <is>
          <t>Focus</t>
        </is>
      </c>
      <c r="S85" t="n">
        <v>67.09999999999999</v>
      </c>
    </row>
    <row r="86">
      <c r="A86" t="inlineStr">
        <is>
          <t>Green Tea</t>
        </is>
      </c>
      <c r="B86" t="inlineStr">
        <is>
          <t>Chinese Skullcap</t>
        </is>
      </c>
      <c r="C86" t="inlineStr">
        <is>
          <t>Black Cohosh</t>
        </is>
      </c>
      <c r="D86" t="n">
        <v>6</v>
      </c>
      <c r="E86" t="n">
        <v>0</v>
      </c>
      <c r="F86" t="n">
        <v>2</v>
      </c>
      <c r="G86" t="inlineStr">
        <is>
          <t>cognitive-neuroprotective; gastrointestinal; inflammation; metabolic; neurotransmitter; oxidative-stress</t>
        </is>
      </c>
      <c r="J86" t="n">
        <v>0</v>
      </c>
      <c r="K86" t="n">
        <v>0</v>
      </c>
      <c r="L86" t="n">
        <v>67</v>
      </c>
      <c r="M86" t="inlineStr">
        <is>
          <t>A</t>
        </is>
      </c>
      <c r="N86" t="inlineStr">
        <is>
          <t>recovery / anti-inflammatory</t>
        </is>
      </c>
      <c r="O86" t="inlineStr">
        <is>
          <t>Low</t>
        </is>
      </c>
      <c r="P86" t="inlineStr">
        <is>
          <t>FALSE</t>
        </is>
      </c>
      <c r="R86" t="inlineStr">
        <is>
          <t>Focus</t>
        </is>
      </c>
      <c r="S86" t="n">
        <v>67</v>
      </c>
    </row>
    <row r="87">
      <c r="A87" t="inlineStr">
        <is>
          <t>Green Tea</t>
        </is>
      </c>
      <c r="B87" t="inlineStr">
        <is>
          <t>Epimedium</t>
        </is>
      </c>
      <c r="C87" t="inlineStr">
        <is>
          <t>Black Cohosh</t>
        </is>
      </c>
      <c r="D87" t="n">
        <v>6</v>
      </c>
      <c r="E87" t="n">
        <v>0</v>
      </c>
      <c r="F87" t="n">
        <v>2</v>
      </c>
      <c r="G87" t="inlineStr">
        <is>
          <t>gastrointestinal; inflammation; metabolic; neurotransmitter; oxidative-stress; vascular</t>
        </is>
      </c>
      <c r="J87" t="n">
        <v>0</v>
      </c>
      <c r="K87" t="n">
        <v>0</v>
      </c>
      <c r="L87" t="n">
        <v>67</v>
      </c>
      <c r="M87" t="inlineStr">
        <is>
          <t>A</t>
        </is>
      </c>
      <c r="N87" t="inlineStr">
        <is>
          <t>recovery / anti-inflammatory</t>
        </is>
      </c>
      <c r="O87" t="inlineStr">
        <is>
          <t>Low</t>
        </is>
      </c>
      <c r="P87" t="inlineStr">
        <is>
          <t>FALSE</t>
        </is>
      </c>
      <c r="R87" t="inlineStr">
        <is>
          <t>Recovery</t>
        </is>
      </c>
      <c r="S87" t="n">
        <v>67</v>
      </c>
    </row>
    <row r="88">
      <c r="A88" t="inlineStr">
        <is>
          <t>Ginkgo Biloba</t>
        </is>
      </c>
      <c r="B88" t="inlineStr">
        <is>
          <t>Blue Lotus</t>
        </is>
      </c>
      <c r="C88" t="inlineStr">
        <is>
          <t>Corydalis</t>
        </is>
      </c>
      <c r="D88" t="n">
        <v>6</v>
      </c>
      <c r="E88" t="n">
        <v>0</v>
      </c>
      <c r="F88" t="n">
        <v>1</v>
      </c>
      <c r="G88" t="inlineStr">
        <is>
          <t>cognitive-neuroprotective; gastrointestinal; inflammation; neurotransmitter; oxidative-stress; vascular</t>
        </is>
      </c>
      <c r="J88" t="n">
        <v>0</v>
      </c>
      <c r="K88" t="n">
        <v>0</v>
      </c>
      <c r="L88" t="n">
        <v>66.5</v>
      </c>
      <c r="M88" t="inlineStr">
        <is>
          <t>A</t>
        </is>
      </c>
      <c r="N88" t="inlineStr">
        <is>
          <t>recovery / anti-inflammatory</t>
        </is>
      </c>
      <c r="O88" t="inlineStr">
        <is>
          <t>Low</t>
        </is>
      </c>
      <c r="P88" t="inlineStr">
        <is>
          <t>FALSE</t>
        </is>
      </c>
      <c r="R88" t="inlineStr">
        <is>
          <t>Focus</t>
        </is>
      </c>
      <c r="S88" t="n">
        <v>66.5</v>
      </c>
    </row>
    <row r="89">
      <c r="A89" t="inlineStr">
        <is>
          <t>Ginkgo Biloba</t>
        </is>
      </c>
      <c r="B89" t="inlineStr">
        <is>
          <t>Black Cohosh</t>
        </is>
      </c>
      <c r="C89" t="inlineStr">
        <is>
          <t>Corydalis</t>
        </is>
      </c>
      <c r="D89" t="n">
        <v>6</v>
      </c>
      <c r="E89" t="n">
        <v>0</v>
      </c>
      <c r="F89" t="n">
        <v>2</v>
      </c>
      <c r="G89" t="inlineStr">
        <is>
          <t>cognitive-neuroprotective; gastrointestinal; inflammation; neurotransmitter; oxidative-stress; vascular</t>
        </is>
      </c>
      <c r="J89" t="n">
        <v>0</v>
      </c>
      <c r="K89" t="n">
        <v>0</v>
      </c>
      <c r="L89" t="n">
        <v>66.3</v>
      </c>
      <c r="M89" t="inlineStr">
        <is>
          <t>A</t>
        </is>
      </c>
      <c r="N89" t="inlineStr">
        <is>
          <t>recovery / anti-inflammatory</t>
        </is>
      </c>
      <c r="O89" t="inlineStr">
        <is>
          <t>Low</t>
        </is>
      </c>
      <c r="P89" t="inlineStr">
        <is>
          <t>FALSE</t>
        </is>
      </c>
      <c r="R89" t="inlineStr">
        <is>
          <t>Focus</t>
        </is>
      </c>
      <c r="S89" t="n">
        <v>66.3</v>
      </c>
    </row>
    <row r="90">
      <c r="A90" t="inlineStr">
        <is>
          <t>Panax Ginseng</t>
        </is>
      </c>
      <c r="B90" t="inlineStr">
        <is>
          <t>Chinese Skullcap</t>
        </is>
      </c>
      <c r="C90" t="inlineStr">
        <is>
          <t>Corydalis</t>
        </is>
      </c>
      <c r="D90" t="n">
        <v>6</v>
      </c>
      <c r="E90" t="n">
        <v>0</v>
      </c>
      <c r="F90" t="n">
        <v>1</v>
      </c>
      <c r="G90" t="inlineStr">
        <is>
          <t>adaptogenic; cognitive-neuroprotective; gastrointestinal; inflammation; metabolic; neurotransmitter</t>
        </is>
      </c>
      <c r="J90" t="n">
        <v>0</v>
      </c>
      <c r="K90" t="n">
        <v>0</v>
      </c>
      <c r="L90" t="n">
        <v>66.2</v>
      </c>
      <c r="M90" t="inlineStr">
        <is>
          <t>A</t>
        </is>
      </c>
      <c r="N90" t="inlineStr">
        <is>
          <t>stress + cognition</t>
        </is>
      </c>
      <c r="O90" t="inlineStr">
        <is>
          <t>Low</t>
        </is>
      </c>
      <c r="P90" t="inlineStr">
        <is>
          <t>FALSE</t>
        </is>
      </c>
      <c r="R90" t="inlineStr">
        <is>
          <t>Focus</t>
        </is>
      </c>
      <c r="S90" t="n">
        <v>66.2</v>
      </c>
    </row>
    <row r="91">
      <c r="A91" t="inlineStr">
        <is>
          <t>Panax Ginseng</t>
        </is>
      </c>
      <c r="B91" t="inlineStr">
        <is>
          <t>Epimedium</t>
        </is>
      </c>
      <c r="C91" t="inlineStr">
        <is>
          <t>Corydalis</t>
        </is>
      </c>
      <c r="D91" t="n">
        <v>6</v>
      </c>
      <c r="E91" t="n">
        <v>0</v>
      </c>
      <c r="F91" t="n">
        <v>1</v>
      </c>
      <c r="G91" t="inlineStr">
        <is>
          <t>adaptogenic; cognitive-neuroprotective; gastrointestinal; metabolic; neurotransmitter; vascular</t>
        </is>
      </c>
      <c r="J91" t="n">
        <v>0</v>
      </c>
      <c r="K91" t="n">
        <v>0</v>
      </c>
      <c r="L91" t="n">
        <v>66.2</v>
      </c>
      <c r="M91" t="inlineStr">
        <is>
          <t>A</t>
        </is>
      </c>
      <c r="N91" t="inlineStr">
        <is>
          <t>stress + cognition</t>
        </is>
      </c>
      <c r="O91" t="inlineStr">
        <is>
          <t>Low</t>
        </is>
      </c>
      <c r="P91" t="inlineStr">
        <is>
          <t>FALSE</t>
        </is>
      </c>
      <c r="R91" t="inlineStr">
        <is>
          <t>Focus</t>
        </is>
      </c>
      <c r="S91" t="n">
        <v>66.2</v>
      </c>
    </row>
    <row r="92">
      <c r="A92" t="inlineStr">
        <is>
          <t>Ginkgo Biloba</t>
        </is>
      </c>
      <c r="B92" t="inlineStr">
        <is>
          <t>Turmeric</t>
        </is>
      </c>
      <c r="C92" t="inlineStr">
        <is>
          <t>Black Cohosh</t>
        </is>
      </c>
      <c r="D92" t="n">
        <v>5</v>
      </c>
      <c r="E92" t="n">
        <v>0</v>
      </c>
      <c r="F92" t="n">
        <v>2</v>
      </c>
      <c r="G92" t="inlineStr">
        <is>
          <t>cognitive-neuroprotective; gastrointestinal; inflammation; oxidative-stress; vascular</t>
        </is>
      </c>
      <c r="J92" t="n">
        <v>0</v>
      </c>
      <c r="K92" t="n">
        <v>0</v>
      </c>
      <c r="L92" t="n">
        <v>65.7</v>
      </c>
      <c r="M92" t="inlineStr">
        <is>
          <t>A</t>
        </is>
      </c>
      <c r="N92" t="inlineStr">
        <is>
          <t>recovery / anti-inflammatory</t>
        </is>
      </c>
      <c r="O92" t="inlineStr">
        <is>
          <t>Low</t>
        </is>
      </c>
      <c r="P92" t="inlineStr">
        <is>
          <t>FALSE</t>
        </is>
      </c>
      <c r="R92" t="inlineStr">
        <is>
          <t>Recovery</t>
        </is>
      </c>
      <c r="S92" t="n">
        <v>65.7</v>
      </c>
    </row>
    <row r="93">
      <c r="A93" t="inlineStr">
        <is>
          <t>Chamomile</t>
        </is>
      </c>
      <c r="B93" t="inlineStr">
        <is>
          <t>Ashwagandha</t>
        </is>
      </c>
      <c r="C93" t="inlineStr">
        <is>
          <t>Blue Lotus</t>
        </is>
      </c>
      <c r="D93" t="n">
        <v>6</v>
      </c>
      <c r="E93" t="n">
        <v>0</v>
      </c>
      <c r="F93" t="n">
        <v>2</v>
      </c>
      <c r="G93" t="inlineStr">
        <is>
          <t>adaptogenic; cognitive-neuroprotective; gastrointestinal; inflammation; neurotransmitter; oxidative-stress</t>
        </is>
      </c>
      <c r="J93" t="n">
        <v>0</v>
      </c>
      <c r="K93" t="n">
        <v>0</v>
      </c>
      <c r="L93" t="n">
        <v>65.5</v>
      </c>
      <c r="M93" t="inlineStr">
        <is>
          <t>A</t>
        </is>
      </c>
      <c r="N93" t="inlineStr">
        <is>
          <t>stress + cognition</t>
        </is>
      </c>
      <c r="O93" t="inlineStr">
        <is>
          <t>Low</t>
        </is>
      </c>
      <c r="P93" t="inlineStr">
        <is>
          <t>FALSE</t>
        </is>
      </c>
      <c r="R93" t="inlineStr">
        <is>
          <t>Focus</t>
        </is>
      </c>
      <c r="S93" t="n">
        <v>65.5</v>
      </c>
    </row>
    <row r="94">
      <c r="A94" t="inlineStr">
        <is>
          <t>Green Tea</t>
        </is>
      </c>
      <c r="B94" t="inlineStr">
        <is>
          <t>Ashwagandha</t>
        </is>
      </c>
      <c r="C94" t="inlineStr">
        <is>
          <t>Blue Lotus</t>
        </is>
      </c>
      <c r="D94" t="n">
        <v>6</v>
      </c>
      <c r="E94" t="n">
        <v>0</v>
      </c>
      <c r="F94" t="n">
        <v>1</v>
      </c>
      <c r="G94" t="inlineStr">
        <is>
          <t>adaptogenic; cognitive-neuroprotective; inflammation; metabolic; neurotransmitter; oxidative-stress</t>
        </is>
      </c>
      <c r="J94" t="n">
        <v>0</v>
      </c>
      <c r="K94" t="n">
        <v>0</v>
      </c>
      <c r="L94" t="n">
        <v>65.5</v>
      </c>
      <c r="M94" t="inlineStr">
        <is>
          <t>A</t>
        </is>
      </c>
      <c r="N94" t="inlineStr">
        <is>
          <t>stress + cognition</t>
        </is>
      </c>
      <c r="O94" t="inlineStr">
        <is>
          <t>Low</t>
        </is>
      </c>
      <c r="P94" t="inlineStr">
        <is>
          <t>FALSE</t>
        </is>
      </c>
      <c r="R94" t="inlineStr">
        <is>
          <t>Focus</t>
        </is>
      </c>
      <c r="S94" t="n">
        <v>65.5</v>
      </c>
    </row>
    <row r="95">
      <c r="A95" t="inlineStr">
        <is>
          <t>Ginkgo Biloba</t>
        </is>
      </c>
      <c r="B95" t="inlineStr">
        <is>
          <t>Chinese Skullcap</t>
        </is>
      </c>
      <c r="C95" t="inlineStr">
        <is>
          <t>Turmeric</t>
        </is>
      </c>
      <c r="D95" t="n">
        <v>4</v>
      </c>
      <c r="E95" t="n">
        <v>0</v>
      </c>
      <c r="F95" t="n">
        <v>3</v>
      </c>
      <c r="G95" t="inlineStr">
        <is>
          <t>cognitive-neuroprotective; inflammation; oxidative-stress; vascular</t>
        </is>
      </c>
      <c r="J95" t="n">
        <v>0</v>
      </c>
      <c r="K95" t="n">
        <v>0</v>
      </c>
      <c r="L95" t="n">
        <v>65.2</v>
      </c>
      <c r="M95" t="inlineStr">
        <is>
          <t>A</t>
        </is>
      </c>
      <c r="N95" t="inlineStr">
        <is>
          <t>recovery / anti-inflammatory</t>
        </is>
      </c>
      <c r="O95" t="inlineStr">
        <is>
          <t>Low</t>
        </is>
      </c>
      <c r="P95" t="inlineStr">
        <is>
          <t>FALSE</t>
        </is>
      </c>
      <c r="R95" t="inlineStr">
        <is>
          <t>Recovery</t>
        </is>
      </c>
      <c r="S95" t="n">
        <v>65.2</v>
      </c>
    </row>
    <row r="96">
      <c r="A96" t="inlineStr">
        <is>
          <t>Green Tea</t>
        </is>
      </c>
      <c r="B96" t="inlineStr">
        <is>
          <t>Chinese Skullcap</t>
        </is>
      </c>
      <c r="C96" t="inlineStr">
        <is>
          <t>Black Pepper</t>
        </is>
      </c>
      <c r="D96" t="n">
        <v>6</v>
      </c>
      <c r="E96" t="n">
        <v>0</v>
      </c>
      <c r="F96" t="n">
        <v>1</v>
      </c>
      <c r="G96" t="inlineStr">
        <is>
          <t>cognitive-neuroprotective; gastrointestinal; inflammation; metabolic; neurotransmitter; oxidative-stress</t>
        </is>
      </c>
      <c r="J96" t="n">
        <v>0</v>
      </c>
      <c r="K96" t="n">
        <v>0</v>
      </c>
      <c r="L96" t="n">
        <v>65</v>
      </c>
      <c r="M96" t="inlineStr">
        <is>
          <t>A</t>
        </is>
      </c>
      <c r="N96" t="inlineStr">
        <is>
          <t>recovery / anti-inflammatory</t>
        </is>
      </c>
      <c r="O96" t="inlineStr">
        <is>
          <t>Low</t>
        </is>
      </c>
      <c r="P96" t="inlineStr">
        <is>
          <t>FALSE</t>
        </is>
      </c>
      <c r="R96" t="inlineStr">
        <is>
          <t>Focus</t>
        </is>
      </c>
      <c r="S96" t="n">
        <v>65</v>
      </c>
    </row>
    <row r="97">
      <c r="A97" t="inlineStr">
        <is>
          <t>Green Tea</t>
        </is>
      </c>
      <c r="B97" t="inlineStr">
        <is>
          <t>Chamomile</t>
        </is>
      </c>
      <c r="C97" t="inlineStr">
        <is>
          <t>Chinese Skullcap</t>
        </is>
      </c>
      <c r="D97" t="n">
        <v>6</v>
      </c>
      <c r="E97" t="n">
        <v>0</v>
      </c>
      <c r="F97" t="n">
        <v>2</v>
      </c>
      <c r="G97" t="inlineStr">
        <is>
          <t>cognitive-neuroprotective; gastrointestinal; inflammation; metabolic; neurotransmitter; oxidative-stress</t>
        </is>
      </c>
      <c r="I97" t="inlineStr">
        <is>
          <t>stimulant-neuro</t>
        </is>
      </c>
      <c r="J97" t="n">
        <v>0</v>
      </c>
      <c r="K97" t="n">
        <v>7</v>
      </c>
      <c r="L97" t="n">
        <v>64.8</v>
      </c>
      <c r="M97" t="inlineStr">
        <is>
          <t>A</t>
        </is>
      </c>
      <c r="N97" t="inlineStr">
        <is>
          <t>recovery / anti-inflammatory</t>
        </is>
      </c>
      <c r="O97" t="inlineStr">
        <is>
          <t>Elevated</t>
        </is>
      </c>
      <c r="P97" t="inlineStr">
        <is>
          <t>FALSE</t>
        </is>
      </c>
      <c r="R97" t="inlineStr">
        <is>
          <t>Focus</t>
        </is>
      </c>
      <c r="S97" t="n">
        <v>51.8</v>
      </c>
    </row>
    <row r="98">
      <c r="A98" t="inlineStr">
        <is>
          <t>Epimedium</t>
        </is>
      </c>
      <c r="B98" t="inlineStr">
        <is>
          <t>Ashwagandha</t>
        </is>
      </c>
      <c r="C98" t="inlineStr">
        <is>
          <t>Corydalis</t>
        </is>
      </c>
      <c r="D98" t="n">
        <v>7</v>
      </c>
      <c r="E98" t="n">
        <v>0</v>
      </c>
      <c r="F98" t="n">
        <v>1</v>
      </c>
      <c r="G98" t="inlineStr">
        <is>
          <t>adaptogenic; cognitive-neuroprotective; gastrointestinal; inflammation; neurotransmitter; oxidative-stress; vascular</t>
        </is>
      </c>
      <c r="J98" t="n">
        <v>0</v>
      </c>
      <c r="K98" t="n">
        <v>0</v>
      </c>
      <c r="L98" t="n">
        <v>64.5</v>
      </c>
      <c r="M98" t="inlineStr">
        <is>
          <t>A</t>
        </is>
      </c>
      <c r="N98" t="inlineStr">
        <is>
          <t>stress + cognition</t>
        </is>
      </c>
      <c r="O98" t="inlineStr">
        <is>
          <t>Low</t>
        </is>
      </c>
      <c r="P98" t="inlineStr">
        <is>
          <t>FALSE</t>
        </is>
      </c>
      <c r="R98" t="inlineStr">
        <is>
          <t>Focus</t>
        </is>
      </c>
      <c r="S98" t="n">
        <v>64.5</v>
      </c>
    </row>
    <row r="99">
      <c r="A99" t="inlineStr">
        <is>
          <t>Ginkgo Biloba</t>
        </is>
      </c>
      <c r="B99" t="inlineStr">
        <is>
          <t>Black Pepper</t>
        </is>
      </c>
      <c r="C99" t="inlineStr">
        <is>
          <t>Corydalis</t>
        </is>
      </c>
      <c r="D99" t="n">
        <v>6</v>
      </c>
      <c r="E99" t="n">
        <v>0</v>
      </c>
      <c r="F99" t="n">
        <v>1</v>
      </c>
      <c r="G99" t="inlineStr">
        <is>
          <t>cognitive-neuroprotective; gastrointestinal; inflammation; neurotransmitter; oxidative-stress; vascular</t>
        </is>
      </c>
      <c r="J99" t="n">
        <v>0</v>
      </c>
      <c r="K99" t="n">
        <v>0</v>
      </c>
      <c r="L99" t="n">
        <v>64.3</v>
      </c>
      <c r="M99" t="inlineStr">
        <is>
          <t>A</t>
        </is>
      </c>
      <c r="N99" t="inlineStr">
        <is>
          <t>recovery / anti-inflammatory</t>
        </is>
      </c>
      <c r="O99" t="inlineStr">
        <is>
          <t>Low</t>
        </is>
      </c>
      <c r="P99" t="inlineStr">
        <is>
          <t>FALSE</t>
        </is>
      </c>
      <c r="R99" t="inlineStr">
        <is>
          <t>Focus</t>
        </is>
      </c>
      <c r="S99" t="n">
        <v>64.3</v>
      </c>
    </row>
    <row r="100">
      <c r="A100" t="inlineStr">
        <is>
          <t>Ginkgo Biloba</t>
        </is>
      </c>
      <c r="B100" t="inlineStr">
        <is>
          <t>Chamomile</t>
        </is>
      </c>
      <c r="C100" t="inlineStr">
        <is>
          <t>Corydalis</t>
        </is>
      </c>
      <c r="D100" t="n">
        <v>6</v>
      </c>
      <c r="E100" t="n">
        <v>0</v>
      </c>
      <c r="F100" t="n">
        <v>2</v>
      </c>
      <c r="G100" t="inlineStr">
        <is>
          <t>cognitive-neuroprotective; gastrointestinal; inflammation; neurotransmitter; oxidative-stress; vascular</t>
        </is>
      </c>
      <c r="I100" t="inlineStr">
        <is>
          <t>stimulant-neuro</t>
        </is>
      </c>
      <c r="J100" t="n">
        <v>0</v>
      </c>
      <c r="K100" t="n">
        <v>7</v>
      </c>
      <c r="L100" t="n">
        <v>64.2</v>
      </c>
      <c r="M100" t="inlineStr">
        <is>
          <t>A</t>
        </is>
      </c>
      <c r="N100" t="inlineStr">
        <is>
          <t>recovery / anti-inflammatory</t>
        </is>
      </c>
      <c r="O100" t="inlineStr">
        <is>
          <t>Moderate</t>
        </is>
      </c>
      <c r="P100" t="inlineStr">
        <is>
          <t>FALSE</t>
        </is>
      </c>
      <c r="R100" t="inlineStr">
        <is>
          <t>Focus</t>
        </is>
      </c>
      <c r="S100" t="n">
        <v>58.2</v>
      </c>
    </row>
    <row r="101">
      <c r="A101" t="inlineStr">
        <is>
          <t>Panax Ginseng</t>
        </is>
      </c>
      <c r="B101" t="inlineStr">
        <is>
          <t>Turmeric</t>
        </is>
      </c>
      <c r="C101" t="inlineStr">
        <is>
          <t>Blue Lotus</t>
        </is>
      </c>
      <c r="D101" t="n">
        <v>5</v>
      </c>
      <c r="E101" t="n">
        <v>0</v>
      </c>
      <c r="F101" t="n">
        <v>1</v>
      </c>
      <c r="G101" t="inlineStr">
        <is>
          <t>adaptogenic; cognitive-neuroprotective; gastrointestinal; metabolic; neurotransmitter</t>
        </is>
      </c>
      <c r="J101" t="n">
        <v>0</v>
      </c>
      <c r="K101" t="n">
        <v>0</v>
      </c>
      <c r="L101" t="n">
        <v>64.2</v>
      </c>
      <c r="M101" t="inlineStr">
        <is>
          <t>A</t>
        </is>
      </c>
      <c r="N101" t="inlineStr">
        <is>
          <t>stress + cognition</t>
        </is>
      </c>
      <c r="O101" t="inlineStr">
        <is>
          <t>Low</t>
        </is>
      </c>
      <c r="P101" t="inlineStr">
        <is>
          <t>FALSE</t>
        </is>
      </c>
      <c r="R101" t="inlineStr">
        <is>
          <t>Focus</t>
        </is>
      </c>
      <c r="S101" t="n">
        <v>64.2</v>
      </c>
    </row>
    <row r="102">
      <c r="A102" t="inlineStr">
        <is>
          <t>Ginkgo Biloba</t>
        </is>
      </c>
      <c r="B102" t="inlineStr">
        <is>
          <t>Blue Lotus</t>
        </is>
      </c>
      <c r="C102" t="inlineStr">
        <is>
          <t>Black Cohosh</t>
        </is>
      </c>
      <c r="D102" t="n">
        <v>5</v>
      </c>
      <c r="E102" t="n">
        <v>0</v>
      </c>
      <c r="F102" t="n">
        <v>2</v>
      </c>
      <c r="G102" t="inlineStr">
        <is>
          <t>cognitive-neuroprotective; gastrointestinal; inflammation; oxidative-stress; vascular</t>
        </is>
      </c>
      <c r="J102" t="n">
        <v>0</v>
      </c>
      <c r="K102" t="n">
        <v>0</v>
      </c>
      <c r="L102" t="n">
        <v>64.09999999999999</v>
      </c>
      <c r="M102" t="inlineStr">
        <is>
          <t>A</t>
        </is>
      </c>
      <c r="N102" t="inlineStr">
        <is>
          <t>recovery / anti-inflammatory</t>
        </is>
      </c>
      <c r="O102" t="inlineStr">
        <is>
          <t>Low</t>
        </is>
      </c>
      <c r="P102" t="inlineStr">
        <is>
          <t>FALSE</t>
        </is>
      </c>
      <c r="R102" t="inlineStr">
        <is>
          <t>Recovery</t>
        </is>
      </c>
      <c r="S102" t="n">
        <v>64.09999999999999</v>
      </c>
    </row>
    <row r="103">
      <c r="A103" t="inlineStr">
        <is>
          <t>Chamomile</t>
        </is>
      </c>
      <c r="B103" t="inlineStr">
        <is>
          <t>Chinese Skullcap</t>
        </is>
      </c>
      <c r="C103" t="inlineStr">
        <is>
          <t>Black Cohosh</t>
        </is>
      </c>
      <c r="D103" t="n">
        <v>5</v>
      </c>
      <c r="E103" t="n">
        <v>1</v>
      </c>
      <c r="F103" t="n">
        <v>2</v>
      </c>
      <c r="G103" t="inlineStr">
        <is>
          <t>cognitive-neuroprotective; gastrointestinal; inflammation; neurotransmitter; oxidative-stress</t>
        </is>
      </c>
      <c r="H103" t="inlineStr">
        <is>
          <t>inflammation</t>
        </is>
      </c>
      <c r="J103" t="n">
        <v>0</v>
      </c>
      <c r="K103" t="n">
        <v>0</v>
      </c>
      <c r="L103" t="n">
        <v>64</v>
      </c>
      <c r="M103" t="inlineStr">
        <is>
          <t>A</t>
        </is>
      </c>
      <c r="N103" t="inlineStr">
        <is>
          <t>recovery / anti-inflammatory</t>
        </is>
      </c>
      <c r="O103" t="inlineStr">
        <is>
          <t>Low</t>
        </is>
      </c>
      <c r="P103" t="inlineStr">
        <is>
          <t>FALSE</t>
        </is>
      </c>
      <c r="R103" t="inlineStr">
        <is>
          <t>Focus</t>
        </is>
      </c>
      <c r="S103" t="n">
        <v>64</v>
      </c>
    </row>
    <row r="104">
      <c r="A104" t="inlineStr">
        <is>
          <t>Ginkgo Biloba</t>
        </is>
      </c>
      <c r="B104" t="inlineStr">
        <is>
          <t>Turmeric</t>
        </is>
      </c>
      <c r="C104" t="inlineStr">
        <is>
          <t>Black Pepper</t>
        </is>
      </c>
      <c r="D104" t="n">
        <v>5</v>
      </c>
      <c r="E104" t="n">
        <v>0</v>
      </c>
      <c r="F104" t="n">
        <v>1</v>
      </c>
      <c r="G104" t="inlineStr">
        <is>
          <t>cognitive-neuroprotective; gastrointestinal; inflammation; oxidative-stress; vascular</t>
        </is>
      </c>
      <c r="J104" t="n">
        <v>0</v>
      </c>
      <c r="K104" t="n">
        <v>0</v>
      </c>
      <c r="L104" t="n">
        <v>63.7</v>
      </c>
      <c r="M104" t="inlineStr">
        <is>
          <t>A</t>
        </is>
      </c>
      <c r="N104" t="inlineStr">
        <is>
          <t>recovery / anti-inflammatory</t>
        </is>
      </c>
      <c r="O104" t="inlineStr">
        <is>
          <t>Low</t>
        </is>
      </c>
      <c r="P104" t="inlineStr">
        <is>
          <t>FALSE</t>
        </is>
      </c>
      <c r="R104" t="inlineStr">
        <is>
          <t>Recovery</t>
        </is>
      </c>
      <c r="S104" t="n">
        <v>63.7</v>
      </c>
    </row>
    <row r="105">
      <c r="A105" t="inlineStr">
        <is>
          <t>Ginkgo Biloba</t>
        </is>
      </c>
      <c r="B105" t="inlineStr">
        <is>
          <t>Chinese Skullcap</t>
        </is>
      </c>
      <c r="C105" t="inlineStr">
        <is>
          <t>Blue Lotus</t>
        </is>
      </c>
      <c r="D105" t="n">
        <v>4</v>
      </c>
      <c r="E105" t="n">
        <v>0</v>
      </c>
      <c r="F105" t="n">
        <v>3</v>
      </c>
      <c r="G105" t="inlineStr">
        <is>
          <t>cognitive-neuroprotective; inflammation; oxidative-stress; vascular</t>
        </is>
      </c>
      <c r="J105" t="n">
        <v>0</v>
      </c>
      <c r="K105" t="n">
        <v>0</v>
      </c>
      <c r="L105" t="n">
        <v>63.6</v>
      </c>
      <c r="M105" t="inlineStr">
        <is>
          <t>A</t>
        </is>
      </c>
      <c r="N105" t="inlineStr">
        <is>
          <t>recovery / anti-inflammatory</t>
        </is>
      </c>
      <c r="O105" t="inlineStr">
        <is>
          <t>Low</t>
        </is>
      </c>
      <c r="P105" t="inlineStr">
        <is>
          <t>FALSE</t>
        </is>
      </c>
      <c r="R105" t="inlineStr">
        <is>
          <t>Recovery</t>
        </is>
      </c>
      <c r="S105" t="n">
        <v>63.6</v>
      </c>
    </row>
    <row r="106">
      <c r="A106" t="inlineStr">
        <is>
          <t>Chamomile</t>
        </is>
      </c>
      <c r="B106" t="inlineStr">
        <is>
          <t>Ashwagandha</t>
        </is>
      </c>
      <c r="C106" t="inlineStr">
        <is>
          <t>Black Pepper</t>
        </is>
      </c>
      <c r="D106" t="n">
        <v>6</v>
      </c>
      <c r="E106" t="n">
        <v>0</v>
      </c>
      <c r="F106" t="n">
        <v>2</v>
      </c>
      <c r="G106" t="inlineStr">
        <is>
          <t>adaptogenic; cognitive-neuroprotective; gastrointestinal; inflammation; neurotransmitter; oxidative-stress</t>
        </is>
      </c>
      <c r="J106" t="n">
        <v>0</v>
      </c>
      <c r="K106" t="n">
        <v>0</v>
      </c>
      <c r="L106" t="n">
        <v>63.4</v>
      </c>
      <c r="M106" t="inlineStr">
        <is>
          <t>A</t>
        </is>
      </c>
      <c r="N106" t="inlineStr">
        <is>
          <t>stress + cognition</t>
        </is>
      </c>
      <c r="O106" t="inlineStr">
        <is>
          <t>Low</t>
        </is>
      </c>
      <c r="P106" t="inlineStr">
        <is>
          <t>FALSE</t>
        </is>
      </c>
      <c r="R106" t="inlineStr">
        <is>
          <t>Focus</t>
        </is>
      </c>
      <c r="S106" t="n">
        <v>63.4</v>
      </c>
    </row>
    <row r="107">
      <c r="A107" t="inlineStr">
        <is>
          <t>Chinese Skullcap</t>
        </is>
      </c>
      <c r="B107" t="inlineStr">
        <is>
          <t>Ashwagandha</t>
        </is>
      </c>
      <c r="C107" t="inlineStr">
        <is>
          <t>Black Cohosh</t>
        </is>
      </c>
      <c r="D107" t="n">
        <v>5</v>
      </c>
      <c r="E107" t="n">
        <v>1</v>
      </c>
      <c r="F107" t="n">
        <v>3</v>
      </c>
      <c r="G107" t="inlineStr">
        <is>
          <t>adaptogenic; cognitive-neuroprotective; gastrointestinal; inflammation; oxidative-stress</t>
        </is>
      </c>
      <c r="H107" t="inlineStr">
        <is>
          <t>inflammation</t>
        </is>
      </c>
      <c r="J107" t="n">
        <v>0</v>
      </c>
      <c r="K107" t="n">
        <v>0</v>
      </c>
      <c r="L107" t="n">
        <v>63</v>
      </c>
      <c r="M107" t="inlineStr">
        <is>
          <t>A</t>
        </is>
      </c>
      <c r="N107" t="inlineStr">
        <is>
          <t>stress + cognition</t>
        </is>
      </c>
      <c r="O107" t="inlineStr">
        <is>
          <t>Low</t>
        </is>
      </c>
      <c r="P107" t="inlineStr">
        <is>
          <t>FALSE</t>
        </is>
      </c>
      <c r="R107" t="inlineStr">
        <is>
          <t>Stress</t>
        </is>
      </c>
      <c r="S107" t="n">
        <v>63</v>
      </c>
    </row>
    <row r="108">
      <c r="A108" t="inlineStr">
        <is>
          <t>Green Tea</t>
        </is>
      </c>
      <c r="B108" t="inlineStr">
        <is>
          <t>Chamomile</t>
        </is>
      </c>
      <c r="C108" t="inlineStr">
        <is>
          <t>Epimedium</t>
        </is>
      </c>
      <c r="D108" t="n">
        <v>6</v>
      </c>
      <c r="E108" t="n">
        <v>0</v>
      </c>
      <c r="F108" t="n">
        <v>1</v>
      </c>
      <c r="G108" t="inlineStr">
        <is>
          <t>gastrointestinal; inflammation; metabolic; neurotransmitter; oxidative-stress; vascular</t>
        </is>
      </c>
      <c r="I108" t="inlineStr">
        <is>
          <t>stimulant-neuro</t>
        </is>
      </c>
      <c r="J108" t="n">
        <v>0</v>
      </c>
      <c r="K108" t="n">
        <v>7</v>
      </c>
      <c r="L108" t="n">
        <v>62.8</v>
      </c>
      <c r="M108" t="inlineStr">
        <is>
          <t>A</t>
        </is>
      </c>
      <c r="N108" t="inlineStr">
        <is>
          <t>recovery / anti-inflammatory</t>
        </is>
      </c>
      <c r="O108" t="inlineStr">
        <is>
          <t>Elevated</t>
        </is>
      </c>
      <c r="P108" t="inlineStr">
        <is>
          <t>FALSE</t>
        </is>
      </c>
      <c r="R108" t="inlineStr">
        <is>
          <t>Recovery</t>
        </is>
      </c>
      <c r="S108" t="n">
        <v>49.8</v>
      </c>
    </row>
    <row r="109">
      <c r="A109" t="inlineStr">
        <is>
          <t>Green Tea</t>
        </is>
      </c>
      <c r="B109" t="inlineStr">
        <is>
          <t>Chinese Skullcap</t>
        </is>
      </c>
      <c r="C109" t="inlineStr">
        <is>
          <t>Turmeric</t>
        </is>
      </c>
      <c r="D109" t="n">
        <v>5</v>
      </c>
      <c r="E109" t="n">
        <v>0</v>
      </c>
      <c r="F109" t="n">
        <v>1</v>
      </c>
      <c r="G109" t="inlineStr">
        <is>
          <t>cognitive-neuroprotective; inflammation; metabolic; neurotransmitter; oxidative-stress</t>
        </is>
      </c>
      <c r="J109" t="n">
        <v>0</v>
      </c>
      <c r="K109" t="n">
        <v>0</v>
      </c>
      <c r="L109" t="n">
        <v>62.7</v>
      </c>
      <c r="M109" t="inlineStr">
        <is>
          <t>A</t>
        </is>
      </c>
      <c r="N109" t="inlineStr">
        <is>
          <t>recovery / anti-inflammatory</t>
        </is>
      </c>
      <c r="O109" t="inlineStr">
        <is>
          <t>Low</t>
        </is>
      </c>
      <c r="P109" t="inlineStr">
        <is>
          <t>FALSE</t>
        </is>
      </c>
      <c r="R109" t="inlineStr">
        <is>
          <t>Focus</t>
        </is>
      </c>
      <c r="S109" t="n">
        <v>62.7</v>
      </c>
    </row>
    <row r="110">
      <c r="A110" t="inlineStr">
        <is>
          <t>Chamomile</t>
        </is>
      </c>
      <c r="B110" t="inlineStr">
        <is>
          <t>Chinese Skullcap</t>
        </is>
      </c>
      <c r="C110" t="inlineStr">
        <is>
          <t>Epimedium</t>
        </is>
      </c>
      <c r="D110" t="n">
        <v>5</v>
      </c>
      <c r="E110" t="n">
        <v>0</v>
      </c>
      <c r="F110" t="n">
        <v>2</v>
      </c>
      <c r="G110" t="inlineStr">
        <is>
          <t>cognitive-neuroprotective; gastrointestinal; inflammation; neurotransmitter; vascular</t>
        </is>
      </c>
      <c r="J110" t="n">
        <v>0</v>
      </c>
      <c r="K110" t="n">
        <v>0</v>
      </c>
      <c r="L110" t="n">
        <v>62.5</v>
      </c>
      <c r="M110" t="inlineStr">
        <is>
          <t>A</t>
        </is>
      </c>
      <c r="N110" t="inlineStr">
        <is>
          <t>focus / neuroactive</t>
        </is>
      </c>
      <c r="O110" t="inlineStr">
        <is>
          <t>Low</t>
        </is>
      </c>
      <c r="P110" t="inlineStr">
        <is>
          <t>FALSE</t>
        </is>
      </c>
      <c r="R110" t="inlineStr">
        <is>
          <t>Focus</t>
        </is>
      </c>
      <c r="S110" t="n">
        <v>62.5</v>
      </c>
    </row>
    <row r="111">
      <c r="A111" t="inlineStr">
        <is>
          <t>Chinese Skullcap</t>
        </is>
      </c>
      <c r="B111" t="inlineStr">
        <is>
          <t>Ashwagandha</t>
        </is>
      </c>
      <c r="C111" t="inlineStr">
        <is>
          <t>Corydalis</t>
        </is>
      </c>
      <c r="D111" t="n">
        <v>6</v>
      </c>
      <c r="E111" t="n">
        <v>0</v>
      </c>
      <c r="F111" t="n">
        <v>3</v>
      </c>
      <c r="G111" t="inlineStr">
        <is>
          <t>adaptogenic; cognitive-neuroprotective; gastrointestinal; inflammation; neurotransmitter; oxidative-stress</t>
        </is>
      </c>
      <c r="J111" t="n">
        <v>0</v>
      </c>
      <c r="K111" t="n">
        <v>0</v>
      </c>
      <c r="L111" t="n">
        <v>62.5</v>
      </c>
      <c r="M111" t="inlineStr">
        <is>
          <t>A</t>
        </is>
      </c>
      <c r="N111" t="inlineStr">
        <is>
          <t>stress + cognition</t>
        </is>
      </c>
      <c r="O111" t="inlineStr">
        <is>
          <t>Low</t>
        </is>
      </c>
      <c r="P111" t="inlineStr">
        <is>
          <t>FALSE</t>
        </is>
      </c>
      <c r="R111" t="inlineStr">
        <is>
          <t>Focus</t>
        </is>
      </c>
      <c r="S111" t="n">
        <v>62.5</v>
      </c>
    </row>
    <row r="112">
      <c r="A112" t="inlineStr">
        <is>
          <t>Ginkgo Biloba</t>
        </is>
      </c>
      <c r="B112" t="inlineStr">
        <is>
          <t>Epimedium</t>
        </is>
      </c>
      <c r="C112" t="inlineStr">
        <is>
          <t>Ashwagandha</t>
        </is>
      </c>
      <c r="D112" t="n">
        <v>5</v>
      </c>
      <c r="E112" t="n">
        <v>0</v>
      </c>
      <c r="F112" t="n">
        <v>3</v>
      </c>
      <c r="G112" t="inlineStr">
        <is>
          <t>adaptogenic; cognitive-neuroprotective; inflammation; oxidative-stress; vascular</t>
        </is>
      </c>
      <c r="I112" t="inlineStr">
        <is>
          <t>vascular</t>
        </is>
      </c>
      <c r="J112" t="n">
        <v>0</v>
      </c>
      <c r="K112" t="n">
        <v>7</v>
      </c>
      <c r="L112" t="n">
        <v>62.3</v>
      </c>
      <c r="M112" t="inlineStr">
        <is>
          <t>A</t>
        </is>
      </c>
      <c r="N112" t="inlineStr">
        <is>
          <t>stress + cognition</t>
        </is>
      </c>
      <c r="O112" t="inlineStr">
        <is>
          <t>Low</t>
        </is>
      </c>
      <c r="P112" t="inlineStr">
        <is>
          <t>FALSE</t>
        </is>
      </c>
      <c r="R112" t="inlineStr">
        <is>
          <t>Stress</t>
        </is>
      </c>
      <c r="S112" t="n">
        <v>58.3</v>
      </c>
    </row>
    <row r="113">
      <c r="A113" t="inlineStr">
        <is>
          <t>Ginkgo Biloba</t>
        </is>
      </c>
      <c r="B113" t="inlineStr">
        <is>
          <t>Blue Lotus</t>
        </is>
      </c>
      <c r="C113" t="inlineStr">
        <is>
          <t>Black Pepper</t>
        </is>
      </c>
      <c r="D113" t="n">
        <v>5</v>
      </c>
      <c r="E113" t="n">
        <v>0</v>
      </c>
      <c r="F113" t="n">
        <v>1</v>
      </c>
      <c r="G113" t="inlineStr">
        <is>
          <t>cognitive-neuroprotective; gastrointestinal; inflammation; oxidative-stress; vascular</t>
        </is>
      </c>
      <c r="J113" t="n">
        <v>0</v>
      </c>
      <c r="K113" t="n">
        <v>0</v>
      </c>
      <c r="L113" t="n">
        <v>62.1</v>
      </c>
      <c r="M113" t="inlineStr">
        <is>
          <t>A</t>
        </is>
      </c>
      <c r="N113" t="inlineStr">
        <is>
          <t>recovery / anti-inflammatory</t>
        </is>
      </c>
      <c r="O113" t="inlineStr">
        <is>
          <t>Low</t>
        </is>
      </c>
      <c r="P113" t="inlineStr">
        <is>
          <t>FALSE</t>
        </is>
      </c>
      <c r="R113" t="inlineStr">
        <is>
          <t>Recovery</t>
        </is>
      </c>
      <c r="S113" t="n">
        <v>62.1</v>
      </c>
    </row>
    <row r="114">
      <c r="A114" t="inlineStr">
        <is>
          <t>Ginkgo Biloba</t>
        </is>
      </c>
      <c r="B114" t="inlineStr">
        <is>
          <t>Black Cohosh</t>
        </is>
      </c>
      <c r="C114" t="inlineStr">
        <is>
          <t>Black Pepper</t>
        </is>
      </c>
      <c r="D114" t="n">
        <v>5</v>
      </c>
      <c r="E114" t="n">
        <v>0</v>
      </c>
      <c r="F114" t="n">
        <v>2</v>
      </c>
      <c r="G114" t="inlineStr">
        <is>
          <t>cognitive-neuroprotective; gastrointestinal; inflammation; oxidative-stress; vascular</t>
        </is>
      </c>
      <c r="J114" t="n">
        <v>0</v>
      </c>
      <c r="K114" t="n">
        <v>0</v>
      </c>
      <c r="L114" t="n">
        <v>62</v>
      </c>
      <c r="M114" t="inlineStr">
        <is>
          <t>A</t>
        </is>
      </c>
      <c r="N114" t="inlineStr">
        <is>
          <t>recovery / anti-inflammatory</t>
        </is>
      </c>
      <c r="O114" t="inlineStr">
        <is>
          <t>Low</t>
        </is>
      </c>
      <c r="P114" t="inlineStr">
        <is>
          <t>FALSE</t>
        </is>
      </c>
      <c r="R114" t="inlineStr">
        <is>
          <t>Recovery</t>
        </is>
      </c>
      <c r="S114" t="n">
        <v>62</v>
      </c>
    </row>
    <row r="115">
      <c r="A115" t="inlineStr">
        <is>
          <t>Panax Ginseng</t>
        </is>
      </c>
      <c r="B115" t="inlineStr">
        <is>
          <t>Turmeric</t>
        </is>
      </c>
      <c r="C115" t="inlineStr">
        <is>
          <t>Black Pepper</t>
        </is>
      </c>
      <c r="D115" t="n">
        <v>5</v>
      </c>
      <c r="E115" t="n">
        <v>0</v>
      </c>
      <c r="F115" t="n">
        <v>1</v>
      </c>
      <c r="G115" t="inlineStr">
        <is>
          <t>adaptogenic; cognitive-neuroprotective; gastrointestinal; metabolic; neurotransmitter</t>
        </is>
      </c>
      <c r="J115" t="n">
        <v>0</v>
      </c>
      <c r="K115" t="n">
        <v>0</v>
      </c>
      <c r="L115" t="n">
        <v>62</v>
      </c>
      <c r="M115" t="inlineStr">
        <is>
          <t>A</t>
        </is>
      </c>
      <c r="N115" t="inlineStr">
        <is>
          <t>stress + cognition</t>
        </is>
      </c>
      <c r="O115" t="inlineStr">
        <is>
          <t>Low</t>
        </is>
      </c>
      <c r="P115" t="inlineStr">
        <is>
          <t>FALSE</t>
        </is>
      </c>
      <c r="R115" t="inlineStr">
        <is>
          <t>Focus</t>
        </is>
      </c>
      <c r="S115" t="n">
        <v>62</v>
      </c>
    </row>
    <row r="116">
      <c r="A116" t="inlineStr">
        <is>
          <t>Panax Ginseng</t>
        </is>
      </c>
      <c r="B116" t="inlineStr">
        <is>
          <t>Black Pepper</t>
        </is>
      </c>
      <c r="C116" t="inlineStr">
        <is>
          <t>Corydalis</t>
        </is>
      </c>
      <c r="D116" t="n">
        <v>5</v>
      </c>
      <c r="E116" t="n">
        <v>1</v>
      </c>
      <c r="F116" t="n">
        <v>1</v>
      </c>
      <c r="G116" t="inlineStr">
        <is>
          <t>adaptogenic; cognitive-neuroprotective; gastrointestinal; metabolic; neurotransmitter</t>
        </is>
      </c>
      <c r="H116" t="inlineStr">
        <is>
          <t>gastrointestinal</t>
        </is>
      </c>
      <c r="J116" t="n">
        <v>0</v>
      </c>
      <c r="K116" t="n">
        <v>0</v>
      </c>
      <c r="L116" t="n">
        <v>61.7</v>
      </c>
      <c r="M116" t="inlineStr">
        <is>
          <t>B</t>
        </is>
      </c>
      <c r="N116" t="inlineStr">
        <is>
          <t>stress + cognition</t>
        </is>
      </c>
      <c r="O116" t="inlineStr">
        <is>
          <t>Low</t>
        </is>
      </c>
      <c r="P116" t="inlineStr">
        <is>
          <t>FALSE</t>
        </is>
      </c>
      <c r="R116" t="inlineStr">
        <is>
          <t>Focus</t>
        </is>
      </c>
      <c r="S116" t="n">
        <v>61.7</v>
      </c>
    </row>
    <row r="117">
      <c r="A117" t="inlineStr">
        <is>
          <t>Chinese Skullcap</t>
        </is>
      </c>
      <c r="B117" t="inlineStr">
        <is>
          <t>Epimedium</t>
        </is>
      </c>
      <c r="C117" t="inlineStr">
        <is>
          <t>Ashwagandha</t>
        </is>
      </c>
      <c r="D117" t="n">
        <v>5</v>
      </c>
      <c r="E117" t="n">
        <v>0</v>
      </c>
      <c r="F117" t="n">
        <v>3</v>
      </c>
      <c r="G117" t="inlineStr">
        <is>
          <t>adaptogenic; cognitive-neuroprotective; inflammation; oxidative-stress; vascular</t>
        </is>
      </c>
      <c r="J117" t="n">
        <v>0</v>
      </c>
      <c r="K117" t="n">
        <v>0</v>
      </c>
      <c r="L117" t="n">
        <v>61.5</v>
      </c>
      <c r="M117" t="inlineStr">
        <is>
          <t>B</t>
        </is>
      </c>
      <c r="N117" t="inlineStr">
        <is>
          <t>stress + cognition</t>
        </is>
      </c>
      <c r="O117" t="inlineStr">
        <is>
          <t>Low</t>
        </is>
      </c>
      <c r="P117" t="inlineStr">
        <is>
          <t>FALSE</t>
        </is>
      </c>
      <c r="R117" t="inlineStr">
        <is>
          <t>Stress</t>
        </is>
      </c>
      <c r="S117" t="n">
        <v>61.5</v>
      </c>
    </row>
    <row r="118">
      <c r="A118" t="inlineStr">
        <is>
          <t>Green Tea</t>
        </is>
      </c>
      <c r="B118" t="inlineStr">
        <is>
          <t>Turmeric</t>
        </is>
      </c>
      <c r="C118" t="inlineStr">
        <is>
          <t>Black Cohosh</t>
        </is>
      </c>
      <c r="D118" t="n">
        <v>5</v>
      </c>
      <c r="E118" t="n">
        <v>0</v>
      </c>
      <c r="F118" t="n">
        <v>2</v>
      </c>
      <c r="G118" t="inlineStr">
        <is>
          <t>gastrointestinal; inflammation; metabolic; neurotransmitter; oxidative-stress</t>
        </is>
      </c>
      <c r="J118" t="n">
        <v>0</v>
      </c>
      <c r="K118" t="n">
        <v>0</v>
      </c>
      <c r="L118" t="n">
        <v>61.2</v>
      </c>
      <c r="M118" t="inlineStr">
        <is>
          <t>B</t>
        </is>
      </c>
      <c r="N118" t="inlineStr">
        <is>
          <t>recovery / anti-inflammatory</t>
        </is>
      </c>
      <c r="O118" t="inlineStr">
        <is>
          <t>Low</t>
        </is>
      </c>
      <c r="P118" t="inlineStr">
        <is>
          <t>FALSE</t>
        </is>
      </c>
      <c r="R118" t="inlineStr">
        <is>
          <t>Recovery</t>
        </is>
      </c>
      <c r="S118" t="n">
        <v>61.2</v>
      </c>
    </row>
    <row r="119">
      <c r="A119" t="inlineStr">
        <is>
          <t>Green Tea</t>
        </is>
      </c>
      <c r="B119" t="inlineStr">
        <is>
          <t>Chinese Skullcap</t>
        </is>
      </c>
      <c r="C119" t="inlineStr">
        <is>
          <t>Blue Lotus</t>
        </is>
      </c>
      <c r="D119" t="n">
        <v>5</v>
      </c>
      <c r="E119" t="n">
        <v>0</v>
      </c>
      <c r="F119" t="n">
        <v>1</v>
      </c>
      <c r="G119" t="inlineStr">
        <is>
          <t>cognitive-neuroprotective; inflammation; metabolic; neurotransmitter; oxidative-stress</t>
        </is>
      </c>
      <c r="J119" t="n">
        <v>0</v>
      </c>
      <c r="K119" t="n">
        <v>0</v>
      </c>
      <c r="L119" t="n">
        <v>61.1</v>
      </c>
      <c r="M119" t="inlineStr">
        <is>
          <t>B</t>
        </is>
      </c>
      <c r="N119" t="inlineStr">
        <is>
          <t>recovery / anti-inflammatory</t>
        </is>
      </c>
      <c r="O119" t="inlineStr">
        <is>
          <t>Low</t>
        </is>
      </c>
      <c r="P119" t="inlineStr">
        <is>
          <t>FALSE</t>
        </is>
      </c>
      <c r="R119" t="inlineStr">
        <is>
          <t>Focus</t>
        </is>
      </c>
      <c r="S119" t="n">
        <v>61.1</v>
      </c>
    </row>
    <row r="120">
      <c r="A120" t="inlineStr">
        <is>
          <t>Ginkgo Biloba</t>
        </is>
      </c>
      <c r="B120" t="inlineStr">
        <is>
          <t>Epimedium</t>
        </is>
      </c>
      <c r="C120" t="inlineStr">
        <is>
          <t>Corydalis</t>
        </is>
      </c>
      <c r="D120" t="n">
        <v>6</v>
      </c>
      <c r="E120" t="n">
        <v>0</v>
      </c>
      <c r="F120" t="n">
        <v>1</v>
      </c>
      <c r="G120" t="inlineStr">
        <is>
          <t>cognitive-neuroprotective; gastrointestinal; inflammation; neurotransmitter; oxidative-stress; vascular</t>
        </is>
      </c>
      <c r="I120" t="inlineStr">
        <is>
          <t>vascular</t>
        </is>
      </c>
      <c r="J120" t="n">
        <v>0</v>
      </c>
      <c r="K120" t="n">
        <v>7</v>
      </c>
      <c r="L120" t="n">
        <v>60.8</v>
      </c>
      <c r="M120" t="inlineStr">
        <is>
          <t>B</t>
        </is>
      </c>
      <c r="N120" t="inlineStr">
        <is>
          <t>recovery / anti-inflammatory</t>
        </is>
      </c>
      <c r="O120" t="inlineStr">
        <is>
          <t>Low</t>
        </is>
      </c>
      <c r="P120" t="inlineStr">
        <is>
          <t>FALSE</t>
        </is>
      </c>
      <c r="R120" t="inlineStr">
        <is>
          <t>Focus</t>
        </is>
      </c>
      <c r="S120" t="n">
        <v>56.8</v>
      </c>
    </row>
    <row r="121">
      <c r="A121" t="inlineStr">
        <is>
          <t>Green Tea</t>
        </is>
      </c>
      <c r="B121" t="inlineStr">
        <is>
          <t>Ashwagandha</t>
        </is>
      </c>
      <c r="C121" t="inlineStr">
        <is>
          <t>Corydalis</t>
        </is>
      </c>
      <c r="D121" t="n">
        <v>7</v>
      </c>
      <c r="E121" t="n">
        <v>0</v>
      </c>
      <c r="F121" t="n">
        <v>1</v>
      </c>
      <c r="G121" t="inlineStr">
        <is>
          <t>adaptogenic; cognitive-neuroprotective; gastrointestinal; inflammation; metabolic; neurotransmitter; oxidative-stress</t>
        </is>
      </c>
      <c r="I121" t="inlineStr">
        <is>
          <t>stimulant-neuro</t>
        </is>
      </c>
      <c r="J121" t="n">
        <v>0</v>
      </c>
      <c r="K121" t="n">
        <v>7</v>
      </c>
      <c r="L121" t="n">
        <v>60.8</v>
      </c>
      <c r="M121" t="inlineStr">
        <is>
          <t>B</t>
        </is>
      </c>
      <c r="N121" t="inlineStr">
        <is>
          <t>stress + cognition</t>
        </is>
      </c>
      <c r="O121" t="inlineStr">
        <is>
          <t>Moderate</t>
        </is>
      </c>
      <c r="P121" t="inlineStr">
        <is>
          <t>FALSE</t>
        </is>
      </c>
      <c r="R121" t="inlineStr">
        <is>
          <t>Focus</t>
        </is>
      </c>
      <c r="S121" t="n">
        <v>54.8</v>
      </c>
    </row>
    <row r="122">
      <c r="A122" t="inlineStr">
        <is>
          <t>Panax Ginseng</t>
        </is>
      </c>
      <c r="B122" t="inlineStr">
        <is>
          <t>Blue Lotus</t>
        </is>
      </c>
      <c r="C122" t="inlineStr">
        <is>
          <t>Black Pepper</t>
        </is>
      </c>
      <c r="D122" t="n">
        <v>5</v>
      </c>
      <c r="E122" t="n">
        <v>0</v>
      </c>
      <c r="F122" t="n">
        <v>1</v>
      </c>
      <c r="G122" t="inlineStr">
        <is>
          <t>adaptogenic; cognitive-neuroprotective; gastrointestinal; metabolic; neurotransmitter</t>
        </is>
      </c>
      <c r="J122" t="n">
        <v>0</v>
      </c>
      <c r="K122" t="n">
        <v>0</v>
      </c>
      <c r="L122" t="n">
        <v>60.5</v>
      </c>
      <c r="M122" t="inlineStr">
        <is>
          <t>B</t>
        </is>
      </c>
      <c r="N122" t="inlineStr">
        <is>
          <t>stress + cognition</t>
        </is>
      </c>
      <c r="O122" t="inlineStr">
        <is>
          <t>Low</t>
        </is>
      </c>
      <c r="P122" t="inlineStr">
        <is>
          <t>FALSE</t>
        </is>
      </c>
      <c r="R122" t="inlineStr">
        <is>
          <t>Focus</t>
        </is>
      </c>
      <c r="S122" t="n">
        <v>60.5</v>
      </c>
    </row>
    <row r="123">
      <c r="A123" t="inlineStr">
        <is>
          <t>Panax Ginseng</t>
        </is>
      </c>
      <c r="B123" t="inlineStr">
        <is>
          <t>Turmeric</t>
        </is>
      </c>
      <c r="C123" t="inlineStr">
        <is>
          <t>Corydalis</t>
        </is>
      </c>
      <c r="D123" t="n">
        <v>5</v>
      </c>
      <c r="E123" t="n">
        <v>0</v>
      </c>
      <c r="F123" t="n">
        <v>1</v>
      </c>
      <c r="G123" t="inlineStr">
        <is>
          <t>adaptogenic; cognitive-neuroprotective; gastrointestinal; metabolic; neurotransmitter</t>
        </is>
      </c>
      <c r="J123" t="n">
        <v>0</v>
      </c>
      <c r="K123" t="n">
        <v>0</v>
      </c>
      <c r="L123" t="n">
        <v>60.5</v>
      </c>
      <c r="M123" t="inlineStr">
        <is>
          <t>B</t>
        </is>
      </c>
      <c r="N123" t="inlineStr">
        <is>
          <t>stress + cognition</t>
        </is>
      </c>
      <c r="O123" t="inlineStr">
        <is>
          <t>Low</t>
        </is>
      </c>
      <c r="P123" t="inlineStr">
        <is>
          <t>FALSE</t>
        </is>
      </c>
      <c r="R123" t="inlineStr">
        <is>
          <t>Focus</t>
        </is>
      </c>
      <c r="S123" t="n">
        <v>60.5</v>
      </c>
    </row>
    <row r="124">
      <c r="A124" t="inlineStr">
        <is>
          <t>Epimedium</t>
        </is>
      </c>
      <c r="B124" t="inlineStr">
        <is>
          <t>Ashwagandha</t>
        </is>
      </c>
      <c r="C124" t="inlineStr">
        <is>
          <t>Black Cohosh</t>
        </is>
      </c>
      <c r="D124" t="n">
        <v>6</v>
      </c>
      <c r="E124" t="n">
        <v>0</v>
      </c>
      <c r="F124" t="n">
        <v>1</v>
      </c>
      <c r="G124" t="inlineStr">
        <is>
          <t>adaptogenic; cognitive-neuroprotective; gastrointestinal; inflammation; oxidative-stress; vascular</t>
        </is>
      </c>
      <c r="J124" t="n">
        <v>0</v>
      </c>
      <c r="K124" t="n">
        <v>0</v>
      </c>
      <c r="L124" t="n">
        <v>60</v>
      </c>
      <c r="M124" t="inlineStr">
        <is>
          <t>B</t>
        </is>
      </c>
      <c r="N124" t="inlineStr">
        <is>
          <t>stress + cognition</t>
        </is>
      </c>
      <c r="O124" t="inlineStr">
        <is>
          <t>Low</t>
        </is>
      </c>
      <c r="P124" t="inlineStr">
        <is>
          <t>FALSE</t>
        </is>
      </c>
      <c r="R124" t="inlineStr">
        <is>
          <t>Stress</t>
        </is>
      </c>
      <c r="S124" t="n">
        <v>60</v>
      </c>
    </row>
    <row r="125">
      <c r="A125" t="inlineStr">
        <is>
          <t>Epimedium</t>
        </is>
      </c>
      <c r="B125" t="inlineStr">
        <is>
          <t>Ashwagandha</t>
        </is>
      </c>
      <c r="C125" t="inlineStr">
        <is>
          <t>Black Pepper</t>
        </is>
      </c>
      <c r="D125" t="n">
        <v>6</v>
      </c>
      <c r="E125" t="n">
        <v>0</v>
      </c>
      <c r="F125" t="n">
        <v>1</v>
      </c>
      <c r="G125" t="inlineStr">
        <is>
          <t>adaptogenic; cognitive-neuroprotective; gastrointestinal; inflammation; oxidative-stress; vascular</t>
        </is>
      </c>
      <c r="J125" t="n">
        <v>0</v>
      </c>
      <c r="K125" t="n">
        <v>0</v>
      </c>
      <c r="L125" t="n">
        <v>60</v>
      </c>
      <c r="M125" t="inlineStr">
        <is>
          <t>B</t>
        </is>
      </c>
      <c r="N125" t="inlineStr">
        <is>
          <t>stress + cognition</t>
        </is>
      </c>
      <c r="O125" t="inlineStr">
        <is>
          <t>Low</t>
        </is>
      </c>
      <c r="P125" t="inlineStr">
        <is>
          <t>FALSE</t>
        </is>
      </c>
      <c r="R125" t="inlineStr">
        <is>
          <t>Stress</t>
        </is>
      </c>
      <c r="S125" t="n">
        <v>60</v>
      </c>
    </row>
    <row r="126">
      <c r="A126" t="inlineStr">
        <is>
          <t>Ginkgo Biloba</t>
        </is>
      </c>
      <c r="B126" t="inlineStr">
        <is>
          <t>Turmeric</t>
        </is>
      </c>
      <c r="C126" t="inlineStr">
        <is>
          <t>Blue Lotus</t>
        </is>
      </c>
      <c r="D126" t="n">
        <v>4</v>
      </c>
      <c r="E126" t="n">
        <v>0</v>
      </c>
      <c r="F126" t="n">
        <v>1</v>
      </c>
      <c r="G126" t="inlineStr">
        <is>
          <t>cognitive-neuroprotective; inflammation; oxidative-stress; vascular</t>
        </is>
      </c>
      <c r="J126" t="n">
        <v>0</v>
      </c>
      <c r="K126" t="n">
        <v>0</v>
      </c>
      <c r="L126" t="n">
        <v>59.9</v>
      </c>
      <c r="M126" t="inlineStr">
        <is>
          <t>B</t>
        </is>
      </c>
      <c r="N126" t="inlineStr">
        <is>
          <t>recovery / anti-inflammatory</t>
        </is>
      </c>
      <c r="O126" t="inlineStr">
        <is>
          <t>Low</t>
        </is>
      </c>
      <c r="P126" t="inlineStr">
        <is>
          <t>FALSE</t>
        </is>
      </c>
      <c r="R126" t="inlineStr">
        <is>
          <t>Recovery</t>
        </is>
      </c>
      <c r="S126" t="n">
        <v>59.9</v>
      </c>
    </row>
    <row r="127">
      <c r="A127" t="inlineStr">
        <is>
          <t>Green Tea</t>
        </is>
      </c>
      <c r="B127" t="inlineStr">
        <is>
          <t>Blue Lotus</t>
        </is>
      </c>
      <c r="C127" t="inlineStr">
        <is>
          <t>Black Cohosh</t>
        </is>
      </c>
      <c r="D127" t="n">
        <v>5</v>
      </c>
      <c r="E127" t="n">
        <v>0</v>
      </c>
      <c r="F127" t="n">
        <v>2</v>
      </c>
      <c r="G127" t="inlineStr">
        <is>
          <t>gastrointestinal; inflammation; metabolic; neurotransmitter; oxidative-stress</t>
        </is>
      </c>
      <c r="J127" t="n">
        <v>0</v>
      </c>
      <c r="K127" t="n">
        <v>0</v>
      </c>
      <c r="L127" t="n">
        <v>59.6</v>
      </c>
      <c r="M127" t="inlineStr">
        <is>
          <t>B</t>
        </is>
      </c>
      <c r="N127" t="inlineStr">
        <is>
          <t>recovery / anti-inflammatory</t>
        </is>
      </c>
      <c r="O127" t="inlineStr">
        <is>
          <t>Low</t>
        </is>
      </c>
      <c r="P127" t="inlineStr">
        <is>
          <t>FALSE</t>
        </is>
      </c>
      <c r="R127" t="inlineStr">
        <is>
          <t>Recovery</t>
        </is>
      </c>
      <c r="S127" t="n">
        <v>59.6</v>
      </c>
    </row>
    <row r="128">
      <c r="A128" t="inlineStr">
        <is>
          <t>Green Tea</t>
        </is>
      </c>
      <c r="B128" t="inlineStr">
        <is>
          <t>Epimedium</t>
        </is>
      </c>
      <c r="C128" t="inlineStr">
        <is>
          <t>Black Pepper</t>
        </is>
      </c>
      <c r="D128" t="n">
        <v>5</v>
      </c>
      <c r="E128" t="n">
        <v>0</v>
      </c>
      <c r="F128" t="n">
        <v>1</v>
      </c>
      <c r="G128" t="inlineStr">
        <is>
          <t>gastrointestinal; metabolic; neurotransmitter; oxidative-stress; vascular</t>
        </is>
      </c>
      <c r="J128" t="n">
        <v>0</v>
      </c>
      <c r="K128" t="n">
        <v>0</v>
      </c>
      <c r="L128" t="n">
        <v>59</v>
      </c>
      <c r="M128" t="inlineStr">
        <is>
          <t>B</t>
        </is>
      </c>
      <c r="N128" t="inlineStr">
        <is>
          <t>metabolic + circulation</t>
        </is>
      </c>
      <c r="O128" t="inlineStr">
        <is>
          <t>Low</t>
        </is>
      </c>
      <c r="P128" t="inlineStr">
        <is>
          <t>FALSE</t>
        </is>
      </c>
      <c r="R128" t="inlineStr">
        <is>
          <t>Metabolic Support</t>
        </is>
      </c>
      <c r="S128" t="n">
        <v>59</v>
      </c>
    </row>
    <row r="129">
      <c r="A129" t="inlineStr">
        <is>
          <t>Panax Ginseng</t>
        </is>
      </c>
      <c r="B129" t="inlineStr">
        <is>
          <t>Blue Lotus</t>
        </is>
      </c>
      <c r="C129" t="inlineStr">
        <is>
          <t>Corydalis</t>
        </is>
      </c>
      <c r="D129" t="n">
        <v>5</v>
      </c>
      <c r="E129" t="n">
        <v>0</v>
      </c>
      <c r="F129" t="n">
        <v>1</v>
      </c>
      <c r="G129" t="inlineStr">
        <is>
          <t>adaptogenic; cognitive-neuroprotective; gastrointestinal; metabolic; neurotransmitter</t>
        </is>
      </c>
      <c r="J129" t="n">
        <v>0</v>
      </c>
      <c r="K129" t="n">
        <v>0</v>
      </c>
      <c r="L129" t="n">
        <v>58.9</v>
      </c>
      <c r="M129" t="inlineStr">
        <is>
          <t>B</t>
        </is>
      </c>
      <c r="N129" t="inlineStr">
        <is>
          <t>stress + cognition</t>
        </is>
      </c>
      <c r="O129" t="inlineStr">
        <is>
          <t>Low</t>
        </is>
      </c>
      <c r="P129" t="inlineStr">
        <is>
          <t>FALSE</t>
        </is>
      </c>
      <c r="R129" t="inlineStr">
        <is>
          <t>Focus</t>
        </is>
      </c>
      <c r="S129" t="n">
        <v>58.9</v>
      </c>
    </row>
    <row r="130">
      <c r="A130" t="inlineStr">
        <is>
          <t>Ashwagandha</t>
        </is>
      </c>
      <c r="B130" t="inlineStr">
        <is>
          <t>Turmeric</t>
        </is>
      </c>
      <c r="C130" t="inlineStr">
        <is>
          <t>Corydalis</t>
        </is>
      </c>
      <c r="D130" t="n">
        <v>6</v>
      </c>
      <c r="E130" t="n">
        <v>0</v>
      </c>
      <c r="F130" t="n">
        <v>1</v>
      </c>
      <c r="G130" t="inlineStr">
        <is>
          <t>adaptogenic; cognitive-neuroprotective; gastrointestinal; inflammation; neurotransmitter; oxidative-stress</t>
        </is>
      </c>
      <c r="J130" t="n">
        <v>0</v>
      </c>
      <c r="K130" t="n">
        <v>0</v>
      </c>
      <c r="L130" t="n">
        <v>58.7</v>
      </c>
      <c r="M130" t="inlineStr">
        <is>
          <t>B</t>
        </is>
      </c>
      <c r="N130" t="inlineStr">
        <is>
          <t>stress + cognition</t>
        </is>
      </c>
      <c r="O130" t="inlineStr">
        <is>
          <t>Low</t>
        </is>
      </c>
      <c r="P130" t="inlineStr">
        <is>
          <t>FALSE</t>
        </is>
      </c>
      <c r="R130" t="inlineStr">
        <is>
          <t>Focus</t>
        </is>
      </c>
      <c r="S130" t="n">
        <v>58.7</v>
      </c>
    </row>
    <row r="131">
      <c r="A131" t="inlineStr">
        <is>
          <t>Ginkgo Biloba</t>
        </is>
      </c>
      <c r="B131" t="inlineStr">
        <is>
          <t>Epimedium</t>
        </is>
      </c>
      <c r="C131" t="inlineStr">
        <is>
          <t>Black Cohosh</t>
        </is>
      </c>
      <c r="D131" t="n">
        <v>5</v>
      </c>
      <c r="E131" t="n">
        <v>0</v>
      </c>
      <c r="F131" t="n">
        <v>2</v>
      </c>
      <c r="G131" t="inlineStr">
        <is>
          <t>cognitive-neuroprotective; gastrointestinal; inflammation; oxidative-stress; vascular</t>
        </is>
      </c>
      <c r="I131" t="inlineStr">
        <is>
          <t>vascular</t>
        </is>
      </c>
      <c r="J131" t="n">
        <v>0</v>
      </c>
      <c r="K131" t="n">
        <v>7</v>
      </c>
      <c r="L131" t="n">
        <v>58.5</v>
      </c>
      <c r="M131" t="inlineStr">
        <is>
          <t>B</t>
        </is>
      </c>
      <c r="N131" t="inlineStr">
        <is>
          <t>recovery / anti-inflammatory</t>
        </is>
      </c>
      <c r="O131" t="inlineStr">
        <is>
          <t>Low</t>
        </is>
      </c>
      <c r="P131" t="inlineStr">
        <is>
          <t>FALSE</t>
        </is>
      </c>
      <c r="R131" t="inlineStr">
        <is>
          <t>Recovery</t>
        </is>
      </c>
      <c r="S131" t="n">
        <v>54.5</v>
      </c>
    </row>
    <row r="132">
      <c r="A132" t="inlineStr">
        <is>
          <t>Chinese Skullcap</t>
        </is>
      </c>
      <c r="B132" t="inlineStr">
        <is>
          <t>Ashwagandha</t>
        </is>
      </c>
      <c r="C132" t="inlineStr">
        <is>
          <t>Black Pepper</t>
        </is>
      </c>
      <c r="D132" t="n">
        <v>5</v>
      </c>
      <c r="E132" t="n">
        <v>0</v>
      </c>
      <c r="F132" t="n">
        <v>3</v>
      </c>
      <c r="G132" t="inlineStr">
        <is>
          <t>adaptogenic; cognitive-neuroprotective; gastrointestinal; inflammation; oxidative-stress</t>
        </is>
      </c>
      <c r="J132" t="n">
        <v>0</v>
      </c>
      <c r="K132" t="n">
        <v>0</v>
      </c>
      <c r="L132" t="n">
        <v>58</v>
      </c>
      <c r="M132" t="inlineStr">
        <is>
          <t>B</t>
        </is>
      </c>
      <c r="N132" t="inlineStr">
        <is>
          <t>stress + cognition</t>
        </is>
      </c>
      <c r="O132" t="inlineStr">
        <is>
          <t>Low</t>
        </is>
      </c>
      <c r="P132" t="inlineStr">
        <is>
          <t>FALSE</t>
        </is>
      </c>
      <c r="R132" t="inlineStr">
        <is>
          <t>Stress</t>
        </is>
      </c>
      <c r="S132" t="n">
        <v>58</v>
      </c>
    </row>
    <row r="133">
      <c r="A133" t="inlineStr">
        <is>
          <t>Ginkgo Biloba</t>
        </is>
      </c>
      <c r="B133" t="inlineStr">
        <is>
          <t>Chinese Skullcap</t>
        </is>
      </c>
      <c r="C133" t="inlineStr">
        <is>
          <t>Epimedium</t>
        </is>
      </c>
      <c r="D133" t="n">
        <v>4</v>
      </c>
      <c r="E133" t="n">
        <v>0</v>
      </c>
      <c r="F133" t="n">
        <v>3</v>
      </c>
      <c r="G133" t="inlineStr">
        <is>
          <t>cognitive-neuroprotective; inflammation; oxidative-stress; vascular</t>
        </is>
      </c>
      <c r="I133" t="inlineStr">
        <is>
          <t>vascular</t>
        </is>
      </c>
      <c r="J133" t="n">
        <v>0</v>
      </c>
      <c r="K133" t="n">
        <v>7</v>
      </c>
      <c r="L133" t="n">
        <v>58</v>
      </c>
      <c r="M133" t="inlineStr">
        <is>
          <t>B</t>
        </is>
      </c>
      <c r="N133" t="inlineStr">
        <is>
          <t>recovery / anti-inflammatory</t>
        </is>
      </c>
      <c r="O133" t="inlineStr">
        <is>
          <t>Low</t>
        </is>
      </c>
      <c r="P133" t="inlineStr">
        <is>
          <t>FALSE</t>
        </is>
      </c>
      <c r="R133" t="inlineStr">
        <is>
          <t>Recovery</t>
        </is>
      </c>
      <c r="S133" t="n">
        <v>54</v>
      </c>
    </row>
    <row r="134">
      <c r="A134" t="inlineStr">
        <is>
          <t>Epimedium</t>
        </is>
      </c>
      <c r="B134" t="inlineStr">
        <is>
          <t>Ashwagandha</t>
        </is>
      </c>
      <c r="C134" t="inlineStr">
        <is>
          <t>Turmeric</t>
        </is>
      </c>
      <c r="D134" t="n">
        <v>5</v>
      </c>
      <c r="E134" t="n">
        <v>0</v>
      </c>
      <c r="F134" t="n">
        <v>1</v>
      </c>
      <c r="G134" t="inlineStr">
        <is>
          <t>adaptogenic; cognitive-neuroprotective; inflammation; oxidative-stress; vascular</t>
        </is>
      </c>
      <c r="J134" t="n">
        <v>0</v>
      </c>
      <c r="K134" t="n">
        <v>0</v>
      </c>
      <c r="L134" t="n">
        <v>57.8</v>
      </c>
      <c r="M134" t="inlineStr">
        <is>
          <t>B</t>
        </is>
      </c>
      <c r="N134" t="inlineStr">
        <is>
          <t>stress + cognition</t>
        </is>
      </c>
      <c r="O134" t="inlineStr">
        <is>
          <t>Low</t>
        </is>
      </c>
      <c r="P134" t="inlineStr">
        <is>
          <t>FALSE</t>
        </is>
      </c>
      <c r="R134" t="inlineStr">
        <is>
          <t>Stress</t>
        </is>
      </c>
      <c r="S134" t="n">
        <v>57.8</v>
      </c>
    </row>
    <row r="135">
      <c r="A135" t="inlineStr">
        <is>
          <t>Green Tea</t>
        </is>
      </c>
      <c r="B135" t="inlineStr">
        <is>
          <t>Black Cohosh</t>
        </is>
      </c>
      <c r="C135" t="inlineStr">
        <is>
          <t>Black Pepper</t>
        </is>
      </c>
      <c r="D135" t="n">
        <v>5</v>
      </c>
      <c r="E135" t="n">
        <v>0</v>
      </c>
      <c r="F135" t="n">
        <v>2</v>
      </c>
      <c r="G135" t="inlineStr">
        <is>
          <t>gastrointestinal; inflammation; metabolic; neurotransmitter; oxidative-stress</t>
        </is>
      </c>
      <c r="J135" t="n">
        <v>0</v>
      </c>
      <c r="K135" t="n">
        <v>0</v>
      </c>
      <c r="L135" t="n">
        <v>57.5</v>
      </c>
      <c r="M135" t="inlineStr">
        <is>
          <t>B</t>
        </is>
      </c>
      <c r="N135" t="inlineStr">
        <is>
          <t>recovery / anti-inflammatory</t>
        </is>
      </c>
      <c r="O135" t="inlineStr">
        <is>
          <t>Low</t>
        </is>
      </c>
      <c r="P135" t="inlineStr">
        <is>
          <t>FALSE</t>
        </is>
      </c>
      <c r="R135" t="inlineStr">
        <is>
          <t>Recovery</t>
        </is>
      </c>
      <c r="S135" t="n">
        <v>57.5</v>
      </c>
    </row>
    <row r="136">
      <c r="A136" t="inlineStr">
        <is>
          <t>Ashwagandha</t>
        </is>
      </c>
      <c r="B136" t="inlineStr">
        <is>
          <t>Blue Lotus</t>
        </is>
      </c>
      <c r="C136" t="inlineStr">
        <is>
          <t>Corydalis</t>
        </is>
      </c>
      <c r="D136" t="n">
        <v>6</v>
      </c>
      <c r="E136" t="n">
        <v>0</v>
      </c>
      <c r="F136" t="n">
        <v>1</v>
      </c>
      <c r="G136" t="inlineStr">
        <is>
          <t>adaptogenic; cognitive-neuroprotective; gastrointestinal; inflammation; neurotransmitter; oxidative-stress</t>
        </is>
      </c>
      <c r="J136" t="n">
        <v>0</v>
      </c>
      <c r="K136" t="n">
        <v>0</v>
      </c>
      <c r="L136" t="n">
        <v>57.1</v>
      </c>
      <c r="M136" t="inlineStr">
        <is>
          <t>B</t>
        </is>
      </c>
      <c r="N136" t="inlineStr">
        <is>
          <t>stress + cognition</t>
        </is>
      </c>
      <c r="O136" t="inlineStr">
        <is>
          <t>Low</t>
        </is>
      </c>
      <c r="P136" t="inlineStr">
        <is>
          <t>FALSE</t>
        </is>
      </c>
      <c r="R136" t="inlineStr">
        <is>
          <t>Focus</t>
        </is>
      </c>
      <c r="S136" t="n">
        <v>57.1</v>
      </c>
    </row>
    <row r="137">
      <c r="A137" t="inlineStr">
        <is>
          <t>Chamomile</t>
        </is>
      </c>
      <c r="B137" t="inlineStr">
        <is>
          <t>Epimedium</t>
        </is>
      </c>
      <c r="C137" t="inlineStr">
        <is>
          <t>Black Cohosh</t>
        </is>
      </c>
      <c r="D137" t="n">
        <v>5</v>
      </c>
      <c r="E137" t="n">
        <v>0</v>
      </c>
      <c r="F137" t="n">
        <v>1</v>
      </c>
      <c r="G137" t="inlineStr">
        <is>
          <t>gastrointestinal; inflammation; neurotransmitter; oxidative-stress; vascular</t>
        </is>
      </c>
      <c r="J137" t="n">
        <v>0</v>
      </c>
      <c r="K137" t="n">
        <v>0</v>
      </c>
      <c r="L137" t="n">
        <v>57</v>
      </c>
      <c r="M137" t="inlineStr">
        <is>
          <t>B</t>
        </is>
      </c>
      <c r="N137" t="inlineStr">
        <is>
          <t>recovery / anti-inflammatory</t>
        </is>
      </c>
      <c r="O137" t="inlineStr">
        <is>
          <t>Low</t>
        </is>
      </c>
      <c r="P137" t="inlineStr">
        <is>
          <t>FALSE</t>
        </is>
      </c>
      <c r="R137" t="inlineStr">
        <is>
          <t>Recovery</t>
        </is>
      </c>
      <c r="S137" t="n">
        <v>57</v>
      </c>
    </row>
    <row r="138">
      <c r="A138" t="inlineStr">
        <is>
          <t>Green Tea</t>
        </is>
      </c>
      <c r="B138" t="inlineStr">
        <is>
          <t>Chamomile</t>
        </is>
      </c>
      <c r="C138" t="inlineStr">
        <is>
          <t>Turmeric</t>
        </is>
      </c>
      <c r="D138" t="n">
        <v>5</v>
      </c>
      <c r="E138" t="n">
        <v>0</v>
      </c>
      <c r="F138" t="n">
        <v>1</v>
      </c>
      <c r="G138" t="inlineStr">
        <is>
          <t>gastrointestinal; inflammation; metabolic; neurotransmitter; oxidative-stress</t>
        </is>
      </c>
      <c r="I138" t="inlineStr">
        <is>
          <t>stimulant-neuro</t>
        </is>
      </c>
      <c r="J138" t="n">
        <v>0</v>
      </c>
      <c r="K138" t="n">
        <v>7</v>
      </c>
      <c r="L138" t="n">
        <v>57</v>
      </c>
      <c r="M138" t="inlineStr">
        <is>
          <t>B</t>
        </is>
      </c>
      <c r="N138" t="inlineStr">
        <is>
          <t>recovery / anti-inflammatory</t>
        </is>
      </c>
      <c r="O138" t="inlineStr">
        <is>
          <t>Elevated</t>
        </is>
      </c>
      <c r="P138" t="inlineStr">
        <is>
          <t>FALSE</t>
        </is>
      </c>
      <c r="R138" t="inlineStr">
        <is>
          <t>Recovery</t>
        </is>
      </c>
      <c r="S138" t="n">
        <v>44</v>
      </c>
    </row>
    <row r="139">
      <c r="A139" t="inlineStr">
        <is>
          <t>Chamomile</t>
        </is>
      </c>
      <c r="B139" t="inlineStr">
        <is>
          <t>Chinese Skullcap</t>
        </is>
      </c>
      <c r="C139" t="inlineStr">
        <is>
          <t>Turmeric</t>
        </is>
      </c>
      <c r="D139" t="n">
        <v>4</v>
      </c>
      <c r="E139" t="n">
        <v>0</v>
      </c>
      <c r="F139" t="n">
        <v>2</v>
      </c>
      <c r="G139" t="inlineStr">
        <is>
          <t>cognitive-neuroprotective; gastrointestinal; inflammation; neurotransmitter</t>
        </is>
      </c>
      <c r="J139" t="n">
        <v>0</v>
      </c>
      <c r="K139" t="n">
        <v>0</v>
      </c>
      <c r="L139" t="n">
        <v>56.7</v>
      </c>
      <c r="M139" t="inlineStr">
        <is>
          <t>B</t>
        </is>
      </c>
      <c r="N139" t="inlineStr">
        <is>
          <t>focus / neuroactive</t>
        </is>
      </c>
      <c r="O139" t="inlineStr">
        <is>
          <t>Low</t>
        </is>
      </c>
      <c r="P139" t="inlineStr">
        <is>
          <t>FALSE</t>
        </is>
      </c>
      <c r="R139" t="inlineStr">
        <is>
          <t>Focus</t>
        </is>
      </c>
      <c r="S139" t="n">
        <v>56.7</v>
      </c>
    </row>
    <row r="140">
      <c r="A140" t="inlineStr">
        <is>
          <t>Green Tea</t>
        </is>
      </c>
      <c r="B140" t="inlineStr">
        <is>
          <t>Epimedium</t>
        </is>
      </c>
      <c r="C140" t="inlineStr">
        <is>
          <t>Turmeric</t>
        </is>
      </c>
      <c r="D140" t="n">
        <v>4</v>
      </c>
      <c r="E140" t="n">
        <v>0</v>
      </c>
      <c r="F140" t="n">
        <v>1</v>
      </c>
      <c r="G140" t="inlineStr">
        <is>
          <t>metabolic; neurotransmitter; oxidative-stress; vascular</t>
        </is>
      </c>
      <c r="J140" t="n">
        <v>0</v>
      </c>
      <c r="K140" t="n">
        <v>0</v>
      </c>
      <c r="L140" t="n">
        <v>56.7</v>
      </c>
      <c r="M140" t="inlineStr">
        <is>
          <t>B</t>
        </is>
      </c>
      <c r="N140" t="inlineStr">
        <is>
          <t>metabolic + circulation</t>
        </is>
      </c>
      <c r="O140" t="inlineStr">
        <is>
          <t>Low</t>
        </is>
      </c>
      <c r="P140" t="inlineStr">
        <is>
          <t>FALSE</t>
        </is>
      </c>
      <c r="R140" t="inlineStr">
        <is>
          <t>Metabolic Support</t>
        </is>
      </c>
      <c r="S140" t="n">
        <v>56.7</v>
      </c>
    </row>
    <row r="141">
      <c r="A141" t="inlineStr">
        <is>
          <t>Green Tea</t>
        </is>
      </c>
      <c r="B141" t="inlineStr">
        <is>
          <t>Chamomile</t>
        </is>
      </c>
      <c r="C141" t="inlineStr">
        <is>
          <t>Corydalis</t>
        </is>
      </c>
      <c r="D141" t="n">
        <v>5</v>
      </c>
      <c r="E141" t="n">
        <v>1</v>
      </c>
      <c r="F141" t="n">
        <v>1</v>
      </c>
      <c r="G141" t="inlineStr">
        <is>
          <t>gastrointestinal; inflammation; metabolic; neurotransmitter; oxidative-stress</t>
        </is>
      </c>
      <c r="H141" t="inlineStr">
        <is>
          <t>neurotransmitter</t>
        </is>
      </c>
      <c r="I141" t="inlineStr">
        <is>
          <t>stimulant-neuro</t>
        </is>
      </c>
      <c r="J141" t="n">
        <v>0</v>
      </c>
      <c r="K141" t="n">
        <v>7</v>
      </c>
      <c r="L141" t="n">
        <v>56.6</v>
      </c>
      <c r="M141" t="inlineStr">
        <is>
          <t>B</t>
        </is>
      </c>
      <c r="N141" t="inlineStr">
        <is>
          <t>recovery / anti-inflammatory</t>
        </is>
      </c>
      <c r="O141" t="inlineStr">
        <is>
          <t>High</t>
        </is>
      </c>
      <c r="P141" t="inlineStr">
        <is>
          <t>TRUE</t>
        </is>
      </c>
      <c r="Q141" t="inlineStr">
        <is>
          <t>High repeated caution overlap</t>
        </is>
      </c>
      <c r="R141" t="inlineStr">
        <is>
          <t>Recovery</t>
        </is>
      </c>
      <c r="S141" t="n">
        <v>38.6</v>
      </c>
    </row>
    <row r="142">
      <c r="A142" t="inlineStr">
        <is>
          <t>Ginkgo Biloba</t>
        </is>
      </c>
      <c r="B142" t="inlineStr">
        <is>
          <t>Epimedium</t>
        </is>
      </c>
      <c r="C142" t="inlineStr">
        <is>
          <t>Black Pepper</t>
        </is>
      </c>
      <c r="D142" t="n">
        <v>5</v>
      </c>
      <c r="E142" t="n">
        <v>0</v>
      </c>
      <c r="F142" t="n">
        <v>1</v>
      </c>
      <c r="G142" t="inlineStr">
        <is>
          <t>cognitive-neuroprotective; gastrointestinal; inflammation; oxidative-stress; vascular</t>
        </is>
      </c>
      <c r="I142" t="inlineStr">
        <is>
          <t>vascular</t>
        </is>
      </c>
      <c r="J142" t="n">
        <v>0</v>
      </c>
      <c r="K142" t="n">
        <v>7</v>
      </c>
      <c r="L142" t="n">
        <v>56.5</v>
      </c>
      <c r="M142" t="inlineStr">
        <is>
          <t>B</t>
        </is>
      </c>
      <c r="N142" t="inlineStr">
        <is>
          <t>recovery / anti-inflammatory</t>
        </is>
      </c>
      <c r="O142" t="inlineStr">
        <is>
          <t>Low</t>
        </is>
      </c>
      <c r="P142" t="inlineStr">
        <is>
          <t>FALSE</t>
        </is>
      </c>
      <c r="R142" t="inlineStr">
        <is>
          <t>Recovery</t>
        </is>
      </c>
      <c r="S142" t="n">
        <v>52.5</v>
      </c>
    </row>
    <row r="143">
      <c r="A143" t="inlineStr">
        <is>
          <t>Green Tea</t>
        </is>
      </c>
      <c r="B143" t="inlineStr">
        <is>
          <t>Chinese Skullcap</t>
        </is>
      </c>
      <c r="C143" t="inlineStr">
        <is>
          <t>Corydalis</t>
        </is>
      </c>
      <c r="D143" t="n">
        <v>6</v>
      </c>
      <c r="E143" t="n">
        <v>0</v>
      </c>
      <c r="F143" t="n">
        <v>1</v>
      </c>
      <c r="G143" t="inlineStr">
        <is>
          <t>cognitive-neuroprotective; gastrointestinal; inflammation; metabolic; neurotransmitter; oxidative-stress</t>
        </is>
      </c>
      <c r="I143" t="inlineStr">
        <is>
          <t>stimulant-neuro</t>
        </is>
      </c>
      <c r="J143" t="n">
        <v>0</v>
      </c>
      <c r="K143" t="n">
        <v>7</v>
      </c>
      <c r="L143" t="n">
        <v>56.4</v>
      </c>
      <c r="M143" t="inlineStr">
        <is>
          <t>B</t>
        </is>
      </c>
      <c r="N143" t="inlineStr">
        <is>
          <t>recovery / anti-inflammatory</t>
        </is>
      </c>
      <c r="O143" t="inlineStr">
        <is>
          <t>Moderate</t>
        </is>
      </c>
      <c r="P143" t="inlineStr">
        <is>
          <t>FALSE</t>
        </is>
      </c>
      <c r="R143" t="inlineStr">
        <is>
          <t>Focus</t>
        </is>
      </c>
      <c r="S143" t="n">
        <v>50.4</v>
      </c>
    </row>
    <row r="144">
      <c r="A144" t="inlineStr">
        <is>
          <t>Epimedium</t>
        </is>
      </c>
      <c r="B144" t="inlineStr">
        <is>
          <t>Ashwagandha</t>
        </is>
      </c>
      <c r="C144" t="inlineStr">
        <is>
          <t>Blue Lotus</t>
        </is>
      </c>
      <c r="D144" t="n">
        <v>5</v>
      </c>
      <c r="E144" t="n">
        <v>0</v>
      </c>
      <c r="F144" t="n">
        <v>1</v>
      </c>
      <c r="G144" t="inlineStr">
        <is>
          <t>adaptogenic; cognitive-neuroprotective; inflammation; oxidative-stress; vascular</t>
        </is>
      </c>
      <c r="J144" t="n">
        <v>0</v>
      </c>
      <c r="K144" t="n">
        <v>0</v>
      </c>
      <c r="L144" t="n">
        <v>56.2</v>
      </c>
      <c r="M144" t="inlineStr">
        <is>
          <t>B</t>
        </is>
      </c>
      <c r="N144" t="inlineStr">
        <is>
          <t>stress + cognition</t>
        </is>
      </c>
      <c r="O144" t="inlineStr">
        <is>
          <t>Low</t>
        </is>
      </c>
      <c r="P144" t="inlineStr">
        <is>
          <t>FALSE</t>
        </is>
      </c>
      <c r="R144" t="inlineStr">
        <is>
          <t>Stress</t>
        </is>
      </c>
      <c r="S144" t="n">
        <v>56.2</v>
      </c>
    </row>
    <row r="145">
      <c r="A145" t="inlineStr">
        <is>
          <t>Chinese Skullcap</t>
        </is>
      </c>
      <c r="B145" t="inlineStr">
        <is>
          <t>Ashwagandha</t>
        </is>
      </c>
      <c r="C145" t="inlineStr">
        <is>
          <t>Turmeric</t>
        </is>
      </c>
      <c r="D145" t="n">
        <v>4</v>
      </c>
      <c r="E145" t="n">
        <v>0</v>
      </c>
      <c r="F145" t="n">
        <v>3</v>
      </c>
      <c r="G145" t="inlineStr">
        <is>
          <t>adaptogenic; cognitive-neuroprotective; inflammation; oxidative-stress</t>
        </is>
      </c>
      <c r="J145" t="n">
        <v>0</v>
      </c>
      <c r="K145" t="n">
        <v>0</v>
      </c>
      <c r="L145" t="n">
        <v>55.8</v>
      </c>
      <c r="M145" t="inlineStr">
        <is>
          <t>B</t>
        </is>
      </c>
      <c r="N145" t="inlineStr">
        <is>
          <t>stress + cognition</t>
        </is>
      </c>
      <c r="O145" t="inlineStr">
        <is>
          <t>Low</t>
        </is>
      </c>
      <c r="P145" t="inlineStr">
        <is>
          <t>FALSE</t>
        </is>
      </c>
      <c r="R145" t="inlineStr">
        <is>
          <t>Stress</t>
        </is>
      </c>
      <c r="S145" t="n">
        <v>55.8</v>
      </c>
    </row>
    <row r="146">
      <c r="A146" t="inlineStr">
        <is>
          <t>Chinese Skullcap</t>
        </is>
      </c>
      <c r="B146" t="inlineStr">
        <is>
          <t>Epimedium</t>
        </is>
      </c>
      <c r="C146" t="inlineStr">
        <is>
          <t>Black Cohosh</t>
        </is>
      </c>
      <c r="D146" t="n">
        <v>5</v>
      </c>
      <c r="E146" t="n">
        <v>0</v>
      </c>
      <c r="F146" t="n">
        <v>1</v>
      </c>
      <c r="G146" t="inlineStr">
        <is>
          <t>cognitive-neuroprotective; gastrointestinal; inflammation; oxidative-stress; vascular</t>
        </is>
      </c>
      <c r="J146" t="n">
        <v>0</v>
      </c>
      <c r="K146" t="n">
        <v>0</v>
      </c>
      <c r="L146" t="n">
        <v>55.6</v>
      </c>
      <c r="M146" t="inlineStr">
        <is>
          <t>B</t>
        </is>
      </c>
      <c r="N146" t="inlineStr">
        <is>
          <t>recovery / anti-inflammatory</t>
        </is>
      </c>
      <c r="O146" t="inlineStr">
        <is>
          <t>Low</t>
        </is>
      </c>
      <c r="P146" t="inlineStr">
        <is>
          <t>FALSE</t>
        </is>
      </c>
      <c r="R146" t="inlineStr">
        <is>
          <t>Recovery</t>
        </is>
      </c>
      <c r="S146" t="n">
        <v>55.6</v>
      </c>
    </row>
    <row r="147">
      <c r="A147" t="inlineStr">
        <is>
          <t>Green Tea</t>
        </is>
      </c>
      <c r="B147" t="inlineStr">
        <is>
          <t>Chamomile</t>
        </is>
      </c>
      <c r="C147" t="inlineStr">
        <is>
          <t>Blue Lotus</t>
        </is>
      </c>
      <c r="D147" t="n">
        <v>5</v>
      </c>
      <c r="E147" t="n">
        <v>0</v>
      </c>
      <c r="F147" t="n">
        <v>1</v>
      </c>
      <c r="G147" t="inlineStr">
        <is>
          <t>gastrointestinal; inflammation; metabolic; neurotransmitter; oxidative-stress</t>
        </is>
      </c>
      <c r="I147" t="inlineStr">
        <is>
          <t>stimulant-neuro</t>
        </is>
      </c>
      <c r="J147" t="n">
        <v>0</v>
      </c>
      <c r="K147" t="n">
        <v>7</v>
      </c>
      <c r="L147" t="n">
        <v>55.4</v>
      </c>
      <c r="M147" t="inlineStr">
        <is>
          <t>B</t>
        </is>
      </c>
      <c r="N147" t="inlineStr">
        <is>
          <t>recovery / anti-inflammatory</t>
        </is>
      </c>
      <c r="O147" t="inlineStr">
        <is>
          <t>Elevated</t>
        </is>
      </c>
      <c r="P147" t="inlineStr">
        <is>
          <t>FALSE</t>
        </is>
      </c>
      <c r="R147" t="inlineStr">
        <is>
          <t>Recovery</t>
        </is>
      </c>
      <c r="S147" t="n">
        <v>42.4</v>
      </c>
    </row>
    <row r="148">
      <c r="A148" t="inlineStr">
        <is>
          <t>Green Tea</t>
        </is>
      </c>
      <c r="B148" t="inlineStr">
        <is>
          <t>Chamomile</t>
        </is>
      </c>
      <c r="C148" t="inlineStr">
        <is>
          <t>Black Cohosh</t>
        </is>
      </c>
      <c r="D148" t="n">
        <v>5</v>
      </c>
      <c r="E148" t="n">
        <v>0</v>
      </c>
      <c r="F148" t="n">
        <v>2</v>
      </c>
      <c r="G148" t="inlineStr">
        <is>
          <t>gastrointestinal; inflammation; metabolic; neurotransmitter; oxidative-stress</t>
        </is>
      </c>
      <c r="I148" t="inlineStr">
        <is>
          <t>stimulant-neuro</t>
        </is>
      </c>
      <c r="J148" t="n">
        <v>0</v>
      </c>
      <c r="K148" t="n">
        <v>7</v>
      </c>
      <c r="L148" t="n">
        <v>55.2</v>
      </c>
      <c r="M148" t="inlineStr">
        <is>
          <t>B</t>
        </is>
      </c>
      <c r="N148" t="inlineStr">
        <is>
          <t>recovery / anti-inflammatory</t>
        </is>
      </c>
      <c r="O148" t="inlineStr">
        <is>
          <t>Elevated</t>
        </is>
      </c>
      <c r="P148" t="inlineStr">
        <is>
          <t>FALSE</t>
        </is>
      </c>
      <c r="R148" t="inlineStr">
        <is>
          <t>Recovery</t>
        </is>
      </c>
      <c r="S148" t="n">
        <v>42.2</v>
      </c>
    </row>
    <row r="149">
      <c r="A149" t="inlineStr">
        <is>
          <t>Chamomile</t>
        </is>
      </c>
      <c r="B149" t="inlineStr">
        <is>
          <t>Chinese Skullcap</t>
        </is>
      </c>
      <c r="C149" t="inlineStr">
        <is>
          <t>Blue Lotus</t>
        </is>
      </c>
      <c r="D149" t="n">
        <v>4</v>
      </c>
      <c r="E149" t="n">
        <v>0</v>
      </c>
      <c r="F149" t="n">
        <v>2</v>
      </c>
      <c r="G149" t="inlineStr">
        <is>
          <t>cognitive-neuroprotective; gastrointestinal; inflammation; neurotransmitter</t>
        </is>
      </c>
      <c r="J149" t="n">
        <v>0</v>
      </c>
      <c r="K149" t="n">
        <v>0</v>
      </c>
      <c r="L149" t="n">
        <v>55.1</v>
      </c>
      <c r="M149" t="inlineStr">
        <is>
          <t>B</t>
        </is>
      </c>
      <c r="N149" t="inlineStr">
        <is>
          <t>focus / neuroactive</t>
        </is>
      </c>
      <c r="O149" t="inlineStr">
        <is>
          <t>Low</t>
        </is>
      </c>
      <c r="P149" t="inlineStr">
        <is>
          <t>FALSE</t>
        </is>
      </c>
      <c r="R149" t="inlineStr">
        <is>
          <t>Focus</t>
        </is>
      </c>
      <c r="S149" t="n">
        <v>55.1</v>
      </c>
    </row>
    <row r="150">
      <c r="A150" t="inlineStr">
        <is>
          <t>Green Tea</t>
        </is>
      </c>
      <c r="B150" t="inlineStr">
        <is>
          <t>Epimedium</t>
        </is>
      </c>
      <c r="C150" t="inlineStr">
        <is>
          <t>Blue Lotus</t>
        </is>
      </c>
      <c r="D150" t="n">
        <v>4</v>
      </c>
      <c r="E150" t="n">
        <v>0</v>
      </c>
      <c r="F150" t="n">
        <v>1</v>
      </c>
      <c r="G150" t="inlineStr">
        <is>
          <t>metabolic; neurotransmitter; oxidative-stress; vascular</t>
        </is>
      </c>
      <c r="J150" t="n">
        <v>0</v>
      </c>
      <c r="K150" t="n">
        <v>0</v>
      </c>
      <c r="L150" t="n">
        <v>55.1</v>
      </c>
      <c r="M150" t="inlineStr">
        <is>
          <t>B</t>
        </is>
      </c>
      <c r="N150" t="inlineStr">
        <is>
          <t>metabolic + circulation</t>
        </is>
      </c>
      <c r="O150" t="inlineStr">
        <is>
          <t>Low</t>
        </is>
      </c>
      <c r="P150" t="inlineStr">
        <is>
          <t>FALSE</t>
        </is>
      </c>
      <c r="R150" t="inlineStr">
        <is>
          <t>Metabolic Support</t>
        </is>
      </c>
      <c r="S150" t="n">
        <v>55.1</v>
      </c>
    </row>
    <row r="151">
      <c r="A151" t="inlineStr">
        <is>
          <t>Ashwagandha</t>
        </is>
      </c>
      <c r="B151" t="inlineStr">
        <is>
          <t>Black Cohosh</t>
        </is>
      </c>
      <c r="C151" t="inlineStr">
        <is>
          <t>Corydalis</t>
        </is>
      </c>
      <c r="D151" t="n">
        <v>6</v>
      </c>
      <c r="E151" t="n">
        <v>0</v>
      </c>
      <c r="F151" t="n">
        <v>1</v>
      </c>
      <c r="G151" t="inlineStr">
        <is>
          <t>adaptogenic; cognitive-neuroprotective; gastrointestinal; inflammation; neurotransmitter; oxidative-stress</t>
        </is>
      </c>
      <c r="J151" t="n">
        <v>0</v>
      </c>
      <c r="K151" t="n">
        <v>0</v>
      </c>
      <c r="L151" t="n">
        <v>55</v>
      </c>
      <c r="M151" t="inlineStr">
        <is>
          <t>B</t>
        </is>
      </c>
      <c r="N151" t="inlineStr">
        <is>
          <t>stress + cognition</t>
        </is>
      </c>
      <c r="O151" t="inlineStr">
        <is>
          <t>Low</t>
        </is>
      </c>
      <c r="P151" t="inlineStr">
        <is>
          <t>FALSE</t>
        </is>
      </c>
      <c r="R151" t="inlineStr">
        <is>
          <t>Focus</t>
        </is>
      </c>
      <c r="S151" t="n">
        <v>55</v>
      </c>
    </row>
    <row r="152">
      <c r="A152" t="inlineStr">
        <is>
          <t>Ashwagandha</t>
        </is>
      </c>
      <c r="B152" t="inlineStr">
        <is>
          <t>Black Pepper</t>
        </is>
      </c>
      <c r="C152" t="inlineStr">
        <is>
          <t>Corydalis</t>
        </is>
      </c>
      <c r="D152" t="n">
        <v>6</v>
      </c>
      <c r="E152" t="n">
        <v>0</v>
      </c>
      <c r="F152" t="n">
        <v>1</v>
      </c>
      <c r="G152" t="inlineStr">
        <is>
          <t>adaptogenic; cognitive-neuroprotective; gastrointestinal; inflammation; neurotransmitter; oxidative-stress</t>
        </is>
      </c>
      <c r="J152" t="n">
        <v>0</v>
      </c>
      <c r="K152" t="n">
        <v>0</v>
      </c>
      <c r="L152" t="n">
        <v>55</v>
      </c>
      <c r="M152" t="inlineStr">
        <is>
          <t>B</t>
        </is>
      </c>
      <c r="N152" t="inlineStr">
        <is>
          <t>stress + cognition</t>
        </is>
      </c>
      <c r="O152" t="inlineStr">
        <is>
          <t>Low</t>
        </is>
      </c>
      <c r="P152" t="inlineStr">
        <is>
          <t>FALSE</t>
        </is>
      </c>
      <c r="R152" t="inlineStr">
        <is>
          <t>Focus</t>
        </is>
      </c>
      <c r="S152" t="n">
        <v>55</v>
      </c>
    </row>
    <row r="153">
      <c r="A153" t="inlineStr">
        <is>
          <t>Chamomile</t>
        </is>
      </c>
      <c r="B153" t="inlineStr">
        <is>
          <t>Ashwagandha</t>
        </is>
      </c>
      <c r="C153" t="inlineStr">
        <is>
          <t>Corydalis</t>
        </is>
      </c>
      <c r="D153" t="n">
        <v>6</v>
      </c>
      <c r="E153" t="n">
        <v>0</v>
      </c>
      <c r="F153" t="n">
        <v>2</v>
      </c>
      <c r="G153" t="inlineStr">
        <is>
          <t>adaptogenic; cognitive-neuroprotective; gastrointestinal; inflammation; neurotransmitter; oxidative-stress</t>
        </is>
      </c>
      <c r="I153" t="inlineStr">
        <is>
          <t>stimulant-neuro</t>
        </is>
      </c>
      <c r="J153" t="n">
        <v>0</v>
      </c>
      <c r="K153" t="n">
        <v>7</v>
      </c>
      <c r="L153" t="n">
        <v>54.8</v>
      </c>
      <c r="M153" t="inlineStr">
        <is>
          <t>B</t>
        </is>
      </c>
      <c r="N153" t="inlineStr">
        <is>
          <t>stress + cognition</t>
        </is>
      </c>
      <c r="O153" t="inlineStr">
        <is>
          <t>Moderate</t>
        </is>
      </c>
      <c r="P153" t="inlineStr">
        <is>
          <t>FALSE</t>
        </is>
      </c>
      <c r="R153" t="inlineStr">
        <is>
          <t>Focus</t>
        </is>
      </c>
      <c r="S153" t="n">
        <v>48.8</v>
      </c>
    </row>
    <row r="154">
      <c r="A154" t="inlineStr">
        <is>
          <t>Chamomile</t>
        </is>
      </c>
      <c r="B154" t="inlineStr">
        <is>
          <t>Epimedium</t>
        </is>
      </c>
      <c r="C154" t="inlineStr">
        <is>
          <t>Turmeric</t>
        </is>
      </c>
      <c r="D154" t="n">
        <v>4</v>
      </c>
      <c r="E154" t="n">
        <v>0</v>
      </c>
      <c r="F154" t="n">
        <v>1</v>
      </c>
      <c r="G154" t="inlineStr">
        <is>
          <t>gastrointestinal; inflammation; neurotransmitter; vascular</t>
        </is>
      </c>
      <c r="J154" t="n">
        <v>0</v>
      </c>
      <c r="K154" t="n">
        <v>0</v>
      </c>
      <c r="L154" t="n">
        <v>54.7</v>
      </c>
      <c r="M154" t="inlineStr">
        <is>
          <t>B</t>
        </is>
      </c>
      <c r="N154" t="inlineStr">
        <is>
          <t>broad-spectrum support</t>
        </is>
      </c>
      <c r="O154" t="inlineStr">
        <is>
          <t>Low</t>
        </is>
      </c>
      <c r="P154" t="inlineStr">
        <is>
          <t>FALSE</t>
        </is>
      </c>
      <c r="R154" t="inlineStr">
        <is>
          <t>Recovery</t>
        </is>
      </c>
      <c r="S154" t="n">
        <v>54.7</v>
      </c>
    </row>
    <row r="155">
      <c r="A155" t="inlineStr">
        <is>
          <t>Ashwagandha</t>
        </is>
      </c>
      <c r="B155" t="inlineStr">
        <is>
          <t>Turmeric</t>
        </is>
      </c>
      <c r="C155" t="inlineStr">
        <is>
          <t>Black Cohosh</t>
        </is>
      </c>
      <c r="D155" t="n">
        <v>5</v>
      </c>
      <c r="E155" t="n">
        <v>0</v>
      </c>
      <c r="F155" t="n">
        <v>1</v>
      </c>
      <c r="G155" t="inlineStr">
        <is>
          <t>adaptogenic; cognitive-neuroprotective; gastrointestinal; inflammation; oxidative-stress</t>
        </is>
      </c>
      <c r="J155" t="n">
        <v>0</v>
      </c>
      <c r="K155" t="n">
        <v>0</v>
      </c>
      <c r="L155" t="n">
        <v>54.3</v>
      </c>
      <c r="M155" t="inlineStr">
        <is>
          <t>B</t>
        </is>
      </c>
      <c r="N155" t="inlineStr">
        <is>
          <t>stress + cognition</t>
        </is>
      </c>
      <c r="O155" t="inlineStr">
        <is>
          <t>Low</t>
        </is>
      </c>
      <c r="P155" t="inlineStr">
        <is>
          <t>FALSE</t>
        </is>
      </c>
      <c r="R155" t="inlineStr">
        <is>
          <t>Stress</t>
        </is>
      </c>
      <c r="S155" t="n">
        <v>54.3</v>
      </c>
    </row>
    <row r="156">
      <c r="A156" t="inlineStr">
        <is>
          <t>Ashwagandha</t>
        </is>
      </c>
      <c r="B156" t="inlineStr">
        <is>
          <t>Turmeric</t>
        </is>
      </c>
      <c r="C156" t="inlineStr">
        <is>
          <t>Black Pepper</t>
        </is>
      </c>
      <c r="D156" t="n">
        <v>5</v>
      </c>
      <c r="E156" t="n">
        <v>0</v>
      </c>
      <c r="F156" t="n">
        <v>1</v>
      </c>
      <c r="G156" t="inlineStr">
        <is>
          <t>adaptogenic; cognitive-neuroprotective; gastrointestinal; inflammation; oxidative-stress</t>
        </is>
      </c>
      <c r="J156" t="n">
        <v>0</v>
      </c>
      <c r="K156" t="n">
        <v>0</v>
      </c>
      <c r="L156" t="n">
        <v>54.3</v>
      </c>
      <c r="M156" t="inlineStr">
        <is>
          <t>B</t>
        </is>
      </c>
      <c r="N156" t="inlineStr">
        <is>
          <t>stress + cognition</t>
        </is>
      </c>
      <c r="O156" t="inlineStr">
        <is>
          <t>Low</t>
        </is>
      </c>
      <c r="P156" t="inlineStr">
        <is>
          <t>FALSE</t>
        </is>
      </c>
      <c r="R156" t="inlineStr">
        <is>
          <t>Stress</t>
        </is>
      </c>
      <c r="S156" t="n">
        <v>54.3</v>
      </c>
    </row>
    <row r="157">
      <c r="A157" t="inlineStr">
        <is>
          <t>Chinese Skullcap</t>
        </is>
      </c>
      <c r="B157" t="inlineStr">
        <is>
          <t>Ashwagandha</t>
        </is>
      </c>
      <c r="C157" t="inlineStr">
        <is>
          <t>Blue Lotus</t>
        </is>
      </c>
      <c r="D157" t="n">
        <v>4</v>
      </c>
      <c r="E157" t="n">
        <v>0</v>
      </c>
      <c r="F157" t="n">
        <v>3</v>
      </c>
      <c r="G157" t="inlineStr">
        <is>
          <t>adaptogenic; cognitive-neuroprotective; inflammation; oxidative-stress</t>
        </is>
      </c>
      <c r="J157" t="n">
        <v>0</v>
      </c>
      <c r="K157" t="n">
        <v>0</v>
      </c>
      <c r="L157" t="n">
        <v>54.2</v>
      </c>
      <c r="M157" t="inlineStr">
        <is>
          <t>B</t>
        </is>
      </c>
      <c r="N157" t="inlineStr">
        <is>
          <t>stress + cognition</t>
        </is>
      </c>
      <c r="O157" t="inlineStr">
        <is>
          <t>Low</t>
        </is>
      </c>
      <c r="P157" t="inlineStr">
        <is>
          <t>FALSE</t>
        </is>
      </c>
      <c r="R157" t="inlineStr">
        <is>
          <t>Stress</t>
        </is>
      </c>
      <c r="S157" t="n">
        <v>54.2</v>
      </c>
    </row>
    <row r="158">
      <c r="A158" t="inlineStr">
        <is>
          <t>Ginkgo Biloba</t>
        </is>
      </c>
      <c r="B158" t="inlineStr">
        <is>
          <t>Epimedium</t>
        </is>
      </c>
      <c r="C158" t="inlineStr">
        <is>
          <t>Turmeric</t>
        </is>
      </c>
      <c r="D158" t="n">
        <v>4</v>
      </c>
      <c r="E158" t="n">
        <v>0</v>
      </c>
      <c r="F158" t="n">
        <v>1</v>
      </c>
      <c r="G158" t="inlineStr">
        <is>
          <t>cognitive-neuroprotective; inflammation; oxidative-stress; vascular</t>
        </is>
      </c>
      <c r="I158" t="inlineStr">
        <is>
          <t>vascular</t>
        </is>
      </c>
      <c r="J158" t="n">
        <v>0</v>
      </c>
      <c r="K158" t="n">
        <v>7</v>
      </c>
      <c r="L158" t="n">
        <v>54.2</v>
      </c>
      <c r="M158" t="inlineStr">
        <is>
          <t>B</t>
        </is>
      </c>
      <c r="N158" t="inlineStr">
        <is>
          <t>recovery / anti-inflammatory</t>
        </is>
      </c>
      <c r="O158" t="inlineStr">
        <is>
          <t>Low</t>
        </is>
      </c>
      <c r="P158" t="inlineStr">
        <is>
          <t>FALSE</t>
        </is>
      </c>
      <c r="R158" t="inlineStr">
        <is>
          <t>Recovery</t>
        </is>
      </c>
      <c r="S158" t="n">
        <v>50.2</v>
      </c>
    </row>
    <row r="159">
      <c r="A159" t="inlineStr">
        <is>
          <t>Chinese Skullcap</t>
        </is>
      </c>
      <c r="B159" t="inlineStr">
        <is>
          <t>Epimedium</t>
        </is>
      </c>
      <c r="C159" t="inlineStr">
        <is>
          <t>Corydalis</t>
        </is>
      </c>
      <c r="D159" t="n">
        <v>5</v>
      </c>
      <c r="E159" t="n">
        <v>0</v>
      </c>
      <c r="F159" t="n">
        <v>1</v>
      </c>
      <c r="G159" t="inlineStr">
        <is>
          <t>cognitive-neuroprotective; gastrointestinal; inflammation; neurotransmitter; vascular</t>
        </is>
      </c>
      <c r="J159" t="n">
        <v>0</v>
      </c>
      <c r="K159" t="n">
        <v>0</v>
      </c>
      <c r="L159" t="n">
        <v>54</v>
      </c>
      <c r="M159" t="inlineStr">
        <is>
          <t>B</t>
        </is>
      </c>
      <c r="N159" t="inlineStr">
        <is>
          <t>focus / neuroactive</t>
        </is>
      </c>
      <c r="O159" t="inlineStr">
        <is>
          <t>Low</t>
        </is>
      </c>
      <c r="P159" t="inlineStr">
        <is>
          <t>FALSE</t>
        </is>
      </c>
      <c r="R159" t="inlineStr">
        <is>
          <t>Focus</t>
        </is>
      </c>
      <c r="S159" t="n">
        <v>54</v>
      </c>
    </row>
    <row r="160">
      <c r="A160" t="inlineStr">
        <is>
          <t>Green Tea</t>
        </is>
      </c>
      <c r="B160" t="inlineStr">
        <is>
          <t>Chamomile</t>
        </is>
      </c>
      <c r="C160" t="inlineStr">
        <is>
          <t>Black Pepper</t>
        </is>
      </c>
      <c r="D160" t="n">
        <v>5</v>
      </c>
      <c r="E160" t="n">
        <v>0</v>
      </c>
      <c r="F160" t="n">
        <v>1</v>
      </c>
      <c r="G160" t="inlineStr">
        <is>
          <t>gastrointestinal; inflammation; metabolic; neurotransmitter; oxidative-stress</t>
        </is>
      </c>
      <c r="I160" t="inlineStr">
        <is>
          <t>stimulant-neuro</t>
        </is>
      </c>
      <c r="J160" t="n">
        <v>0</v>
      </c>
      <c r="K160" t="n">
        <v>7</v>
      </c>
      <c r="L160" t="n">
        <v>53.2</v>
      </c>
      <c r="M160" t="inlineStr">
        <is>
          <t>B</t>
        </is>
      </c>
      <c r="N160" t="inlineStr">
        <is>
          <t>recovery / anti-inflammatory</t>
        </is>
      </c>
      <c r="O160" t="inlineStr">
        <is>
          <t>Elevated</t>
        </is>
      </c>
      <c r="P160" t="inlineStr">
        <is>
          <t>FALSE</t>
        </is>
      </c>
      <c r="R160" t="inlineStr">
        <is>
          <t>Recovery</t>
        </is>
      </c>
      <c r="S160" t="n">
        <v>40.2</v>
      </c>
    </row>
    <row r="161">
      <c r="A161" t="inlineStr">
        <is>
          <t>Green Tea</t>
        </is>
      </c>
      <c r="B161" t="inlineStr">
        <is>
          <t>Turmeric</t>
        </is>
      </c>
      <c r="C161" t="inlineStr">
        <is>
          <t>Black Pepper</t>
        </is>
      </c>
      <c r="D161" t="n">
        <v>4</v>
      </c>
      <c r="E161" t="n">
        <v>0</v>
      </c>
      <c r="F161" t="n">
        <v>1</v>
      </c>
      <c r="G161" t="inlineStr">
        <is>
          <t>gastrointestinal; metabolic; neurotransmitter; oxidative-stress</t>
        </is>
      </c>
      <c r="J161" t="n">
        <v>0</v>
      </c>
      <c r="K161" t="n">
        <v>0</v>
      </c>
      <c r="L161" t="n">
        <v>53.2</v>
      </c>
      <c r="M161" t="inlineStr">
        <is>
          <t>B</t>
        </is>
      </c>
      <c r="N161" t="inlineStr">
        <is>
          <t>broad-spectrum support</t>
        </is>
      </c>
      <c r="O161" t="inlineStr">
        <is>
          <t>Low</t>
        </is>
      </c>
      <c r="P161" t="inlineStr">
        <is>
          <t>FALSE</t>
        </is>
      </c>
      <c r="R161" t="inlineStr">
        <is>
          <t>Metabolic Support</t>
        </is>
      </c>
      <c r="S161" t="n">
        <v>53.2</v>
      </c>
    </row>
    <row r="162">
      <c r="A162" t="inlineStr">
        <is>
          <t>Chamomile</t>
        </is>
      </c>
      <c r="B162" t="inlineStr">
        <is>
          <t>Epimedium</t>
        </is>
      </c>
      <c r="C162" t="inlineStr">
        <is>
          <t>Blue Lotus</t>
        </is>
      </c>
      <c r="D162" t="n">
        <v>4</v>
      </c>
      <c r="E162" t="n">
        <v>0</v>
      </c>
      <c r="F162" t="n">
        <v>1</v>
      </c>
      <c r="G162" t="inlineStr">
        <is>
          <t>gastrointestinal; inflammation; neurotransmitter; vascular</t>
        </is>
      </c>
      <c r="J162" t="n">
        <v>0</v>
      </c>
      <c r="K162" t="n">
        <v>0</v>
      </c>
      <c r="L162" t="n">
        <v>53.1</v>
      </c>
      <c r="M162" t="inlineStr">
        <is>
          <t>B</t>
        </is>
      </c>
      <c r="N162" t="inlineStr">
        <is>
          <t>broad-spectrum support</t>
        </is>
      </c>
      <c r="O162" t="inlineStr">
        <is>
          <t>Low</t>
        </is>
      </c>
      <c r="P162" t="inlineStr">
        <is>
          <t>FALSE</t>
        </is>
      </c>
      <c r="R162" t="inlineStr">
        <is>
          <t>Recovery</t>
        </is>
      </c>
      <c r="S162" t="n">
        <v>53.1</v>
      </c>
    </row>
    <row r="163">
      <c r="A163" t="inlineStr">
        <is>
          <t>Chamomile</t>
        </is>
      </c>
      <c r="B163" t="inlineStr">
        <is>
          <t>Chinese Skullcap</t>
        </is>
      </c>
      <c r="C163" t="inlineStr">
        <is>
          <t>Black Pepper</t>
        </is>
      </c>
      <c r="D163" t="n">
        <v>4</v>
      </c>
      <c r="E163" t="n">
        <v>0</v>
      </c>
      <c r="F163" t="n">
        <v>2</v>
      </c>
      <c r="G163" t="inlineStr">
        <is>
          <t>cognitive-neuroprotective; gastrointestinal; inflammation; neurotransmitter</t>
        </is>
      </c>
      <c r="J163" t="n">
        <v>0</v>
      </c>
      <c r="K163" t="n">
        <v>0</v>
      </c>
      <c r="L163" t="n">
        <v>53</v>
      </c>
      <c r="M163" t="inlineStr">
        <is>
          <t>B</t>
        </is>
      </c>
      <c r="N163" t="inlineStr">
        <is>
          <t>focus / neuroactive</t>
        </is>
      </c>
      <c r="O163" t="inlineStr">
        <is>
          <t>Low</t>
        </is>
      </c>
      <c r="P163" t="inlineStr">
        <is>
          <t>FALSE</t>
        </is>
      </c>
      <c r="R163" t="inlineStr">
        <is>
          <t>Focus</t>
        </is>
      </c>
      <c r="S163" t="n">
        <v>53</v>
      </c>
    </row>
    <row r="164">
      <c r="A164" t="inlineStr">
        <is>
          <t>Ashwagandha</t>
        </is>
      </c>
      <c r="B164" t="inlineStr">
        <is>
          <t>Blue Lotus</t>
        </is>
      </c>
      <c r="C164" t="inlineStr">
        <is>
          <t>Black Cohosh</t>
        </is>
      </c>
      <c r="D164" t="n">
        <v>5</v>
      </c>
      <c r="E164" t="n">
        <v>0</v>
      </c>
      <c r="F164" t="n">
        <v>1</v>
      </c>
      <c r="G164" t="inlineStr">
        <is>
          <t>adaptogenic; cognitive-neuroprotective; gastrointestinal; inflammation; oxidative-stress</t>
        </is>
      </c>
      <c r="J164" t="n">
        <v>0</v>
      </c>
      <c r="K164" t="n">
        <v>0</v>
      </c>
      <c r="L164" t="n">
        <v>52.7</v>
      </c>
      <c r="M164" t="inlineStr">
        <is>
          <t>B</t>
        </is>
      </c>
      <c r="N164" t="inlineStr">
        <is>
          <t>stress + cognition</t>
        </is>
      </c>
      <c r="O164" t="inlineStr">
        <is>
          <t>Low</t>
        </is>
      </c>
      <c r="P164" t="inlineStr">
        <is>
          <t>FALSE</t>
        </is>
      </c>
      <c r="R164" t="inlineStr">
        <is>
          <t>Stress</t>
        </is>
      </c>
      <c r="S164" t="n">
        <v>52.7</v>
      </c>
    </row>
    <row r="165">
      <c r="A165" t="inlineStr">
        <is>
          <t>Ashwagandha</t>
        </is>
      </c>
      <c r="B165" t="inlineStr">
        <is>
          <t>Blue Lotus</t>
        </is>
      </c>
      <c r="C165" t="inlineStr">
        <is>
          <t>Black Pepper</t>
        </is>
      </c>
      <c r="D165" t="n">
        <v>5</v>
      </c>
      <c r="E165" t="n">
        <v>0</v>
      </c>
      <c r="F165" t="n">
        <v>1</v>
      </c>
      <c r="G165" t="inlineStr">
        <is>
          <t>adaptogenic; cognitive-neuroprotective; gastrointestinal; inflammation; oxidative-stress</t>
        </is>
      </c>
      <c r="J165" t="n">
        <v>0</v>
      </c>
      <c r="K165" t="n">
        <v>0</v>
      </c>
      <c r="L165" t="n">
        <v>52.7</v>
      </c>
      <c r="M165" t="inlineStr">
        <is>
          <t>B</t>
        </is>
      </c>
      <c r="N165" t="inlineStr">
        <is>
          <t>stress + cognition</t>
        </is>
      </c>
      <c r="O165" t="inlineStr">
        <is>
          <t>Low</t>
        </is>
      </c>
      <c r="P165" t="inlineStr">
        <is>
          <t>FALSE</t>
        </is>
      </c>
      <c r="R165" t="inlineStr">
        <is>
          <t>Stress</t>
        </is>
      </c>
      <c r="S165" t="n">
        <v>52.7</v>
      </c>
    </row>
    <row r="166">
      <c r="A166" t="inlineStr">
        <is>
          <t>Ginkgo Biloba</t>
        </is>
      </c>
      <c r="B166" t="inlineStr">
        <is>
          <t>Epimedium</t>
        </is>
      </c>
      <c r="C166" t="inlineStr">
        <is>
          <t>Blue Lotus</t>
        </is>
      </c>
      <c r="D166" t="n">
        <v>4</v>
      </c>
      <c r="E166" t="n">
        <v>0</v>
      </c>
      <c r="F166" t="n">
        <v>1</v>
      </c>
      <c r="G166" t="inlineStr">
        <is>
          <t>cognitive-neuroprotective; inflammation; oxidative-stress; vascular</t>
        </is>
      </c>
      <c r="I166" t="inlineStr">
        <is>
          <t>vascular</t>
        </is>
      </c>
      <c r="J166" t="n">
        <v>0</v>
      </c>
      <c r="K166" t="n">
        <v>7</v>
      </c>
      <c r="L166" t="n">
        <v>52.6</v>
      </c>
      <c r="M166" t="inlineStr">
        <is>
          <t>B</t>
        </is>
      </c>
      <c r="N166" t="inlineStr">
        <is>
          <t>recovery / anti-inflammatory</t>
        </is>
      </c>
      <c r="O166" t="inlineStr">
        <is>
          <t>Low</t>
        </is>
      </c>
      <c r="P166" t="inlineStr">
        <is>
          <t>FALSE</t>
        </is>
      </c>
      <c r="R166" t="inlineStr">
        <is>
          <t>Recovery</t>
        </is>
      </c>
      <c r="S166" t="n">
        <v>48.6</v>
      </c>
    </row>
    <row r="167">
      <c r="A167" t="inlineStr">
        <is>
          <t>Chamomile</t>
        </is>
      </c>
      <c r="B167" t="inlineStr">
        <is>
          <t>Black Cohosh</t>
        </is>
      </c>
      <c r="C167" t="inlineStr">
        <is>
          <t>Black Pepper</t>
        </is>
      </c>
      <c r="D167" t="n">
        <v>4</v>
      </c>
      <c r="E167" t="n">
        <v>1</v>
      </c>
      <c r="F167" t="n">
        <v>1</v>
      </c>
      <c r="G167" t="inlineStr">
        <is>
          <t>gastrointestinal; inflammation; neurotransmitter; oxidative-stress</t>
        </is>
      </c>
      <c r="H167" t="inlineStr">
        <is>
          <t>gastrointestinal</t>
        </is>
      </c>
      <c r="J167" t="n">
        <v>0</v>
      </c>
      <c r="K167" t="n">
        <v>0</v>
      </c>
      <c r="L167" t="n">
        <v>52.5</v>
      </c>
      <c r="M167" t="inlineStr">
        <is>
          <t>B</t>
        </is>
      </c>
      <c r="N167" t="inlineStr">
        <is>
          <t>recovery / anti-inflammatory</t>
        </is>
      </c>
      <c r="O167" t="inlineStr">
        <is>
          <t>Low</t>
        </is>
      </c>
      <c r="P167" t="inlineStr">
        <is>
          <t>FALSE</t>
        </is>
      </c>
      <c r="R167" t="inlineStr">
        <is>
          <t>Recovery</t>
        </is>
      </c>
      <c r="S167" t="n">
        <v>52.5</v>
      </c>
    </row>
    <row r="168">
      <c r="A168" t="inlineStr">
        <is>
          <t>Green Tea</t>
        </is>
      </c>
      <c r="B168" t="inlineStr">
        <is>
          <t>Blue Lotus</t>
        </is>
      </c>
      <c r="C168" t="inlineStr">
        <is>
          <t>Black Pepper</t>
        </is>
      </c>
      <c r="D168" t="n">
        <v>4</v>
      </c>
      <c r="E168" t="n">
        <v>0</v>
      </c>
      <c r="F168" t="n">
        <v>1</v>
      </c>
      <c r="G168" t="inlineStr">
        <is>
          <t>gastrointestinal; metabolic; neurotransmitter; oxidative-stress</t>
        </is>
      </c>
      <c r="J168" t="n">
        <v>0</v>
      </c>
      <c r="K168" t="n">
        <v>0</v>
      </c>
      <c r="L168" t="n">
        <v>51.6</v>
      </c>
      <c r="M168" t="inlineStr">
        <is>
          <t>B</t>
        </is>
      </c>
      <c r="N168" t="inlineStr">
        <is>
          <t>broad-spectrum support</t>
        </is>
      </c>
      <c r="O168" t="inlineStr">
        <is>
          <t>Low</t>
        </is>
      </c>
      <c r="P168" t="inlineStr">
        <is>
          <t>FALSE</t>
        </is>
      </c>
      <c r="R168" t="inlineStr">
        <is>
          <t>Metabolic Support</t>
        </is>
      </c>
      <c r="S168" t="n">
        <v>51.6</v>
      </c>
    </row>
    <row r="169">
      <c r="A169" t="inlineStr">
        <is>
          <t>Chamomile</t>
        </is>
      </c>
      <c r="B169" t="inlineStr">
        <is>
          <t>Turmeric</t>
        </is>
      </c>
      <c r="C169" t="inlineStr">
        <is>
          <t>Black Cohosh</t>
        </is>
      </c>
      <c r="D169" t="n">
        <v>4</v>
      </c>
      <c r="E169" t="n">
        <v>0</v>
      </c>
      <c r="F169" t="n">
        <v>1</v>
      </c>
      <c r="G169" t="inlineStr">
        <is>
          <t>gastrointestinal; inflammation; neurotransmitter; oxidative-stress</t>
        </is>
      </c>
      <c r="J169" t="n">
        <v>0</v>
      </c>
      <c r="K169" t="n">
        <v>0</v>
      </c>
      <c r="L169" t="n">
        <v>51.2</v>
      </c>
      <c r="M169" t="inlineStr">
        <is>
          <t>B</t>
        </is>
      </c>
      <c r="N169" t="inlineStr">
        <is>
          <t>recovery / anti-inflammatory</t>
        </is>
      </c>
      <c r="O169" t="inlineStr">
        <is>
          <t>Low</t>
        </is>
      </c>
      <c r="P169" t="inlineStr">
        <is>
          <t>FALSE</t>
        </is>
      </c>
      <c r="R169" t="inlineStr">
        <is>
          <t>Recovery</t>
        </is>
      </c>
      <c r="S169" t="n">
        <v>51.2</v>
      </c>
    </row>
    <row r="170">
      <c r="A170" t="inlineStr">
        <is>
          <t>Chamomile</t>
        </is>
      </c>
      <c r="B170" t="inlineStr">
        <is>
          <t>Epimedium</t>
        </is>
      </c>
      <c r="C170" t="inlineStr">
        <is>
          <t>Black Pepper</t>
        </is>
      </c>
      <c r="D170" t="n">
        <v>4</v>
      </c>
      <c r="E170" t="n">
        <v>0</v>
      </c>
      <c r="F170" t="n">
        <v>1</v>
      </c>
      <c r="G170" t="inlineStr">
        <is>
          <t>gastrointestinal; inflammation; neurotransmitter; vascular</t>
        </is>
      </c>
      <c r="J170" t="n">
        <v>0</v>
      </c>
      <c r="K170" t="n">
        <v>0</v>
      </c>
      <c r="L170" t="n">
        <v>51</v>
      </c>
      <c r="M170" t="inlineStr">
        <is>
          <t>B</t>
        </is>
      </c>
      <c r="N170" t="inlineStr">
        <is>
          <t>broad-spectrum support</t>
        </is>
      </c>
      <c r="O170" t="inlineStr">
        <is>
          <t>Low</t>
        </is>
      </c>
      <c r="P170" t="inlineStr">
        <is>
          <t>FALSE</t>
        </is>
      </c>
      <c r="R170" t="inlineStr">
        <is>
          <t>Recovery</t>
        </is>
      </c>
      <c r="S170" t="n">
        <v>51</v>
      </c>
    </row>
    <row r="171">
      <c r="A171" t="inlineStr">
        <is>
          <t>Ashwagandha</t>
        </is>
      </c>
      <c r="B171" t="inlineStr">
        <is>
          <t>Black Cohosh</t>
        </is>
      </c>
      <c r="C171" t="inlineStr">
        <is>
          <t>Black Pepper</t>
        </is>
      </c>
      <c r="D171" t="n">
        <v>5</v>
      </c>
      <c r="E171" t="n">
        <v>0</v>
      </c>
      <c r="F171" t="n">
        <v>1</v>
      </c>
      <c r="G171" t="inlineStr">
        <is>
          <t>adaptogenic; cognitive-neuroprotective; gastrointestinal; inflammation; oxidative-stress</t>
        </is>
      </c>
      <c r="J171" t="n">
        <v>0</v>
      </c>
      <c r="K171" t="n">
        <v>0</v>
      </c>
      <c r="L171" t="n">
        <v>50.5</v>
      </c>
      <c r="M171" t="inlineStr">
        <is>
          <t>B</t>
        </is>
      </c>
      <c r="N171" t="inlineStr">
        <is>
          <t>stress + cognition</t>
        </is>
      </c>
      <c r="O171" t="inlineStr">
        <is>
          <t>Low</t>
        </is>
      </c>
      <c r="P171" t="inlineStr">
        <is>
          <t>FALSE</t>
        </is>
      </c>
      <c r="R171" t="inlineStr">
        <is>
          <t>Stress</t>
        </is>
      </c>
      <c r="S171" t="n">
        <v>50.5</v>
      </c>
    </row>
    <row r="172">
      <c r="A172" t="inlineStr">
        <is>
          <t>Ashwagandha</t>
        </is>
      </c>
      <c r="B172" t="inlineStr">
        <is>
          <t>Turmeric</t>
        </is>
      </c>
      <c r="C172" t="inlineStr">
        <is>
          <t>Blue Lotus</t>
        </is>
      </c>
      <c r="D172" t="n">
        <v>4</v>
      </c>
      <c r="E172" t="n">
        <v>0</v>
      </c>
      <c r="F172" t="n">
        <v>1</v>
      </c>
      <c r="G172" t="inlineStr">
        <is>
          <t>adaptogenic; cognitive-neuroprotective; inflammation; oxidative-stress</t>
        </is>
      </c>
      <c r="J172" t="n">
        <v>0</v>
      </c>
      <c r="K172" t="n">
        <v>0</v>
      </c>
      <c r="L172" t="n">
        <v>50.5</v>
      </c>
      <c r="M172" t="inlineStr">
        <is>
          <t>B</t>
        </is>
      </c>
      <c r="N172" t="inlineStr">
        <is>
          <t>stress + cognition</t>
        </is>
      </c>
      <c r="O172" t="inlineStr">
        <is>
          <t>Low</t>
        </is>
      </c>
      <c r="P172" t="inlineStr">
        <is>
          <t>FALSE</t>
        </is>
      </c>
      <c r="R172" t="inlineStr">
        <is>
          <t>Stress</t>
        </is>
      </c>
      <c r="S172" t="n">
        <v>50.5</v>
      </c>
    </row>
    <row r="173">
      <c r="A173" t="inlineStr">
        <is>
          <t>Chinese Skullcap</t>
        </is>
      </c>
      <c r="B173" t="inlineStr">
        <is>
          <t>Black Cohosh</t>
        </is>
      </c>
      <c r="C173" t="inlineStr">
        <is>
          <t>Corydalis</t>
        </is>
      </c>
      <c r="D173" t="n">
        <v>5</v>
      </c>
      <c r="E173" t="n">
        <v>0</v>
      </c>
      <c r="F173" t="n">
        <v>1</v>
      </c>
      <c r="G173" t="inlineStr">
        <is>
          <t>cognitive-neuroprotective; gastrointestinal; inflammation; neurotransmitter; oxidative-stress</t>
        </is>
      </c>
      <c r="J173" t="n">
        <v>0</v>
      </c>
      <c r="K173" t="n">
        <v>0</v>
      </c>
      <c r="L173" t="n">
        <v>50.5</v>
      </c>
      <c r="M173" t="inlineStr">
        <is>
          <t>B</t>
        </is>
      </c>
      <c r="N173" t="inlineStr">
        <is>
          <t>recovery / anti-inflammatory</t>
        </is>
      </c>
      <c r="O173" t="inlineStr">
        <is>
          <t>Low</t>
        </is>
      </c>
      <c r="P173" t="inlineStr">
        <is>
          <t>FALSE</t>
        </is>
      </c>
      <c r="R173" t="inlineStr">
        <is>
          <t>Focus</t>
        </is>
      </c>
      <c r="S173" t="n">
        <v>50.5</v>
      </c>
    </row>
    <row r="174">
      <c r="A174" t="inlineStr">
        <is>
          <t>Epimedium</t>
        </is>
      </c>
      <c r="B174" t="inlineStr">
        <is>
          <t>Black Cohosh</t>
        </is>
      </c>
      <c r="C174" t="inlineStr">
        <is>
          <t>Corydalis</t>
        </is>
      </c>
      <c r="D174" t="n">
        <v>5</v>
      </c>
      <c r="E174" t="n">
        <v>0</v>
      </c>
      <c r="F174" t="n">
        <v>1</v>
      </c>
      <c r="G174" t="inlineStr">
        <is>
          <t>gastrointestinal; inflammation; neurotransmitter; oxidative-stress; vascular</t>
        </is>
      </c>
      <c r="J174" t="n">
        <v>0</v>
      </c>
      <c r="K174" t="n">
        <v>0</v>
      </c>
      <c r="L174" t="n">
        <v>50.5</v>
      </c>
      <c r="M174" t="inlineStr">
        <is>
          <t>B</t>
        </is>
      </c>
      <c r="N174" t="inlineStr">
        <is>
          <t>recovery / anti-inflammatory</t>
        </is>
      </c>
      <c r="O174" t="inlineStr">
        <is>
          <t>Low</t>
        </is>
      </c>
      <c r="P174" t="inlineStr">
        <is>
          <t>FALSE</t>
        </is>
      </c>
      <c r="R174" t="inlineStr">
        <is>
          <t>Recovery</t>
        </is>
      </c>
      <c r="S174" t="n">
        <v>50.5</v>
      </c>
    </row>
    <row r="175">
      <c r="A175" t="inlineStr">
        <is>
          <t>Green Tea</t>
        </is>
      </c>
      <c r="B175" t="inlineStr">
        <is>
          <t>Epimedium</t>
        </is>
      </c>
      <c r="C175" t="inlineStr">
        <is>
          <t>Corydalis</t>
        </is>
      </c>
      <c r="D175" t="n">
        <v>5</v>
      </c>
      <c r="E175" t="n">
        <v>0</v>
      </c>
      <c r="F175" t="n">
        <v>1</v>
      </c>
      <c r="G175" t="inlineStr">
        <is>
          <t>gastrointestinal; metabolic; neurotransmitter; oxidative-stress; vascular</t>
        </is>
      </c>
      <c r="I175" t="inlineStr">
        <is>
          <t>stimulant-neuro</t>
        </is>
      </c>
      <c r="J175" t="n">
        <v>0</v>
      </c>
      <c r="K175" t="n">
        <v>7</v>
      </c>
      <c r="L175" t="n">
        <v>50.4</v>
      </c>
      <c r="M175" t="inlineStr">
        <is>
          <t>B</t>
        </is>
      </c>
      <c r="N175" t="inlineStr">
        <is>
          <t>metabolic + circulation</t>
        </is>
      </c>
      <c r="O175" t="inlineStr">
        <is>
          <t>Moderate</t>
        </is>
      </c>
      <c r="P175" t="inlineStr">
        <is>
          <t>FALSE</t>
        </is>
      </c>
      <c r="R175" t="inlineStr">
        <is>
          <t>Metabolic Support</t>
        </is>
      </c>
      <c r="S175" t="n">
        <v>44.4</v>
      </c>
    </row>
    <row r="176">
      <c r="A176" t="inlineStr">
        <is>
          <t>Chinese Skullcap</t>
        </is>
      </c>
      <c r="B176" t="inlineStr">
        <is>
          <t>Turmeric</t>
        </is>
      </c>
      <c r="C176" t="inlineStr">
        <is>
          <t>Black Cohosh</t>
        </is>
      </c>
      <c r="D176" t="n">
        <v>4</v>
      </c>
      <c r="E176" t="n">
        <v>0</v>
      </c>
      <c r="F176" t="n">
        <v>1</v>
      </c>
      <c r="G176" t="inlineStr">
        <is>
          <t>cognitive-neuroprotective; gastrointestinal; inflammation; oxidative-stress</t>
        </is>
      </c>
      <c r="J176" t="n">
        <v>0</v>
      </c>
      <c r="K176" t="n">
        <v>0</v>
      </c>
      <c r="L176" t="n">
        <v>49.9</v>
      </c>
      <c r="M176" t="inlineStr">
        <is>
          <t>B</t>
        </is>
      </c>
      <c r="N176" t="inlineStr">
        <is>
          <t>recovery / anti-inflammatory</t>
        </is>
      </c>
      <c r="O176" t="inlineStr">
        <is>
          <t>Low</t>
        </is>
      </c>
      <c r="P176" t="inlineStr">
        <is>
          <t>FALSE</t>
        </is>
      </c>
      <c r="R176" t="inlineStr">
        <is>
          <t>Recovery</t>
        </is>
      </c>
      <c r="S176" t="n">
        <v>49.9</v>
      </c>
    </row>
    <row r="177">
      <c r="A177" t="inlineStr">
        <is>
          <t>Epimedium</t>
        </is>
      </c>
      <c r="B177" t="inlineStr">
        <is>
          <t>Turmeric</t>
        </is>
      </c>
      <c r="C177" t="inlineStr">
        <is>
          <t>Black Cohosh</t>
        </is>
      </c>
      <c r="D177" t="n">
        <v>4</v>
      </c>
      <c r="E177" t="n">
        <v>0</v>
      </c>
      <c r="F177" t="n">
        <v>1</v>
      </c>
      <c r="G177" t="inlineStr">
        <is>
          <t>gastrointestinal; inflammation; oxidative-stress; vascular</t>
        </is>
      </c>
      <c r="J177" t="n">
        <v>0</v>
      </c>
      <c r="K177" t="n">
        <v>0</v>
      </c>
      <c r="L177" t="n">
        <v>49.9</v>
      </c>
      <c r="M177" t="inlineStr">
        <is>
          <t>B</t>
        </is>
      </c>
      <c r="N177" t="inlineStr">
        <is>
          <t>recovery / anti-inflammatory</t>
        </is>
      </c>
      <c r="O177" t="inlineStr">
        <is>
          <t>Low</t>
        </is>
      </c>
      <c r="P177" t="inlineStr">
        <is>
          <t>FALSE</t>
        </is>
      </c>
      <c r="R177" t="inlineStr">
        <is>
          <t>Recovery</t>
        </is>
      </c>
      <c r="S177" t="n">
        <v>49.9</v>
      </c>
    </row>
    <row r="178">
      <c r="A178" t="inlineStr">
        <is>
          <t>Chamomile</t>
        </is>
      </c>
      <c r="B178" t="inlineStr">
        <is>
          <t>Blue Lotus</t>
        </is>
      </c>
      <c r="C178" t="inlineStr">
        <is>
          <t>Black Cohosh</t>
        </is>
      </c>
      <c r="D178" t="n">
        <v>4</v>
      </c>
      <c r="E178" t="n">
        <v>0</v>
      </c>
      <c r="F178" t="n">
        <v>1</v>
      </c>
      <c r="G178" t="inlineStr">
        <is>
          <t>gastrointestinal; inflammation; neurotransmitter; oxidative-stress</t>
        </is>
      </c>
      <c r="J178" t="n">
        <v>0</v>
      </c>
      <c r="K178" t="n">
        <v>0</v>
      </c>
      <c r="L178" t="n">
        <v>49.6</v>
      </c>
      <c r="M178" t="inlineStr">
        <is>
          <t>B</t>
        </is>
      </c>
      <c r="N178" t="inlineStr">
        <is>
          <t>recovery / anti-inflammatory</t>
        </is>
      </c>
      <c r="O178" t="inlineStr">
        <is>
          <t>Low</t>
        </is>
      </c>
      <c r="P178" t="inlineStr">
        <is>
          <t>FALSE</t>
        </is>
      </c>
      <c r="R178" t="inlineStr">
        <is>
          <t>Recovery</t>
        </is>
      </c>
      <c r="S178" t="n">
        <v>49.6</v>
      </c>
    </row>
    <row r="179">
      <c r="A179" t="inlineStr">
        <is>
          <t>Chinese Skullcap</t>
        </is>
      </c>
      <c r="B179" t="inlineStr">
        <is>
          <t>Epimedium</t>
        </is>
      </c>
      <c r="C179" t="inlineStr">
        <is>
          <t>Black Pepper</t>
        </is>
      </c>
      <c r="D179" t="n">
        <v>4</v>
      </c>
      <c r="E179" t="n">
        <v>0</v>
      </c>
      <c r="F179" t="n">
        <v>1</v>
      </c>
      <c r="G179" t="inlineStr">
        <is>
          <t>cognitive-neuroprotective; gastrointestinal; inflammation; vascular</t>
        </is>
      </c>
      <c r="J179" t="n">
        <v>0</v>
      </c>
      <c r="K179" t="n">
        <v>0</v>
      </c>
      <c r="L179" t="n">
        <v>49.6</v>
      </c>
      <c r="M179" t="inlineStr">
        <is>
          <t>B</t>
        </is>
      </c>
      <c r="N179" t="inlineStr">
        <is>
          <t>broad-spectrum support</t>
        </is>
      </c>
      <c r="O179" t="inlineStr">
        <is>
          <t>Low</t>
        </is>
      </c>
      <c r="P179" t="inlineStr">
        <is>
          <t>FALSE</t>
        </is>
      </c>
      <c r="R179" t="inlineStr">
        <is>
          <t>Recovery</t>
        </is>
      </c>
      <c r="S179" t="n">
        <v>49.6</v>
      </c>
    </row>
    <row r="180">
      <c r="A180" t="inlineStr">
        <is>
          <t>Green Tea</t>
        </is>
      </c>
      <c r="B180" t="inlineStr">
        <is>
          <t>Turmeric</t>
        </is>
      </c>
      <c r="C180" t="inlineStr">
        <is>
          <t>Blue Lotus</t>
        </is>
      </c>
      <c r="D180" t="n">
        <v>3</v>
      </c>
      <c r="E180" t="n">
        <v>0</v>
      </c>
      <c r="F180" t="n">
        <v>1</v>
      </c>
      <c r="G180" t="inlineStr">
        <is>
          <t>metabolic; neurotransmitter; oxidative-stress</t>
        </is>
      </c>
      <c r="J180" t="n">
        <v>0</v>
      </c>
      <c r="K180" t="n">
        <v>0</v>
      </c>
      <c r="L180" t="n">
        <v>49.4</v>
      </c>
      <c r="M180" t="inlineStr">
        <is>
          <t>B</t>
        </is>
      </c>
      <c r="N180" t="inlineStr">
        <is>
          <t>broad-spectrum support</t>
        </is>
      </c>
      <c r="O180" t="inlineStr">
        <is>
          <t>Low</t>
        </is>
      </c>
      <c r="P180" t="inlineStr">
        <is>
          <t>FALSE</t>
        </is>
      </c>
      <c r="R180" t="inlineStr">
        <is>
          <t>Metabolic Support</t>
        </is>
      </c>
      <c r="S180" t="n">
        <v>49.4</v>
      </c>
    </row>
    <row r="181">
      <c r="A181" t="inlineStr">
        <is>
          <t>Green Tea</t>
        </is>
      </c>
      <c r="B181" t="inlineStr">
        <is>
          <t>Black Cohosh</t>
        </is>
      </c>
      <c r="C181" t="inlineStr">
        <is>
          <t>Corydalis</t>
        </is>
      </c>
      <c r="D181" t="n">
        <v>5</v>
      </c>
      <c r="E181" t="n">
        <v>0</v>
      </c>
      <c r="F181" t="n">
        <v>2</v>
      </c>
      <c r="G181" t="inlineStr">
        <is>
          <t>gastrointestinal; inflammation; metabolic; neurotransmitter; oxidative-stress</t>
        </is>
      </c>
      <c r="I181" t="inlineStr">
        <is>
          <t>stimulant-neuro</t>
        </is>
      </c>
      <c r="J181" t="n">
        <v>0</v>
      </c>
      <c r="K181" t="n">
        <v>7</v>
      </c>
      <c r="L181" t="n">
        <v>48.9</v>
      </c>
      <c r="M181" t="inlineStr">
        <is>
          <t>B</t>
        </is>
      </c>
      <c r="N181" t="inlineStr">
        <is>
          <t>recovery / anti-inflammatory</t>
        </is>
      </c>
      <c r="O181" t="inlineStr">
        <is>
          <t>Moderate</t>
        </is>
      </c>
      <c r="P181" t="inlineStr">
        <is>
          <t>FALSE</t>
        </is>
      </c>
      <c r="R181" t="inlineStr">
        <is>
          <t>Recovery</t>
        </is>
      </c>
      <c r="S181" t="n">
        <v>42.9</v>
      </c>
    </row>
    <row r="182">
      <c r="A182" t="inlineStr">
        <is>
          <t>Chinese Skullcap</t>
        </is>
      </c>
      <c r="B182" t="inlineStr">
        <is>
          <t>Blue Lotus</t>
        </is>
      </c>
      <c r="C182" t="inlineStr">
        <is>
          <t>Black Cohosh</t>
        </is>
      </c>
      <c r="D182" t="n">
        <v>4</v>
      </c>
      <c r="E182" t="n">
        <v>0</v>
      </c>
      <c r="F182" t="n">
        <v>1</v>
      </c>
      <c r="G182" t="inlineStr">
        <is>
          <t>cognitive-neuroprotective; gastrointestinal; inflammation; oxidative-stress</t>
        </is>
      </c>
      <c r="J182" t="n">
        <v>0</v>
      </c>
      <c r="K182" t="n">
        <v>0</v>
      </c>
      <c r="L182" t="n">
        <v>48.3</v>
      </c>
      <c r="M182" t="inlineStr">
        <is>
          <t>B</t>
        </is>
      </c>
      <c r="N182" t="inlineStr">
        <is>
          <t>recovery / anti-inflammatory</t>
        </is>
      </c>
      <c r="O182" t="inlineStr">
        <is>
          <t>Low</t>
        </is>
      </c>
      <c r="P182" t="inlineStr">
        <is>
          <t>FALSE</t>
        </is>
      </c>
      <c r="R182" t="inlineStr">
        <is>
          <t>Recovery</t>
        </is>
      </c>
      <c r="S182" t="n">
        <v>48.3</v>
      </c>
    </row>
    <row r="183">
      <c r="A183" t="inlineStr">
        <is>
          <t>Chinese Skullcap</t>
        </is>
      </c>
      <c r="B183" t="inlineStr">
        <is>
          <t>Turmeric</t>
        </is>
      </c>
      <c r="C183" t="inlineStr">
        <is>
          <t>Corydalis</t>
        </is>
      </c>
      <c r="D183" t="n">
        <v>4</v>
      </c>
      <c r="E183" t="n">
        <v>0</v>
      </c>
      <c r="F183" t="n">
        <v>1</v>
      </c>
      <c r="G183" t="inlineStr">
        <is>
          <t>cognitive-neuroprotective; gastrointestinal; inflammation; neurotransmitter</t>
        </is>
      </c>
      <c r="J183" t="n">
        <v>0</v>
      </c>
      <c r="K183" t="n">
        <v>0</v>
      </c>
      <c r="L183" t="n">
        <v>48.3</v>
      </c>
      <c r="M183" t="inlineStr">
        <is>
          <t>B</t>
        </is>
      </c>
      <c r="N183" t="inlineStr">
        <is>
          <t>focus / neuroactive</t>
        </is>
      </c>
      <c r="O183" t="inlineStr">
        <is>
          <t>Low</t>
        </is>
      </c>
      <c r="P183" t="inlineStr">
        <is>
          <t>FALSE</t>
        </is>
      </c>
      <c r="R183" t="inlineStr">
        <is>
          <t>Focus</t>
        </is>
      </c>
      <c r="S183" t="n">
        <v>48.3</v>
      </c>
    </row>
    <row r="184">
      <c r="A184" t="inlineStr">
        <is>
          <t>Epimedium</t>
        </is>
      </c>
      <c r="B184" t="inlineStr">
        <is>
          <t>Blue Lotus</t>
        </is>
      </c>
      <c r="C184" t="inlineStr">
        <is>
          <t>Black Cohosh</t>
        </is>
      </c>
      <c r="D184" t="n">
        <v>4</v>
      </c>
      <c r="E184" t="n">
        <v>0</v>
      </c>
      <c r="F184" t="n">
        <v>1</v>
      </c>
      <c r="G184" t="inlineStr">
        <is>
          <t>gastrointestinal; inflammation; oxidative-stress; vascular</t>
        </is>
      </c>
      <c r="J184" t="n">
        <v>0</v>
      </c>
      <c r="K184" t="n">
        <v>0</v>
      </c>
      <c r="L184" t="n">
        <v>48.3</v>
      </c>
      <c r="M184" t="inlineStr">
        <is>
          <t>B</t>
        </is>
      </c>
      <c r="N184" t="inlineStr">
        <is>
          <t>recovery / anti-inflammatory</t>
        </is>
      </c>
      <c r="O184" t="inlineStr">
        <is>
          <t>Low</t>
        </is>
      </c>
      <c r="P184" t="inlineStr">
        <is>
          <t>FALSE</t>
        </is>
      </c>
      <c r="R184" t="inlineStr">
        <is>
          <t>Recovery</t>
        </is>
      </c>
      <c r="S184" t="n">
        <v>48.3</v>
      </c>
    </row>
    <row r="185">
      <c r="A185" t="inlineStr">
        <is>
          <t>Chamomile</t>
        </is>
      </c>
      <c r="B185" t="inlineStr">
        <is>
          <t>Turmeric</t>
        </is>
      </c>
      <c r="C185" t="inlineStr">
        <is>
          <t>Blue Lotus</t>
        </is>
      </c>
      <c r="D185" t="n">
        <v>3</v>
      </c>
      <c r="E185" t="n">
        <v>0</v>
      </c>
      <c r="F185" t="n">
        <v>1</v>
      </c>
      <c r="G185" t="inlineStr">
        <is>
          <t>gastrointestinal; inflammation; neurotransmitter</t>
        </is>
      </c>
      <c r="J185" t="n">
        <v>0</v>
      </c>
      <c r="K185" t="n">
        <v>0</v>
      </c>
      <c r="L185" t="n">
        <v>47.4</v>
      </c>
      <c r="M185" t="inlineStr">
        <is>
          <t>C</t>
        </is>
      </c>
      <c r="N185" t="inlineStr">
        <is>
          <t>broad-spectrum support</t>
        </is>
      </c>
      <c r="O185" t="inlineStr">
        <is>
          <t>Low</t>
        </is>
      </c>
      <c r="P185" t="inlineStr">
        <is>
          <t>FALSE</t>
        </is>
      </c>
      <c r="R185" t="inlineStr">
        <is>
          <t>Recovery</t>
        </is>
      </c>
      <c r="S185" t="n">
        <v>47.4</v>
      </c>
    </row>
    <row r="186">
      <c r="A186" t="inlineStr">
        <is>
          <t>Chinese Skullcap</t>
        </is>
      </c>
      <c r="B186" t="inlineStr">
        <is>
          <t>Epimedium</t>
        </is>
      </c>
      <c r="C186" t="inlineStr">
        <is>
          <t>Turmeric</t>
        </is>
      </c>
      <c r="D186" t="n">
        <v>3</v>
      </c>
      <c r="E186" t="n">
        <v>0</v>
      </c>
      <c r="F186" t="n">
        <v>1</v>
      </c>
      <c r="G186" t="inlineStr">
        <is>
          <t>cognitive-neuroprotective; inflammation; vascular</t>
        </is>
      </c>
      <c r="J186" t="n">
        <v>0</v>
      </c>
      <c r="K186" t="n">
        <v>0</v>
      </c>
      <c r="L186" t="n">
        <v>47.4</v>
      </c>
      <c r="M186" t="inlineStr">
        <is>
          <t>C</t>
        </is>
      </c>
      <c r="N186" t="inlineStr">
        <is>
          <t>broad-spectrum support</t>
        </is>
      </c>
      <c r="O186" t="inlineStr">
        <is>
          <t>Low</t>
        </is>
      </c>
      <c r="P186" t="inlineStr">
        <is>
          <t>FALSE</t>
        </is>
      </c>
      <c r="R186" t="inlineStr">
        <is>
          <t>Recovery</t>
        </is>
      </c>
      <c r="S186" t="n">
        <v>47.4</v>
      </c>
    </row>
    <row r="187">
      <c r="A187" t="inlineStr">
        <is>
          <t>Chinese Skullcap</t>
        </is>
      </c>
      <c r="B187" t="inlineStr">
        <is>
          <t>Blue Lotus</t>
        </is>
      </c>
      <c r="C187" t="inlineStr">
        <is>
          <t>Corydalis</t>
        </is>
      </c>
      <c r="D187" t="n">
        <v>4</v>
      </c>
      <c r="E187" t="n">
        <v>0</v>
      </c>
      <c r="F187" t="n">
        <v>1</v>
      </c>
      <c r="G187" t="inlineStr">
        <is>
          <t>cognitive-neuroprotective; gastrointestinal; inflammation; neurotransmitter</t>
        </is>
      </c>
      <c r="J187" t="n">
        <v>0</v>
      </c>
      <c r="K187" t="n">
        <v>0</v>
      </c>
      <c r="L187" t="n">
        <v>46.7</v>
      </c>
      <c r="M187" t="inlineStr">
        <is>
          <t>C</t>
        </is>
      </c>
      <c r="N187" t="inlineStr">
        <is>
          <t>focus / neuroactive</t>
        </is>
      </c>
      <c r="O187" t="inlineStr">
        <is>
          <t>Low</t>
        </is>
      </c>
      <c r="P187" t="inlineStr">
        <is>
          <t>FALSE</t>
        </is>
      </c>
      <c r="R187" t="inlineStr">
        <is>
          <t>Focus</t>
        </is>
      </c>
      <c r="S187" t="n">
        <v>46.7</v>
      </c>
    </row>
    <row r="188">
      <c r="A188" t="inlineStr">
        <is>
          <t>Chinese Skullcap</t>
        </is>
      </c>
      <c r="B188" t="inlineStr">
        <is>
          <t>Black Cohosh</t>
        </is>
      </c>
      <c r="C188" t="inlineStr">
        <is>
          <t>Black Pepper</t>
        </is>
      </c>
      <c r="D188" t="n">
        <v>4</v>
      </c>
      <c r="E188" t="n">
        <v>0</v>
      </c>
      <c r="F188" t="n">
        <v>1</v>
      </c>
      <c r="G188" t="inlineStr">
        <is>
          <t>cognitive-neuroprotective; gastrointestinal; inflammation; oxidative-stress</t>
        </is>
      </c>
      <c r="J188" t="n">
        <v>0</v>
      </c>
      <c r="K188" t="n">
        <v>0</v>
      </c>
      <c r="L188" t="n">
        <v>46.1</v>
      </c>
      <c r="M188" t="inlineStr">
        <is>
          <t>C</t>
        </is>
      </c>
      <c r="N188" t="inlineStr">
        <is>
          <t>recovery / anti-inflammatory</t>
        </is>
      </c>
      <c r="O188" t="inlineStr">
        <is>
          <t>Low</t>
        </is>
      </c>
      <c r="P188" t="inlineStr">
        <is>
          <t>FALSE</t>
        </is>
      </c>
      <c r="R188" t="inlineStr">
        <is>
          <t>Recovery</t>
        </is>
      </c>
      <c r="S188" t="n">
        <v>46.1</v>
      </c>
    </row>
    <row r="189">
      <c r="A189" t="inlineStr">
        <is>
          <t>Epimedium</t>
        </is>
      </c>
      <c r="B189" t="inlineStr">
        <is>
          <t>Black Cohosh</t>
        </is>
      </c>
      <c r="C189" t="inlineStr">
        <is>
          <t>Black Pepper</t>
        </is>
      </c>
      <c r="D189" t="n">
        <v>4</v>
      </c>
      <c r="E189" t="n">
        <v>0</v>
      </c>
      <c r="F189" t="n">
        <v>1</v>
      </c>
      <c r="G189" t="inlineStr">
        <is>
          <t>gastrointestinal; inflammation; oxidative-stress; vascular</t>
        </is>
      </c>
      <c r="J189" t="n">
        <v>0</v>
      </c>
      <c r="K189" t="n">
        <v>0</v>
      </c>
      <c r="L189" t="n">
        <v>46.1</v>
      </c>
      <c r="M189" t="inlineStr">
        <is>
          <t>C</t>
        </is>
      </c>
      <c r="N189" t="inlineStr">
        <is>
          <t>recovery / anti-inflammatory</t>
        </is>
      </c>
      <c r="O189" t="inlineStr">
        <is>
          <t>Low</t>
        </is>
      </c>
      <c r="P189" t="inlineStr">
        <is>
          <t>FALSE</t>
        </is>
      </c>
      <c r="R189" t="inlineStr">
        <is>
          <t>Recovery</t>
        </is>
      </c>
      <c r="S189" t="n">
        <v>46.1</v>
      </c>
    </row>
    <row r="190">
      <c r="A190" t="inlineStr">
        <is>
          <t>Black Cohosh</t>
        </is>
      </c>
      <c r="B190" t="inlineStr">
        <is>
          <t>Black Pepper</t>
        </is>
      </c>
      <c r="C190" t="inlineStr">
        <is>
          <t>Corydalis</t>
        </is>
      </c>
      <c r="D190" t="n">
        <v>4</v>
      </c>
      <c r="E190" t="n">
        <v>1</v>
      </c>
      <c r="F190" t="n">
        <v>1</v>
      </c>
      <c r="G190" t="inlineStr">
        <is>
          <t>gastrointestinal; inflammation; neurotransmitter; oxidative-stress</t>
        </is>
      </c>
      <c r="H190" t="inlineStr">
        <is>
          <t>gastrointestinal</t>
        </is>
      </c>
      <c r="J190" t="n">
        <v>0</v>
      </c>
      <c r="K190" t="n">
        <v>0</v>
      </c>
      <c r="L190" t="n">
        <v>46</v>
      </c>
      <c r="M190" t="inlineStr">
        <is>
          <t>C</t>
        </is>
      </c>
      <c r="N190" t="inlineStr">
        <is>
          <t>recovery / anti-inflammatory</t>
        </is>
      </c>
      <c r="O190" t="inlineStr">
        <is>
          <t>Low</t>
        </is>
      </c>
      <c r="P190" t="inlineStr">
        <is>
          <t>FALSE</t>
        </is>
      </c>
      <c r="R190" t="inlineStr">
        <is>
          <t>Recovery</t>
        </is>
      </c>
      <c r="S190" t="n">
        <v>46</v>
      </c>
    </row>
    <row r="191">
      <c r="A191" t="inlineStr">
        <is>
          <t>Chinese Skullcap</t>
        </is>
      </c>
      <c r="B191" t="inlineStr">
        <is>
          <t>Epimedium</t>
        </is>
      </c>
      <c r="C191" t="inlineStr">
        <is>
          <t>Blue Lotus</t>
        </is>
      </c>
      <c r="D191" t="n">
        <v>3</v>
      </c>
      <c r="E191" t="n">
        <v>0</v>
      </c>
      <c r="F191" t="n">
        <v>1</v>
      </c>
      <c r="G191" t="inlineStr">
        <is>
          <t>cognitive-neuroprotective; inflammation; vascular</t>
        </is>
      </c>
      <c r="J191" t="n">
        <v>0</v>
      </c>
      <c r="K191" t="n">
        <v>0</v>
      </c>
      <c r="L191" t="n">
        <v>45.8</v>
      </c>
      <c r="M191" t="inlineStr">
        <is>
          <t>C</t>
        </is>
      </c>
      <c r="N191" t="inlineStr">
        <is>
          <t>broad-spectrum support</t>
        </is>
      </c>
      <c r="O191" t="inlineStr">
        <is>
          <t>Low</t>
        </is>
      </c>
      <c r="P191" t="inlineStr">
        <is>
          <t>FALSE</t>
        </is>
      </c>
      <c r="R191" t="inlineStr">
        <is>
          <t>Recovery</t>
        </is>
      </c>
      <c r="S191" t="n">
        <v>45.8</v>
      </c>
    </row>
    <row r="192">
      <c r="A192" t="inlineStr">
        <is>
          <t>Chamomile</t>
        </is>
      </c>
      <c r="B192" t="inlineStr">
        <is>
          <t>Turmeric</t>
        </is>
      </c>
      <c r="C192" t="inlineStr">
        <is>
          <t>Black Pepper</t>
        </is>
      </c>
      <c r="D192" t="n">
        <v>3</v>
      </c>
      <c r="E192" t="n">
        <v>0</v>
      </c>
      <c r="F192" t="n">
        <v>1</v>
      </c>
      <c r="G192" t="inlineStr">
        <is>
          <t>gastrointestinal; inflammation; neurotransmitter</t>
        </is>
      </c>
      <c r="J192" t="n">
        <v>0</v>
      </c>
      <c r="K192" t="n">
        <v>0</v>
      </c>
      <c r="L192" t="n">
        <v>45.2</v>
      </c>
      <c r="M192" t="inlineStr">
        <is>
          <t>C</t>
        </is>
      </c>
      <c r="N192" t="inlineStr">
        <is>
          <t>broad-spectrum support</t>
        </is>
      </c>
      <c r="O192" t="inlineStr">
        <is>
          <t>Low</t>
        </is>
      </c>
      <c r="P192" t="inlineStr">
        <is>
          <t>FALSE</t>
        </is>
      </c>
      <c r="R192" t="inlineStr">
        <is>
          <t>Recovery</t>
        </is>
      </c>
      <c r="S192" t="n">
        <v>45.2</v>
      </c>
    </row>
    <row r="193">
      <c r="A193" t="inlineStr">
        <is>
          <t>Turmeric</t>
        </is>
      </c>
      <c r="B193" t="inlineStr">
        <is>
          <t>Black Cohosh</t>
        </is>
      </c>
      <c r="C193" t="inlineStr">
        <is>
          <t>Corydalis</t>
        </is>
      </c>
      <c r="D193" t="n">
        <v>4</v>
      </c>
      <c r="E193" t="n">
        <v>0</v>
      </c>
      <c r="F193" t="n">
        <v>1</v>
      </c>
      <c r="G193" t="inlineStr">
        <is>
          <t>gastrointestinal; inflammation; neurotransmitter; oxidative-stress</t>
        </is>
      </c>
      <c r="J193" t="n">
        <v>0</v>
      </c>
      <c r="K193" t="n">
        <v>0</v>
      </c>
      <c r="L193" t="n">
        <v>44.8</v>
      </c>
      <c r="M193" t="inlineStr">
        <is>
          <t>C</t>
        </is>
      </c>
      <c r="N193" t="inlineStr">
        <is>
          <t>recovery / anti-inflammatory</t>
        </is>
      </c>
      <c r="O193" t="inlineStr">
        <is>
          <t>Low</t>
        </is>
      </c>
      <c r="P193" t="inlineStr">
        <is>
          <t>FALSE</t>
        </is>
      </c>
      <c r="R193" t="inlineStr">
        <is>
          <t>Recovery</t>
        </is>
      </c>
      <c r="S193" t="n">
        <v>44.8</v>
      </c>
    </row>
    <row r="194">
      <c r="A194" t="inlineStr">
        <is>
          <t>Green Tea</t>
        </is>
      </c>
      <c r="B194" t="inlineStr">
        <is>
          <t>Turmeric</t>
        </is>
      </c>
      <c r="C194" t="inlineStr">
        <is>
          <t>Corydalis</t>
        </is>
      </c>
      <c r="D194" t="n">
        <v>4</v>
      </c>
      <c r="E194" t="n">
        <v>0</v>
      </c>
      <c r="F194" t="n">
        <v>1</v>
      </c>
      <c r="G194" t="inlineStr">
        <is>
          <t>gastrointestinal; metabolic; neurotransmitter; oxidative-stress</t>
        </is>
      </c>
      <c r="I194" t="inlineStr">
        <is>
          <t>stimulant-neuro</t>
        </is>
      </c>
      <c r="J194" t="n">
        <v>0</v>
      </c>
      <c r="K194" t="n">
        <v>7</v>
      </c>
      <c r="L194" t="n">
        <v>44.6</v>
      </c>
      <c r="M194" t="inlineStr">
        <is>
          <t>C</t>
        </is>
      </c>
      <c r="N194" t="inlineStr">
        <is>
          <t>broad-spectrum support</t>
        </is>
      </c>
      <c r="O194" t="inlineStr">
        <is>
          <t>Moderate</t>
        </is>
      </c>
      <c r="P194" t="inlineStr">
        <is>
          <t>FALSE</t>
        </is>
      </c>
      <c r="R194" t="inlineStr">
        <is>
          <t>Metabolic Support</t>
        </is>
      </c>
      <c r="S194" t="n">
        <v>38.6</v>
      </c>
    </row>
    <row r="195">
      <c r="A195" t="inlineStr">
        <is>
          <t>Chinese Skullcap</t>
        </is>
      </c>
      <c r="B195" t="inlineStr">
        <is>
          <t>Black Pepper</t>
        </is>
      </c>
      <c r="C195" t="inlineStr">
        <is>
          <t>Corydalis</t>
        </is>
      </c>
      <c r="D195" t="n">
        <v>4</v>
      </c>
      <c r="E195" t="n">
        <v>0</v>
      </c>
      <c r="F195" t="n">
        <v>1</v>
      </c>
      <c r="G195" t="inlineStr">
        <is>
          <t>cognitive-neuroprotective; gastrointestinal; inflammation; neurotransmitter</t>
        </is>
      </c>
      <c r="J195" t="n">
        <v>0</v>
      </c>
      <c r="K195" t="n">
        <v>0</v>
      </c>
      <c r="L195" t="n">
        <v>44.5</v>
      </c>
      <c r="M195" t="inlineStr">
        <is>
          <t>C</t>
        </is>
      </c>
      <c r="N195" t="inlineStr">
        <is>
          <t>focus / neuroactive</t>
        </is>
      </c>
      <c r="O195" t="inlineStr">
        <is>
          <t>Low</t>
        </is>
      </c>
      <c r="P195" t="inlineStr">
        <is>
          <t>FALSE</t>
        </is>
      </c>
      <c r="R195" t="inlineStr">
        <is>
          <t>Focus</t>
        </is>
      </c>
      <c r="S195" t="n">
        <v>44.5</v>
      </c>
    </row>
    <row r="196">
      <c r="A196" t="inlineStr">
        <is>
          <t>Chamomile</t>
        </is>
      </c>
      <c r="B196" t="inlineStr">
        <is>
          <t>Chinese Skullcap</t>
        </is>
      </c>
      <c r="C196" t="inlineStr">
        <is>
          <t>Corydalis</t>
        </is>
      </c>
      <c r="D196" t="n">
        <v>4</v>
      </c>
      <c r="E196" t="n">
        <v>0</v>
      </c>
      <c r="F196" t="n">
        <v>2</v>
      </c>
      <c r="G196" t="inlineStr">
        <is>
          <t>cognitive-neuroprotective; gastrointestinal; inflammation; neurotransmitter</t>
        </is>
      </c>
      <c r="I196" t="inlineStr">
        <is>
          <t>stimulant-neuro</t>
        </is>
      </c>
      <c r="J196" t="n">
        <v>0</v>
      </c>
      <c r="K196" t="n">
        <v>7</v>
      </c>
      <c r="L196" t="n">
        <v>44.4</v>
      </c>
      <c r="M196" t="inlineStr">
        <is>
          <t>C</t>
        </is>
      </c>
      <c r="N196" t="inlineStr">
        <is>
          <t>focus / neuroactive</t>
        </is>
      </c>
      <c r="O196" t="inlineStr">
        <is>
          <t>Moderate</t>
        </is>
      </c>
      <c r="P196" t="inlineStr">
        <is>
          <t>FALSE</t>
        </is>
      </c>
      <c r="R196" t="inlineStr">
        <is>
          <t>Focus</t>
        </is>
      </c>
      <c r="S196" t="n">
        <v>38.4</v>
      </c>
    </row>
    <row r="197">
      <c r="A197" t="inlineStr">
        <is>
          <t>Chamomile</t>
        </is>
      </c>
      <c r="B197" t="inlineStr">
        <is>
          <t>Black Cohosh</t>
        </is>
      </c>
      <c r="C197" t="inlineStr">
        <is>
          <t>Corydalis</t>
        </is>
      </c>
      <c r="D197" t="n">
        <v>4</v>
      </c>
      <c r="E197" t="n">
        <v>1</v>
      </c>
      <c r="F197" t="n">
        <v>1</v>
      </c>
      <c r="G197" t="inlineStr">
        <is>
          <t>gastrointestinal; inflammation; neurotransmitter; oxidative-stress</t>
        </is>
      </c>
      <c r="H197" t="inlineStr">
        <is>
          <t>gastrointestinal</t>
        </is>
      </c>
      <c r="I197" t="inlineStr">
        <is>
          <t>stimulant-neuro</t>
        </is>
      </c>
      <c r="J197" t="n">
        <v>0</v>
      </c>
      <c r="K197" t="n">
        <v>7</v>
      </c>
      <c r="L197" t="n">
        <v>43.9</v>
      </c>
      <c r="M197" t="inlineStr">
        <is>
          <t>C</t>
        </is>
      </c>
      <c r="N197" t="inlineStr">
        <is>
          <t>recovery / anti-inflammatory</t>
        </is>
      </c>
      <c r="O197" t="inlineStr">
        <is>
          <t>Moderate</t>
        </is>
      </c>
      <c r="P197" t="inlineStr">
        <is>
          <t>FALSE</t>
        </is>
      </c>
      <c r="R197" t="inlineStr">
        <is>
          <t>Recovery</t>
        </is>
      </c>
      <c r="S197" t="n">
        <v>37.9</v>
      </c>
    </row>
    <row r="198">
      <c r="A198" t="inlineStr">
        <is>
          <t>Chinese Skullcap</t>
        </is>
      </c>
      <c r="B198" t="inlineStr">
        <is>
          <t>Turmeric</t>
        </is>
      </c>
      <c r="C198" t="inlineStr">
        <is>
          <t>Black Pepper</t>
        </is>
      </c>
      <c r="D198" t="n">
        <v>3</v>
      </c>
      <c r="E198" t="n">
        <v>0</v>
      </c>
      <c r="F198" t="n">
        <v>1</v>
      </c>
      <c r="G198" t="inlineStr">
        <is>
          <t>cognitive-neuroprotective; gastrointestinal; inflammation</t>
        </is>
      </c>
      <c r="J198" t="n">
        <v>0</v>
      </c>
      <c r="K198" t="n">
        <v>0</v>
      </c>
      <c r="L198" t="n">
        <v>43.9</v>
      </c>
      <c r="M198" t="inlineStr">
        <is>
          <t>C</t>
        </is>
      </c>
      <c r="N198" t="inlineStr">
        <is>
          <t>broad-spectrum support</t>
        </is>
      </c>
      <c r="O198" t="inlineStr">
        <is>
          <t>Low</t>
        </is>
      </c>
      <c r="P198" t="inlineStr">
        <is>
          <t>FALSE</t>
        </is>
      </c>
      <c r="R198" t="inlineStr">
        <is>
          <t>Recovery</t>
        </is>
      </c>
      <c r="S198" t="n">
        <v>43.9</v>
      </c>
    </row>
    <row r="199">
      <c r="A199" t="inlineStr">
        <is>
          <t>Chamomile</t>
        </is>
      </c>
      <c r="B199" t="inlineStr">
        <is>
          <t>Blue Lotus</t>
        </is>
      </c>
      <c r="C199" t="inlineStr">
        <is>
          <t>Black Pepper</t>
        </is>
      </c>
      <c r="D199" t="n">
        <v>3</v>
      </c>
      <c r="E199" t="n">
        <v>0</v>
      </c>
      <c r="F199" t="n">
        <v>1</v>
      </c>
      <c r="G199" t="inlineStr">
        <is>
          <t>gastrointestinal; inflammation; neurotransmitter</t>
        </is>
      </c>
      <c r="J199" t="n">
        <v>0</v>
      </c>
      <c r="K199" t="n">
        <v>0</v>
      </c>
      <c r="L199" t="n">
        <v>43.6</v>
      </c>
      <c r="M199" t="inlineStr">
        <is>
          <t>C</t>
        </is>
      </c>
      <c r="N199" t="inlineStr">
        <is>
          <t>broad-spectrum support</t>
        </is>
      </c>
      <c r="O199" t="inlineStr">
        <is>
          <t>Low</t>
        </is>
      </c>
      <c r="P199" t="inlineStr">
        <is>
          <t>FALSE</t>
        </is>
      </c>
      <c r="R199" t="inlineStr">
        <is>
          <t>Recovery</t>
        </is>
      </c>
      <c r="S199" t="n">
        <v>43.6</v>
      </c>
    </row>
    <row r="200">
      <c r="A200" t="inlineStr">
        <is>
          <t>Blue Lotus</t>
        </is>
      </c>
      <c r="B200" t="inlineStr">
        <is>
          <t>Black Cohosh</t>
        </is>
      </c>
      <c r="C200" t="inlineStr">
        <is>
          <t>Corydalis</t>
        </is>
      </c>
      <c r="D200" t="n">
        <v>4</v>
      </c>
      <c r="E200" t="n">
        <v>0</v>
      </c>
      <c r="F200" t="n">
        <v>1</v>
      </c>
      <c r="G200" t="inlineStr">
        <is>
          <t>gastrointestinal; inflammation; neurotransmitter; oxidative-stress</t>
        </is>
      </c>
      <c r="J200" t="n">
        <v>0</v>
      </c>
      <c r="K200" t="n">
        <v>0</v>
      </c>
      <c r="L200" t="n">
        <v>43.2</v>
      </c>
      <c r="M200" t="inlineStr">
        <is>
          <t>C</t>
        </is>
      </c>
      <c r="N200" t="inlineStr">
        <is>
          <t>recovery / anti-inflammatory</t>
        </is>
      </c>
      <c r="O200" t="inlineStr">
        <is>
          <t>Low</t>
        </is>
      </c>
      <c r="P200" t="inlineStr">
        <is>
          <t>FALSE</t>
        </is>
      </c>
      <c r="R200" t="inlineStr">
        <is>
          <t>Recovery</t>
        </is>
      </c>
      <c r="S200" t="n">
        <v>43.2</v>
      </c>
    </row>
    <row r="201">
      <c r="A201" t="inlineStr">
        <is>
          <t>Green Tea</t>
        </is>
      </c>
      <c r="B201" t="inlineStr">
        <is>
          <t>Blue Lotus</t>
        </is>
      </c>
      <c r="C201" t="inlineStr">
        <is>
          <t>Corydalis</t>
        </is>
      </c>
      <c r="D201" t="n">
        <v>4</v>
      </c>
      <c r="E201" t="n">
        <v>0</v>
      </c>
      <c r="F201" t="n">
        <v>1</v>
      </c>
      <c r="G201" t="inlineStr">
        <is>
          <t>gastrointestinal; metabolic; neurotransmitter; oxidative-stress</t>
        </is>
      </c>
      <c r="I201" t="inlineStr">
        <is>
          <t>stimulant-neuro</t>
        </is>
      </c>
      <c r="J201" t="n">
        <v>0</v>
      </c>
      <c r="K201" t="n">
        <v>7</v>
      </c>
      <c r="L201" t="n">
        <v>43</v>
      </c>
      <c r="M201" t="inlineStr">
        <is>
          <t>C</t>
        </is>
      </c>
      <c r="N201" t="inlineStr">
        <is>
          <t>broad-spectrum support</t>
        </is>
      </c>
      <c r="O201" t="inlineStr">
        <is>
          <t>Moderate</t>
        </is>
      </c>
      <c r="P201" t="inlineStr">
        <is>
          <t>FALSE</t>
        </is>
      </c>
      <c r="R201" t="inlineStr">
        <is>
          <t>Metabolic Support</t>
        </is>
      </c>
      <c r="S201" t="n">
        <v>37</v>
      </c>
    </row>
    <row r="202">
      <c r="A202" t="inlineStr">
        <is>
          <t>Turmeric</t>
        </is>
      </c>
      <c r="B202" t="inlineStr">
        <is>
          <t>Blue Lotus</t>
        </is>
      </c>
      <c r="C202" t="inlineStr">
        <is>
          <t>Black Cohosh</t>
        </is>
      </c>
      <c r="D202" t="n">
        <v>3</v>
      </c>
      <c r="E202" t="n">
        <v>0</v>
      </c>
      <c r="F202" t="n">
        <v>1</v>
      </c>
      <c r="G202" t="inlineStr">
        <is>
          <t>gastrointestinal; inflammation; oxidative-stress</t>
        </is>
      </c>
      <c r="J202" t="n">
        <v>0</v>
      </c>
      <c r="K202" t="n">
        <v>0</v>
      </c>
      <c r="L202" t="n">
        <v>42.5</v>
      </c>
      <c r="M202" t="inlineStr">
        <is>
          <t>C</t>
        </is>
      </c>
      <c r="N202" t="inlineStr">
        <is>
          <t>recovery / anti-inflammatory</t>
        </is>
      </c>
      <c r="O202" t="inlineStr">
        <is>
          <t>Low</t>
        </is>
      </c>
      <c r="P202" t="inlineStr">
        <is>
          <t>FALSE</t>
        </is>
      </c>
      <c r="R202" t="inlineStr">
        <is>
          <t>Recovery</t>
        </is>
      </c>
      <c r="S202" t="n">
        <v>42.5</v>
      </c>
    </row>
    <row r="203">
      <c r="A203" t="inlineStr">
        <is>
          <t>Chamomile</t>
        </is>
      </c>
      <c r="B203" t="inlineStr">
        <is>
          <t>Epimedium</t>
        </is>
      </c>
      <c r="C203" t="inlineStr">
        <is>
          <t>Corydalis</t>
        </is>
      </c>
      <c r="D203" t="n">
        <v>4</v>
      </c>
      <c r="E203" t="n">
        <v>0</v>
      </c>
      <c r="F203" t="n">
        <v>1</v>
      </c>
      <c r="G203" t="inlineStr">
        <is>
          <t>gastrointestinal; inflammation; neurotransmitter; vascular</t>
        </is>
      </c>
      <c r="I203" t="inlineStr">
        <is>
          <t>stimulant-neuro</t>
        </is>
      </c>
      <c r="J203" t="n">
        <v>0</v>
      </c>
      <c r="K203" t="n">
        <v>7</v>
      </c>
      <c r="L203" t="n">
        <v>42.4</v>
      </c>
      <c r="M203" t="inlineStr">
        <is>
          <t>C</t>
        </is>
      </c>
      <c r="N203" t="inlineStr">
        <is>
          <t>broad-spectrum support</t>
        </is>
      </c>
      <c r="O203" t="inlineStr">
        <is>
          <t>Moderate</t>
        </is>
      </c>
      <c r="P203" t="inlineStr">
        <is>
          <t>FALSE</t>
        </is>
      </c>
      <c r="R203" t="inlineStr">
        <is>
          <t>Recovery</t>
        </is>
      </c>
      <c r="S203" t="n">
        <v>36.4</v>
      </c>
    </row>
    <row r="204">
      <c r="A204" t="inlineStr">
        <is>
          <t>Chinese Skullcap</t>
        </is>
      </c>
      <c r="B204" t="inlineStr">
        <is>
          <t>Blue Lotus</t>
        </is>
      </c>
      <c r="C204" t="inlineStr">
        <is>
          <t>Black Pepper</t>
        </is>
      </c>
      <c r="D204" t="n">
        <v>3</v>
      </c>
      <c r="E204" t="n">
        <v>0</v>
      </c>
      <c r="F204" t="n">
        <v>1</v>
      </c>
      <c r="G204" t="inlineStr">
        <is>
          <t>cognitive-neuroprotective; gastrointestinal; inflammation</t>
        </is>
      </c>
      <c r="J204" t="n">
        <v>0</v>
      </c>
      <c r="K204" t="n">
        <v>0</v>
      </c>
      <c r="L204" t="n">
        <v>42.3</v>
      </c>
      <c r="M204" t="inlineStr">
        <is>
          <t>C</t>
        </is>
      </c>
      <c r="N204" t="inlineStr">
        <is>
          <t>broad-spectrum support</t>
        </is>
      </c>
      <c r="O204" t="inlineStr">
        <is>
          <t>Low</t>
        </is>
      </c>
      <c r="P204" t="inlineStr">
        <is>
          <t>FALSE</t>
        </is>
      </c>
      <c r="R204" t="inlineStr">
        <is>
          <t>Recovery</t>
        </is>
      </c>
      <c r="S204" t="n">
        <v>42.3</v>
      </c>
    </row>
    <row r="205">
      <c r="A205" t="inlineStr">
        <is>
          <t>Epimedium</t>
        </is>
      </c>
      <c r="B205" t="inlineStr">
        <is>
          <t>Turmeric</t>
        </is>
      </c>
      <c r="C205" t="inlineStr">
        <is>
          <t>Corydalis</t>
        </is>
      </c>
      <c r="D205" t="n">
        <v>3</v>
      </c>
      <c r="E205" t="n">
        <v>0</v>
      </c>
      <c r="F205" t="n">
        <v>1</v>
      </c>
      <c r="G205" t="inlineStr">
        <is>
          <t>gastrointestinal; neurotransmitter; vascular</t>
        </is>
      </c>
      <c r="J205" t="n">
        <v>0</v>
      </c>
      <c r="K205" t="n">
        <v>0</v>
      </c>
      <c r="L205" t="n">
        <v>42.3</v>
      </c>
      <c r="M205" t="inlineStr">
        <is>
          <t>C</t>
        </is>
      </c>
      <c r="N205" t="inlineStr">
        <is>
          <t>broad-spectrum support</t>
        </is>
      </c>
      <c r="O205" t="inlineStr">
        <is>
          <t>Low</t>
        </is>
      </c>
      <c r="P205" t="inlineStr">
        <is>
          <t>FALSE</t>
        </is>
      </c>
      <c r="R205" t="inlineStr">
        <is>
          <t>Circulation</t>
        </is>
      </c>
      <c r="S205" t="n">
        <v>42.3</v>
      </c>
    </row>
    <row r="206">
      <c r="A206" t="inlineStr">
        <is>
          <t>Green Tea</t>
        </is>
      </c>
      <c r="B206" t="inlineStr">
        <is>
          <t>Black Pepper</t>
        </is>
      </c>
      <c r="C206" t="inlineStr">
        <is>
          <t>Corydalis</t>
        </is>
      </c>
      <c r="D206" t="n">
        <v>4</v>
      </c>
      <c r="E206" t="n">
        <v>0</v>
      </c>
      <c r="F206" t="n">
        <v>1</v>
      </c>
      <c r="G206" t="inlineStr">
        <is>
          <t>gastrointestinal; metabolic; neurotransmitter; oxidative-stress</t>
        </is>
      </c>
      <c r="I206" t="inlineStr">
        <is>
          <t>stimulant-neuro</t>
        </is>
      </c>
      <c r="J206" t="n">
        <v>0</v>
      </c>
      <c r="K206" t="n">
        <v>7</v>
      </c>
      <c r="L206" t="n">
        <v>40.9</v>
      </c>
      <c r="M206" t="inlineStr">
        <is>
          <t>C</t>
        </is>
      </c>
      <c r="N206" t="inlineStr">
        <is>
          <t>broad-spectrum support</t>
        </is>
      </c>
      <c r="O206" t="inlineStr">
        <is>
          <t>Moderate</t>
        </is>
      </c>
      <c r="P206" t="inlineStr">
        <is>
          <t>FALSE</t>
        </is>
      </c>
      <c r="R206" t="inlineStr">
        <is>
          <t>Metabolic Support</t>
        </is>
      </c>
      <c r="S206" t="n">
        <v>34.9</v>
      </c>
    </row>
    <row r="207">
      <c r="A207" t="inlineStr">
        <is>
          <t>Epimedium</t>
        </is>
      </c>
      <c r="B207" t="inlineStr">
        <is>
          <t>Blue Lotus</t>
        </is>
      </c>
      <c r="C207" t="inlineStr">
        <is>
          <t>Corydalis</t>
        </is>
      </c>
      <c r="D207" t="n">
        <v>3</v>
      </c>
      <c r="E207" t="n">
        <v>0</v>
      </c>
      <c r="F207" t="n">
        <v>1</v>
      </c>
      <c r="G207" t="inlineStr">
        <is>
          <t>gastrointestinal; neurotransmitter; vascular</t>
        </is>
      </c>
      <c r="J207" t="n">
        <v>0</v>
      </c>
      <c r="K207" t="n">
        <v>0</v>
      </c>
      <c r="L207" t="n">
        <v>40.7</v>
      </c>
      <c r="M207" t="inlineStr">
        <is>
          <t>C</t>
        </is>
      </c>
      <c r="N207" t="inlineStr">
        <is>
          <t>broad-spectrum support</t>
        </is>
      </c>
      <c r="O207" t="inlineStr">
        <is>
          <t>Low</t>
        </is>
      </c>
      <c r="P207" t="inlineStr">
        <is>
          <t>FALSE</t>
        </is>
      </c>
      <c r="R207" t="inlineStr">
        <is>
          <t>Circulation</t>
        </is>
      </c>
      <c r="S207" t="n">
        <v>40.7</v>
      </c>
    </row>
    <row r="208">
      <c r="A208" t="inlineStr">
        <is>
          <t>Turmeric</t>
        </is>
      </c>
      <c r="B208" t="inlineStr">
        <is>
          <t>Black Cohosh</t>
        </is>
      </c>
      <c r="C208" t="inlineStr">
        <is>
          <t>Black Pepper</t>
        </is>
      </c>
      <c r="D208" t="n">
        <v>3</v>
      </c>
      <c r="E208" t="n">
        <v>0</v>
      </c>
      <c r="F208" t="n">
        <v>1</v>
      </c>
      <c r="G208" t="inlineStr">
        <is>
          <t>gastrointestinal; inflammation; oxidative-stress</t>
        </is>
      </c>
      <c r="J208" t="n">
        <v>0</v>
      </c>
      <c r="K208" t="n">
        <v>0</v>
      </c>
      <c r="L208" t="n">
        <v>40.4</v>
      </c>
      <c r="M208" t="inlineStr">
        <is>
          <t>C</t>
        </is>
      </c>
      <c r="N208" t="inlineStr">
        <is>
          <t>recovery / anti-inflammatory</t>
        </is>
      </c>
      <c r="O208" t="inlineStr">
        <is>
          <t>Low</t>
        </is>
      </c>
      <c r="P208" t="inlineStr">
        <is>
          <t>FALSE</t>
        </is>
      </c>
      <c r="R208" t="inlineStr">
        <is>
          <t>Recovery</t>
        </is>
      </c>
      <c r="S208" t="n">
        <v>40.4</v>
      </c>
    </row>
    <row r="209">
      <c r="A209" t="inlineStr">
        <is>
          <t>Chinese Skullcap</t>
        </is>
      </c>
      <c r="B209" t="inlineStr">
        <is>
          <t>Turmeric</t>
        </is>
      </c>
      <c r="C209" t="inlineStr">
        <is>
          <t>Blue Lotus</t>
        </is>
      </c>
      <c r="D209" t="n">
        <v>2</v>
      </c>
      <c r="E209" t="n">
        <v>0</v>
      </c>
      <c r="F209" t="n">
        <v>1</v>
      </c>
      <c r="G209" t="inlineStr">
        <is>
          <t>cognitive-neuroprotective; inflammation</t>
        </is>
      </c>
      <c r="J209" t="n">
        <v>0</v>
      </c>
      <c r="K209" t="n">
        <v>0</v>
      </c>
      <c r="L209" t="n">
        <v>40</v>
      </c>
      <c r="M209" t="inlineStr">
        <is>
          <t>C</t>
        </is>
      </c>
      <c r="N209" t="inlineStr">
        <is>
          <t>broad-spectrum support</t>
        </is>
      </c>
      <c r="O209" t="inlineStr">
        <is>
          <t>Low</t>
        </is>
      </c>
      <c r="P209" t="inlineStr">
        <is>
          <t>FALSE</t>
        </is>
      </c>
      <c r="R209" t="inlineStr">
        <is>
          <t>Recovery</t>
        </is>
      </c>
      <c r="S209" t="n">
        <v>40</v>
      </c>
    </row>
    <row r="210">
      <c r="A210" t="inlineStr">
        <is>
          <t>Blue Lotus</t>
        </is>
      </c>
      <c r="B210" t="inlineStr">
        <is>
          <t>Black Cohosh</t>
        </is>
      </c>
      <c r="C210" t="inlineStr">
        <is>
          <t>Black Pepper</t>
        </is>
      </c>
      <c r="D210" t="n">
        <v>3</v>
      </c>
      <c r="E210" t="n">
        <v>0</v>
      </c>
      <c r="F210" t="n">
        <v>1</v>
      </c>
      <c r="G210" t="inlineStr">
        <is>
          <t>gastrointestinal; inflammation; oxidative-stress</t>
        </is>
      </c>
      <c r="J210" t="n">
        <v>0</v>
      </c>
      <c r="K210" t="n">
        <v>0</v>
      </c>
      <c r="L210" t="n">
        <v>38.8</v>
      </c>
      <c r="M210" t="inlineStr">
        <is>
          <t>C</t>
        </is>
      </c>
      <c r="N210" t="inlineStr">
        <is>
          <t>recovery / anti-inflammatory</t>
        </is>
      </c>
      <c r="O210" t="inlineStr">
        <is>
          <t>Low</t>
        </is>
      </c>
      <c r="P210" t="inlineStr">
        <is>
          <t>FALSE</t>
        </is>
      </c>
      <c r="R210" t="inlineStr">
        <is>
          <t>Recovery</t>
        </is>
      </c>
      <c r="S210" t="n">
        <v>38.8</v>
      </c>
    </row>
    <row r="211">
      <c r="A211" t="inlineStr">
        <is>
          <t>Epimedium</t>
        </is>
      </c>
      <c r="B211" t="inlineStr">
        <is>
          <t>Black Pepper</t>
        </is>
      </c>
      <c r="C211" t="inlineStr">
        <is>
          <t>Corydalis</t>
        </is>
      </c>
      <c r="D211" t="n">
        <v>3</v>
      </c>
      <c r="E211" t="n">
        <v>0</v>
      </c>
      <c r="F211" t="n">
        <v>1</v>
      </c>
      <c r="G211" t="inlineStr">
        <is>
          <t>gastrointestinal; neurotransmitter; vascular</t>
        </is>
      </c>
      <c r="J211" t="n">
        <v>0</v>
      </c>
      <c r="K211" t="n">
        <v>0</v>
      </c>
      <c r="L211" t="n">
        <v>38.5</v>
      </c>
      <c r="M211" t="inlineStr">
        <is>
          <t>C</t>
        </is>
      </c>
      <c r="N211" t="inlineStr">
        <is>
          <t>broad-spectrum support</t>
        </is>
      </c>
      <c r="O211" t="inlineStr">
        <is>
          <t>Low</t>
        </is>
      </c>
      <c r="P211" t="inlineStr">
        <is>
          <t>FALSE</t>
        </is>
      </c>
      <c r="R211" t="inlineStr">
        <is>
          <t>Circulation</t>
        </is>
      </c>
      <c r="S211" t="n">
        <v>38.5</v>
      </c>
    </row>
    <row r="212">
      <c r="A212" t="inlineStr">
        <is>
          <t>Chamomile</t>
        </is>
      </c>
      <c r="B212" t="inlineStr">
        <is>
          <t>Black Pepper</t>
        </is>
      </c>
      <c r="C212" t="inlineStr">
        <is>
          <t>Corydalis</t>
        </is>
      </c>
      <c r="D212" t="n">
        <v>3</v>
      </c>
      <c r="E212" t="n">
        <v>1</v>
      </c>
      <c r="F212" t="n">
        <v>1</v>
      </c>
      <c r="G212" t="inlineStr">
        <is>
          <t>gastrointestinal; inflammation; neurotransmitter</t>
        </is>
      </c>
      <c r="H212" t="inlineStr">
        <is>
          <t>gastrointestinal</t>
        </is>
      </c>
      <c r="I212" t="inlineStr">
        <is>
          <t>stimulant-neuro</t>
        </is>
      </c>
      <c r="J212" t="n">
        <v>0</v>
      </c>
      <c r="K212" t="n">
        <v>7</v>
      </c>
      <c r="L212" t="n">
        <v>37.9</v>
      </c>
      <c r="M212" t="inlineStr">
        <is>
          <t>C</t>
        </is>
      </c>
      <c r="N212" t="inlineStr">
        <is>
          <t>broad-spectrum support</t>
        </is>
      </c>
      <c r="O212" t="inlineStr">
        <is>
          <t>Moderate</t>
        </is>
      </c>
      <c r="P212" t="inlineStr">
        <is>
          <t>FALSE</t>
        </is>
      </c>
      <c r="R212" t="inlineStr">
        <is>
          <t>Recovery</t>
        </is>
      </c>
      <c r="S212" t="n">
        <v>31.9</v>
      </c>
    </row>
    <row r="213">
      <c r="A213" t="inlineStr">
        <is>
          <t>Epimedium</t>
        </is>
      </c>
      <c r="B213" t="inlineStr">
        <is>
          <t>Turmeric</t>
        </is>
      </c>
      <c r="C213" t="inlineStr">
        <is>
          <t>Black Pepper</t>
        </is>
      </c>
      <c r="D213" t="n">
        <v>2</v>
      </c>
      <c r="E213" t="n">
        <v>0</v>
      </c>
      <c r="F213" t="n">
        <v>1</v>
      </c>
      <c r="G213" t="inlineStr">
        <is>
          <t>gastrointestinal; vascular</t>
        </is>
      </c>
      <c r="J213" t="n">
        <v>0</v>
      </c>
      <c r="K213" t="n">
        <v>0</v>
      </c>
      <c r="L213" t="n">
        <v>37.9</v>
      </c>
      <c r="M213" t="inlineStr">
        <is>
          <t>C</t>
        </is>
      </c>
      <c r="N213" t="inlineStr">
        <is>
          <t>broad-spectrum support</t>
        </is>
      </c>
      <c r="O213" t="inlineStr">
        <is>
          <t>Low</t>
        </is>
      </c>
      <c r="P213" t="inlineStr">
        <is>
          <t>FALSE</t>
        </is>
      </c>
      <c r="R213" t="inlineStr">
        <is>
          <t>Circulation</t>
        </is>
      </c>
      <c r="S213" t="n">
        <v>37.9</v>
      </c>
    </row>
    <row r="214">
      <c r="A214" t="inlineStr">
        <is>
          <t>Chamomile</t>
        </is>
      </c>
      <c r="B214" t="inlineStr">
        <is>
          <t>Turmeric</t>
        </is>
      </c>
      <c r="C214" t="inlineStr">
        <is>
          <t>Corydalis</t>
        </is>
      </c>
      <c r="D214" t="n">
        <v>3</v>
      </c>
      <c r="E214" t="n">
        <v>0</v>
      </c>
      <c r="F214" t="n">
        <v>1</v>
      </c>
      <c r="G214" t="inlineStr">
        <is>
          <t>gastrointestinal; inflammation; neurotransmitter</t>
        </is>
      </c>
      <c r="I214" t="inlineStr">
        <is>
          <t>stimulant-neuro</t>
        </is>
      </c>
      <c r="J214" t="n">
        <v>0</v>
      </c>
      <c r="K214" t="n">
        <v>7</v>
      </c>
      <c r="L214" t="n">
        <v>36.6</v>
      </c>
      <c r="M214" t="inlineStr">
        <is>
          <t>C</t>
        </is>
      </c>
      <c r="N214" t="inlineStr">
        <is>
          <t>broad-spectrum support</t>
        </is>
      </c>
      <c r="O214" t="inlineStr">
        <is>
          <t>Moderate</t>
        </is>
      </c>
      <c r="P214" t="inlineStr">
        <is>
          <t>FALSE</t>
        </is>
      </c>
      <c r="R214" t="inlineStr">
        <is>
          <t>Recovery</t>
        </is>
      </c>
      <c r="S214" t="n">
        <v>30.6</v>
      </c>
    </row>
    <row r="215">
      <c r="A215" t="inlineStr">
        <is>
          <t>Epimedium</t>
        </is>
      </c>
      <c r="B215" t="inlineStr">
        <is>
          <t>Blue Lotus</t>
        </is>
      </c>
      <c r="C215" t="inlineStr">
        <is>
          <t>Black Pepper</t>
        </is>
      </c>
      <c r="D215" t="n">
        <v>2</v>
      </c>
      <c r="E215" t="n">
        <v>0</v>
      </c>
      <c r="F215" t="n">
        <v>1</v>
      </c>
      <c r="G215" t="inlineStr">
        <is>
          <t>gastrointestinal; vascular</t>
        </is>
      </c>
      <c r="J215" t="n">
        <v>0</v>
      </c>
      <c r="K215" t="n">
        <v>0</v>
      </c>
      <c r="L215" t="n">
        <v>36.3</v>
      </c>
      <c r="M215" t="inlineStr">
        <is>
          <t>C</t>
        </is>
      </c>
      <c r="N215" t="inlineStr">
        <is>
          <t>broad-spectrum support</t>
        </is>
      </c>
      <c r="O215" t="inlineStr">
        <is>
          <t>Low</t>
        </is>
      </c>
      <c r="P215" t="inlineStr">
        <is>
          <t>FALSE</t>
        </is>
      </c>
      <c r="R215" t="inlineStr">
        <is>
          <t>Circulation</t>
        </is>
      </c>
      <c r="S215" t="n">
        <v>36.3</v>
      </c>
    </row>
    <row r="216">
      <c r="A216" t="inlineStr">
        <is>
          <t>Chamomile</t>
        </is>
      </c>
      <c r="B216" t="inlineStr">
        <is>
          <t>Blue Lotus</t>
        </is>
      </c>
      <c r="C216" t="inlineStr">
        <is>
          <t>Corydalis</t>
        </is>
      </c>
      <c r="D216" t="n">
        <v>3</v>
      </c>
      <c r="E216" t="n">
        <v>0</v>
      </c>
      <c r="F216" t="n">
        <v>1</v>
      </c>
      <c r="G216" t="inlineStr">
        <is>
          <t>gastrointestinal; inflammation; neurotransmitter</t>
        </is>
      </c>
      <c r="I216" t="inlineStr">
        <is>
          <t>stimulant-neuro</t>
        </is>
      </c>
      <c r="J216" t="n">
        <v>0</v>
      </c>
      <c r="K216" t="n">
        <v>7</v>
      </c>
      <c r="L216" t="n">
        <v>35</v>
      </c>
      <c r="M216" t="inlineStr">
        <is>
          <t>C</t>
        </is>
      </c>
      <c r="N216" t="inlineStr">
        <is>
          <t>broad-spectrum support</t>
        </is>
      </c>
      <c r="O216" t="inlineStr">
        <is>
          <t>Moderate</t>
        </is>
      </c>
      <c r="P216" t="inlineStr">
        <is>
          <t>FALSE</t>
        </is>
      </c>
      <c r="R216" t="inlineStr">
        <is>
          <t>Recovery</t>
        </is>
      </c>
      <c r="S216" t="n">
        <v>29</v>
      </c>
    </row>
    <row r="217">
      <c r="A217" t="inlineStr">
        <is>
          <t>Turmeric</t>
        </is>
      </c>
      <c r="B217" t="inlineStr">
        <is>
          <t>Blue Lotus</t>
        </is>
      </c>
      <c r="C217" t="inlineStr">
        <is>
          <t>Corydalis</t>
        </is>
      </c>
      <c r="D217" t="n">
        <v>2</v>
      </c>
      <c r="E217" t="n">
        <v>0</v>
      </c>
      <c r="F217" t="n">
        <v>1</v>
      </c>
      <c r="G217" t="inlineStr">
        <is>
          <t>gastrointestinal; neurotransmitter</t>
        </is>
      </c>
      <c r="J217" t="n">
        <v>0</v>
      </c>
      <c r="K217" t="n">
        <v>0</v>
      </c>
      <c r="L217" t="n">
        <v>35</v>
      </c>
      <c r="M217" t="inlineStr">
        <is>
          <t>C</t>
        </is>
      </c>
      <c r="N217" t="inlineStr">
        <is>
          <t>broad-spectrum support</t>
        </is>
      </c>
      <c r="O217" t="inlineStr">
        <is>
          <t>Low</t>
        </is>
      </c>
      <c r="P217" t="inlineStr">
        <is>
          <t>FALSE</t>
        </is>
      </c>
      <c r="R217" t="inlineStr">
        <is>
          <t>General</t>
        </is>
      </c>
      <c r="S217" t="n">
        <v>35</v>
      </c>
    </row>
    <row r="218">
      <c r="A218" t="inlineStr">
        <is>
          <t>Epimedium</t>
        </is>
      </c>
      <c r="B218" t="inlineStr">
        <is>
          <t>Turmeric</t>
        </is>
      </c>
      <c r="C218" t="inlineStr">
        <is>
          <t>Blue Lotus</t>
        </is>
      </c>
      <c r="D218" t="n">
        <v>1</v>
      </c>
      <c r="E218" t="n">
        <v>0</v>
      </c>
      <c r="F218" t="n">
        <v>1</v>
      </c>
      <c r="G218" t="inlineStr">
        <is>
          <t>vascular</t>
        </is>
      </c>
      <c r="J218" t="n">
        <v>0</v>
      </c>
      <c r="K218" t="n">
        <v>0</v>
      </c>
      <c r="L218" t="n">
        <v>34</v>
      </c>
      <c r="M218" t="inlineStr">
        <is>
          <t>C</t>
        </is>
      </c>
      <c r="N218" t="inlineStr">
        <is>
          <t>broad-spectrum support</t>
        </is>
      </c>
      <c r="O218" t="inlineStr">
        <is>
          <t>Low</t>
        </is>
      </c>
      <c r="P218" t="inlineStr">
        <is>
          <t>FALSE</t>
        </is>
      </c>
      <c r="R218" t="inlineStr">
        <is>
          <t>Circulation</t>
        </is>
      </c>
      <c r="S218" t="n">
        <v>34</v>
      </c>
    </row>
    <row r="219">
      <c r="A219" t="inlineStr">
        <is>
          <t>Turmeric</t>
        </is>
      </c>
      <c r="B219" t="inlineStr">
        <is>
          <t>Black Pepper</t>
        </is>
      </c>
      <c r="C219" t="inlineStr">
        <is>
          <t>Corydalis</t>
        </is>
      </c>
      <c r="D219" t="n">
        <v>2</v>
      </c>
      <c r="E219" t="n">
        <v>0</v>
      </c>
      <c r="F219" t="n">
        <v>1</v>
      </c>
      <c r="G219" t="inlineStr">
        <is>
          <t>gastrointestinal; neurotransmitter</t>
        </is>
      </c>
      <c r="J219" t="n">
        <v>0</v>
      </c>
      <c r="K219" t="n">
        <v>0</v>
      </c>
      <c r="L219" t="n">
        <v>32.8</v>
      </c>
      <c r="M219" t="inlineStr">
        <is>
          <t>D</t>
        </is>
      </c>
      <c r="N219" t="inlineStr">
        <is>
          <t>broad-spectrum support</t>
        </is>
      </c>
      <c r="O219" t="inlineStr">
        <is>
          <t>Low</t>
        </is>
      </c>
      <c r="P219" t="inlineStr">
        <is>
          <t>FALSE</t>
        </is>
      </c>
      <c r="R219" t="inlineStr">
        <is>
          <t>General</t>
        </is>
      </c>
      <c r="S219" t="n">
        <v>32.8</v>
      </c>
    </row>
    <row r="220">
      <c r="A220" t="inlineStr">
        <is>
          <t>Blue Lotus</t>
        </is>
      </c>
      <c r="B220" t="inlineStr">
        <is>
          <t>Black Pepper</t>
        </is>
      </c>
      <c r="C220" t="inlineStr">
        <is>
          <t>Corydalis</t>
        </is>
      </c>
      <c r="D220" t="n">
        <v>2</v>
      </c>
      <c r="E220" t="n">
        <v>0</v>
      </c>
      <c r="F220" t="n">
        <v>1</v>
      </c>
      <c r="G220" t="inlineStr">
        <is>
          <t>gastrointestinal; neurotransmitter</t>
        </is>
      </c>
      <c r="J220" t="n">
        <v>0</v>
      </c>
      <c r="K220" t="n">
        <v>0</v>
      </c>
      <c r="L220" t="n">
        <v>31.2</v>
      </c>
      <c r="M220" t="inlineStr">
        <is>
          <t>D</t>
        </is>
      </c>
      <c r="N220" t="inlineStr">
        <is>
          <t>broad-spectrum support</t>
        </is>
      </c>
      <c r="O220" t="inlineStr">
        <is>
          <t>Low</t>
        </is>
      </c>
      <c r="P220" t="inlineStr">
        <is>
          <t>FALSE</t>
        </is>
      </c>
      <c r="R220" t="inlineStr">
        <is>
          <t>General</t>
        </is>
      </c>
      <c r="S220" t="n">
        <v>31.2</v>
      </c>
    </row>
    <row r="221">
      <c r="A221" t="inlineStr">
        <is>
          <t>Turmeric</t>
        </is>
      </c>
      <c r="B221" t="inlineStr">
        <is>
          <t>Blue Lotus</t>
        </is>
      </c>
      <c r="C221" t="inlineStr">
        <is>
          <t>Black Pepper</t>
        </is>
      </c>
      <c r="D221" t="n">
        <v>1</v>
      </c>
      <c r="E221" t="n">
        <v>0</v>
      </c>
      <c r="F221" t="n">
        <v>1</v>
      </c>
      <c r="G221" t="inlineStr">
        <is>
          <t>gastrointestinal</t>
        </is>
      </c>
      <c r="J221" t="n">
        <v>0</v>
      </c>
      <c r="K221" t="n">
        <v>0</v>
      </c>
      <c r="L221" t="n">
        <v>30.6</v>
      </c>
      <c r="M221" t="inlineStr">
        <is>
          <t>D</t>
        </is>
      </c>
      <c r="N221" t="inlineStr">
        <is>
          <t>broad-spectrum support</t>
        </is>
      </c>
      <c r="O221" t="inlineStr">
        <is>
          <t>Low</t>
        </is>
      </c>
      <c r="P221" t="inlineStr">
        <is>
          <t>FALSE</t>
        </is>
      </c>
      <c r="R221" t="inlineStr">
        <is>
          <t>General</t>
        </is>
      </c>
      <c r="S221" t="n">
        <v>30.6</v>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Stack Score</t>
        </is>
      </c>
      <c r="F1" t="inlineStr">
        <is>
          <t>Stack Grade</t>
        </is>
      </c>
      <c r="G1" t="inlineStr">
        <is>
          <t>Suggested Use Case</t>
        </is>
      </c>
      <c r="H1" t="inlineStr">
        <is>
          <t>Union Buckets</t>
        </is>
      </c>
      <c r="I1" t="inlineStr">
        <is>
          <t>Conflict Flags</t>
        </is>
      </c>
    </row>
    <row r="2">
      <c r="A2" t="n">
        <v>1</v>
      </c>
      <c r="B2" t="inlineStr">
        <is>
          <t>Ginkgo Biloba</t>
        </is>
      </c>
      <c r="C2" t="inlineStr">
        <is>
          <t>Panax Ginseng</t>
        </is>
      </c>
      <c r="D2" t="inlineStr">
        <is>
          <t>Ashwagandha</t>
        </is>
      </c>
      <c r="E2" t="n">
        <v>100.5</v>
      </c>
      <c r="F2" t="inlineStr">
        <is>
          <t>A</t>
        </is>
      </c>
      <c r="G2" t="inlineStr">
        <is>
          <t>stress + cognition</t>
        </is>
      </c>
      <c r="H2" t="inlineStr">
        <is>
          <t>adaptogenic; cognitive-neuroprotective; gastrointestinal; inflammation; metabolic; neurotransmitter; oxidative-stress; vascular</t>
        </is>
      </c>
    </row>
    <row r="3">
      <c r="A3" t="n">
        <v>2</v>
      </c>
      <c r="B3" t="inlineStr">
        <is>
          <t>Ginkgo Biloba</t>
        </is>
      </c>
      <c r="C3" t="inlineStr">
        <is>
          <t>Panax Ginseng</t>
        </is>
      </c>
      <c r="D3" t="inlineStr">
        <is>
          <t>Chinese Skullcap</t>
        </is>
      </c>
      <c r="E3" t="n">
        <v>100.1</v>
      </c>
      <c r="F3" t="inlineStr">
        <is>
          <t>A</t>
        </is>
      </c>
      <c r="G3" t="inlineStr">
        <is>
          <t>stress + cognition</t>
        </is>
      </c>
      <c r="H3" t="inlineStr">
        <is>
          <t>adaptogenic; cognitive-neuroprotective; gastrointestinal; inflammation; metabolic; neurotransmitter; oxidative-stress; vascular</t>
        </is>
      </c>
    </row>
    <row r="4">
      <c r="A4" t="n">
        <v>3</v>
      </c>
      <c r="B4" t="inlineStr">
        <is>
          <t>Ginkgo Biloba</t>
        </is>
      </c>
      <c r="C4" t="inlineStr">
        <is>
          <t>Panax Ginseng</t>
        </is>
      </c>
      <c r="D4" t="inlineStr">
        <is>
          <t>Green Tea</t>
        </is>
      </c>
      <c r="E4" t="n">
        <v>96.40000000000001</v>
      </c>
      <c r="F4" t="inlineStr">
        <is>
          <t>A</t>
        </is>
      </c>
      <c r="G4" t="inlineStr">
        <is>
          <t>stress + cognition</t>
        </is>
      </c>
      <c r="H4" t="inlineStr">
        <is>
          <t>adaptogenic; cognitive-neuroprotective; gastrointestinal; inflammation; metabolic; neurotransmitter; oxidative-stress; vascular</t>
        </is>
      </c>
    </row>
    <row r="5">
      <c r="A5" t="n">
        <v>4</v>
      </c>
      <c r="B5" t="inlineStr">
        <is>
          <t>Ginkgo Biloba</t>
        </is>
      </c>
      <c r="C5" t="inlineStr">
        <is>
          <t>Panax Ginseng</t>
        </is>
      </c>
      <c r="D5" t="inlineStr">
        <is>
          <t>Chamomile</t>
        </is>
      </c>
      <c r="E5" t="n">
        <v>94.40000000000001</v>
      </c>
      <c r="F5" t="inlineStr">
        <is>
          <t>A</t>
        </is>
      </c>
      <c r="G5" t="inlineStr">
        <is>
          <t>stress + cognition</t>
        </is>
      </c>
      <c r="H5" t="inlineStr">
        <is>
          <t>adaptogenic; cognitive-neuroprotective; gastrointestinal; inflammation; metabolic; neurotransmitter; oxidative-stress; vascular</t>
        </is>
      </c>
    </row>
    <row r="6">
      <c r="A6" t="n">
        <v>5</v>
      </c>
      <c r="B6" t="inlineStr">
        <is>
          <t>Ginkgo Biloba</t>
        </is>
      </c>
      <c r="C6" t="inlineStr">
        <is>
          <t>Green Tea</t>
        </is>
      </c>
      <c r="D6" t="inlineStr">
        <is>
          <t>Ashwagandha</t>
        </is>
      </c>
      <c r="E6" t="n">
        <v>91.7</v>
      </c>
      <c r="F6" t="inlineStr">
        <is>
          <t>A</t>
        </is>
      </c>
      <c r="G6" t="inlineStr">
        <is>
          <t>stress + cognition</t>
        </is>
      </c>
      <c r="H6" t="inlineStr">
        <is>
          <t>adaptogenic; cognitive-neuroprotective; inflammation; metabolic; neurotransmitter; oxidative-stress; vascular</t>
        </is>
      </c>
    </row>
    <row r="7">
      <c r="A7" t="n">
        <v>6</v>
      </c>
      <c r="B7" t="inlineStr">
        <is>
          <t>Ginkgo Biloba</t>
        </is>
      </c>
      <c r="C7" t="inlineStr">
        <is>
          <t>Panax Ginseng</t>
        </is>
      </c>
      <c r="D7" t="inlineStr">
        <is>
          <t>Turmeric</t>
        </is>
      </c>
      <c r="E7" t="n">
        <v>91.3</v>
      </c>
      <c r="F7" t="inlineStr">
        <is>
          <t>A</t>
        </is>
      </c>
      <c r="G7" t="inlineStr">
        <is>
          <t>stress + cognition</t>
        </is>
      </c>
      <c r="H7" t="inlineStr">
        <is>
          <t>adaptogenic; cognitive-neuroprotective; gastrointestinal; inflammation; metabolic; neurotransmitter; oxidative-stress; vascular</t>
        </is>
      </c>
    </row>
    <row r="8">
      <c r="A8" t="n">
        <v>7</v>
      </c>
      <c r="B8" t="inlineStr">
        <is>
          <t>Ginkgo Biloba</t>
        </is>
      </c>
      <c r="C8" t="inlineStr">
        <is>
          <t>Panax Ginseng</t>
        </is>
      </c>
      <c r="D8" t="inlineStr">
        <is>
          <t>Blue Lotus</t>
        </is>
      </c>
      <c r="E8" t="n">
        <v>89.8</v>
      </c>
      <c r="F8" t="inlineStr">
        <is>
          <t>A</t>
        </is>
      </c>
      <c r="G8" t="inlineStr">
        <is>
          <t>stress + cognition</t>
        </is>
      </c>
      <c r="H8" t="inlineStr">
        <is>
          <t>adaptogenic; cognitive-neuroprotective; gastrointestinal; inflammation; metabolic; neurotransmitter; oxidative-stress; vascular</t>
        </is>
      </c>
    </row>
    <row r="9">
      <c r="A9" t="n">
        <v>8</v>
      </c>
      <c r="B9" t="inlineStr">
        <is>
          <t>Ginkgo Biloba</t>
        </is>
      </c>
      <c r="C9" t="inlineStr">
        <is>
          <t>Panax Ginseng</t>
        </is>
      </c>
      <c r="D9" t="inlineStr">
        <is>
          <t>Black Cohosh</t>
        </is>
      </c>
      <c r="E9" t="n">
        <v>89.59999999999999</v>
      </c>
      <c r="F9" t="inlineStr">
        <is>
          <t>A</t>
        </is>
      </c>
      <c r="G9" t="inlineStr">
        <is>
          <t>stress + cognition</t>
        </is>
      </c>
      <c r="H9" t="inlineStr">
        <is>
          <t>adaptogenic; cognitive-neuroprotective; gastrointestinal; inflammation; metabolic; neurotransmitter; oxidative-stress; vascular</t>
        </is>
      </c>
    </row>
    <row r="10">
      <c r="A10" t="n">
        <v>9</v>
      </c>
      <c r="B10" t="inlineStr">
        <is>
          <t>Ginkgo Biloba</t>
        </is>
      </c>
      <c r="C10" t="inlineStr">
        <is>
          <t>Chamomile</t>
        </is>
      </c>
      <c r="D10" t="inlineStr">
        <is>
          <t>Ashwagandha</t>
        </is>
      </c>
      <c r="E10" t="n">
        <v>87.7</v>
      </c>
      <c r="F10" t="inlineStr">
        <is>
          <t>A</t>
        </is>
      </c>
      <c r="G10" t="inlineStr">
        <is>
          <t>stress + cognition</t>
        </is>
      </c>
      <c r="H10" t="inlineStr">
        <is>
          <t>adaptogenic; cognitive-neuroprotective; gastrointestinal; inflammation; neurotransmitter; oxidative-stress; vascular</t>
        </is>
      </c>
    </row>
    <row r="11">
      <c r="A11" t="n">
        <v>10</v>
      </c>
      <c r="B11" t="inlineStr">
        <is>
          <t>Ginkgo Biloba</t>
        </is>
      </c>
      <c r="C11" t="inlineStr">
        <is>
          <t>Panax Ginseng</t>
        </is>
      </c>
      <c r="D11" t="inlineStr">
        <is>
          <t>Black Pepper</t>
        </is>
      </c>
      <c r="E11" t="n">
        <v>87.59999999999999</v>
      </c>
      <c r="F11" t="inlineStr">
        <is>
          <t>A</t>
        </is>
      </c>
      <c r="G11" t="inlineStr">
        <is>
          <t>stress + cognition</t>
        </is>
      </c>
      <c r="H11" t="inlineStr">
        <is>
          <t>adaptogenic; cognitive-neuroprotective; gastrointestinal; inflammation; metabolic; neurotransmitter; oxidative-stress; vascular</t>
        </is>
      </c>
    </row>
    <row r="12">
      <c r="A12" t="n">
        <v>11</v>
      </c>
      <c r="B12" t="inlineStr">
        <is>
          <t>Panax Ginseng</t>
        </is>
      </c>
      <c r="C12" t="inlineStr">
        <is>
          <t>Chinese Skullcap</t>
        </is>
      </c>
      <c r="D12" t="inlineStr">
        <is>
          <t>Ashwagandha</t>
        </is>
      </c>
      <c r="E12" t="n">
        <v>86.7</v>
      </c>
      <c r="F12" t="inlineStr">
        <is>
          <t>A</t>
        </is>
      </c>
      <c r="G12" t="inlineStr">
        <is>
          <t>stress + cognition</t>
        </is>
      </c>
      <c r="H12" t="inlineStr">
        <is>
          <t>adaptogenic; cognitive-neuroprotective; gastrointestinal; inflammation; metabolic; neurotransmitter; oxidative-stress</t>
        </is>
      </c>
    </row>
    <row r="13">
      <c r="A13" t="n">
        <v>12</v>
      </c>
      <c r="B13" t="inlineStr">
        <is>
          <t>Ginkgo Biloba</t>
        </is>
      </c>
      <c r="C13" t="inlineStr">
        <is>
          <t>Panax Ginseng</t>
        </is>
      </c>
      <c r="D13" t="inlineStr">
        <is>
          <t>Corydalis</t>
        </is>
      </c>
      <c r="E13" t="n">
        <v>86</v>
      </c>
      <c r="F13" t="inlineStr">
        <is>
          <t>A</t>
        </is>
      </c>
      <c r="G13" t="inlineStr">
        <is>
          <t>stress + cognition</t>
        </is>
      </c>
      <c r="H13" t="inlineStr">
        <is>
          <t>adaptogenic; cognitive-neuroprotective; gastrointestinal; inflammation; metabolic; neurotransmitter; oxidative-stress; vascular</t>
        </is>
      </c>
    </row>
    <row r="14">
      <c r="A14" t="n">
        <v>13</v>
      </c>
      <c r="B14" t="inlineStr">
        <is>
          <t>Ginkgo Biloba</t>
        </is>
      </c>
      <c r="C14" t="inlineStr">
        <is>
          <t>Green Tea</t>
        </is>
      </c>
      <c r="D14" t="inlineStr">
        <is>
          <t>Black Cohosh</t>
        </is>
      </c>
      <c r="E14" t="n">
        <v>85.8</v>
      </c>
      <c r="F14" t="inlineStr">
        <is>
          <t>A</t>
        </is>
      </c>
      <c r="G14" t="inlineStr">
        <is>
          <t>recovery / anti-inflammatory</t>
        </is>
      </c>
      <c r="H14" t="inlineStr">
        <is>
          <t>cognitive-neuroprotective; gastrointestinal; inflammation; metabolic; neurotransmitter; oxidative-stress; vascular</t>
        </is>
      </c>
    </row>
    <row r="15">
      <c r="A15" t="n">
        <v>14</v>
      </c>
      <c r="B15" t="inlineStr">
        <is>
          <t>Ginkgo Biloba</t>
        </is>
      </c>
      <c r="C15" t="inlineStr">
        <is>
          <t>Panax Ginseng</t>
        </is>
      </c>
      <c r="D15" t="inlineStr">
        <is>
          <t>Epimedium</t>
        </is>
      </c>
      <c r="E15" t="n">
        <v>84.09999999999999</v>
      </c>
      <c r="F15" t="inlineStr">
        <is>
          <t>A</t>
        </is>
      </c>
      <c r="G15" t="inlineStr">
        <is>
          <t>stress + cognition</t>
        </is>
      </c>
      <c r="H15" t="inlineStr">
        <is>
          <t>adaptogenic; cognitive-neuroprotective; gastrointestinal; inflammation; metabolic; neurotransmitter; oxidative-stress; vascular</t>
        </is>
      </c>
      <c r="I15" t="inlineStr">
        <is>
          <t>vascular</t>
        </is>
      </c>
    </row>
    <row r="16">
      <c r="A16" t="n">
        <v>15</v>
      </c>
      <c r="B16" t="inlineStr">
        <is>
          <t>Ginkgo Biloba</t>
        </is>
      </c>
      <c r="C16" t="inlineStr">
        <is>
          <t>Ashwagandha</t>
        </is>
      </c>
      <c r="D16" t="inlineStr">
        <is>
          <t>Black Cohosh</t>
        </is>
      </c>
      <c r="E16" t="n">
        <v>83.8</v>
      </c>
      <c r="F16" t="inlineStr">
        <is>
          <t>A</t>
        </is>
      </c>
      <c r="G16" t="inlineStr">
        <is>
          <t>stress + cognition</t>
        </is>
      </c>
      <c r="H16" t="inlineStr">
        <is>
          <t>adaptogenic; cognitive-neuroprotective; gastrointestinal; inflammation; oxidative-stress; vascular</t>
        </is>
      </c>
    </row>
    <row r="17">
      <c r="A17" t="n">
        <v>16</v>
      </c>
      <c r="B17" t="inlineStr">
        <is>
          <t>Panax Ginseng</t>
        </is>
      </c>
      <c r="C17" t="inlineStr">
        <is>
          <t>Epimedium</t>
        </is>
      </c>
      <c r="D17" t="inlineStr">
        <is>
          <t>Ashwagandha</t>
        </is>
      </c>
      <c r="E17" t="n">
        <v>83.7</v>
      </c>
      <c r="F17" t="inlineStr">
        <is>
          <t>A</t>
        </is>
      </c>
      <c r="G17" t="inlineStr">
        <is>
          <t>stress + cognition</t>
        </is>
      </c>
      <c r="H17" t="inlineStr">
        <is>
          <t>adaptogenic; cognitive-neuroprotective; gastrointestinal; inflammation; metabolic; neurotransmitter; oxidative-stress; vascular</t>
        </is>
      </c>
    </row>
    <row r="18">
      <c r="A18" t="n">
        <v>17</v>
      </c>
      <c r="B18" t="inlineStr">
        <is>
          <t>Ginkgo Biloba</t>
        </is>
      </c>
      <c r="C18" t="inlineStr">
        <is>
          <t>Chamomile</t>
        </is>
      </c>
      <c r="D18" t="inlineStr">
        <is>
          <t>Chinese Skullcap</t>
        </is>
      </c>
      <c r="E18" t="n">
        <v>83.2</v>
      </c>
      <c r="F18" t="inlineStr">
        <is>
          <t>A</t>
        </is>
      </c>
      <c r="G18" t="inlineStr">
        <is>
          <t>recovery / anti-inflammatory</t>
        </is>
      </c>
      <c r="H18" t="inlineStr">
        <is>
          <t>cognitive-neuroprotective; gastrointestinal; inflammation; neurotransmitter; oxidative-stress; vascular</t>
        </is>
      </c>
    </row>
    <row r="19">
      <c r="A19" t="n">
        <v>18</v>
      </c>
      <c r="B19" t="inlineStr">
        <is>
          <t>Ginkgo Biloba</t>
        </is>
      </c>
      <c r="C19" t="inlineStr">
        <is>
          <t>Green Tea</t>
        </is>
      </c>
      <c r="D19" t="inlineStr">
        <is>
          <t>Chinese Skullcap</t>
        </is>
      </c>
      <c r="E19" t="n">
        <v>82.2</v>
      </c>
      <c r="F19" t="inlineStr">
        <is>
          <t>A</t>
        </is>
      </c>
      <c r="G19" t="inlineStr">
        <is>
          <t>recovery / anti-inflammatory</t>
        </is>
      </c>
      <c r="H19" t="inlineStr">
        <is>
          <t>cognitive-neuroprotective; inflammation; metabolic; neurotransmitter; oxidative-stress; vascular</t>
        </is>
      </c>
    </row>
    <row r="20">
      <c r="A20" t="n">
        <v>19</v>
      </c>
      <c r="B20" t="inlineStr">
        <is>
          <t>Panax Ginseng</t>
        </is>
      </c>
      <c r="C20" t="inlineStr">
        <is>
          <t>Chamomile</t>
        </is>
      </c>
      <c r="D20" t="inlineStr">
        <is>
          <t>Ashwagandha</t>
        </is>
      </c>
      <c r="E20" t="n">
        <v>81</v>
      </c>
      <c r="F20" t="inlineStr">
        <is>
          <t>A</t>
        </is>
      </c>
      <c r="G20" t="inlineStr">
        <is>
          <t>stress + cognition</t>
        </is>
      </c>
      <c r="H20" t="inlineStr">
        <is>
          <t>adaptogenic; cognitive-neuroprotective; gastrointestinal; inflammation; metabolic; neurotransmitter; oxidative-stress</t>
        </is>
      </c>
    </row>
    <row r="21">
      <c r="A21" t="n">
        <v>20</v>
      </c>
      <c r="B21" t="inlineStr">
        <is>
          <t>Panax Ginseng</t>
        </is>
      </c>
      <c r="C21" t="inlineStr">
        <is>
          <t>Green Tea</t>
        </is>
      </c>
      <c r="D21" t="inlineStr">
        <is>
          <t>Ashwagandha</t>
        </is>
      </c>
      <c r="E21" t="n">
        <v>81</v>
      </c>
      <c r="F21" t="inlineStr">
        <is>
          <t>A</t>
        </is>
      </c>
      <c r="G21" t="inlineStr">
        <is>
          <t>stress + cognition</t>
        </is>
      </c>
      <c r="H21" t="inlineStr">
        <is>
          <t>adaptogenic; cognitive-neuroprotective; gastrointestinal; inflammation; metabolic; neurotransmitter; oxidative-stress</t>
        </is>
      </c>
    </row>
    <row r="22">
      <c r="A22" t="n">
        <v>21</v>
      </c>
      <c r="B22" t="inlineStr">
        <is>
          <t>Ginkgo Biloba</t>
        </is>
      </c>
      <c r="C22" t="inlineStr">
        <is>
          <t>Green Tea</t>
        </is>
      </c>
      <c r="D22" t="inlineStr">
        <is>
          <t>Black Pepper</t>
        </is>
      </c>
      <c r="E22" t="n">
        <v>80.8</v>
      </c>
      <c r="F22" t="inlineStr">
        <is>
          <t>A</t>
        </is>
      </c>
      <c r="G22" t="inlineStr">
        <is>
          <t>recovery / anti-inflammatory</t>
        </is>
      </c>
      <c r="H22" t="inlineStr">
        <is>
          <t>cognitive-neuroprotective; gastrointestinal; inflammation; metabolic; neurotransmitter; oxidative-stress; vascular</t>
        </is>
      </c>
    </row>
    <row r="23">
      <c r="A23" t="n">
        <v>22</v>
      </c>
      <c r="B23" t="inlineStr">
        <is>
          <t>Panax Ginseng</t>
        </is>
      </c>
      <c r="C23" t="inlineStr">
        <is>
          <t>Green Tea</t>
        </is>
      </c>
      <c r="D23" t="inlineStr">
        <is>
          <t>Chinese Skullcap</t>
        </is>
      </c>
      <c r="E23" t="n">
        <v>80.59999999999999</v>
      </c>
      <c r="F23" t="inlineStr">
        <is>
          <t>A</t>
        </is>
      </c>
      <c r="G23" t="inlineStr">
        <is>
          <t>stress + cognition</t>
        </is>
      </c>
      <c r="H23" t="inlineStr">
        <is>
          <t>adaptogenic; cognitive-neuroprotective; gastrointestinal; inflammation; metabolic; neurotransmitter; oxidative-stress</t>
        </is>
      </c>
    </row>
    <row r="24">
      <c r="A24" t="n">
        <v>23</v>
      </c>
      <c r="B24" t="inlineStr">
        <is>
          <t>Panax Ginseng</t>
        </is>
      </c>
      <c r="C24" t="inlineStr">
        <is>
          <t>Green Tea</t>
        </is>
      </c>
      <c r="D24" t="inlineStr">
        <is>
          <t>Epimedium</t>
        </is>
      </c>
      <c r="E24" t="n">
        <v>80.59999999999999</v>
      </c>
      <c r="F24" t="inlineStr">
        <is>
          <t>A</t>
        </is>
      </c>
      <c r="G24" t="inlineStr">
        <is>
          <t>stress + cognition</t>
        </is>
      </c>
      <c r="H24" t="inlineStr">
        <is>
          <t>adaptogenic; cognitive-neuroprotective; gastrointestinal; metabolic; neurotransmitter; oxidative-stress; vascular</t>
        </is>
      </c>
    </row>
    <row r="25">
      <c r="A25" t="n">
        <v>24</v>
      </c>
      <c r="B25" t="inlineStr">
        <is>
          <t>Ginkgo Biloba</t>
        </is>
      </c>
      <c r="C25" t="inlineStr">
        <is>
          <t>Green Tea</t>
        </is>
      </c>
      <c r="D25" t="inlineStr">
        <is>
          <t>Chamomile</t>
        </is>
      </c>
      <c r="E25" t="n">
        <v>80.5</v>
      </c>
      <c r="F25" t="inlineStr">
        <is>
          <t>A</t>
        </is>
      </c>
      <c r="G25" t="inlineStr">
        <is>
          <t>recovery / anti-inflammatory</t>
        </is>
      </c>
      <c r="H25" t="inlineStr">
        <is>
          <t>cognitive-neuroprotective; gastrointestinal; inflammation; metabolic; neurotransmitter; oxidative-stress; vascular</t>
        </is>
      </c>
      <c r="I25" t="inlineStr">
        <is>
          <t>stimulant-neuro</t>
        </is>
      </c>
    </row>
    <row r="26">
      <c r="A26" t="n">
        <v>25</v>
      </c>
      <c r="B26" t="inlineStr">
        <is>
          <t>Panax Ginseng</t>
        </is>
      </c>
      <c r="C26" t="inlineStr">
        <is>
          <t>Chamomile</t>
        </is>
      </c>
      <c r="D26" t="inlineStr">
        <is>
          <t>Black Cohosh</t>
        </is>
      </c>
      <c r="E26" t="n">
        <v>80.09999999999999</v>
      </c>
      <c r="F26" t="inlineStr">
        <is>
          <t>A</t>
        </is>
      </c>
      <c r="G26" t="inlineStr">
        <is>
          <t>stress + cognition</t>
        </is>
      </c>
      <c r="H26" t="inlineStr">
        <is>
          <t>adaptogenic; cognitive-neuroprotective; gastrointestinal; inflammation; metabolic; neurotransmitter; oxidative-stress</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16</t>
        </is>
      </c>
    </row>
    <row r="3">
      <c r="A3" t="inlineStr">
        <is>
          <t>Focus</t>
        </is>
      </c>
      <c r="B3" t="inlineStr">
        <is>
          <t>Conflict refinement + 3-herb stack engine</t>
        </is>
      </c>
    </row>
    <row r="4">
      <c r="A4" t="inlineStr">
        <is>
          <t>Top herbs analyzed</t>
        </is>
      </c>
      <c r="B4" t="n">
        <v>14</v>
      </c>
    </row>
    <row r="5">
      <c r="A5" t="inlineStr">
        <is>
          <t>Pair rows scored</t>
        </is>
      </c>
      <c r="B5" t="n">
        <v>91</v>
      </c>
    </row>
    <row r="6">
      <c r="A6" t="inlineStr">
        <is>
          <t>3-herb stacks scored</t>
        </is>
      </c>
      <c r="B6" t="n">
        <v>220</v>
      </c>
    </row>
    <row r="7">
      <c r="A7" t="inlineStr">
        <is>
          <t>Top pair</t>
        </is>
      </c>
      <c r="B7" t="inlineStr">
        <is>
          <t>Ginkgo Biloba + Panax Ginseng</t>
        </is>
      </c>
    </row>
    <row r="8">
      <c r="A8" t="inlineStr">
        <is>
          <t>Top pair score</t>
        </is>
      </c>
      <c r="B8" t="n">
        <v>89.09999999999999</v>
      </c>
    </row>
    <row r="9">
      <c r="A9" t="inlineStr">
        <is>
          <t>Top stack</t>
        </is>
      </c>
      <c r="B9" t="inlineStr">
        <is>
          <t>Ginkgo Biloba + Panax Ginseng + Ashwagandha</t>
        </is>
      </c>
    </row>
    <row r="10">
      <c r="A10" t="inlineStr">
        <is>
          <t>Top stack score</t>
        </is>
      </c>
      <c r="B10" t="n">
        <v>100.5</v>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51"/>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Category Pack</t>
        </is>
      </c>
      <c r="F1" t="inlineStr">
        <is>
          <t>Risk Tier</t>
        </is>
      </c>
      <c r="G1" t="inlineStr">
        <is>
          <t>Refined Stack Score</t>
        </is>
      </c>
      <c r="H1" t="inlineStr">
        <is>
          <t>Raw Stack Score</t>
        </is>
      </c>
      <c r="I1" t="inlineStr">
        <is>
          <t>Repeated Flags</t>
        </is>
      </c>
      <c r="J1" t="inlineStr">
        <is>
          <t>Union Buckets</t>
        </is>
      </c>
    </row>
    <row r="2">
      <c r="A2" t="n">
        <v>1</v>
      </c>
      <c r="B2" t="inlineStr">
        <is>
          <t>Ginkgo Biloba</t>
        </is>
      </c>
      <c r="C2" t="inlineStr">
        <is>
          <t>Panax Ginseng</t>
        </is>
      </c>
      <c r="D2" t="inlineStr">
        <is>
          <t>Ashwagandha</t>
        </is>
      </c>
      <c r="E2" t="inlineStr">
        <is>
          <t>Focus</t>
        </is>
      </c>
      <c r="F2" t="inlineStr">
        <is>
          <t>Low</t>
        </is>
      </c>
      <c r="G2" t="n">
        <v>100.5</v>
      </c>
      <c r="H2" t="n">
        <v>100.5</v>
      </c>
      <c r="J2" t="inlineStr">
        <is>
          <t>adaptogenic; cognitive-neuroprotective; gastrointestinal; inflammation; metabolic; neurotransmitter; oxidative-stress; vascular</t>
        </is>
      </c>
    </row>
    <row r="3">
      <c r="A3" t="n">
        <v>2</v>
      </c>
      <c r="B3" t="inlineStr">
        <is>
          <t>Ginkgo Biloba</t>
        </is>
      </c>
      <c r="C3" t="inlineStr">
        <is>
          <t>Panax Ginseng</t>
        </is>
      </c>
      <c r="D3" t="inlineStr">
        <is>
          <t>Chinese Skullcap</t>
        </is>
      </c>
      <c r="E3" t="inlineStr">
        <is>
          <t>Focus</t>
        </is>
      </c>
      <c r="F3" t="inlineStr">
        <is>
          <t>Low</t>
        </is>
      </c>
      <c r="G3" t="n">
        <v>100.1</v>
      </c>
      <c r="H3" t="n">
        <v>100.1</v>
      </c>
      <c r="J3" t="inlineStr">
        <is>
          <t>adaptogenic; cognitive-neuroprotective; gastrointestinal; inflammation; metabolic; neurotransmitter; oxidative-stress; vascular</t>
        </is>
      </c>
    </row>
    <row r="4">
      <c r="A4" t="n">
        <v>3</v>
      </c>
      <c r="B4" t="inlineStr">
        <is>
          <t>Ginkgo Biloba</t>
        </is>
      </c>
      <c r="C4" t="inlineStr">
        <is>
          <t>Panax Ginseng</t>
        </is>
      </c>
      <c r="D4" t="inlineStr">
        <is>
          <t>Green Tea</t>
        </is>
      </c>
      <c r="E4" t="inlineStr">
        <is>
          <t>Focus</t>
        </is>
      </c>
      <c r="F4" t="inlineStr">
        <is>
          <t>Low</t>
        </is>
      </c>
      <c r="G4" t="n">
        <v>96.40000000000001</v>
      </c>
      <c r="H4" t="n">
        <v>96.40000000000001</v>
      </c>
      <c r="J4" t="inlineStr">
        <is>
          <t>adaptogenic; cognitive-neuroprotective; gastrointestinal; inflammation; metabolic; neurotransmitter; oxidative-stress; vascular</t>
        </is>
      </c>
    </row>
    <row r="5">
      <c r="A5" t="n">
        <v>4</v>
      </c>
      <c r="B5" t="inlineStr">
        <is>
          <t>Ginkgo Biloba</t>
        </is>
      </c>
      <c r="C5" t="inlineStr">
        <is>
          <t>Panax Ginseng</t>
        </is>
      </c>
      <c r="D5" t="inlineStr">
        <is>
          <t>Chamomile</t>
        </is>
      </c>
      <c r="E5" t="inlineStr">
        <is>
          <t>Focus</t>
        </is>
      </c>
      <c r="F5" t="inlineStr">
        <is>
          <t>Low</t>
        </is>
      </c>
      <c r="G5" t="n">
        <v>94.40000000000001</v>
      </c>
      <c r="H5" t="n">
        <v>94.40000000000001</v>
      </c>
      <c r="J5" t="inlineStr">
        <is>
          <t>adaptogenic; cognitive-neuroprotective; gastrointestinal; inflammation; metabolic; neurotransmitter; oxidative-stress; vascular</t>
        </is>
      </c>
    </row>
    <row r="6">
      <c r="A6" t="n">
        <v>5</v>
      </c>
      <c r="B6" t="inlineStr">
        <is>
          <t>Ginkgo Biloba</t>
        </is>
      </c>
      <c r="C6" t="inlineStr">
        <is>
          <t>Green Tea</t>
        </is>
      </c>
      <c r="D6" t="inlineStr">
        <is>
          <t>Ashwagandha</t>
        </is>
      </c>
      <c r="E6" t="inlineStr">
        <is>
          <t>Focus</t>
        </is>
      </c>
      <c r="F6" t="inlineStr">
        <is>
          <t>Low</t>
        </is>
      </c>
      <c r="G6" t="n">
        <v>91.7</v>
      </c>
      <c r="H6" t="n">
        <v>91.7</v>
      </c>
      <c r="J6" t="inlineStr">
        <is>
          <t>adaptogenic; cognitive-neuroprotective; inflammation; metabolic; neurotransmitter; oxidative-stress; vascular</t>
        </is>
      </c>
    </row>
    <row r="7">
      <c r="A7" t="n">
        <v>6</v>
      </c>
      <c r="B7" t="inlineStr">
        <is>
          <t>Ginkgo Biloba</t>
        </is>
      </c>
      <c r="C7" t="inlineStr">
        <is>
          <t>Panax Ginseng</t>
        </is>
      </c>
      <c r="D7" t="inlineStr">
        <is>
          <t>Turmeric</t>
        </is>
      </c>
      <c r="E7" t="inlineStr">
        <is>
          <t>Focus</t>
        </is>
      </c>
      <c r="F7" t="inlineStr">
        <is>
          <t>Low</t>
        </is>
      </c>
      <c r="G7" t="n">
        <v>91.3</v>
      </c>
      <c r="H7" t="n">
        <v>91.3</v>
      </c>
      <c r="J7" t="inlineStr">
        <is>
          <t>adaptogenic; cognitive-neuroprotective; gastrointestinal; inflammation; metabolic; neurotransmitter; oxidative-stress; vascular</t>
        </is>
      </c>
    </row>
    <row r="8">
      <c r="A8" t="n">
        <v>7</v>
      </c>
      <c r="B8" t="inlineStr">
        <is>
          <t>Ginkgo Biloba</t>
        </is>
      </c>
      <c r="C8" t="inlineStr">
        <is>
          <t>Panax Ginseng</t>
        </is>
      </c>
      <c r="D8" t="inlineStr">
        <is>
          <t>Blue Lotus</t>
        </is>
      </c>
      <c r="E8" t="inlineStr">
        <is>
          <t>Focus</t>
        </is>
      </c>
      <c r="F8" t="inlineStr">
        <is>
          <t>Low</t>
        </is>
      </c>
      <c r="G8" t="n">
        <v>89.8</v>
      </c>
      <c r="H8" t="n">
        <v>89.8</v>
      </c>
      <c r="J8" t="inlineStr">
        <is>
          <t>adaptogenic; cognitive-neuroprotective; gastrointestinal; inflammation; metabolic; neurotransmitter; oxidative-stress; vascular</t>
        </is>
      </c>
    </row>
    <row r="9">
      <c r="A9" t="n">
        <v>8</v>
      </c>
      <c r="B9" t="inlineStr">
        <is>
          <t>Ginkgo Biloba</t>
        </is>
      </c>
      <c r="C9" t="inlineStr">
        <is>
          <t>Panax Ginseng</t>
        </is>
      </c>
      <c r="D9" t="inlineStr">
        <is>
          <t>Black Cohosh</t>
        </is>
      </c>
      <c r="E9" t="inlineStr">
        <is>
          <t>Focus</t>
        </is>
      </c>
      <c r="F9" t="inlineStr">
        <is>
          <t>Low</t>
        </is>
      </c>
      <c r="G9" t="n">
        <v>89.59999999999999</v>
      </c>
      <c r="H9" t="n">
        <v>89.59999999999999</v>
      </c>
      <c r="J9" t="inlineStr">
        <is>
          <t>adaptogenic; cognitive-neuroprotective; gastrointestinal; inflammation; metabolic; neurotransmitter; oxidative-stress; vascular</t>
        </is>
      </c>
    </row>
    <row r="10">
      <c r="A10" t="n">
        <v>9</v>
      </c>
      <c r="B10" t="inlineStr">
        <is>
          <t>Ginkgo Biloba</t>
        </is>
      </c>
      <c r="C10" t="inlineStr">
        <is>
          <t>Chamomile</t>
        </is>
      </c>
      <c r="D10" t="inlineStr">
        <is>
          <t>Ashwagandha</t>
        </is>
      </c>
      <c r="E10" t="inlineStr">
        <is>
          <t>Focus</t>
        </is>
      </c>
      <c r="F10" t="inlineStr">
        <is>
          <t>Low</t>
        </is>
      </c>
      <c r="G10" t="n">
        <v>87.7</v>
      </c>
      <c r="H10" t="n">
        <v>87.7</v>
      </c>
      <c r="J10" t="inlineStr">
        <is>
          <t>adaptogenic; cognitive-neuroprotective; gastrointestinal; inflammation; neurotransmitter; oxidative-stress; vascular</t>
        </is>
      </c>
    </row>
    <row r="11">
      <c r="A11" t="n">
        <v>10</v>
      </c>
      <c r="B11" t="inlineStr">
        <is>
          <t>Ginkgo Biloba</t>
        </is>
      </c>
      <c r="C11" t="inlineStr">
        <is>
          <t>Panax Ginseng</t>
        </is>
      </c>
      <c r="D11" t="inlineStr">
        <is>
          <t>Black Pepper</t>
        </is>
      </c>
      <c r="E11" t="inlineStr">
        <is>
          <t>Focus</t>
        </is>
      </c>
      <c r="F11" t="inlineStr">
        <is>
          <t>Low</t>
        </is>
      </c>
      <c r="G11" t="n">
        <v>87.59999999999999</v>
      </c>
      <c r="H11" t="n">
        <v>87.59999999999999</v>
      </c>
      <c r="J11" t="inlineStr">
        <is>
          <t>adaptogenic; cognitive-neuroprotective; gastrointestinal; inflammation; metabolic; neurotransmitter; oxidative-stress; vascular</t>
        </is>
      </c>
    </row>
    <row r="12">
      <c r="A12" t="n">
        <v>11</v>
      </c>
      <c r="B12" t="inlineStr">
        <is>
          <t>Panax Ginseng</t>
        </is>
      </c>
      <c r="C12" t="inlineStr">
        <is>
          <t>Chinese Skullcap</t>
        </is>
      </c>
      <c r="D12" t="inlineStr">
        <is>
          <t>Ashwagandha</t>
        </is>
      </c>
      <c r="E12" t="inlineStr">
        <is>
          <t>Focus</t>
        </is>
      </c>
      <c r="F12" t="inlineStr">
        <is>
          <t>Low</t>
        </is>
      </c>
      <c r="G12" t="n">
        <v>86.7</v>
      </c>
      <c r="H12" t="n">
        <v>86.7</v>
      </c>
      <c r="J12" t="inlineStr">
        <is>
          <t>adaptogenic; cognitive-neuroprotective; gastrointestinal; inflammation; metabolic; neurotransmitter; oxidative-stress</t>
        </is>
      </c>
    </row>
    <row r="13">
      <c r="A13" t="n">
        <v>12</v>
      </c>
      <c r="B13" t="inlineStr">
        <is>
          <t>Ginkgo Biloba</t>
        </is>
      </c>
      <c r="C13" t="inlineStr">
        <is>
          <t>Panax Ginseng</t>
        </is>
      </c>
      <c r="D13" t="inlineStr">
        <is>
          <t>Corydalis</t>
        </is>
      </c>
      <c r="E13" t="inlineStr">
        <is>
          <t>Focus</t>
        </is>
      </c>
      <c r="F13" t="inlineStr">
        <is>
          <t>Low</t>
        </is>
      </c>
      <c r="G13" t="n">
        <v>86</v>
      </c>
      <c r="H13" t="n">
        <v>86</v>
      </c>
      <c r="J13" t="inlineStr">
        <is>
          <t>adaptogenic; cognitive-neuroprotective; gastrointestinal; inflammation; metabolic; neurotransmitter; oxidative-stress; vascular</t>
        </is>
      </c>
    </row>
    <row r="14">
      <c r="A14" t="n">
        <v>13</v>
      </c>
      <c r="B14" t="inlineStr">
        <is>
          <t>Ginkgo Biloba</t>
        </is>
      </c>
      <c r="C14" t="inlineStr">
        <is>
          <t>Green Tea</t>
        </is>
      </c>
      <c r="D14" t="inlineStr">
        <is>
          <t>Black Cohosh</t>
        </is>
      </c>
      <c r="E14" t="inlineStr">
        <is>
          <t>Focus</t>
        </is>
      </c>
      <c r="F14" t="inlineStr">
        <is>
          <t>Low</t>
        </is>
      </c>
      <c r="G14" t="n">
        <v>85.8</v>
      </c>
      <c r="H14" t="n">
        <v>85.8</v>
      </c>
      <c r="J14" t="inlineStr">
        <is>
          <t>cognitive-neuroprotective; gastrointestinal; inflammation; metabolic; neurotransmitter; oxidative-stress; vascular</t>
        </is>
      </c>
    </row>
    <row r="15">
      <c r="A15" t="n">
        <v>14</v>
      </c>
      <c r="B15" t="inlineStr">
        <is>
          <t>Ginkgo Biloba</t>
        </is>
      </c>
      <c r="C15" t="inlineStr">
        <is>
          <t>Ashwagandha</t>
        </is>
      </c>
      <c r="D15" t="inlineStr">
        <is>
          <t>Black Cohosh</t>
        </is>
      </c>
      <c r="E15" t="inlineStr">
        <is>
          <t>Stress</t>
        </is>
      </c>
      <c r="F15" t="inlineStr">
        <is>
          <t>Low</t>
        </is>
      </c>
      <c r="G15" t="n">
        <v>83.8</v>
      </c>
      <c r="H15" t="n">
        <v>83.8</v>
      </c>
      <c r="J15" t="inlineStr">
        <is>
          <t>adaptogenic; cognitive-neuroprotective; gastrointestinal; inflammation; oxidative-stress; vascular</t>
        </is>
      </c>
    </row>
    <row r="16">
      <c r="A16" t="n">
        <v>15</v>
      </c>
      <c r="B16" t="inlineStr">
        <is>
          <t>Panax Ginseng</t>
        </is>
      </c>
      <c r="C16" t="inlineStr">
        <is>
          <t>Epimedium</t>
        </is>
      </c>
      <c r="D16" t="inlineStr">
        <is>
          <t>Ashwagandha</t>
        </is>
      </c>
      <c r="E16" t="inlineStr">
        <is>
          <t>Focus</t>
        </is>
      </c>
      <c r="F16" t="inlineStr">
        <is>
          <t>Low</t>
        </is>
      </c>
      <c r="G16" t="n">
        <v>83.7</v>
      </c>
      <c r="H16" t="n">
        <v>83.7</v>
      </c>
      <c r="J16" t="inlineStr">
        <is>
          <t>adaptogenic; cognitive-neuroprotective; gastrointestinal; inflammation; metabolic; neurotransmitter; oxidative-stress; vascular</t>
        </is>
      </c>
    </row>
    <row r="17">
      <c r="A17" t="n">
        <v>16</v>
      </c>
      <c r="B17" t="inlineStr">
        <is>
          <t>Ginkgo Biloba</t>
        </is>
      </c>
      <c r="C17" t="inlineStr">
        <is>
          <t>Chamomile</t>
        </is>
      </c>
      <c r="D17" t="inlineStr">
        <is>
          <t>Chinese Skullcap</t>
        </is>
      </c>
      <c r="E17" t="inlineStr">
        <is>
          <t>Focus</t>
        </is>
      </c>
      <c r="F17" t="inlineStr">
        <is>
          <t>Low</t>
        </is>
      </c>
      <c r="G17" t="n">
        <v>83.2</v>
      </c>
      <c r="H17" t="n">
        <v>83.2</v>
      </c>
      <c r="J17" t="inlineStr">
        <is>
          <t>cognitive-neuroprotective; gastrointestinal; inflammation; neurotransmitter; oxidative-stress; vascular</t>
        </is>
      </c>
    </row>
    <row r="18">
      <c r="A18" t="n">
        <v>17</v>
      </c>
      <c r="B18" t="inlineStr">
        <is>
          <t>Ginkgo Biloba</t>
        </is>
      </c>
      <c r="C18" t="inlineStr">
        <is>
          <t>Green Tea</t>
        </is>
      </c>
      <c r="D18" t="inlineStr">
        <is>
          <t>Chinese Skullcap</t>
        </is>
      </c>
      <c r="E18" t="inlineStr">
        <is>
          <t>Focus</t>
        </is>
      </c>
      <c r="F18" t="inlineStr">
        <is>
          <t>Low</t>
        </is>
      </c>
      <c r="G18" t="n">
        <v>82.2</v>
      </c>
      <c r="H18" t="n">
        <v>82.2</v>
      </c>
      <c r="J18" t="inlineStr">
        <is>
          <t>cognitive-neuroprotective; inflammation; metabolic; neurotransmitter; oxidative-stress; vascular</t>
        </is>
      </c>
    </row>
    <row r="19">
      <c r="A19" t="n">
        <v>18</v>
      </c>
      <c r="B19" t="inlineStr">
        <is>
          <t>Panax Ginseng</t>
        </is>
      </c>
      <c r="C19" t="inlineStr">
        <is>
          <t>Chamomile</t>
        </is>
      </c>
      <c r="D19" t="inlineStr">
        <is>
          <t>Ashwagandha</t>
        </is>
      </c>
      <c r="E19" t="inlineStr">
        <is>
          <t>Focus</t>
        </is>
      </c>
      <c r="F19" t="inlineStr">
        <is>
          <t>Low</t>
        </is>
      </c>
      <c r="G19" t="n">
        <v>81</v>
      </c>
      <c r="H19" t="n">
        <v>81</v>
      </c>
      <c r="J19" t="inlineStr">
        <is>
          <t>adaptogenic; cognitive-neuroprotective; gastrointestinal; inflammation; metabolic; neurotransmitter; oxidative-stress</t>
        </is>
      </c>
    </row>
    <row r="20">
      <c r="A20" t="n">
        <v>19</v>
      </c>
      <c r="B20" t="inlineStr">
        <is>
          <t>Panax Ginseng</t>
        </is>
      </c>
      <c r="C20" t="inlineStr">
        <is>
          <t>Green Tea</t>
        </is>
      </c>
      <c r="D20" t="inlineStr">
        <is>
          <t>Ashwagandha</t>
        </is>
      </c>
      <c r="E20" t="inlineStr">
        <is>
          <t>Focus</t>
        </is>
      </c>
      <c r="F20" t="inlineStr">
        <is>
          <t>Low</t>
        </is>
      </c>
      <c r="G20" t="n">
        <v>81</v>
      </c>
      <c r="H20" t="n">
        <v>81</v>
      </c>
      <c r="J20" t="inlineStr">
        <is>
          <t>adaptogenic; cognitive-neuroprotective; gastrointestinal; inflammation; metabolic; neurotransmitter; oxidative-stress</t>
        </is>
      </c>
    </row>
    <row r="21">
      <c r="A21" t="n">
        <v>20</v>
      </c>
      <c r="B21" t="inlineStr">
        <is>
          <t>Ginkgo Biloba</t>
        </is>
      </c>
      <c r="C21" t="inlineStr">
        <is>
          <t>Green Tea</t>
        </is>
      </c>
      <c r="D21" t="inlineStr">
        <is>
          <t>Black Pepper</t>
        </is>
      </c>
      <c r="E21" t="inlineStr">
        <is>
          <t>Focus</t>
        </is>
      </c>
      <c r="F21" t="inlineStr">
        <is>
          <t>Low</t>
        </is>
      </c>
      <c r="G21" t="n">
        <v>80.8</v>
      </c>
      <c r="H21" t="n">
        <v>80.8</v>
      </c>
      <c r="J21" t="inlineStr">
        <is>
          <t>cognitive-neuroprotective; gastrointestinal; inflammation; metabolic; neurotransmitter; oxidative-stress; vascular</t>
        </is>
      </c>
    </row>
    <row r="22">
      <c r="A22" t="n">
        <v>21</v>
      </c>
      <c r="B22" t="inlineStr">
        <is>
          <t>Panax Ginseng</t>
        </is>
      </c>
      <c r="C22" t="inlineStr">
        <is>
          <t>Green Tea</t>
        </is>
      </c>
      <c r="D22" t="inlineStr">
        <is>
          <t>Chinese Skullcap</t>
        </is>
      </c>
      <c r="E22" t="inlineStr">
        <is>
          <t>Focus</t>
        </is>
      </c>
      <c r="F22" t="inlineStr">
        <is>
          <t>Low</t>
        </is>
      </c>
      <c r="G22" t="n">
        <v>80.59999999999999</v>
      </c>
      <c r="H22" t="n">
        <v>80.59999999999999</v>
      </c>
      <c r="J22" t="inlineStr">
        <is>
          <t>adaptogenic; cognitive-neuroprotective; gastrointestinal; inflammation; metabolic; neurotransmitter; oxidative-stress</t>
        </is>
      </c>
    </row>
    <row r="23">
      <c r="A23" t="n">
        <v>22</v>
      </c>
      <c r="B23" t="inlineStr">
        <is>
          <t>Panax Ginseng</t>
        </is>
      </c>
      <c r="C23" t="inlineStr">
        <is>
          <t>Green Tea</t>
        </is>
      </c>
      <c r="D23" t="inlineStr">
        <is>
          <t>Epimedium</t>
        </is>
      </c>
      <c r="E23" t="inlineStr">
        <is>
          <t>Focus</t>
        </is>
      </c>
      <c r="F23" t="inlineStr">
        <is>
          <t>Low</t>
        </is>
      </c>
      <c r="G23" t="n">
        <v>80.59999999999999</v>
      </c>
      <c r="H23" t="n">
        <v>80.59999999999999</v>
      </c>
      <c r="J23" t="inlineStr">
        <is>
          <t>adaptogenic; cognitive-neuroprotective; gastrointestinal; metabolic; neurotransmitter; oxidative-stress; vascular</t>
        </is>
      </c>
    </row>
    <row r="24">
      <c r="A24" t="n">
        <v>23</v>
      </c>
      <c r="B24" t="inlineStr">
        <is>
          <t>Ginkgo Biloba</t>
        </is>
      </c>
      <c r="C24" t="inlineStr">
        <is>
          <t>Panax Ginseng</t>
        </is>
      </c>
      <c r="D24" t="inlineStr">
        <is>
          <t>Epimedium</t>
        </is>
      </c>
      <c r="E24" t="inlineStr">
        <is>
          <t>Focus</t>
        </is>
      </c>
      <c r="F24" t="inlineStr">
        <is>
          <t>Low</t>
        </is>
      </c>
      <c r="G24" t="n">
        <v>80.09999999999999</v>
      </c>
      <c r="H24" t="n">
        <v>84.09999999999999</v>
      </c>
      <c r="I24" t="inlineStr">
        <is>
          <t>vascular</t>
        </is>
      </c>
      <c r="J24" t="inlineStr">
        <is>
          <t>adaptogenic; cognitive-neuroprotective; gastrointestinal; inflammation; metabolic; neurotransmitter; oxidative-stress; vascular</t>
        </is>
      </c>
    </row>
    <row r="25">
      <c r="A25" t="n">
        <v>24</v>
      </c>
      <c r="B25" t="inlineStr">
        <is>
          <t>Panax Ginseng</t>
        </is>
      </c>
      <c r="C25" t="inlineStr">
        <is>
          <t>Chamomile</t>
        </is>
      </c>
      <c r="D25" t="inlineStr">
        <is>
          <t>Black Cohosh</t>
        </is>
      </c>
      <c r="E25" t="inlineStr">
        <is>
          <t>Focus</t>
        </is>
      </c>
      <c r="F25" t="inlineStr">
        <is>
          <t>Low</t>
        </is>
      </c>
      <c r="G25" t="n">
        <v>80.09999999999999</v>
      </c>
      <c r="H25" t="n">
        <v>80.09999999999999</v>
      </c>
      <c r="J25" t="inlineStr">
        <is>
          <t>adaptogenic; cognitive-neuroprotective; gastrointestinal; inflammation; metabolic; neurotransmitter; oxidative-stress</t>
        </is>
      </c>
    </row>
    <row r="26">
      <c r="A26" t="n">
        <v>25</v>
      </c>
      <c r="B26" t="inlineStr">
        <is>
          <t>Ginkgo Biloba</t>
        </is>
      </c>
      <c r="C26" t="inlineStr">
        <is>
          <t>Chamomile</t>
        </is>
      </c>
      <c r="D26" t="inlineStr">
        <is>
          <t>Black Cohosh</t>
        </is>
      </c>
      <c r="E26" t="inlineStr">
        <is>
          <t>Focus</t>
        </is>
      </c>
      <c r="F26" t="inlineStr">
        <is>
          <t>Low</t>
        </is>
      </c>
      <c r="G26" t="n">
        <v>79.8</v>
      </c>
      <c r="H26" t="n">
        <v>79.8</v>
      </c>
      <c r="J26" t="inlineStr">
        <is>
          <t>cognitive-neuroprotective; gastrointestinal; inflammation; neurotransmitter; oxidative-stress; vascular</t>
        </is>
      </c>
    </row>
    <row r="27">
      <c r="A27" t="n">
        <v>26</v>
      </c>
      <c r="B27" t="inlineStr">
        <is>
          <t>Panax Ginseng</t>
        </is>
      </c>
      <c r="C27" t="inlineStr">
        <is>
          <t>Epimedium</t>
        </is>
      </c>
      <c r="D27" t="inlineStr">
        <is>
          <t>Black Cohosh</t>
        </is>
      </c>
      <c r="E27" t="inlineStr">
        <is>
          <t>Focus</t>
        </is>
      </c>
      <c r="F27" t="inlineStr">
        <is>
          <t>Low</t>
        </is>
      </c>
      <c r="G27" t="n">
        <v>79.8</v>
      </c>
      <c r="H27" t="n">
        <v>79.8</v>
      </c>
      <c r="J27" t="inlineStr">
        <is>
          <t>adaptogenic; cognitive-neuroprotective; gastrointestinal; inflammation; metabolic; neurotransmitter; oxidative-stress; vascular</t>
        </is>
      </c>
    </row>
    <row r="28">
      <c r="A28" t="n">
        <v>27</v>
      </c>
      <c r="B28" t="inlineStr">
        <is>
          <t>Ginkgo Biloba</t>
        </is>
      </c>
      <c r="C28" t="inlineStr">
        <is>
          <t>Chinese Skullcap</t>
        </is>
      </c>
      <c r="D28" t="inlineStr">
        <is>
          <t>Ashwagandha</t>
        </is>
      </c>
      <c r="E28" t="inlineStr">
        <is>
          <t>Stress</t>
        </is>
      </c>
      <c r="F28" t="inlineStr">
        <is>
          <t>Low</t>
        </is>
      </c>
      <c r="G28" t="n">
        <v>79.3</v>
      </c>
      <c r="H28" t="n">
        <v>79.3</v>
      </c>
      <c r="J28" t="inlineStr">
        <is>
          <t>adaptogenic; cognitive-neuroprotective; inflammation; oxidative-stress; vascular</t>
        </is>
      </c>
    </row>
    <row r="29">
      <c r="A29" t="n">
        <v>28</v>
      </c>
      <c r="B29" t="inlineStr">
        <is>
          <t>Panax Ginseng</t>
        </is>
      </c>
      <c r="C29" t="inlineStr">
        <is>
          <t>Green Tea</t>
        </is>
      </c>
      <c r="D29" t="inlineStr">
        <is>
          <t>Black Cohosh</t>
        </is>
      </c>
      <c r="E29" t="inlineStr">
        <is>
          <t>Focus</t>
        </is>
      </c>
      <c r="F29" t="inlineStr">
        <is>
          <t>Low</t>
        </is>
      </c>
      <c r="G29" t="n">
        <v>79.09999999999999</v>
      </c>
      <c r="H29" t="n">
        <v>79.09999999999999</v>
      </c>
      <c r="J29" t="inlineStr">
        <is>
          <t>adaptogenic; cognitive-neuroprotective; gastrointestinal; inflammation; metabolic; neurotransmitter; oxidative-stress</t>
        </is>
      </c>
    </row>
    <row r="30">
      <c r="A30" t="n">
        <v>29</v>
      </c>
      <c r="B30" t="inlineStr">
        <is>
          <t>Panax Ginseng</t>
        </is>
      </c>
      <c r="C30" t="inlineStr">
        <is>
          <t>Chamomile</t>
        </is>
      </c>
      <c r="D30" t="inlineStr">
        <is>
          <t>Epimedium</t>
        </is>
      </c>
      <c r="E30" t="inlineStr">
        <is>
          <t>Focus</t>
        </is>
      </c>
      <c r="F30" t="inlineStr">
        <is>
          <t>Low</t>
        </is>
      </c>
      <c r="G30" t="n">
        <v>78.59999999999999</v>
      </c>
      <c r="H30" t="n">
        <v>78.59999999999999</v>
      </c>
      <c r="J30" t="inlineStr">
        <is>
          <t>adaptogenic; cognitive-neuroprotective; gastrointestinal; inflammation; metabolic; neurotransmitter; vascular</t>
        </is>
      </c>
    </row>
    <row r="31">
      <c r="A31" t="n">
        <v>30</v>
      </c>
      <c r="B31" t="inlineStr">
        <is>
          <t>Ginkgo Biloba</t>
        </is>
      </c>
      <c r="C31" t="inlineStr">
        <is>
          <t>Green Tea</t>
        </is>
      </c>
      <c r="D31" t="inlineStr">
        <is>
          <t>Turmeric</t>
        </is>
      </c>
      <c r="E31" t="inlineStr">
        <is>
          <t>Focus</t>
        </is>
      </c>
      <c r="F31" t="inlineStr">
        <is>
          <t>Low</t>
        </is>
      </c>
      <c r="G31" t="n">
        <v>78.5</v>
      </c>
      <c r="H31" t="n">
        <v>78.5</v>
      </c>
      <c r="J31" t="inlineStr">
        <is>
          <t>cognitive-neuroprotective; inflammation; metabolic; neurotransmitter; oxidative-stress; vascular</t>
        </is>
      </c>
    </row>
    <row r="32">
      <c r="A32" t="n">
        <v>31</v>
      </c>
      <c r="B32" t="inlineStr">
        <is>
          <t>Panax Ginseng</t>
        </is>
      </c>
      <c r="C32" t="inlineStr">
        <is>
          <t>Ashwagandha</t>
        </is>
      </c>
      <c r="D32" t="inlineStr">
        <is>
          <t>Turmeric</t>
        </is>
      </c>
      <c r="E32" t="inlineStr">
        <is>
          <t>Focus</t>
        </is>
      </c>
      <c r="F32" t="inlineStr">
        <is>
          <t>Low</t>
        </is>
      </c>
      <c r="G32" t="n">
        <v>78</v>
      </c>
      <c r="H32" t="n">
        <v>78</v>
      </c>
      <c r="J32" t="inlineStr">
        <is>
          <t>adaptogenic; cognitive-neuroprotective; gastrointestinal; inflammation; metabolic; neurotransmitter; oxidative-stress</t>
        </is>
      </c>
    </row>
    <row r="33">
      <c r="A33" t="n">
        <v>32</v>
      </c>
      <c r="B33" t="inlineStr">
        <is>
          <t>Panax Ginseng</t>
        </is>
      </c>
      <c r="C33" t="inlineStr">
        <is>
          <t>Chinese Skullcap</t>
        </is>
      </c>
      <c r="D33" t="inlineStr">
        <is>
          <t>Epimedium</t>
        </is>
      </c>
      <c r="E33" t="inlineStr">
        <is>
          <t>Focus</t>
        </is>
      </c>
      <c r="F33" t="inlineStr">
        <is>
          <t>Low</t>
        </is>
      </c>
      <c r="G33" t="n">
        <v>77.3</v>
      </c>
      <c r="H33" t="n">
        <v>77.3</v>
      </c>
      <c r="J33" t="inlineStr">
        <is>
          <t>adaptogenic; cognitive-neuroprotective; gastrointestinal; inflammation; metabolic; neurotransmitter; vascular</t>
        </is>
      </c>
    </row>
    <row r="34">
      <c r="A34" t="n">
        <v>33</v>
      </c>
      <c r="B34" t="inlineStr">
        <is>
          <t>Ginkgo Biloba</t>
        </is>
      </c>
      <c r="C34" t="inlineStr">
        <is>
          <t>Green Tea</t>
        </is>
      </c>
      <c r="D34" t="inlineStr">
        <is>
          <t>Blue Lotus</t>
        </is>
      </c>
      <c r="E34" t="inlineStr">
        <is>
          <t>Focus</t>
        </is>
      </c>
      <c r="F34" t="inlineStr">
        <is>
          <t>Low</t>
        </is>
      </c>
      <c r="G34" t="n">
        <v>76.90000000000001</v>
      </c>
      <c r="H34" t="n">
        <v>76.90000000000001</v>
      </c>
      <c r="J34" t="inlineStr">
        <is>
          <t>cognitive-neuroprotective; inflammation; metabolic; neurotransmitter; oxidative-stress; vascular</t>
        </is>
      </c>
    </row>
    <row r="35">
      <c r="A35" t="n">
        <v>34</v>
      </c>
      <c r="B35" t="inlineStr">
        <is>
          <t>Ginkgo Biloba</t>
        </is>
      </c>
      <c r="C35" t="inlineStr">
        <is>
          <t>Chamomile</t>
        </is>
      </c>
      <c r="D35" t="inlineStr">
        <is>
          <t>Turmeric</t>
        </is>
      </c>
      <c r="E35" t="inlineStr">
        <is>
          <t>Focus</t>
        </is>
      </c>
      <c r="F35" t="inlineStr">
        <is>
          <t>Low</t>
        </is>
      </c>
      <c r="G35" t="n">
        <v>76.5</v>
      </c>
      <c r="H35" t="n">
        <v>76.5</v>
      </c>
      <c r="J35" t="inlineStr">
        <is>
          <t>cognitive-neuroprotective; gastrointestinal; inflammation; neurotransmitter; oxidative-stress; vascular</t>
        </is>
      </c>
    </row>
    <row r="36">
      <c r="A36" t="n">
        <v>35</v>
      </c>
      <c r="B36" t="inlineStr">
        <is>
          <t>Green Tea</t>
        </is>
      </c>
      <c r="C36" t="inlineStr">
        <is>
          <t>Ashwagandha</t>
        </is>
      </c>
      <c r="D36" t="inlineStr">
        <is>
          <t>Black Cohosh</t>
        </is>
      </c>
      <c r="E36" t="inlineStr">
        <is>
          <t>Focus</t>
        </is>
      </c>
      <c r="F36" t="inlineStr">
        <is>
          <t>Low</t>
        </is>
      </c>
      <c r="G36" t="n">
        <v>76.3</v>
      </c>
      <c r="H36" t="n">
        <v>76.3</v>
      </c>
      <c r="J36" t="inlineStr">
        <is>
          <t>adaptogenic; cognitive-neuroprotective; gastrointestinal; inflammation; metabolic; neurotransmitter; oxidative-stress</t>
        </is>
      </c>
    </row>
    <row r="37">
      <c r="A37" t="n">
        <v>36</v>
      </c>
      <c r="B37" t="inlineStr">
        <is>
          <t>Panax Ginseng</t>
        </is>
      </c>
      <c r="C37" t="inlineStr">
        <is>
          <t>Ashwagandha</t>
        </is>
      </c>
      <c r="D37" t="inlineStr">
        <is>
          <t>Blue Lotus</t>
        </is>
      </c>
      <c r="E37" t="inlineStr">
        <is>
          <t>Focus</t>
        </is>
      </c>
      <c r="F37" t="inlineStr">
        <is>
          <t>Low</t>
        </is>
      </c>
      <c r="G37" t="n">
        <v>76.3</v>
      </c>
      <c r="H37" t="n">
        <v>76.3</v>
      </c>
      <c r="J37" t="inlineStr">
        <is>
          <t>adaptogenic; cognitive-neuroprotective; gastrointestinal; inflammation; metabolic; neurotransmitter; oxidative-stress</t>
        </is>
      </c>
    </row>
    <row r="38">
      <c r="A38" t="n">
        <v>37</v>
      </c>
      <c r="B38" t="inlineStr">
        <is>
          <t>Ginkgo Biloba</t>
        </is>
      </c>
      <c r="C38" t="inlineStr">
        <is>
          <t>Ashwagandha</t>
        </is>
      </c>
      <c r="D38" t="inlineStr">
        <is>
          <t>Corydalis</t>
        </is>
      </c>
      <c r="E38" t="inlineStr">
        <is>
          <t>Focus</t>
        </is>
      </c>
      <c r="F38" t="inlineStr">
        <is>
          <t>Low</t>
        </is>
      </c>
      <c r="G38" t="n">
        <v>76.2</v>
      </c>
      <c r="H38" t="n">
        <v>76.2</v>
      </c>
      <c r="J38" t="inlineStr">
        <is>
          <t>adaptogenic; cognitive-neuroprotective; gastrointestinal; inflammation; neurotransmitter; oxidative-stress; vascular</t>
        </is>
      </c>
    </row>
    <row r="39">
      <c r="A39" t="n">
        <v>38</v>
      </c>
      <c r="B39" t="inlineStr">
        <is>
          <t>Panax Ginseng</t>
        </is>
      </c>
      <c r="C39" t="inlineStr">
        <is>
          <t>Black Cohosh</t>
        </is>
      </c>
      <c r="D39" t="inlineStr">
        <is>
          <t>Black Pepper</t>
        </is>
      </c>
      <c r="E39" t="inlineStr">
        <is>
          <t>Focus</t>
        </is>
      </c>
      <c r="F39" t="inlineStr">
        <is>
          <t>Low</t>
        </is>
      </c>
      <c r="G39" t="n">
        <v>75.3</v>
      </c>
      <c r="H39" t="n">
        <v>75.3</v>
      </c>
      <c r="J39" t="inlineStr">
        <is>
          <t>adaptogenic; cognitive-neuroprotective; gastrointestinal; inflammation; metabolic; neurotransmitter; oxidative-stress</t>
        </is>
      </c>
    </row>
    <row r="40">
      <c r="A40" t="n">
        <v>39</v>
      </c>
      <c r="B40" t="inlineStr">
        <is>
          <t>Ginkgo Biloba</t>
        </is>
      </c>
      <c r="C40" t="inlineStr">
        <is>
          <t>Chamomile</t>
        </is>
      </c>
      <c r="D40" t="inlineStr">
        <is>
          <t>Blue Lotus</t>
        </is>
      </c>
      <c r="E40" t="inlineStr">
        <is>
          <t>Focus</t>
        </is>
      </c>
      <c r="F40" t="inlineStr">
        <is>
          <t>Low</t>
        </is>
      </c>
      <c r="G40" t="n">
        <v>74.90000000000001</v>
      </c>
      <c r="H40" t="n">
        <v>74.90000000000001</v>
      </c>
      <c r="J40" t="inlineStr">
        <is>
          <t>cognitive-neuroprotective; gastrointestinal; inflammation; neurotransmitter; oxidative-stress; vascular</t>
        </is>
      </c>
    </row>
    <row r="41">
      <c r="A41" t="n">
        <v>40</v>
      </c>
      <c r="B41" t="inlineStr">
        <is>
          <t>Panax Ginseng</t>
        </is>
      </c>
      <c r="C41" t="inlineStr">
        <is>
          <t>Green Tea</t>
        </is>
      </c>
      <c r="D41" t="inlineStr">
        <is>
          <t>Turmeric</t>
        </is>
      </c>
      <c r="E41" t="inlineStr">
        <is>
          <t>Focus</t>
        </is>
      </c>
      <c r="F41" t="inlineStr">
        <is>
          <t>Low</t>
        </is>
      </c>
      <c r="G41" t="n">
        <v>74.8</v>
      </c>
      <c r="H41" t="n">
        <v>74.8</v>
      </c>
      <c r="J41" t="inlineStr">
        <is>
          <t>adaptogenic; cognitive-neuroprotective; gastrointestinal; metabolic; neurotransmitter; oxidative-stress</t>
        </is>
      </c>
    </row>
    <row r="42">
      <c r="A42" t="n">
        <v>41</v>
      </c>
      <c r="B42" t="inlineStr">
        <is>
          <t>Panax Ginseng</t>
        </is>
      </c>
      <c r="C42" t="inlineStr">
        <is>
          <t>Chamomile</t>
        </is>
      </c>
      <c r="D42" t="inlineStr">
        <is>
          <t>Chinese Skullcap</t>
        </is>
      </c>
      <c r="E42" t="inlineStr">
        <is>
          <t>Focus</t>
        </is>
      </c>
      <c r="F42" t="inlineStr">
        <is>
          <t>Low</t>
        </is>
      </c>
      <c r="G42" t="n">
        <v>74.59999999999999</v>
      </c>
      <c r="H42" t="n">
        <v>74.59999999999999</v>
      </c>
      <c r="J42" t="inlineStr">
        <is>
          <t>adaptogenic; cognitive-neuroprotective; gastrointestinal; inflammation; metabolic; neurotransmitter</t>
        </is>
      </c>
    </row>
    <row r="43">
      <c r="A43" t="n">
        <v>42</v>
      </c>
      <c r="B43" t="inlineStr">
        <is>
          <t>Ginkgo Biloba</t>
        </is>
      </c>
      <c r="C43" t="inlineStr">
        <is>
          <t>Chinese Skullcap</t>
        </is>
      </c>
      <c r="D43" t="inlineStr">
        <is>
          <t>Black Cohosh</t>
        </is>
      </c>
      <c r="E43" t="inlineStr">
        <is>
          <t>Recovery</t>
        </is>
      </c>
      <c r="F43" t="inlineStr">
        <is>
          <t>Low</t>
        </is>
      </c>
      <c r="G43" t="n">
        <v>74.5</v>
      </c>
      <c r="H43" t="n">
        <v>74.5</v>
      </c>
      <c r="J43" t="inlineStr">
        <is>
          <t>cognitive-neuroprotective; gastrointestinal; inflammation; oxidative-stress; vascular</t>
        </is>
      </c>
    </row>
    <row r="44">
      <c r="A44" t="n">
        <v>43</v>
      </c>
      <c r="B44" t="inlineStr">
        <is>
          <t>Panax Ginseng</t>
        </is>
      </c>
      <c r="C44" t="inlineStr">
        <is>
          <t>Ashwagandha</t>
        </is>
      </c>
      <c r="D44" t="inlineStr">
        <is>
          <t>Black Cohosh</t>
        </is>
      </c>
      <c r="E44" t="inlineStr">
        <is>
          <t>Focus</t>
        </is>
      </c>
      <c r="F44" t="inlineStr">
        <is>
          <t>Low</t>
        </is>
      </c>
      <c r="G44" t="n">
        <v>74.2</v>
      </c>
      <c r="H44" t="n">
        <v>74.2</v>
      </c>
      <c r="J44" t="inlineStr">
        <is>
          <t>adaptogenic; cognitive-neuroprotective; gastrointestinal; inflammation; metabolic; neurotransmitter; oxidative-stress</t>
        </is>
      </c>
    </row>
    <row r="45">
      <c r="A45" t="n">
        <v>44</v>
      </c>
      <c r="B45" t="inlineStr">
        <is>
          <t>Panax Ginseng</t>
        </is>
      </c>
      <c r="C45" t="inlineStr">
        <is>
          <t>Ashwagandha</t>
        </is>
      </c>
      <c r="D45" t="inlineStr">
        <is>
          <t>Black Pepper</t>
        </is>
      </c>
      <c r="E45" t="inlineStr">
        <is>
          <t>Focus</t>
        </is>
      </c>
      <c r="F45" t="inlineStr">
        <is>
          <t>Low</t>
        </is>
      </c>
      <c r="G45" t="n">
        <v>74.2</v>
      </c>
      <c r="H45" t="n">
        <v>74.2</v>
      </c>
      <c r="J45" t="inlineStr">
        <is>
          <t>adaptogenic; cognitive-neuroprotective; gastrointestinal; inflammation; metabolic; neurotransmitter; oxidative-stress</t>
        </is>
      </c>
    </row>
    <row r="46">
      <c r="A46" t="n">
        <v>45</v>
      </c>
      <c r="B46" t="inlineStr">
        <is>
          <t>Panax Ginseng</t>
        </is>
      </c>
      <c r="C46" t="inlineStr">
        <is>
          <t>Chamomile</t>
        </is>
      </c>
      <c r="D46" t="inlineStr">
        <is>
          <t>Black Pepper</t>
        </is>
      </c>
      <c r="E46" t="inlineStr">
        <is>
          <t>Focus</t>
        </is>
      </c>
      <c r="F46" t="inlineStr">
        <is>
          <t>Low</t>
        </is>
      </c>
      <c r="G46" t="n">
        <v>74.09999999999999</v>
      </c>
      <c r="H46" t="n">
        <v>74.09999999999999</v>
      </c>
      <c r="J46" t="inlineStr">
        <is>
          <t>adaptogenic; cognitive-neuroprotective; gastrointestinal; inflammation; metabolic; neurotransmitter</t>
        </is>
      </c>
    </row>
    <row r="47">
      <c r="A47" t="n">
        <v>46</v>
      </c>
      <c r="B47" t="inlineStr">
        <is>
          <t>Panax Ginseng</t>
        </is>
      </c>
      <c r="C47" t="inlineStr">
        <is>
          <t>Turmeric</t>
        </is>
      </c>
      <c r="D47" t="inlineStr">
        <is>
          <t>Black Cohosh</t>
        </is>
      </c>
      <c r="E47" t="inlineStr">
        <is>
          <t>Focus</t>
        </is>
      </c>
      <c r="F47" t="inlineStr">
        <is>
          <t>Low</t>
        </is>
      </c>
      <c r="G47" t="n">
        <v>74</v>
      </c>
      <c r="H47" t="n">
        <v>74</v>
      </c>
      <c r="J47" t="inlineStr">
        <is>
          <t>adaptogenic; cognitive-neuroprotective; gastrointestinal; inflammation; metabolic; neurotransmitter; oxidative-stress</t>
        </is>
      </c>
    </row>
    <row r="48">
      <c r="A48" t="n">
        <v>47</v>
      </c>
      <c r="B48" t="inlineStr">
        <is>
          <t>Chamomile</t>
        </is>
      </c>
      <c r="C48" t="inlineStr">
        <is>
          <t>Chinese Skullcap</t>
        </is>
      </c>
      <c r="D48" t="inlineStr">
        <is>
          <t>Ashwagandha</t>
        </is>
      </c>
      <c r="E48" t="inlineStr">
        <is>
          <t>Focus</t>
        </is>
      </c>
      <c r="F48" t="inlineStr">
        <is>
          <t>Low</t>
        </is>
      </c>
      <c r="G48" t="n">
        <v>73.8</v>
      </c>
      <c r="H48" t="n">
        <v>73.8</v>
      </c>
      <c r="J48" t="inlineStr">
        <is>
          <t>adaptogenic; cognitive-neuroprotective; gastrointestinal; inflammation; neurotransmitter; oxidative-stress</t>
        </is>
      </c>
    </row>
    <row r="49">
      <c r="A49" t="n">
        <v>48</v>
      </c>
      <c r="B49" t="inlineStr">
        <is>
          <t>Panax Ginseng</t>
        </is>
      </c>
      <c r="C49" t="inlineStr">
        <is>
          <t>Chinese Skullcap</t>
        </is>
      </c>
      <c r="D49" t="inlineStr">
        <is>
          <t>Black Cohosh</t>
        </is>
      </c>
      <c r="E49" t="inlineStr">
        <is>
          <t>Focus</t>
        </is>
      </c>
      <c r="F49" t="inlineStr">
        <is>
          <t>Low</t>
        </is>
      </c>
      <c r="G49" t="n">
        <v>73.8</v>
      </c>
      <c r="H49" t="n">
        <v>73.8</v>
      </c>
      <c r="J49" t="inlineStr">
        <is>
          <t>adaptogenic; cognitive-neuroprotective; gastrointestinal; inflammation; metabolic; neurotransmitter; oxidative-stress</t>
        </is>
      </c>
    </row>
    <row r="50">
      <c r="A50" t="n">
        <v>49</v>
      </c>
      <c r="B50" t="inlineStr">
        <is>
          <t>Panax Ginseng</t>
        </is>
      </c>
      <c r="C50" t="inlineStr">
        <is>
          <t>Black Cohosh</t>
        </is>
      </c>
      <c r="D50" t="inlineStr">
        <is>
          <t>Corydalis</t>
        </is>
      </c>
      <c r="E50" t="inlineStr">
        <is>
          <t>Focus</t>
        </is>
      </c>
      <c r="F50" t="inlineStr">
        <is>
          <t>Low</t>
        </is>
      </c>
      <c r="G50" t="n">
        <v>73.7</v>
      </c>
      <c r="H50" t="n">
        <v>73.7</v>
      </c>
      <c r="J50" t="inlineStr">
        <is>
          <t>adaptogenic; cognitive-neuroprotective; gastrointestinal; inflammation; metabolic; neurotransmitter; oxidative-stress</t>
        </is>
      </c>
    </row>
    <row r="51">
      <c r="A51" t="n">
        <v>50</v>
      </c>
      <c r="B51" t="inlineStr">
        <is>
          <t>Panax Ginseng</t>
        </is>
      </c>
      <c r="C51" t="inlineStr">
        <is>
          <t>Green Tea</t>
        </is>
      </c>
      <c r="D51" t="inlineStr">
        <is>
          <t>Blue Lotus</t>
        </is>
      </c>
      <c r="E51" t="inlineStr">
        <is>
          <t>Focus</t>
        </is>
      </c>
      <c r="F51" t="inlineStr">
        <is>
          <t>Low</t>
        </is>
      </c>
      <c r="G51" t="n">
        <v>73.2</v>
      </c>
      <c r="H51" t="n">
        <v>73.2</v>
      </c>
      <c r="J51" t="inlineStr">
        <is>
          <t>adaptogenic; cognitive-neuroprotective; gastrointestinal; metabolic; neurotransmitter; oxidative-stress</t>
        </is>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Risk Tier</t>
        </is>
      </c>
      <c r="F1" t="inlineStr">
        <is>
          <t>Refined Stack Score</t>
        </is>
      </c>
      <c r="G1" t="inlineStr">
        <is>
          <t>Repeated Flags</t>
        </is>
      </c>
      <c r="H1" t="inlineStr">
        <is>
          <t>Union Buckets</t>
        </is>
      </c>
    </row>
    <row r="2">
      <c r="A2" t="n">
        <v>1</v>
      </c>
      <c r="B2" t="inlineStr">
        <is>
          <t>Ginkgo Biloba</t>
        </is>
      </c>
      <c r="C2" t="inlineStr">
        <is>
          <t>Panax Ginseng</t>
        </is>
      </c>
      <c r="D2" t="inlineStr">
        <is>
          <t>Ashwagandha</t>
        </is>
      </c>
      <c r="E2" t="inlineStr">
        <is>
          <t>Low</t>
        </is>
      </c>
      <c r="F2" t="n">
        <v>100.5</v>
      </c>
      <c r="H2" t="inlineStr">
        <is>
          <t>adaptogenic; cognitive-neuroprotective; gastrointestinal; inflammation; metabolic; neurotransmitter; oxidative-stress; vascular</t>
        </is>
      </c>
    </row>
    <row r="3">
      <c r="A3" t="n">
        <v>2</v>
      </c>
      <c r="B3" t="inlineStr">
        <is>
          <t>Ginkgo Biloba</t>
        </is>
      </c>
      <c r="C3" t="inlineStr">
        <is>
          <t>Panax Ginseng</t>
        </is>
      </c>
      <c r="D3" t="inlineStr">
        <is>
          <t>Chinese Skullcap</t>
        </is>
      </c>
      <c r="E3" t="inlineStr">
        <is>
          <t>Low</t>
        </is>
      </c>
      <c r="F3" t="n">
        <v>100.1</v>
      </c>
      <c r="H3" t="inlineStr">
        <is>
          <t>adaptogenic; cognitive-neuroprotective; gastrointestinal; inflammation; metabolic; neurotransmitter; oxidative-stress; vascular</t>
        </is>
      </c>
    </row>
    <row r="4">
      <c r="A4" t="n">
        <v>3</v>
      </c>
      <c r="B4" t="inlineStr">
        <is>
          <t>Ginkgo Biloba</t>
        </is>
      </c>
      <c r="C4" t="inlineStr">
        <is>
          <t>Panax Ginseng</t>
        </is>
      </c>
      <c r="D4" t="inlineStr">
        <is>
          <t>Green Tea</t>
        </is>
      </c>
      <c r="E4" t="inlineStr">
        <is>
          <t>Low</t>
        </is>
      </c>
      <c r="F4" t="n">
        <v>96.40000000000001</v>
      </c>
      <c r="H4" t="inlineStr">
        <is>
          <t>adaptogenic; cognitive-neuroprotective; gastrointestinal; inflammation; metabolic; neurotransmitter; oxidative-stress; vascular</t>
        </is>
      </c>
    </row>
    <row r="5">
      <c r="A5" t="n">
        <v>4</v>
      </c>
      <c r="B5" t="inlineStr">
        <is>
          <t>Ginkgo Biloba</t>
        </is>
      </c>
      <c r="C5" t="inlineStr">
        <is>
          <t>Panax Ginseng</t>
        </is>
      </c>
      <c r="D5" t="inlineStr">
        <is>
          <t>Chamomile</t>
        </is>
      </c>
      <c r="E5" t="inlineStr">
        <is>
          <t>Low</t>
        </is>
      </c>
      <c r="F5" t="n">
        <v>94.40000000000001</v>
      </c>
      <c r="H5" t="inlineStr">
        <is>
          <t>adaptogenic; cognitive-neuroprotective; gastrointestinal; inflammation; metabolic; neurotransmitter; oxidative-stress; vascular</t>
        </is>
      </c>
    </row>
    <row r="6">
      <c r="A6" t="n">
        <v>5</v>
      </c>
      <c r="B6" t="inlineStr">
        <is>
          <t>Ginkgo Biloba</t>
        </is>
      </c>
      <c r="C6" t="inlineStr">
        <is>
          <t>Green Tea</t>
        </is>
      </c>
      <c r="D6" t="inlineStr">
        <is>
          <t>Ashwagandha</t>
        </is>
      </c>
      <c r="E6" t="inlineStr">
        <is>
          <t>Low</t>
        </is>
      </c>
      <c r="F6" t="n">
        <v>91.7</v>
      </c>
      <c r="H6" t="inlineStr">
        <is>
          <t>adaptogenic; cognitive-neuroprotective; inflammation; metabolic; neurotransmitter; oxidative-stress; vascular</t>
        </is>
      </c>
    </row>
    <row r="7">
      <c r="A7" t="n">
        <v>6</v>
      </c>
      <c r="B7" t="inlineStr">
        <is>
          <t>Ginkgo Biloba</t>
        </is>
      </c>
      <c r="C7" t="inlineStr">
        <is>
          <t>Panax Ginseng</t>
        </is>
      </c>
      <c r="D7" t="inlineStr">
        <is>
          <t>Turmeric</t>
        </is>
      </c>
      <c r="E7" t="inlineStr">
        <is>
          <t>Low</t>
        </is>
      </c>
      <c r="F7" t="n">
        <v>91.3</v>
      </c>
      <c r="H7" t="inlineStr">
        <is>
          <t>adaptogenic; cognitive-neuroprotective; gastrointestinal; inflammation; metabolic; neurotransmitter; oxidative-stress; vascular</t>
        </is>
      </c>
    </row>
    <row r="8">
      <c r="A8" t="n">
        <v>7</v>
      </c>
      <c r="B8" t="inlineStr">
        <is>
          <t>Ginkgo Biloba</t>
        </is>
      </c>
      <c r="C8" t="inlineStr">
        <is>
          <t>Panax Ginseng</t>
        </is>
      </c>
      <c r="D8" t="inlineStr">
        <is>
          <t>Blue Lotus</t>
        </is>
      </c>
      <c r="E8" t="inlineStr">
        <is>
          <t>Low</t>
        </is>
      </c>
      <c r="F8" t="n">
        <v>89.8</v>
      </c>
      <c r="H8" t="inlineStr">
        <is>
          <t>adaptogenic; cognitive-neuroprotective; gastrointestinal; inflammation; metabolic; neurotransmitter; oxidative-stress; vascular</t>
        </is>
      </c>
    </row>
    <row r="9">
      <c r="A9" t="n">
        <v>8</v>
      </c>
      <c r="B9" t="inlineStr">
        <is>
          <t>Ginkgo Biloba</t>
        </is>
      </c>
      <c r="C9" t="inlineStr">
        <is>
          <t>Panax Ginseng</t>
        </is>
      </c>
      <c r="D9" t="inlineStr">
        <is>
          <t>Black Cohosh</t>
        </is>
      </c>
      <c r="E9" t="inlineStr">
        <is>
          <t>Low</t>
        </is>
      </c>
      <c r="F9" t="n">
        <v>89.59999999999999</v>
      </c>
      <c r="H9" t="inlineStr">
        <is>
          <t>adaptogenic; cognitive-neuroprotective; gastrointestinal; inflammation; metabolic; neurotransmitter; oxidative-stress; vascular</t>
        </is>
      </c>
    </row>
    <row r="10">
      <c r="A10" t="n">
        <v>9</v>
      </c>
      <c r="B10" t="inlineStr">
        <is>
          <t>Ginkgo Biloba</t>
        </is>
      </c>
      <c r="C10" t="inlineStr">
        <is>
          <t>Chamomile</t>
        </is>
      </c>
      <c r="D10" t="inlineStr">
        <is>
          <t>Ashwagandha</t>
        </is>
      </c>
      <c r="E10" t="inlineStr">
        <is>
          <t>Low</t>
        </is>
      </c>
      <c r="F10" t="n">
        <v>87.7</v>
      </c>
      <c r="H10" t="inlineStr">
        <is>
          <t>adaptogenic; cognitive-neuroprotective; gastrointestinal; inflammation; neurotransmitter; oxidative-stress; vascular</t>
        </is>
      </c>
    </row>
    <row r="11">
      <c r="A11" t="n">
        <v>10</v>
      </c>
      <c r="B11" t="inlineStr">
        <is>
          <t>Ginkgo Biloba</t>
        </is>
      </c>
      <c r="C11" t="inlineStr">
        <is>
          <t>Panax Ginseng</t>
        </is>
      </c>
      <c r="D11" t="inlineStr">
        <is>
          <t>Black Pepper</t>
        </is>
      </c>
      <c r="E11" t="inlineStr">
        <is>
          <t>Low</t>
        </is>
      </c>
      <c r="F11" t="n">
        <v>87.59999999999999</v>
      </c>
      <c r="H11" t="inlineStr">
        <is>
          <t>adaptogenic; cognitive-neuroprotective; gastrointestinal; inflammation; metabolic; neurotransmitter; oxidative-stress; vascular</t>
        </is>
      </c>
    </row>
    <row r="12">
      <c r="A12" t="n">
        <v>11</v>
      </c>
      <c r="B12" t="inlineStr">
        <is>
          <t>Panax Ginseng</t>
        </is>
      </c>
      <c r="C12" t="inlineStr">
        <is>
          <t>Chinese Skullcap</t>
        </is>
      </c>
      <c r="D12" t="inlineStr">
        <is>
          <t>Ashwagandha</t>
        </is>
      </c>
      <c r="E12" t="inlineStr">
        <is>
          <t>Low</t>
        </is>
      </c>
      <c r="F12" t="n">
        <v>86.7</v>
      </c>
      <c r="H12" t="inlineStr">
        <is>
          <t>adaptogenic; cognitive-neuroprotective; gastrointestinal; inflammation; metabolic; neurotransmitter; oxidative-stress</t>
        </is>
      </c>
    </row>
    <row r="13">
      <c r="A13" t="n">
        <v>12</v>
      </c>
      <c r="B13" t="inlineStr">
        <is>
          <t>Ginkgo Biloba</t>
        </is>
      </c>
      <c r="C13" t="inlineStr">
        <is>
          <t>Panax Ginseng</t>
        </is>
      </c>
      <c r="D13" t="inlineStr">
        <is>
          <t>Corydalis</t>
        </is>
      </c>
      <c r="E13" t="inlineStr">
        <is>
          <t>Low</t>
        </is>
      </c>
      <c r="F13" t="n">
        <v>86</v>
      </c>
      <c r="H13" t="inlineStr">
        <is>
          <t>adaptogenic; cognitive-neuroprotective; gastrointestinal; inflammation; metabolic; neurotransmitter; oxidative-stress; vascular</t>
        </is>
      </c>
    </row>
    <row r="14">
      <c r="A14" t="n">
        <v>13</v>
      </c>
      <c r="B14" t="inlineStr">
        <is>
          <t>Ginkgo Biloba</t>
        </is>
      </c>
      <c r="C14" t="inlineStr">
        <is>
          <t>Green Tea</t>
        </is>
      </c>
      <c r="D14" t="inlineStr">
        <is>
          <t>Black Cohosh</t>
        </is>
      </c>
      <c r="E14" t="inlineStr">
        <is>
          <t>Low</t>
        </is>
      </c>
      <c r="F14" t="n">
        <v>85.8</v>
      </c>
      <c r="H14" t="inlineStr">
        <is>
          <t>cognitive-neuroprotective; gastrointestinal; inflammation; metabolic; neurotransmitter; oxidative-stress; vascular</t>
        </is>
      </c>
    </row>
    <row r="15">
      <c r="A15" t="n">
        <v>14</v>
      </c>
      <c r="B15" t="inlineStr">
        <is>
          <t>Panax Ginseng</t>
        </is>
      </c>
      <c r="C15" t="inlineStr">
        <is>
          <t>Epimedium</t>
        </is>
      </c>
      <c r="D15" t="inlineStr">
        <is>
          <t>Ashwagandha</t>
        </is>
      </c>
      <c r="E15" t="inlineStr">
        <is>
          <t>Low</t>
        </is>
      </c>
      <c r="F15" t="n">
        <v>83.7</v>
      </c>
      <c r="H15" t="inlineStr">
        <is>
          <t>adaptogenic; cognitive-neuroprotective; gastrointestinal; inflammation; metabolic; neurotransmitter; oxidative-stress; vascular</t>
        </is>
      </c>
    </row>
    <row r="16">
      <c r="A16" t="n">
        <v>15</v>
      </c>
      <c r="B16" t="inlineStr">
        <is>
          <t>Ginkgo Biloba</t>
        </is>
      </c>
      <c r="C16" t="inlineStr">
        <is>
          <t>Chamomile</t>
        </is>
      </c>
      <c r="D16" t="inlineStr">
        <is>
          <t>Chinese Skullcap</t>
        </is>
      </c>
      <c r="E16" t="inlineStr">
        <is>
          <t>Low</t>
        </is>
      </c>
      <c r="F16" t="n">
        <v>83.2</v>
      </c>
      <c r="H16" t="inlineStr">
        <is>
          <t>cognitive-neuroprotective; gastrointestinal; inflammation; neurotransmitter; oxidative-stress; vascular</t>
        </is>
      </c>
    </row>
    <row r="17">
      <c r="A17" t="n">
        <v>16</v>
      </c>
      <c r="B17" t="inlineStr">
        <is>
          <t>Ginkgo Biloba</t>
        </is>
      </c>
      <c r="C17" t="inlineStr">
        <is>
          <t>Green Tea</t>
        </is>
      </c>
      <c r="D17" t="inlineStr">
        <is>
          <t>Chinese Skullcap</t>
        </is>
      </c>
      <c r="E17" t="inlineStr">
        <is>
          <t>Low</t>
        </is>
      </c>
      <c r="F17" t="n">
        <v>82.2</v>
      </c>
      <c r="H17" t="inlineStr">
        <is>
          <t>cognitive-neuroprotective; inflammation; metabolic; neurotransmitter; oxidative-stress; vascular</t>
        </is>
      </c>
    </row>
    <row r="18">
      <c r="A18" t="n">
        <v>17</v>
      </c>
      <c r="B18" t="inlineStr">
        <is>
          <t>Panax Ginseng</t>
        </is>
      </c>
      <c r="C18" t="inlineStr">
        <is>
          <t>Chamomile</t>
        </is>
      </c>
      <c r="D18" t="inlineStr">
        <is>
          <t>Ashwagandha</t>
        </is>
      </c>
      <c r="E18" t="inlineStr">
        <is>
          <t>Low</t>
        </is>
      </c>
      <c r="F18" t="n">
        <v>81</v>
      </c>
      <c r="H18" t="inlineStr">
        <is>
          <t>adaptogenic; cognitive-neuroprotective; gastrointestinal; inflammation; metabolic; neurotransmitter; oxidative-stress</t>
        </is>
      </c>
    </row>
    <row r="19">
      <c r="A19" t="n">
        <v>18</v>
      </c>
      <c r="B19" t="inlineStr">
        <is>
          <t>Panax Ginseng</t>
        </is>
      </c>
      <c r="C19" t="inlineStr">
        <is>
          <t>Green Tea</t>
        </is>
      </c>
      <c r="D19" t="inlineStr">
        <is>
          <t>Ashwagandha</t>
        </is>
      </c>
      <c r="E19" t="inlineStr">
        <is>
          <t>Low</t>
        </is>
      </c>
      <c r="F19" t="n">
        <v>81</v>
      </c>
      <c r="H19" t="inlineStr">
        <is>
          <t>adaptogenic; cognitive-neuroprotective; gastrointestinal; inflammation; metabolic; neurotransmitter; oxidative-stress</t>
        </is>
      </c>
    </row>
    <row r="20">
      <c r="A20" t="n">
        <v>19</v>
      </c>
      <c r="B20" t="inlineStr">
        <is>
          <t>Ginkgo Biloba</t>
        </is>
      </c>
      <c r="C20" t="inlineStr">
        <is>
          <t>Green Tea</t>
        </is>
      </c>
      <c r="D20" t="inlineStr">
        <is>
          <t>Black Pepper</t>
        </is>
      </c>
      <c r="E20" t="inlineStr">
        <is>
          <t>Low</t>
        </is>
      </c>
      <c r="F20" t="n">
        <v>80.8</v>
      </c>
      <c r="H20" t="inlineStr">
        <is>
          <t>cognitive-neuroprotective; gastrointestinal; inflammation; metabolic; neurotransmitter; oxidative-stress; vascular</t>
        </is>
      </c>
    </row>
    <row r="21">
      <c r="A21" t="n">
        <v>20</v>
      </c>
      <c r="B21" t="inlineStr">
        <is>
          <t>Panax Ginseng</t>
        </is>
      </c>
      <c r="C21" t="inlineStr">
        <is>
          <t>Green Tea</t>
        </is>
      </c>
      <c r="D21" t="inlineStr">
        <is>
          <t>Chinese Skullcap</t>
        </is>
      </c>
      <c r="E21" t="inlineStr">
        <is>
          <t>Low</t>
        </is>
      </c>
      <c r="F21" t="n">
        <v>80.59999999999999</v>
      </c>
      <c r="H21" t="inlineStr">
        <is>
          <t>adaptogenic; cognitive-neuroprotective; gastrointestinal; inflammation; metabolic; neurotransmitter; oxidative-stress</t>
        </is>
      </c>
    </row>
  </sheetData>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Risk Tier</t>
        </is>
      </c>
      <c r="F1" t="inlineStr">
        <is>
          <t>Refined Stack Score</t>
        </is>
      </c>
      <c r="G1" t="inlineStr">
        <is>
          <t>Repeated Flags</t>
        </is>
      </c>
      <c r="H1" t="inlineStr">
        <is>
          <t>Union Buckets</t>
        </is>
      </c>
    </row>
    <row r="2">
      <c r="A2" t="n">
        <v>1</v>
      </c>
      <c r="B2" t="inlineStr">
        <is>
          <t>Ginkgo Biloba</t>
        </is>
      </c>
      <c r="C2" t="inlineStr">
        <is>
          <t>Ashwagandha</t>
        </is>
      </c>
      <c r="D2" t="inlineStr">
        <is>
          <t>Black Cohosh</t>
        </is>
      </c>
      <c r="E2" t="inlineStr">
        <is>
          <t>Low</t>
        </is>
      </c>
      <c r="F2" t="n">
        <v>83.8</v>
      </c>
      <c r="H2" t="inlineStr">
        <is>
          <t>adaptogenic; cognitive-neuroprotective; gastrointestinal; inflammation; oxidative-stress; vascular</t>
        </is>
      </c>
    </row>
    <row r="3">
      <c r="A3" t="n">
        <v>2</v>
      </c>
      <c r="B3" t="inlineStr">
        <is>
          <t>Ginkgo Biloba</t>
        </is>
      </c>
      <c r="C3" t="inlineStr">
        <is>
          <t>Chinese Skullcap</t>
        </is>
      </c>
      <c r="D3" t="inlineStr">
        <is>
          <t>Ashwagandha</t>
        </is>
      </c>
      <c r="E3" t="inlineStr">
        <is>
          <t>Low</t>
        </is>
      </c>
      <c r="F3" t="n">
        <v>79.3</v>
      </c>
      <c r="H3" t="inlineStr">
        <is>
          <t>adaptogenic; cognitive-neuroprotective; inflammation; oxidative-stress; vascular</t>
        </is>
      </c>
    </row>
    <row r="4">
      <c r="A4" t="n">
        <v>3</v>
      </c>
      <c r="B4" t="inlineStr">
        <is>
          <t>Ginkgo Biloba</t>
        </is>
      </c>
      <c r="C4" t="inlineStr">
        <is>
          <t>Ashwagandha</t>
        </is>
      </c>
      <c r="D4" t="inlineStr">
        <is>
          <t>Black Pepper</t>
        </is>
      </c>
      <c r="E4" t="inlineStr">
        <is>
          <t>Low</t>
        </is>
      </c>
      <c r="F4" t="n">
        <v>71.8</v>
      </c>
      <c r="H4" t="inlineStr">
        <is>
          <t>adaptogenic; cognitive-neuroprotective; gastrointestinal; inflammation; oxidative-stress; vascular</t>
        </is>
      </c>
    </row>
    <row r="5">
      <c r="A5" t="n">
        <v>4</v>
      </c>
      <c r="B5" t="inlineStr">
        <is>
          <t>Ginkgo Biloba</t>
        </is>
      </c>
      <c r="C5" t="inlineStr">
        <is>
          <t>Ashwagandha</t>
        </is>
      </c>
      <c r="D5" t="inlineStr">
        <is>
          <t>Turmeric</t>
        </is>
      </c>
      <c r="E5" t="inlineStr">
        <is>
          <t>Low</t>
        </is>
      </c>
      <c r="F5" t="n">
        <v>69.59999999999999</v>
      </c>
      <c r="H5" t="inlineStr">
        <is>
          <t>adaptogenic; cognitive-neuroprotective; inflammation; oxidative-stress; vascular</t>
        </is>
      </c>
    </row>
    <row r="6">
      <c r="A6" t="n">
        <v>5</v>
      </c>
      <c r="B6" t="inlineStr">
        <is>
          <t>Ginkgo Biloba</t>
        </is>
      </c>
      <c r="C6" t="inlineStr">
        <is>
          <t>Ashwagandha</t>
        </is>
      </c>
      <c r="D6" t="inlineStr">
        <is>
          <t>Blue Lotus</t>
        </is>
      </c>
      <c r="E6" t="inlineStr">
        <is>
          <t>Low</t>
        </is>
      </c>
      <c r="F6" t="n">
        <v>68</v>
      </c>
      <c r="H6" t="inlineStr">
        <is>
          <t>adaptogenic; cognitive-neuroprotective; inflammation; oxidative-stress; vascular</t>
        </is>
      </c>
    </row>
    <row r="7">
      <c r="A7" t="n">
        <v>6</v>
      </c>
      <c r="B7" t="inlineStr">
        <is>
          <t>Chinese Skullcap</t>
        </is>
      </c>
      <c r="C7" t="inlineStr">
        <is>
          <t>Ashwagandha</t>
        </is>
      </c>
      <c r="D7" t="inlineStr">
        <is>
          <t>Black Cohosh</t>
        </is>
      </c>
      <c r="E7" t="inlineStr">
        <is>
          <t>Low</t>
        </is>
      </c>
      <c r="F7" t="n">
        <v>63</v>
      </c>
      <c r="H7" t="inlineStr">
        <is>
          <t>adaptogenic; cognitive-neuroprotective; gastrointestinal; inflammation; oxidative-stress</t>
        </is>
      </c>
    </row>
    <row r="8">
      <c r="A8" t="n">
        <v>7</v>
      </c>
      <c r="B8" t="inlineStr">
        <is>
          <t>Chinese Skullcap</t>
        </is>
      </c>
      <c r="C8" t="inlineStr">
        <is>
          <t>Epimedium</t>
        </is>
      </c>
      <c r="D8" t="inlineStr">
        <is>
          <t>Ashwagandha</t>
        </is>
      </c>
      <c r="E8" t="inlineStr">
        <is>
          <t>Low</t>
        </is>
      </c>
      <c r="F8" t="n">
        <v>61.5</v>
      </c>
      <c r="H8" t="inlineStr">
        <is>
          <t>adaptogenic; cognitive-neuroprotective; inflammation; oxidative-stress; vascular</t>
        </is>
      </c>
    </row>
    <row r="9">
      <c r="A9" t="n">
        <v>8</v>
      </c>
      <c r="B9" t="inlineStr">
        <is>
          <t>Epimedium</t>
        </is>
      </c>
      <c r="C9" t="inlineStr">
        <is>
          <t>Ashwagandha</t>
        </is>
      </c>
      <c r="D9" t="inlineStr">
        <is>
          <t>Black Cohosh</t>
        </is>
      </c>
      <c r="E9" t="inlineStr">
        <is>
          <t>Low</t>
        </is>
      </c>
      <c r="F9" t="n">
        <v>60</v>
      </c>
      <c r="H9" t="inlineStr">
        <is>
          <t>adaptogenic; cognitive-neuroprotective; gastrointestinal; inflammation; oxidative-stress; vascular</t>
        </is>
      </c>
    </row>
    <row r="10">
      <c r="A10" t="n">
        <v>9</v>
      </c>
      <c r="B10" t="inlineStr">
        <is>
          <t>Epimedium</t>
        </is>
      </c>
      <c r="C10" t="inlineStr">
        <is>
          <t>Ashwagandha</t>
        </is>
      </c>
      <c r="D10" t="inlineStr">
        <is>
          <t>Black Pepper</t>
        </is>
      </c>
      <c r="E10" t="inlineStr">
        <is>
          <t>Low</t>
        </is>
      </c>
      <c r="F10" t="n">
        <v>60</v>
      </c>
      <c r="H10" t="inlineStr">
        <is>
          <t>adaptogenic; cognitive-neuroprotective; gastrointestinal; inflammation; oxidative-stress; vascular</t>
        </is>
      </c>
    </row>
    <row r="11">
      <c r="A11" t="n">
        <v>10</v>
      </c>
      <c r="B11" t="inlineStr">
        <is>
          <t>Ginkgo Biloba</t>
        </is>
      </c>
      <c r="C11" t="inlineStr">
        <is>
          <t>Epimedium</t>
        </is>
      </c>
      <c r="D11" t="inlineStr">
        <is>
          <t>Ashwagandha</t>
        </is>
      </c>
      <c r="E11" t="inlineStr">
        <is>
          <t>Low</t>
        </is>
      </c>
      <c r="F11" t="n">
        <v>58.3</v>
      </c>
      <c r="G11" t="inlineStr">
        <is>
          <t>vascular</t>
        </is>
      </c>
      <c r="H11" t="inlineStr">
        <is>
          <t>adaptogenic; cognitive-neuroprotective; inflammation; oxidative-stress; vascular</t>
        </is>
      </c>
    </row>
    <row r="12">
      <c r="A12" t="n">
        <v>11</v>
      </c>
      <c r="B12" t="inlineStr">
        <is>
          <t>Chinese Skullcap</t>
        </is>
      </c>
      <c r="C12" t="inlineStr">
        <is>
          <t>Ashwagandha</t>
        </is>
      </c>
      <c r="D12" t="inlineStr">
        <is>
          <t>Black Pepper</t>
        </is>
      </c>
      <c r="E12" t="inlineStr">
        <is>
          <t>Low</t>
        </is>
      </c>
      <c r="F12" t="n">
        <v>58</v>
      </c>
      <c r="H12" t="inlineStr">
        <is>
          <t>adaptogenic; cognitive-neuroprotective; gastrointestinal; inflammation; oxidative-stress</t>
        </is>
      </c>
    </row>
    <row r="13">
      <c r="A13" t="n">
        <v>12</v>
      </c>
      <c r="B13" t="inlineStr">
        <is>
          <t>Epimedium</t>
        </is>
      </c>
      <c r="C13" t="inlineStr">
        <is>
          <t>Ashwagandha</t>
        </is>
      </c>
      <c r="D13" t="inlineStr">
        <is>
          <t>Turmeric</t>
        </is>
      </c>
      <c r="E13" t="inlineStr">
        <is>
          <t>Low</t>
        </is>
      </c>
      <c r="F13" t="n">
        <v>57.8</v>
      </c>
      <c r="H13" t="inlineStr">
        <is>
          <t>adaptogenic; cognitive-neuroprotective; inflammation; oxidative-stress; vascular</t>
        </is>
      </c>
    </row>
    <row r="14">
      <c r="A14" t="n">
        <v>13</v>
      </c>
      <c r="B14" t="inlineStr">
        <is>
          <t>Epimedium</t>
        </is>
      </c>
      <c r="C14" t="inlineStr">
        <is>
          <t>Ashwagandha</t>
        </is>
      </c>
      <c r="D14" t="inlineStr">
        <is>
          <t>Blue Lotus</t>
        </is>
      </c>
      <c r="E14" t="inlineStr">
        <is>
          <t>Low</t>
        </is>
      </c>
      <c r="F14" t="n">
        <v>56.2</v>
      </c>
      <c r="H14" t="inlineStr">
        <is>
          <t>adaptogenic; cognitive-neuroprotective; inflammation; oxidative-stress; vascular</t>
        </is>
      </c>
    </row>
    <row r="15">
      <c r="A15" t="n">
        <v>14</v>
      </c>
      <c r="B15" t="inlineStr">
        <is>
          <t>Chinese Skullcap</t>
        </is>
      </c>
      <c r="C15" t="inlineStr">
        <is>
          <t>Ashwagandha</t>
        </is>
      </c>
      <c r="D15" t="inlineStr">
        <is>
          <t>Turmeric</t>
        </is>
      </c>
      <c r="E15" t="inlineStr">
        <is>
          <t>Low</t>
        </is>
      </c>
      <c r="F15" t="n">
        <v>55.8</v>
      </c>
      <c r="H15" t="inlineStr">
        <is>
          <t>adaptogenic; cognitive-neuroprotective; inflammation; oxidative-stress</t>
        </is>
      </c>
    </row>
    <row r="16">
      <c r="A16" t="n">
        <v>15</v>
      </c>
      <c r="B16" t="inlineStr">
        <is>
          <t>Ashwagandha</t>
        </is>
      </c>
      <c r="C16" t="inlineStr">
        <is>
          <t>Turmeric</t>
        </is>
      </c>
      <c r="D16" t="inlineStr">
        <is>
          <t>Black Cohosh</t>
        </is>
      </c>
      <c r="E16" t="inlineStr">
        <is>
          <t>Low</t>
        </is>
      </c>
      <c r="F16" t="n">
        <v>54.3</v>
      </c>
      <c r="H16" t="inlineStr">
        <is>
          <t>adaptogenic; cognitive-neuroprotective; gastrointestinal; inflammation; oxidative-stress</t>
        </is>
      </c>
    </row>
    <row r="17">
      <c r="A17" t="n">
        <v>16</v>
      </c>
      <c r="B17" t="inlineStr">
        <is>
          <t>Ashwagandha</t>
        </is>
      </c>
      <c r="C17" t="inlineStr">
        <is>
          <t>Turmeric</t>
        </is>
      </c>
      <c r="D17" t="inlineStr">
        <is>
          <t>Black Pepper</t>
        </is>
      </c>
      <c r="E17" t="inlineStr">
        <is>
          <t>Low</t>
        </is>
      </c>
      <c r="F17" t="n">
        <v>54.3</v>
      </c>
      <c r="H17" t="inlineStr">
        <is>
          <t>adaptogenic; cognitive-neuroprotective; gastrointestinal; inflammation; oxidative-stress</t>
        </is>
      </c>
    </row>
    <row r="18">
      <c r="A18" t="n">
        <v>17</v>
      </c>
      <c r="B18" t="inlineStr">
        <is>
          <t>Chinese Skullcap</t>
        </is>
      </c>
      <c r="C18" t="inlineStr">
        <is>
          <t>Ashwagandha</t>
        </is>
      </c>
      <c r="D18" t="inlineStr">
        <is>
          <t>Blue Lotus</t>
        </is>
      </c>
      <c r="E18" t="inlineStr">
        <is>
          <t>Low</t>
        </is>
      </c>
      <c r="F18" t="n">
        <v>54.2</v>
      </c>
      <c r="H18" t="inlineStr">
        <is>
          <t>adaptogenic; cognitive-neuroprotective; inflammation; oxidative-stress</t>
        </is>
      </c>
    </row>
    <row r="19">
      <c r="A19" t="n">
        <v>18</v>
      </c>
      <c r="B19" t="inlineStr">
        <is>
          <t>Ashwagandha</t>
        </is>
      </c>
      <c r="C19" t="inlineStr">
        <is>
          <t>Blue Lotus</t>
        </is>
      </c>
      <c r="D19" t="inlineStr">
        <is>
          <t>Black Cohosh</t>
        </is>
      </c>
      <c r="E19" t="inlineStr">
        <is>
          <t>Low</t>
        </is>
      </c>
      <c r="F19" t="n">
        <v>52.7</v>
      </c>
      <c r="H19" t="inlineStr">
        <is>
          <t>adaptogenic; cognitive-neuroprotective; gastrointestinal; inflammation; oxidative-stress</t>
        </is>
      </c>
    </row>
    <row r="20">
      <c r="A20" t="n">
        <v>19</v>
      </c>
      <c r="B20" t="inlineStr">
        <is>
          <t>Ashwagandha</t>
        </is>
      </c>
      <c r="C20" t="inlineStr">
        <is>
          <t>Blue Lotus</t>
        </is>
      </c>
      <c r="D20" t="inlineStr">
        <is>
          <t>Black Pepper</t>
        </is>
      </c>
      <c r="E20" t="inlineStr">
        <is>
          <t>Low</t>
        </is>
      </c>
      <c r="F20" t="n">
        <v>52.7</v>
      </c>
      <c r="H20" t="inlineStr">
        <is>
          <t>adaptogenic; cognitive-neuroprotective; gastrointestinal; inflammation; oxidative-stress</t>
        </is>
      </c>
    </row>
    <row r="21">
      <c r="A21" t="n">
        <v>20</v>
      </c>
      <c r="B21" t="inlineStr">
        <is>
          <t>Ashwagandha</t>
        </is>
      </c>
      <c r="C21" t="inlineStr">
        <is>
          <t>Black Cohosh</t>
        </is>
      </c>
      <c r="D21" t="inlineStr">
        <is>
          <t>Black Pepper</t>
        </is>
      </c>
      <c r="E21" t="inlineStr">
        <is>
          <t>Low</t>
        </is>
      </c>
      <c r="F21" t="n">
        <v>50.5</v>
      </c>
      <c r="H21" t="inlineStr">
        <is>
          <t>adaptogenic; cognitive-neuroprotective; gastrointestinal; inflammation; oxidative-stress</t>
        </is>
      </c>
    </row>
  </sheetData>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Risk Tier</t>
        </is>
      </c>
      <c r="F1" t="inlineStr">
        <is>
          <t>Refined Stack Score</t>
        </is>
      </c>
      <c r="G1" t="inlineStr">
        <is>
          <t>Repeated Flags</t>
        </is>
      </c>
      <c r="H1" t="inlineStr">
        <is>
          <t>Union Buckets</t>
        </is>
      </c>
    </row>
    <row r="2">
      <c r="A2" t="n">
        <v>1</v>
      </c>
      <c r="B2" t="inlineStr">
        <is>
          <t>Ginkgo Biloba</t>
        </is>
      </c>
      <c r="C2" t="inlineStr">
        <is>
          <t>Chinese Skullcap</t>
        </is>
      </c>
      <c r="D2" t="inlineStr">
        <is>
          <t>Black Cohosh</t>
        </is>
      </c>
      <c r="E2" t="inlineStr">
        <is>
          <t>Low</t>
        </is>
      </c>
      <c r="F2" t="n">
        <v>74.5</v>
      </c>
      <c r="H2" t="inlineStr">
        <is>
          <t>cognitive-neuroprotective; gastrointestinal; inflammation; oxidative-stress; vascular</t>
        </is>
      </c>
    </row>
    <row r="3">
      <c r="A3" t="n">
        <v>2</v>
      </c>
      <c r="B3" t="inlineStr">
        <is>
          <t>Ginkgo Biloba</t>
        </is>
      </c>
      <c r="C3" t="inlineStr">
        <is>
          <t>Chinese Skullcap</t>
        </is>
      </c>
      <c r="D3" t="inlineStr">
        <is>
          <t>Black Pepper</t>
        </is>
      </c>
      <c r="E3" t="inlineStr">
        <is>
          <t>Low</t>
        </is>
      </c>
      <c r="F3" t="n">
        <v>67.5</v>
      </c>
      <c r="H3" t="inlineStr">
        <is>
          <t>cognitive-neuroprotective; gastrointestinal; inflammation; oxidative-stress; vascular</t>
        </is>
      </c>
    </row>
    <row r="4">
      <c r="A4" t="n">
        <v>3</v>
      </c>
      <c r="B4" t="inlineStr">
        <is>
          <t>Green Tea</t>
        </is>
      </c>
      <c r="C4" t="inlineStr">
        <is>
          <t>Epimedium</t>
        </is>
      </c>
      <c r="D4" t="inlineStr">
        <is>
          <t>Black Cohosh</t>
        </is>
      </c>
      <c r="E4" t="inlineStr">
        <is>
          <t>Low</t>
        </is>
      </c>
      <c r="F4" t="n">
        <v>67</v>
      </c>
      <c r="H4" t="inlineStr">
        <is>
          <t>gastrointestinal; inflammation; metabolic; neurotransmitter; oxidative-stress; vascular</t>
        </is>
      </c>
    </row>
    <row r="5">
      <c r="A5" t="n">
        <v>4</v>
      </c>
      <c r="B5" t="inlineStr">
        <is>
          <t>Ginkgo Biloba</t>
        </is>
      </c>
      <c r="C5" t="inlineStr">
        <is>
          <t>Turmeric</t>
        </is>
      </c>
      <c r="D5" t="inlineStr">
        <is>
          <t>Black Cohosh</t>
        </is>
      </c>
      <c r="E5" t="inlineStr">
        <is>
          <t>Low</t>
        </is>
      </c>
      <c r="F5" t="n">
        <v>65.7</v>
      </c>
      <c r="H5" t="inlineStr">
        <is>
          <t>cognitive-neuroprotective; gastrointestinal; inflammation; oxidative-stress; vascular</t>
        </is>
      </c>
    </row>
    <row r="6">
      <c r="A6" t="n">
        <v>5</v>
      </c>
      <c r="B6" t="inlineStr">
        <is>
          <t>Ginkgo Biloba</t>
        </is>
      </c>
      <c r="C6" t="inlineStr">
        <is>
          <t>Chinese Skullcap</t>
        </is>
      </c>
      <c r="D6" t="inlineStr">
        <is>
          <t>Turmeric</t>
        </is>
      </c>
      <c r="E6" t="inlineStr">
        <is>
          <t>Low</t>
        </is>
      </c>
      <c r="F6" t="n">
        <v>65.2</v>
      </c>
      <c r="H6" t="inlineStr">
        <is>
          <t>cognitive-neuroprotective; inflammation; oxidative-stress; vascular</t>
        </is>
      </c>
    </row>
    <row r="7">
      <c r="A7" t="n">
        <v>6</v>
      </c>
      <c r="B7" t="inlineStr">
        <is>
          <t>Ginkgo Biloba</t>
        </is>
      </c>
      <c r="C7" t="inlineStr">
        <is>
          <t>Blue Lotus</t>
        </is>
      </c>
      <c r="D7" t="inlineStr">
        <is>
          <t>Black Cohosh</t>
        </is>
      </c>
      <c r="E7" t="inlineStr">
        <is>
          <t>Low</t>
        </is>
      </c>
      <c r="F7" t="n">
        <v>64.09999999999999</v>
      </c>
      <c r="H7" t="inlineStr">
        <is>
          <t>cognitive-neuroprotective; gastrointestinal; inflammation; oxidative-stress; vascular</t>
        </is>
      </c>
    </row>
    <row r="8">
      <c r="A8" t="n">
        <v>7</v>
      </c>
      <c r="B8" t="inlineStr">
        <is>
          <t>Ginkgo Biloba</t>
        </is>
      </c>
      <c r="C8" t="inlineStr">
        <is>
          <t>Turmeric</t>
        </is>
      </c>
      <c r="D8" t="inlineStr">
        <is>
          <t>Black Pepper</t>
        </is>
      </c>
      <c r="E8" t="inlineStr">
        <is>
          <t>Low</t>
        </is>
      </c>
      <c r="F8" t="n">
        <v>63.7</v>
      </c>
      <c r="H8" t="inlineStr">
        <is>
          <t>cognitive-neuroprotective; gastrointestinal; inflammation; oxidative-stress; vascular</t>
        </is>
      </c>
    </row>
    <row r="9">
      <c r="A9" t="n">
        <v>8</v>
      </c>
      <c r="B9" t="inlineStr">
        <is>
          <t>Ginkgo Biloba</t>
        </is>
      </c>
      <c r="C9" t="inlineStr">
        <is>
          <t>Chinese Skullcap</t>
        </is>
      </c>
      <c r="D9" t="inlineStr">
        <is>
          <t>Blue Lotus</t>
        </is>
      </c>
      <c r="E9" t="inlineStr">
        <is>
          <t>Low</t>
        </is>
      </c>
      <c r="F9" t="n">
        <v>63.6</v>
      </c>
      <c r="H9" t="inlineStr">
        <is>
          <t>cognitive-neuroprotective; inflammation; oxidative-stress; vascular</t>
        </is>
      </c>
    </row>
    <row r="10">
      <c r="A10" t="n">
        <v>9</v>
      </c>
      <c r="B10" t="inlineStr">
        <is>
          <t>Ginkgo Biloba</t>
        </is>
      </c>
      <c r="C10" t="inlineStr">
        <is>
          <t>Blue Lotus</t>
        </is>
      </c>
      <c r="D10" t="inlineStr">
        <is>
          <t>Black Pepper</t>
        </is>
      </c>
      <c r="E10" t="inlineStr">
        <is>
          <t>Low</t>
        </is>
      </c>
      <c r="F10" t="n">
        <v>62.1</v>
      </c>
      <c r="H10" t="inlineStr">
        <is>
          <t>cognitive-neuroprotective; gastrointestinal; inflammation; oxidative-stress; vascular</t>
        </is>
      </c>
    </row>
    <row r="11">
      <c r="A11" t="n">
        <v>10</v>
      </c>
      <c r="B11" t="inlineStr">
        <is>
          <t>Ginkgo Biloba</t>
        </is>
      </c>
      <c r="C11" t="inlineStr">
        <is>
          <t>Black Cohosh</t>
        </is>
      </c>
      <c r="D11" t="inlineStr">
        <is>
          <t>Black Pepper</t>
        </is>
      </c>
      <c r="E11" t="inlineStr">
        <is>
          <t>Low</t>
        </is>
      </c>
      <c r="F11" t="n">
        <v>62</v>
      </c>
      <c r="H11" t="inlineStr">
        <is>
          <t>cognitive-neuroprotective; gastrointestinal; inflammation; oxidative-stress; vascular</t>
        </is>
      </c>
    </row>
    <row r="12">
      <c r="A12" t="n">
        <v>11</v>
      </c>
      <c r="B12" t="inlineStr">
        <is>
          <t>Green Tea</t>
        </is>
      </c>
      <c r="C12" t="inlineStr">
        <is>
          <t>Turmeric</t>
        </is>
      </c>
      <c r="D12" t="inlineStr">
        <is>
          <t>Black Cohosh</t>
        </is>
      </c>
      <c r="E12" t="inlineStr">
        <is>
          <t>Low</t>
        </is>
      </c>
      <c r="F12" t="n">
        <v>61.2</v>
      </c>
      <c r="H12" t="inlineStr">
        <is>
          <t>gastrointestinal; inflammation; metabolic; neurotransmitter; oxidative-stress</t>
        </is>
      </c>
    </row>
    <row r="13">
      <c r="A13" t="n">
        <v>12</v>
      </c>
      <c r="B13" t="inlineStr">
        <is>
          <t>Ginkgo Biloba</t>
        </is>
      </c>
      <c r="C13" t="inlineStr">
        <is>
          <t>Turmeric</t>
        </is>
      </c>
      <c r="D13" t="inlineStr">
        <is>
          <t>Blue Lotus</t>
        </is>
      </c>
      <c r="E13" t="inlineStr">
        <is>
          <t>Low</t>
        </is>
      </c>
      <c r="F13" t="n">
        <v>59.9</v>
      </c>
      <c r="H13" t="inlineStr">
        <is>
          <t>cognitive-neuroprotective; inflammation; oxidative-stress; vascular</t>
        </is>
      </c>
    </row>
    <row r="14">
      <c r="A14" t="n">
        <v>13</v>
      </c>
      <c r="B14" t="inlineStr">
        <is>
          <t>Green Tea</t>
        </is>
      </c>
      <c r="C14" t="inlineStr">
        <is>
          <t>Blue Lotus</t>
        </is>
      </c>
      <c r="D14" t="inlineStr">
        <is>
          <t>Black Cohosh</t>
        </is>
      </c>
      <c r="E14" t="inlineStr">
        <is>
          <t>Low</t>
        </is>
      </c>
      <c r="F14" t="n">
        <v>59.6</v>
      </c>
      <c r="H14" t="inlineStr">
        <is>
          <t>gastrointestinal; inflammation; metabolic; neurotransmitter; oxidative-stress</t>
        </is>
      </c>
    </row>
    <row r="15">
      <c r="A15" t="n">
        <v>14</v>
      </c>
      <c r="B15" t="inlineStr">
        <is>
          <t>Green Tea</t>
        </is>
      </c>
      <c r="C15" t="inlineStr">
        <is>
          <t>Black Cohosh</t>
        </is>
      </c>
      <c r="D15" t="inlineStr">
        <is>
          <t>Black Pepper</t>
        </is>
      </c>
      <c r="E15" t="inlineStr">
        <is>
          <t>Low</t>
        </is>
      </c>
      <c r="F15" t="n">
        <v>57.5</v>
      </c>
      <c r="H15" t="inlineStr">
        <is>
          <t>gastrointestinal; inflammation; metabolic; neurotransmitter; oxidative-stress</t>
        </is>
      </c>
    </row>
    <row r="16">
      <c r="A16" t="n">
        <v>15</v>
      </c>
      <c r="B16" t="inlineStr">
        <is>
          <t>Chamomile</t>
        </is>
      </c>
      <c r="C16" t="inlineStr">
        <is>
          <t>Epimedium</t>
        </is>
      </c>
      <c r="D16" t="inlineStr">
        <is>
          <t>Black Cohosh</t>
        </is>
      </c>
      <c r="E16" t="inlineStr">
        <is>
          <t>Low</t>
        </is>
      </c>
      <c r="F16" t="n">
        <v>57</v>
      </c>
      <c r="H16" t="inlineStr">
        <is>
          <t>gastrointestinal; inflammation; neurotransmitter; oxidative-stress; vascular</t>
        </is>
      </c>
    </row>
    <row r="17">
      <c r="A17" t="n">
        <v>16</v>
      </c>
      <c r="B17" t="inlineStr">
        <is>
          <t>Chinese Skullcap</t>
        </is>
      </c>
      <c r="C17" t="inlineStr">
        <is>
          <t>Epimedium</t>
        </is>
      </c>
      <c r="D17" t="inlineStr">
        <is>
          <t>Black Cohosh</t>
        </is>
      </c>
      <c r="E17" t="inlineStr">
        <is>
          <t>Low</t>
        </is>
      </c>
      <c r="F17" t="n">
        <v>55.6</v>
      </c>
      <c r="H17" t="inlineStr">
        <is>
          <t>cognitive-neuroprotective; gastrointestinal; inflammation; oxidative-stress; vascular</t>
        </is>
      </c>
    </row>
    <row r="18">
      <c r="A18" t="n">
        <v>17</v>
      </c>
      <c r="B18" t="inlineStr">
        <is>
          <t>Ginkgo Biloba</t>
        </is>
      </c>
      <c r="C18" t="inlineStr">
        <is>
          <t>Epimedium</t>
        </is>
      </c>
      <c r="D18" t="inlineStr">
        <is>
          <t>Black Cohosh</t>
        </is>
      </c>
      <c r="E18" t="inlineStr">
        <is>
          <t>Low</t>
        </is>
      </c>
      <c r="F18" t="n">
        <v>54.5</v>
      </c>
      <c r="G18" t="inlineStr">
        <is>
          <t>vascular</t>
        </is>
      </c>
      <c r="H18" t="inlineStr">
        <is>
          <t>cognitive-neuroprotective; gastrointestinal; inflammation; oxidative-stress; vascular</t>
        </is>
      </c>
    </row>
    <row r="19">
      <c r="A19" t="n">
        <v>18</v>
      </c>
      <c r="B19" t="inlineStr">
        <is>
          <t>Ginkgo Biloba</t>
        </is>
      </c>
      <c r="C19" t="inlineStr">
        <is>
          <t>Chinese Skullcap</t>
        </is>
      </c>
      <c r="D19" t="inlineStr">
        <is>
          <t>Epimedium</t>
        </is>
      </c>
      <c r="E19" t="inlineStr">
        <is>
          <t>Low</t>
        </is>
      </c>
      <c r="F19" t="n">
        <v>54</v>
      </c>
      <c r="G19" t="inlineStr">
        <is>
          <t>vascular</t>
        </is>
      </c>
      <c r="H19" t="inlineStr">
        <is>
          <t>cognitive-neuroprotective; inflammation; oxidative-stress; vascular</t>
        </is>
      </c>
    </row>
    <row r="20">
      <c r="A20" t="n">
        <v>19</v>
      </c>
      <c r="B20" t="inlineStr">
        <is>
          <t>Chamomile</t>
        </is>
      </c>
      <c r="C20" t="inlineStr">
        <is>
          <t>Black Cohosh</t>
        </is>
      </c>
      <c r="D20" t="inlineStr">
        <is>
          <t>Black Pepper</t>
        </is>
      </c>
      <c r="E20" t="inlineStr">
        <is>
          <t>Low</t>
        </is>
      </c>
      <c r="F20" t="n">
        <v>52.5</v>
      </c>
      <c r="H20" t="inlineStr">
        <is>
          <t>gastrointestinal; inflammation; neurotransmitter; oxidative-stress</t>
        </is>
      </c>
    </row>
    <row r="21">
      <c r="A21" t="n">
        <v>20</v>
      </c>
      <c r="B21" t="inlineStr">
        <is>
          <t>Ginkgo Biloba</t>
        </is>
      </c>
      <c r="C21" t="inlineStr">
        <is>
          <t>Epimedium</t>
        </is>
      </c>
      <c r="D21" t="inlineStr">
        <is>
          <t>Black Pepper</t>
        </is>
      </c>
      <c r="E21" t="inlineStr">
        <is>
          <t>Low</t>
        </is>
      </c>
      <c r="F21" t="n">
        <v>52.5</v>
      </c>
      <c r="G21" t="inlineStr">
        <is>
          <t>vascular</t>
        </is>
      </c>
      <c r="H21" t="inlineStr">
        <is>
          <t>cognitive-neuroprotective; gastrointestinal; inflammation; oxidative-stress; vascular</t>
        </is>
      </c>
    </row>
  </sheetData>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Risk Tier</t>
        </is>
      </c>
      <c r="F1" t="inlineStr">
        <is>
          <t>Refined Stack Score</t>
        </is>
      </c>
      <c r="G1" t="inlineStr">
        <is>
          <t>Repeated Flags</t>
        </is>
      </c>
      <c r="H1" t="inlineStr">
        <is>
          <t>Union Buckets</t>
        </is>
      </c>
    </row>
    <row r="2">
      <c r="A2" t="n">
        <v>1</v>
      </c>
      <c r="B2" t="inlineStr">
        <is>
          <t>Green Tea</t>
        </is>
      </c>
      <c r="C2" t="inlineStr">
        <is>
          <t>Epimedium</t>
        </is>
      </c>
      <c r="D2" t="inlineStr">
        <is>
          <t>Black Pepper</t>
        </is>
      </c>
      <c r="E2" t="inlineStr">
        <is>
          <t>Low</t>
        </is>
      </c>
      <c r="F2" t="n">
        <v>59</v>
      </c>
      <c r="H2" t="inlineStr">
        <is>
          <t>gastrointestinal; metabolic; neurotransmitter; oxidative-stress; vascular</t>
        </is>
      </c>
    </row>
    <row r="3">
      <c r="A3" t="n">
        <v>2</v>
      </c>
      <c r="B3" t="inlineStr">
        <is>
          <t>Green Tea</t>
        </is>
      </c>
      <c r="C3" t="inlineStr">
        <is>
          <t>Epimedium</t>
        </is>
      </c>
      <c r="D3" t="inlineStr">
        <is>
          <t>Turmeric</t>
        </is>
      </c>
      <c r="E3" t="inlineStr">
        <is>
          <t>Low</t>
        </is>
      </c>
      <c r="F3" t="n">
        <v>56.7</v>
      </c>
      <c r="H3" t="inlineStr">
        <is>
          <t>metabolic; neurotransmitter; oxidative-stress; vascular</t>
        </is>
      </c>
    </row>
    <row r="4">
      <c r="A4" t="n">
        <v>3</v>
      </c>
      <c r="B4" t="inlineStr">
        <is>
          <t>Green Tea</t>
        </is>
      </c>
      <c r="C4" t="inlineStr">
        <is>
          <t>Epimedium</t>
        </is>
      </c>
      <c r="D4" t="inlineStr">
        <is>
          <t>Blue Lotus</t>
        </is>
      </c>
      <c r="E4" t="inlineStr">
        <is>
          <t>Low</t>
        </is>
      </c>
      <c r="F4" t="n">
        <v>55.1</v>
      </c>
      <c r="H4" t="inlineStr">
        <is>
          <t>metabolic; neurotransmitter; oxidative-stress; vascular</t>
        </is>
      </c>
    </row>
    <row r="5">
      <c r="A5" t="n">
        <v>4</v>
      </c>
      <c r="B5" t="inlineStr">
        <is>
          <t>Green Tea</t>
        </is>
      </c>
      <c r="C5" t="inlineStr">
        <is>
          <t>Turmeric</t>
        </is>
      </c>
      <c r="D5" t="inlineStr">
        <is>
          <t>Black Pepper</t>
        </is>
      </c>
      <c r="E5" t="inlineStr">
        <is>
          <t>Low</t>
        </is>
      </c>
      <c r="F5" t="n">
        <v>53.2</v>
      </c>
      <c r="H5" t="inlineStr">
        <is>
          <t>gastrointestinal; metabolic; neurotransmitter; oxidative-stress</t>
        </is>
      </c>
    </row>
    <row r="6">
      <c r="A6" t="n">
        <v>5</v>
      </c>
      <c r="B6" t="inlineStr">
        <is>
          <t>Green Tea</t>
        </is>
      </c>
      <c r="C6" t="inlineStr">
        <is>
          <t>Blue Lotus</t>
        </is>
      </c>
      <c r="D6" t="inlineStr">
        <is>
          <t>Black Pepper</t>
        </is>
      </c>
      <c r="E6" t="inlineStr">
        <is>
          <t>Low</t>
        </is>
      </c>
      <c r="F6" t="n">
        <v>51.6</v>
      </c>
      <c r="H6" t="inlineStr">
        <is>
          <t>gastrointestinal; metabolic; neurotransmitter; oxidative-stress</t>
        </is>
      </c>
    </row>
    <row r="7">
      <c r="A7" t="n">
        <v>6</v>
      </c>
      <c r="B7" t="inlineStr">
        <is>
          <t>Green Tea</t>
        </is>
      </c>
      <c r="C7" t="inlineStr">
        <is>
          <t>Turmeric</t>
        </is>
      </c>
      <c r="D7" t="inlineStr">
        <is>
          <t>Blue Lotus</t>
        </is>
      </c>
      <c r="E7" t="inlineStr">
        <is>
          <t>Low</t>
        </is>
      </c>
      <c r="F7" t="n">
        <v>49.4</v>
      </c>
      <c r="H7" t="inlineStr">
        <is>
          <t>metabolic; neurotransmitter; oxidative-stress</t>
        </is>
      </c>
    </row>
    <row r="8">
      <c r="A8" t="n">
        <v>7</v>
      </c>
      <c r="B8" t="inlineStr">
        <is>
          <t>Green Tea</t>
        </is>
      </c>
      <c r="C8" t="inlineStr">
        <is>
          <t>Epimedium</t>
        </is>
      </c>
      <c r="D8" t="inlineStr">
        <is>
          <t>Corydalis</t>
        </is>
      </c>
      <c r="E8" t="inlineStr">
        <is>
          <t>Moderate</t>
        </is>
      </c>
      <c r="F8" t="n">
        <v>44.4</v>
      </c>
      <c r="G8" t="inlineStr">
        <is>
          <t>stimulating</t>
        </is>
      </c>
      <c r="H8" t="inlineStr">
        <is>
          <t>gastrointestinal; metabolic; neurotransmitter; oxidative-stress; vascular</t>
        </is>
      </c>
    </row>
    <row r="9">
      <c r="A9" t="n">
        <v>8</v>
      </c>
      <c r="B9" t="inlineStr">
        <is>
          <t>Green Tea</t>
        </is>
      </c>
      <c r="C9" t="inlineStr">
        <is>
          <t>Turmeric</t>
        </is>
      </c>
      <c r="D9" t="inlineStr">
        <is>
          <t>Corydalis</t>
        </is>
      </c>
      <c r="E9" t="inlineStr">
        <is>
          <t>Moderate</t>
        </is>
      </c>
      <c r="F9" t="n">
        <v>38.6</v>
      </c>
      <c r="G9" t="inlineStr">
        <is>
          <t>stimulating</t>
        </is>
      </c>
      <c r="H9" t="inlineStr">
        <is>
          <t>gastrointestinal; metabolic; neurotransmitter; oxidative-stress</t>
        </is>
      </c>
    </row>
    <row r="10">
      <c r="A10" t="n">
        <v>9</v>
      </c>
      <c r="B10" t="inlineStr">
        <is>
          <t>Green Tea</t>
        </is>
      </c>
      <c r="C10" t="inlineStr">
        <is>
          <t>Blue Lotus</t>
        </is>
      </c>
      <c r="D10" t="inlineStr">
        <is>
          <t>Corydalis</t>
        </is>
      </c>
      <c r="E10" t="inlineStr">
        <is>
          <t>Moderate</t>
        </is>
      </c>
      <c r="F10" t="n">
        <v>37</v>
      </c>
      <c r="G10" t="inlineStr">
        <is>
          <t>stimulating</t>
        </is>
      </c>
      <c r="H10" t="inlineStr">
        <is>
          <t>gastrointestinal; metabolic; neurotransmitter; oxidative-stress</t>
        </is>
      </c>
    </row>
    <row r="11">
      <c r="A11" t="n">
        <v>10</v>
      </c>
      <c r="B11" t="inlineStr">
        <is>
          <t>Green Tea</t>
        </is>
      </c>
      <c r="C11" t="inlineStr">
        <is>
          <t>Black Pepper</t>
        </is>
      </c>
      <c r="D11" t="inlineStr">
        <is>
          <t>Corydalis</t>
        </is>
      </c>
      <c r="E11" t="inlineStr">
        <is>
          <t>Moderate</t>
        </is>
      </c>
      <c r="F11" t="n">
        <v>34.9</v>
      </c>
      <c r="G11" t="inlineStr">
        <is>
          <t>stimulating</t>
        </is>
      </c>
      <c r="H11" t="inlineStr">
        <is>
          <t>gastrointestinal; metabolic; neurotransmitter; oxidative-stress</t>
        </is>
      </c>
    </row>
  </sheetData>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Risk Tier</t>
        </is>
      </c>
      <c r="F1" t="inlineStr">
        <is>
          <t>Refined Stack Score</t>
        </is>
      </c>
      <c r="G1" t="inlineStr">
        <is>
          <t>Repeated Flags</t>
        </is>
      </c>
      <c r="H1" t="inlineStr">
        <is>
          <t>Union Buckets</t>
        </is>
      </c>
    </row>
    <row r="2">
      <c r="A2" t="n">
        <v>1</v>
      </c>
      <c r="B2" t="inlineStr">
        <is>
          <t>Chamomile</t>
        </is>
      </c>
      <c r="C2" t="inlineStr">
        <is>
          <t>Epimedium</t>
        </is>
      </c>
      <c r="D2" t="inlineStr">
        <is>
          <t>Turmeric</t>
        </is>
      </c>
      <c r="E2" t="inlineStr">
        <is>
          <t>Low</t>
        </is>
      </c>
      <c r="F2" t="n">
        <v>54.7</v>
      </c>
      <c r="H2" t="inlineStr">
        <is>
          <t>gastrointestinal; inflammation; neurotransmitter; vascular</t>
        </is>
      </c>
    </row>
    <row r="3">
      <c r="A3" t="n">
        <v>2</v>
      </c>
      <c r="B3" t="inlineStr">
        <is>
          <t>Chamomile</t>
        </is>
      </c>
      <c r="C3" t="inlineStr">
        <is>
          <t>Epimedium</t>
        </is>
      </c>
      <c r="D3" t="inlineStr">
        <is>
          <t>Blue Lotus</t>
        </is>
      </c>
      <c r="E3" t="inlineStr">
        <is>
          <t>Low</t>
        </is>
      </c>
      <c r="F3" t="n">
        <v>53.1</v>
      </c>
      <c r="H3" t="inlineStr">
        <is>
          <t>gastrointestinal; inflammation; neurotransmitter; vascular</t>
        </is>
      </c>
    </row>
    <row r="4">
      <c r="A4" t="n">
        <v>3</v>
      </c>
      <c r="B4" t="inlineStr">
        <is>
          <t>Chamomile</t>
        </is>
      </c>
      <c r="C4" t="inlineStr">
        <is>
          <t>Epimedium</t>
        </is>
      </c>
      <c r="D4" t="inlineStr">
        <is>
          <t>Black Pepper</t>
        </is>
      </c>
      <c r="E4" t="inlineStr">
        <is>
          <t>Low</t>
        </is>
      </c>
      <c r="F4" t="n">
        <v>51</v>
      </c>
      <c r="H4" t="inlineStr">
        <is>
          <t>gastrointestinal; inflammation; neurotransmitter; vascular</t>
        </is>
      </c>
    </row>
    <row r="5">
      <c r="A5" t="n">
        <v>4</v>
      </c>
      <c r="B5" t="inlineStr">
        <is>
          <t>Chinese Skullcap</t>
        </is>
      </c>
      <c r="C5" t="inlineStr">
        <is>
          <t>Epimedium</t>
        </is>
      </c>
      <c r="D5" t="inlineStr">
        <is>
          <t>Black Pepper</t>
        </is>
      </c>
      <c r="E5" t="inlineStr">
        <is>
          <t>Low</t>
        </is>
      </c>
      <c r="F5" t="n">
        <v>49.6</v>
      </c>
      <c r="H5" t="inlineStr">
        <is>
          <t>cognitive-neuroprotective; gastrointestinal; inflammation; vascular</t>
        </is>
      </c>
    </row>
    <row r="6">
      <c r="A6" t="n">
        <v>5</v>
      </c>
      <c r="B6" t="inlineStr">
        <is>
          <t>Chinese Skullcap</t>
        </is>
      </c>
      <c r="C6" t="inlineStr">
        <is>
          <t>Epimedium</t>
        </is>
      </c>
      <c r="D6" t="inlineStr">
        <is>
          <t>Turmeric</t>
        </is>
      </c>
      <c r="E6" t="inlineStr">
        <is>
          <t>Low</t>
        </is>
      </c>
      <c r="F6" t="n">
        <v>47.4</v>
      </c>
      <c r="H6" t="inlineStr">
        <is>
          <t>cognitive-neuroprotective; inflammation; vascular</t>
        </is>
      </c>
    </row>
    <row r="7">
      <c r="A7" t="n">
        <v>6</v>
      </c>
      <c r="B7" t="inlineStr">
        <is>
          <t>Chinese Skullcap</t>
        </is>
      </c>
      <c r="C7" t="inlineStr">
        <is>
          <t>Epimedium</t>
        </is>
      </c>
      <c r="D7" t="inlineStr">
        <is>
          <t>Blue Lotus</t>
        </is>
      </c>
      <c r="E7" t="inlineStr">
        <is>
          <t>Low</t>
        </is>
      </c>
      <c r="F7" t="n">
        <v>45.8</v>
      </c>
      <c r="H7" t="inlineStr">
        <is>
          <t>cognitive-neuroprotective; inflammation; vascular</t>
        </is>
      </c>
    </row>
    <row r="8">
      <c r="A8" t="n">
        <v>7</v>
      </c>
      <c r="B8" t="inlineStr">
        <is>
          <t>Epimedium</t>
        </is>
      </c>
      <c r="C8" t="inlineStr">
        <is>
          <t>Turmeric</t>
        </is>
      </c>
      <c r="D8" t="inlineStr">
        <is>
          <t>Corydalis</t>
        </is>
      </c>
      <c r="E8" t="inlineStr">
        <is>
          <t>Low</t>
        </is>
      </c>
      <c r="F8" t="n">
        <v>42.3</v>
      </c>
      <c r="H8" t="inlineStr">
        <is>
          <t>gastrointestinal; neurotransmitter; vascular</t>
        </is>
      </c>
    </row>
    <row r="9">
      <c r="A9" t="n">
        <v>8</v>
      </c>
      <c r="B9" t="inlineStr">
        <is>
          <t>Epimedium</t>
        </is>
      </c>
      <c r="C9" t="inlineStr">
        <is>
          <t>Blue Lotus</t>
        </is>
      </c>
      <c r="D9" t="inlineStr">
        <is>
          <t>Corydalis</t>
        </is>
      </c>
      <c r="E9" t="inlineStr">
        <is>
          <t>Low</t>
        </is>
      </c>
      <c r="F9" t="n">
        <v>40.7</v>
      </c>
      <c r="H9" t="inlineStr">
        <is>
          <t>gastrointestinal; neurotransmitter; vascular</t>
        </is>
      </c>
    </row>
    <row r="10">
      <c r="A10" t="n">
        <v>9</v>
      </c>
      <c r="B10" t="inlineStr">
        <is>
          <t>Epimedium</t>
        </is>
      </c>
      <c r="C10" t="inlineStr">
        <is>
          <t>Black Pepper</t>
        </is>
      </c>
      <c r="D10" t="inlineStr">
        <is>
          <t>Corydalis</t>
        </is>
      </c>
      <c r="E10" t="inlineStr">
        <is>
          <t>Low</t>
        </is>
      </c>
      <c r="F10" t="n">
        <v>38.5</v>
      </c>
      <c r="H10" t="inlineStr">
        <is>
          <t>gastrointestinal; neurotransmitter; vascular</t>
        </is>
      </c>
    </row>
    <row r="11">
      <c r="A11" t="n">
        <v>10</v>
      </c>
      <c r="B11" t="inlineStr">
        <is>
          <t>Epimedium</t>
        </is>
      </c>
      <c r="C11" t="inlineStr">
        <is>
          <t>Turmeric</t>
        </is>
      </c>
      <c r="D11" t="inlineStr">
        <is>
          <t>Black Pepper</t>
        </is>
      </c>
      <c r="E11" t="inlineStr">
        <is>
          <t>Low</t>
        </is>
      </c>
      <c r="F11" t="n">
        <v>37.9</v>
      </c>
      <c r="H11" t="inlineStr">
        <is>
          <t>gastrointestinal; vascular</t>
        </is>
      </c>
    </row>
    <row r="12">
      <c r="A12" t="n">
        <v>11</v>
      </c>
      <c r="B12" t="inlineStr">
        <is>
          <t>Chamomile</t>
        </is>
      </c>
      <c r="C12" t="inlineStr">
        <is>
          <t>Epimedium</t>
        </is>
      </c>
      <c r="D12" t="inlineStr">
        <is>
          <t>Corydalis</t>
        </is>
      </c>
      <c r="E12" t="inlineStr">
        <is>
          <t>Moderate</t>
        </is>
      </c>
      <c r="F12" t="n">
        <v>36.4</v>
      </c>
      <c r="G12" t="inlineStr">
        <is>
          <t>stimulating</t>
        </is>
      </c>
      <c r="H12" t="inlineStr">
        <is>
          <t>gastrointestinal; inflammation; neurotransmitter; vascular</t>
        </is>
      </c>
    </row>
    <row r="13">
      <c r="A13" t="n">
        <v>12</v>
      </c>
      <c r="B13" t="inlineStr">
        <is>
          <t>Epimedium</t>
        </is>
      </c>
      <c r="C13" t="inlineStr">
        <is>
          <t>Blue Lotus</t>
        </is>
      </c>
      <c r="D13" t="inlineStr">
        <is>
          <t>Black Pepper</t>
        </is>
      </c>
      <c r="E13" t="inlineStr">
        <is>
          <t>Low</t>
        </is>
      </c>
      <c r="F13" t="n">
        <v>36.3</v>
      </c>
      <c r="H13" t="inlineStr">
        <is>
          <t>gastrointestinal; vascular</t>
        </is>
      </c>
    </row>
    <row r="14">
      <c r="A14" t="n">
        <v>13</v>
      </c>
      <c r="B14" t="inlineStr">
        <is>
          <t>Epimedium</t>
        </is>
      </c>
      <c r="C14" t="inlineStr">
        <is>
          <t>Turmeric</t>
        </is>
      </c>
      <c r="D14" t="inlineStr">
        <is>
          <t>Blue Lotus</t>
        </is>
      </c>
      <c r="E14" t="inlineStr">
        <is>
          <t>Low</t>
        </is>
      </c>
      <c r="F14" t="n">
        <v>34</v>
      </c>
      <c r="H14" t="inlineStr">
        <is>
          <t>vascular</t>
        </is>
      </c>
    </row>
  </sheetData>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sheetData>
    <row r="1">
      <c r="A1" t="inlineStr">
        <is>
          <t>Rank</t>
        </is>
      </c>
      <c r="B1" t="inlineStr">
        <is>
          <t>Herb A</t>
        </is>
      </c>
      <c r="C1" t="inlineStr">
        <is>
          <t>Herb B</t>
        </is>
      </c>
      <c r="D1" t="inlineStr">
        <is>
          <t>Herb C</t>
        </is>
      </c>
      <c r="E1" t="inlineStr">
        <is>
          <t>Risk Tier</t>
        </is>
      </c>
      <c r="F1" t="inlineStr">
        <is>
          <t>Refined Stack Score</t>
        </is>
      </c>
      <c r="G1" t="inlineStr">
        <is>
          <t>Repeated Flags</t>
        </is>
      </c>
      <c r="H1" t="inlineStr">
        <is>
          <t>Union Buckets</t>
        </is>
      </c>
    </row>
    <row r="2">
      <c r="A2" t="n">
        <v>1</v>
      </c>
      <c r="B2" t="inlineStr">
        <is>
          <t>Chamomile</t>
        </is>
      </c>
      <c r="C2" t="inlineStr">
        <is>
          <t>Turmeric</t>
        </is>
      </c>
      <c r="D2" t="inlineStr">
        <is>
          <t>Blue Lotus</t>
        </is>
      </c>
      <c r="E2" t="inlineStr">
        <is>
          <t>Low</t>
        </is>
      </c>
      <c r="F2" t="n">
        <v>47.4</v>
      </c>
      <c r="H2" t="inlineStr">
        <is>
          <t>gastrointestinal; inflammation; neurotransmitter</t>
        </is>
      </c>
    </row>
    <row r="3">
      <c r="A3" t="n">
        <v>2</v>
      </c>
      <c r="B3" t="inlineStr">
        <is>
          <t>Chamomile</t>
        </is>
      </c>
      <c r="C3" t="inlineStr">
        <is>
          <t>Turmeric</t>
        </is>
      </c>
      <c r="D3" t="inlineStr">
        <is>
          <t>Black Pepper</t>
        </is>
      </c>
      <c r="E3" t="inlineStr">
        <is>
          <t>Low</t>
        </is>
      </c>
      <c r="F3" t="n">
        <v>45.2</v>
      </c>
      <c r="H3" t="inlineStr">
        <is>
          <t>gastrointestinal; inflammation; neurotransmitter</t>
        </is>
      </c>
    </row>
    <row r="4">
      <c r="A4" t="n">
        <v>3</v>
      </c>
      <c r="B4" t="inlineStr">
        <is>
          <t>Chinese Skullcap</t>
        </is>
      </c>
      <c r="C4" t="inlineStr">
        <is>
          <t>Turmeric</t>
        </is>
      </c>
      <c r="D4" t="inlineStr">
        <is>
          <t>Black Pepper</t>
        </is>
      </c>
      <c r="E4" t="inlineStr">
        <is>
          <t>Low</t>
        </is>
      </c>
      <c r="F4" t="n">
        <v>43.9</v>
      </c>
      <c r="H4" t="inlineStr">
        <is>
          <t>cognitive-neuroprotective; gastrointestinal; inflammation</t>
        </is>
      </c>
    </row>
    <row r="5">
      <c r="A5" t="n">
        <v>4</v>
      </c>
      <c r="B5" t="inlineStr">
        <is>
          <t>Chamomile</t>
        </is>
      </c>
      <c r="C5" t="inlineStr">
        <is>
          <t>Blue Lotus</t>
        </is>
      </c>
      <c r="D5" t="inlineStr">
        <is>
          <t>Black Pepper</t>
        </is>
      </c>
      <c r="E5" t="inlineStr">
        <is>
          <t>Low</t>
        </is>
      </c>
      <c r="F5" t="n">
        <v>43.6</v>
      </c>
      <c r="H5" t="inlineStr">
        <is>
          <t>gastrointestinal; inflammation; neurotransmitter</t>
        </is>
      </c>
    </row>
    <row r="6">
      <c r="A6" t="n">
        <v>5</v>
      </c>
      <c r="B6" t="inlineStr">
        <is>
          <t>Chinese Skullcap</t>
        </is>
      </c>
      <c r="C6" t="inlineStr">
        <is>
          <t>Blue Lotus</t>
        </is>
      </c>
      <c r="D6" t="inlineStr">
        <is>
          <t>Black Pepper</t>
        </is>
      </c>
      <c r="E6" t="inlineStr">
        <is>
          <t>Low</t>
        </is>
      </c>
      <c r="F6" t="n">
        <v>42.3</v>
      </c>
      <c r="H6" t="inlineStr">
        <is>
          <t>cognitive-neuroprotective; gastrointestinal; inflammation</t>
        </is>
      </c>
    </row>
    <row r="7">
      <c r="A7" t="n">
        <v>6</v>
      </c>
      <c r="B7" t="inlineStr">
        <is>
          <t>Chinese Skullcap</t>
        </is>
      </c>
      <c r="C7" t="inlineStr">
        <is>
          <t>Turmeric</t>
        </is>
      </c>
      <c r="D7" t="inlineStr">
        <is>
          <t>Blue Lotus</t>
        </is>
      </c>
      <c r="E7" t="inlineStr">
        <is>
          <t>Low</t>
        </is>
      </c>
      <c r="F7" t="n">
        <v>40</v>
      </c>
      <c r="H7" t="inlineStr">
        <is>
          <t>cognitive-neuroprotective; inflammation</t>
        </is>
      </c>
    </row>
    <row r="8">
      <c r="A8" t="n">
        <v>7</v>
      </c>
      <c r="B8" t="inlineStr">
        <is>
          <t>Turmeric</t>
        </is>
      </c>
      <c r="C8" t="inlineStr">
        <is>
          <t>Blue Lotus</t>
        </is>
      </c>
      <c r="D8" t="inlineStr">
        <is>
          <t>Corydalis</t>
        </is>
      </c>
      <c r="E8" t="inlineStr">
        <is>
          <t>Low</t>
        </is>
      </c>
      <c r="F8" t="n">
        <v>35</v>
      </c>
      <c r="H8" t="inlineStr">
        <is>
          <t>gastrointestinal; neurotransmitter</t>
        </is>
      </c>
    </row>
    <row r="9">
      <c r="A9" t="n">
        <v>8</v>
      </c>
      <c r="B9" t="inlineStr">
        <is>
          <t>Turmeric</t>
        </is>
      </c>
      <c r="C9" t="inlineStr">
        <is>
          <t>Black Pepper</t>
        </is>
      </c>
      <c r="D9" t="inlineStr">
        <is>
          <t>Corydalis</t>
        </is>
      </c>
      <c r="E9" t="inlineStr">
        <is>
          <t>Low</t>
        </is>
      </c>
      <c r="F9" t="n">
        <v>32.8</v>
      </c>
      <c r="H9" t="inlineStr">
        <is>
          <t>gastrointestinal; neurotransmitter</t>
        </is>
      </c>
    </row>
    <row r="10">
      <c r="A10" t="n">
        <v>9</v>
      </c>
      <c r="B10" t="inlineStr">
        <is>
          <t>Chamomile</t>
        </is>
      </c>
      <c r="C10" t="inlineStr">
        <is>
          <t>Black Pepper</t>
        </is>
      </c>
      <c r="D10" t="inlineStr">
        <is>
          <t>Corydalis</t>
        </is>
      </c>
      <c r="E10" t="inlineStr">
        <is>
          <t>Moderate</t>
        </is>
      </c>
      <c r="F10" t="n">
        <v>31.9</v>
      </c>
      <c r="G10" t="inlineStr">
        <is>
          <t>stimulating</t>
        </is>
      </c>
      <c r="H10" t="inlineStr">
        <is>
          <t>gastrointestinal; inflammation; neurotransmitter</t>
        </is>
      </c>
    </row>
    <row r="11">
      <c r="A11" t="n">
        <v>10</v>
      </c>
      <c r="B11" t="inlineStr">
        <is>
          <t>Blue Lotus</t>
        </is>
      </c>
      <c r="C11" t="inlineStr">
        <is>
          <t>Black Pepper</t>
        </is>
      </c>
      <c r="D11" t="inlineStr">
        <is>
          <t>Corydalis</t>
        </is>
      </c>
      <c r="E11" t="inlineStr">
        <is>
          <t>Low</t>
        </is>
      </c>
      <c r="F11" t="n">
        <v>31.2</v>
      </c>
      <c r="H11" t="inlineStr">
        <is>
          <t>gastrointestinal; neurotransmitter</t>
        </is>
      </c>
    </row>
    <row r="12">
      <c r="A12" t="n">
        <v>11</v>
      </c>
      <c r="B12" t="inlineStr">
        <is>
          <t>Chamomile</t>
        </is>
      </c>
      <c r="C12" t="inlineStr">
        <is>
          <t>Turmeric</t>
        </is>
      </c>
      <c r="D12" t="inlineStr">
        <is>
          <t>Corydalis</t>
        </is>
      </c>
      <c r="E12" t="inlineStr">
        <is>
          <t>Moderate</t>
        </is>
      </c>
      <c r="F12" t="n">
        <v>30.6</v>
      </c>
      <c r="G12" t="inlineStr">
        <is>
          <t>stimulating</t>
        </is>
      </c>
      <c r="H12" t="inlineStr">
        <is>
          <t>gastrointestinal; inflammation; neurotransmitter</t>
        </is>
      </c>
    </row>
    <row r="13">
      <c r="A13" t="n">
        <v>12</v>
      </c>
      <c r="B13" t="inlineStr">
        <is>
          <t>Turmeric</t>
        </is>
      </c>
      <c r="C13" t="inlineStr">
        <is>
          <t>Blue Lotus</t>
        </is>
      </c>
      <c r="D13" t="inlineStr">
        <is>
          <t>Black Pepper</t>
        </is>
      </c>
      <c r="E13" t="inlineStr">
        <is>
          <t>Low</t>
        </is>
      </c>
      <c r="F13" t="n">
        <v>30.6</v>
      </c>
      <c r="H13" t="inlineStr">
        <is>
          <t>gastrointestinal</t>
        </is>
      </c>
    </row>
    <row r="14">
      <c r="A14" t="n">
        <v>13</v>
      </c>
      <c r="B14" t="inlineStr">
        <is>
          <t>Chamomile</t>
        </is>
      </c>
      <c r="C14" t="inlineStr">
        <is>
          <t>Blue Lotus</t>
        </is>
      </c>
      <c r="D14" t="inlineStr">
        <is>
          <t>Corydalis</t>
        </is>
      </c>
      <c r="E14" t="inlineStr">
        <is>
          <t>Moderate</t>
        </is>
      </c>
      <c r="F14" t="n">
        <v>29</v>
      </c>
      <c r="G14" t="inlineStr">
        <is>
          <t>stimulating</t>
        </is>
      </c>
      <c r="H14" t="inlineStr">
        <is>
          <t>gastrointestinal; inflammation; neurotransmitter</t>
        </is>
      </c>
    </row>
  </sheetData>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17</t>
        </is>
      </c>
    </row>
    <row r="3">
      <c r="A3" t="inlineStr">
        <is>
          <t>Focus</t>
        </is>
      </c>
      <c r="B3" t="inlineStr">
        <is>
          <t>Contraindication-aware stack filtering + category packs</t>
        </is>
      </c>
    </row>
    <row r="4">
      <c r="A4" t="inlineStr">
        <is>
          <t>Stacks reviewed</t>
        </is>
      </c>
      <c r="B4" t="n">
        <v>220</v>
      </c>
    </row>
    <row r="5">
      <c r="A5" t="inlineStr">
        <is>
          <t>Stacks suppressed</t>
        </is>
      </c>
      <c r="B5" t="n">
        <v>1</v>
      </c>
    </row>
    <row r="6">
      <c r="A6" t="inlineStr">
        <is>
          <t>Low-risk stacks</t>
        </is>
      </c>
      <c r="B6" t="n">
        <v>192</v>
      </c>
    </row>
    <row r="7">
      <c r="A7" t="inlineStr">
        <is>
          <t>Moderate-risk stacks</t>
        </is>
      </c>
      <c r="B7" t="n">
        <v>18</v>
      </c>
    </row>
    <row r="8">
      <c r="A8" t="inlineStr">
        <is>
          <t>Elevated-risk stacks</t>
        </is>
      </c>
      <c r="B8" t="n">
        <v>9</v>
      </c>
    </row>
    <row r="9">
      <c r="A9" t="inlineStr">
        <is>
          <t>Top filtered stack</t>
        </is>
      </c>
      <c r="B9" t="inlineStr">
        <is>
          <t>Ginkgo Biloba + Panax Ginseng + Ashwagandha</t>
        </is>
      </c>
    </row>
    <row r="10">
      <c r="A10" t="inlineStr">
        <is>
          <t>Top filtered stack category</t>
        </is>
      </c>
      <c r="B10" t="inlineStr">
        <is>
          <t>Focus</t>
        </is>
      </c>
    </row>
    <row r="11">
      <c r="A11" t="inlineStr">
        <is>
          <t>Top filtered stack score</t>
        </is>
      </c>
      <c r="B11" t="n">
        <v>100.5</v>
      </c>
    </row>
  </sheetData>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Metric</t>
        </is>
      </c>
      <c r="B1" t="inlineStr">
        <is>
          <t>Value</t>
        </is>
      </c>
    </row>
    <row r="2">
      <c r="A2" t="inlineStr">
        <is>
          <t>Focus</t>
        </is>
      </c>
      <c r="B2" t="inlineStr">
        <is>
          <t>Category refinement + herb classification</t>
        </is>
      </c>
    </row>
  </sheetData>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sheetData>
    <row r="1">
      <c r="A1" t="inlineStr">
        <is>
          <t>Product Type</t>
        </is>
      </c>
      <c r="B1" t="inlineStr">
        <is>
          <t>Stack Name</t>
        </is>
      </c>
      <c r="C1" t="inlineStr">
        <is>
          <t>Herb A</t>
        </is>
      </c>
      <c r="D1" t="inlineStr">
        <is>
          <t>Herb B</t>
        </is>
      </c>
      <c r="E1" t="inlineStr">
        <is>
          <t>Herb C</t>
        </is>
      </c>
      <c r="F1" t="inlineStr">
        <is>
          <t>Category</t>
        </is>
      </c>
      <c r="G1" t="inlineStr">
        <is>
          <t>Use Case</t>
        </is>
      </c>
      <c r="H1" t="inlineStr">
        <is>
          <t>Rationale</t>
        </is>
      </c>
      <c r="I1" t="inlineStr">
        <is>
          <t>Risk Tier</t>
        </is>
      </c>
    </row>
    <row r="2">
      <c r="A2" t="inlineStr">
        <is>
          <t>3-Herb Stack</t>
        </is>
      </c>
      <c r="B2" t="inlineStr">
        <is>
          <t>Focus Stack: Ginkgo + Panax + Ashwagandha</t>
        </is>
      </c>
      <c r="C2" t="inlineStr">
        <is>
          <t>Ginkgo Biloba</t>
        </is>
      </c>
      <c r="D2" t="inlineStr">
        <is>
          <t>Panax Ginseng</t>
        </is>
      </c>
      <c r="E2" t="inlineStr">
        <is>
          <t>Ashwagandha</t>
        </is>
      </c>
      <c r="F2" t="inlineStr">
        <is>
          <t>Focus</t>
        </is>
      </c>
      <c r="G2" t="inlineStr">
        <is>
          <t>Focus</t>
        </is>
      </c>
      <c r="H2" t="inlineStr">
        <is>
          <t>Combines focus pathways with complementary mechanisms across three herbs.</t>
        </is>
      </c>
      <c r="I2" t="inlineStr">
        <is>
          <t>Low</t>
        </is>
      </c>
    </row>
    <row r="3">
      <c r="A3" t="inlineStr">
        <is>
          <t>3-Herb Stack</t>
        </is>
      </c>
      <c r="B3" t="inlineStr">
        <is>
          <t>Focus Stack: Ginkgo + Panax + Chinese</t>
        </is>
      </c>
      <c r="C3" t="inlineStr">
        <is>
          <t>Ginkgo Biloba</t>
        </is>
      </c>
      <c r="D3" t="inlineStr">
        <is>
          <t>Panax Ginseng</t>
        </is>
      </c>
      <c r="E3" t="inlineStr">
        <is>
          <t>Chinese Skullcap</t>
        </is>
      </c>
      <c r="F3" t="inlineStr">
        <is>
          <t>Focus</t>
        </is>
      </c>
      <c r="G3" t="inlineStr">
        <is>
          <t>Focus</t>
        </is>
      </c>
      <c r="H3" t="inlineStr">
        <is>
          <t>Combines focus pathways with complementary mechanisms across three herbs.</t>
        </is>
      </c>
      <c r="I3" t="inlineStr">
        <is>
          <t>Low</t>
        </is>
      </c>
    </row>
    <row r="4">
      <c r="A4" t="inlineStr">
        <is>
          <t>3-Herb Stack</t>
        </is>
      </c>
      <c r="B4" t="inlineStr">
        <is>
          <t>Focus Stack: Ginkgo + Panax + Green</t>
        </is>
      </c>
      <c r="C4" t="inlineStr">
        <is>
          <t>Ginkgo Biloba</t>
        </is>
      </c>
      <c r="D4" t="inlineStr">
        <is>
          <t>Panax Ginseng</t>
        </is>
      </c>
      <c r="E4" t="inlineStr">
        <is>
          <t>Green Tea</t>
        </is>
      </c>
      <c r="F4" t="inlineStr">
        <is>
          <t>Focus</t>
        </is>
      </c>
      <c r="G4" t="inlineStr">
        <is>
          <t>Focus</t>
        </is>
      </c>
      <c r="H4" t="inlineStr">
        <is>
          <t>Combines focus pathways with complementary mechanisms across three herbs.</t>
        </is>
      </c>
      <c r="I4" t="inlineStr">
        <is>
          <t>Low</t>
        </is>
      </c>
    </row>
    <row r="5">
      <c r="A5" t="inlineStr">
        <is>
          <t>3-Herb Stack</t>
        </is>
      </c>
      <c r="B5" t="inlineStr">
        <is>
          <t>Focus Stack: Ginkgo + Panax + Chamomile</t>
        </is>
      </c>
      <c r="C5" t="inlineStr">
        <is>
          <t>Ginkgo Biloba</t>
        </is>
      </c>
      <c r="D5" t="inlineStr">
        <is>
          <t>Panax Ginseng</t>
        </is>
      </c>
      <c r="E5" t="inlineStr">
        <is>
          <t>Chamomile</t>
        </is>
      </c>
      <c r="F5" t="inlineStr">
        <is>
          <t>Focus</t>
        </is>
      </c>
      <c r="G5" t="inlineStr">
        <is>
          <t>Focus</t>
        </is>
      </c>
      <c r="H5" t="inlineStr">
        <is>
          <t>Combines focus pathways with complementary mechanisms across three herbs.</t>
        </is>
      </c>
      <c r="I5" t="inlineStr">
        <is>
          <t>Low</t>
        </is>
      </c>
    </row>
    <row r="6">
      <c r="A6" t="inlineStr">
        <is>
          <t>3-Herb Stack</t>
        </is>
      </c>
      <c r="B6" t="inlineStr">
        <is>
          <t>Focus Stack: Ginkgo + Green + Ashwagandha</t>
        </is>
      </c>
      <c r="C6" t="inlineStr">
        <is>
          <t>Ginkgo Biloba</t>
        </is>
      </c>
      <c r="D6" t="inlineStr">
        <is>
          <t>Green Tea</t>
        </is>
      </c>
      <c r="E6" t="inlineStr">
        <is>
          <t>Ashwagandha</t>
        </is>
      </c>
      <c r="F6" t="inlineStr">
        <is>
          <t>Focus</t>
        </is>
      </c>
      <c r="G6" t="inlineStr">
        <is>
          <t>Focus</t>
        </is>
      </c>
      <c r="H6" t="inlineStr">
        <is>
          <t>Combines focus pathways with complementary mechanisms across three herbs.</t>
        </is>
      </c>
      <c r="I6" t="inlineStr">
        <is>
          <t>Low</t>
        </is>
      </c>
    </row>
    <row r="7">
      <c r="A7" t="inlineStr">
        <is>
          <t>3-Herb Stack</t>
        </is>
      </c>
      <c r="B7" t="inlineStr">
        <is>
          <t>Focus Stack: Ginkgo + Panax + Turmeric</t>
        </is>
      </c>
      <c r="C7" t="inlineStr">
        <is>
          <t>Ginkgo Biloba</t>
        </is>
      </c>
      <c r="D7" t="inlineStr">
        <is>
          <t>Panax Ginseng</t>
        </is>
      </c>
      <c r="E7" t="inlineStr">
        <is>
          <t>Turmeric</t>
        </is>
      </c>
      <c r="F7" t="inlineStr">
        <is>
          <t>Focus</t>
        </is>
      </c>
      <c r="G7" t="inlineStr">
        <is>
          <t>Focus</t>
        </is>
      </c>
      <c r="H7" t="inlineStr">
        <is>
          <t>Combines focus pathways with complementary mechanisms across three herbs.</t>
        </is>
      </c>
      <c r="I7" t="inlineStr">
        <is>
          <t>Low</t>
        </is>
      </c>
    </row>
    <row r="8">
      <c r="A8" t="inlineStr">
        <is>
          <t>3-Herb Stack</t>
        </is>
      </c>
      <c r="B8" t="inlineStr">
        <is>
          <t>Focus Stack: Ginkgo + Panax + Blue</t>
        </is>
      </c>
      <c r="C8" t="inlineStr">
        <is>
          <t>Ginkgo Biloba</t>
        </is>
      </c>
      <c r="D8" t="inlineStr">
        <is>
          <t>Panax Ginseng</t>
        </is>
      </c>
      <c r="E8" t="inlineStr">
        <is>
          <t>Blue Lotus</t>
        </is>
      </c>
      <c r="F8" t="inlineStr">
        <is>
          <t>Focus</t>
        </is>
      </c>
      <c r="G8" t="inlineStr">
        <is>
          <t>Focus</t>
        </is>
      </c>
      <c r="H8" t="inlineStr">
        <is>
          <t>Combines focus pathways with complementary mechanisms across three herbs.</t>
        </is>
      </c>
      <c r="I8" t="inlineStr">
        <is>
          <t>Low</t>
        </is>
      </c>
    </row>
    <row r="9">
      <c r="A9" t="inlineStr">
        <is>
          <t>3-Herb Stack</t>
        </is>
      </c>
      <c r="B9" t="inlineStr">
        <is>
          <t>Focus Stack: Ginkgo + Panax + Black</t>
        </is>
      </c>
      <c r="C9" t="inlineStr">
        <is>
          <t>Ginkgo Biloba</t>
        </is>
      </c>
      <c r="D9" t="inlineStr">
        <is>
          <t>Panax Ginseng</t>
        </is>
      </c>
      <c r="E9" t="inlineStr">
        <is>
          <t>Black Cohosh</t>
        </is>
      </c>
      <c r="F9" t="inlineStr">
        <is>
          <t>Focus</t>
        </is>
      </c>
      <c r="G9" t="inlineStr">
        <is>
          <t>Focus</t>
        </is>
      </c>
      <c r="H9" t="inlineStr">
        <is>
          <t>Combines focus pathways with complementary mechanisms across three herbs.</t>
        </is>
      </c>
      <c r="I9" t="inlineStr">
        <is>
          <t>Low</t>
        </is>
      </c>
    </row>
    <row r="10">
      <c r="A10" t="inlineStr">
        <is>
          <t>3-Herb Stack</t>
        </is>
      </c>
      <c r="B10" t="inlineStr">
        <is>
          <t>Focus Stack: Ginkgo + Chamomile + Ashwagandha</t>
        </is>
      </c>
      <c r="C10" t="inlineStr">
        <is>
          <t>Ginkgo Biloba</t>
        </is>
      </c>
      <c r="D10" t="inlineStr">
        <is>
          <t>Chamomile</t>
        </is>
      </c>
      <c r="E10" t="inlineStr">
        <is>
          <t>Ashwagandha</t>
        </is>
      </c>
      <c r="F10" t="inlineStr">
        <is>
          <t>Focus</t>
        </is>
      </c>
      <c r="G10" t="inlineStr">
        <is>
          <t>Focus</t>
        </is>
      </c>
      <c r="H10" t="inlineStr">
        <is>
          <t>Combines focus pathways with complementary mechanisms across three herbs.</t>
        </is>
      </c>
      <c r="I10" t="inlineStr">
        <is>
          <t>Low</t>
        </is>
      </c>
    </row>
    <row r="11">
      <c r="A11" t="inlineStr">
        <is>
          <t>3-Herb Stack</t>
        </is>
      </c>
      <c r="B11" t="inlineStr">
        <is>
          <t>Focus Stack: Ginkgo + Panax + Black</t>
        </is>
      </c>
      <c r="C11" t="inlineStr">
        <is>
          <t>Ginkgo Biloba</t>
        </is>
      </c>
      <c r="D11" t="inlineStr">
        <is>
          <t>Panax Ginseng</t>
        </is>
      </c>
      <c r="E11" t="inlineStr">
        <is>
          <t>Black Pepper</t>
        </is>
      </c>
      <c r="F11" t="inlineStr">
        <is>
          <t>Focus</t>
        </is>
      </c>
      <c r="G11" t="inlineStr">
        <is>
          <t>Focus</t>
        </is>
      </c>
      <c r="H11" t="inlineStr">
        <is>
          <t>Combines focus pathways with complementary mechanisms across three herbs.</t>
        </is>
      </c>
      <c r="I11" t="inlineStr">
        <is>
          <t>Low</t>
        </is>
      </c>
    </row>
    <row r="12">
      <c r="A12" t="inlineStr">
        <is>
          <t>3-Herb Stack</t>
        </is>
      </c>
      <c r="B12" t="inlineStr">
        <is>
          <t>Focus Stack: Panax + Chinese + Ashwagandha</t>
        </is>
      </c>
      <c r="C12" t="inlineStr">
        <is>
          <t>Panax Ginseng</t>
        </is>
      </c>
      <c r="D12" t="inlineStr">
        <is>
          <t>Chinese Skullcap</t>
        </is>
      </c>
      <c r="E12" t="inlineStr">
        <is>
          <t>Ashwagandha</t>
        </is>
      </c>
      <c r="F12" t="inlineStr">
        <is>
          <t>Focus</t>
        </is>
      </c>
      <c r="G12" t="inlineStr">
        <is>
          <t>Focus</t>
        </is>
      </c>
      <c r="H12" t="inlineStr">
        <is>
          <t>Combines focus pathways with complementary mechanisms across three herbs.</t>
        </is>
      </c>
      <c r="I12" t="inlineStr">
        <is>
          <t>Low</t>
        </is>
      </c>
    </row>
    <row r="13">
      <c r="A13" t="inlineStr">
        <is>
          <t>3-Herb Stack</t>
        </is>
      </c>
      <c r="B13" t="inlineStr">
        <is>
          <t>Focus Stack: Ginkgo + Panax + Corydalis</t>
        </is>
      </c>
      <c r="C13" t="inlineStr">
        <is>
          <t>Ginkgo Biloba</t>
        </is>
      </c>
      <c r="D13" t="inlineStr">
        <is>
          <t>Panax Ginseng</t>
        </is>
      </c>
      <c r="E13" t="inlineStr">
        <is>
          <t>Corydalis</t>
        </is>
      </c>
      <c r="F13" t="inlineStr">
        <is>
          <t>Focus</t>
        </is>
      </c>
      <c r="G13" t="inlineStr">
        <is>
          <t>Focus</t>
        </is>
      </c>
      <c r="H13" t="inlineStr">
        <is>
          <t>Combines focus pathways with complementary mechanisms across three herbs.</t>
        </is>
      </c>
      <c r="I13" t="inlineStr">
        <is>
          <t>Low</t>
        </is>
      </c>
    </row>
    <row r="14">
      <c r="A14" t="inlineStr">
        <is>
          <t>3-Herb Stack</t>
        </is>
      </c>
      <c r="B14" t="inlineStr">
        <is>
          <t>Focus Stack: Ginkgo + Green + Black</t>
        </is>
      </c>
      <c r="C14" t="inlineStr">
        <is>
          <t>Ginkgo Biloba</t>
        </is>
      </c>
      <c r="D14" t="inlineStr">
        <is>
          <t>Green Tea</t>
        </is>
      </c>
      <c r="E14" t="inlineStr">
        <is>
          <t>Black Cohosh</t>
        </is>
      </c>
      <c r="F14" t="inlineStr">
        <is>
          <t>Focus</t>
        </is>
      </c>
      <c r="G14" t="inlineStr">
        <is>
          <t>Focus</t>
        </is>
      </c>
      <c r="H14" t="inlineStr">
        <is>
          <t>Combines focus pathways with complementary mechanisms across three herbs.</t>
        </is>
      </c>
      <c r="I14" t="inlineStr">
        <is>
          <t>Low</t>
        </is>
      </c>
    </row>
    <row r="15">
      <c r="A15" t="inlineStr">
        <is>
          <t>3-Herb Stack</t>
        </is>
      </c>
      <c r="B15" t="inlineStr">
        <is>
          <t>Stress Stack: Ginkgo + Ashwagandha + Black</t>
        </is>
      </c>
      <c r="C15" t="inlineStr">
        <is>
          <t>Ginkgo Biloba</t>
        </is>
      </c>
      <c r="D15" t="inlineStr">
        <is>
          <t>Ashwagandha</t>
        </is>
      </c>
      <c r="E15" t="inlineStr">
        <is>
          <t>Black Cohosh</t>
        </is>
      </c>
      <c r="F15" t="inlineStr">
        <is>
          <t>Stress</t>
        </is>
      </c>
      <c r="G15" t="inlineStr">
        <is>
          <t>Stress</t>
        </is>
      </c>
      <c r="H15" t="inlineStr">
        <is>
          <t>Combines stress pathways with complementary mechanisms across three herbs.</t>
        </is>
      </c>
      <c r="I15" t="inlineStr">
        <is>
          <t>Low</t>
        </is>
      </c>
    </row>
    <row r="16">
      <c r="A16" t="inlineStr">
        <is>
          <t>3-Herb Stack</t>
        </is>
      </c>
      <c r="B16" t="inlineStr">
        <is>
          <t>Focus Stack: Panax + Epimedium + Ashwagandha</t>
        </is>
      </c>
      <c r="C16" t="inlineStr">
        <is>
          <t>Panax Ginseng</t>
        </is>
      </c>
      <c r="D16" t="inlineStr">
        <is>
          <t>Epimedium</t>
        </is>
      </c>
      <c r="E16" t="inlineStr">
        <is>
          <t>Ashwagandha</t>
        </is>
      </c>
      <c r="F16" t="inlineStr">
        <is>
          <t>Focus</t>
        </is>
      </c>
      <c r="G16" t="inlineStr">
        <is>
          <t>Focus</t>
        </is>
      </c>
      <c r="H16" t="inlineStr">
        <is>
          <t>Combines focus pathways with complementary mechanisms across three herbs.</t>
        </is>
      </c>
      <c r="I16" t="inlineStr">
        <is>
          <t>Low</t>
        </is>
      </c>
    </row>
    <row r="17">
      <c r="A17" t="inlineStr">
        <is>
          <t>3-Herb Stack</t>
        </is>
      </c>
      <c r="B17" t="inlineStr">
        <is>
          <t>Focus Stack: Ginkgo + Chamomile + Chinese</t>
        </is>
      </c>
      <c r="C17" t="inlineStr">
        <is>
          <t>Ginkgo Biloba</t>
        </is>
      </c>
      <c r="D17" t="inlineStr">
        <is>
          <t>Chamomile</t>
        </is>
      </c>
      <c r="E17" t="inlineStr">
        <is>
          <t>Chinese Skullcap</t>
        </is>
      </c>
      <c r="F17" t="inlineStr">
        <is>
          <t>Focus</t>
        </is>
      </c>
      <c r="G17" t="inlineStr">
        <is>
          <t>Focus</t>
        </is>
      </c>
      <c r="H17" t="inlineStr">
        <is>
          <t>Combines focus pathways with complementary mechanisms across three herbs.</t>
        </is>
      </c>
      <c r="I17" t="inlineStr">
        <is>
          <t>Low</t>
        </is>
      </c>
    </row>
    <row r="18">
      <c r="A18" t="inlineStr">
        <is>
          <t>3-Herb Stack</t>
        </is>
      </c>
      <c r="B18" t="inlineStr">
        <is>
          <t>Focus Stack: Ginkgo + Green + Chinese</t>
        </is>
      </c>
      <c r="C18" t="inlineStr">
        <is>
          <t>Ginkgo Biloba</t>
        </is>
      </c>
      <c r="D18" t="inlineStr">
        <is>
          <t>Green Tea</t>
        </is>
      </c>
      <c r="E18" t="inlineStr">
        <is>
          <t>Chinese Skullcap</t>
        </is>
      </c>
      <c r="F18" t="inlineStr">
        <is>
          <t>Focus</t>
        </is>
      </c>
      <c r="G18" t="inlineStr">
        <is>
          <t>Focus</t>
        </is>
      </c>
      <c r="H18" t="inlineStr">
        <is>
          <t>Combines focus pathways with complementary mechanisms across three herbs.</t>
        </is>
      </c>
      <c r="I18" t="inlineStr">
        <is>
          <t>Low</t>
        </is>
      </c>
    </row>
    <row r="19">
      <c r="A19" t="inlineStr">
        <is>
          <t>3-Herb Stack</t>
        </is>
      </c>
      <c r="B19" t="inlineStr">
        <is>
          <t>Focus Stack: Panax + Chamomile + Ashwagandha</t>
        </is>
      </c>
      <c r="C19" t="inlineStr">
        <is>
          <t>Panax Ginseng</t>
        </is>
      </c>
      <c r="D19" t="inlineStr">
        <is>
          <t>Chamomile</t>
        </is>
      </c>
      <c r="E19" t="inlineStr">
        <is>
          <t>Ashwagandha</t>
        </is>
      </c>
      <c r="F19" t="inlineStr">
        <is>
          <t>Focus</t>
        </is>
      </c>
      <c r="G19" t="inlineStr">
        <is>
          <t>Focus</t>
        </is>
      </c>
      <c r="H19" t="inlineStr">
        <is>
          <t>Combines focus pathways with complementary mechanisms across three herbs.</t>
        </is>
      </c>
      <c r="I19" t="inlineStr">
        <is>
          <t>Low</t>
        </is>
      </c>
    </row>
    <row r="20">
      <c r="A20" t="inlineStr">
        <is>
          <t>3-Herb Stack</t>
        </is>
      </c>
      <c r="B20" t="inlineStr">
        <is>
          <t>Focus Stack: Panax + Green + Ashwagandha</t>
        </is>
      </c>
      <c r="C20" t="inlineStr">
        <is>
          <t>Panax Ginseng</t>
        </is>
      </c>
      <c r="D20" t="inlineStr">
        <is>
          <t>Green Tea</t>
        </is>
      </c>
      <c r="E20" t="inlineStr">
        <is>
          <t>Ashwagandha</t>
        </is>
      </c>
      <c r="F20" t="inlineStr">
        <is>
          <t>Focus</t>
        </is>
      </c>
      <c r="G20" t="inlineStr">
        <is>
          <t>Focus</t>
        </is>
      </c>
      <c r="H20" t="inlineStr">
        <is>
          <t>Combines focus pathways with complementary mechanisms across three herbs.</t>
        </is>
      </c>
      <c r="I20" t="inlineStr">
        <is>
          <t>Low</t>
        </is>
      </c>
    </row>
    <row r="21">
      <c r="A21" t="inlineStr">
        <is>
          <t>3-Herb Stack</t>
        </is>
      </c>
      <c r="B21" t="inlineStr">
        <is>
          <t>Focus Stack: Ginkgo + Green + Black</t>
        </is>
      </c>
      <c r="C21" t="inlineStr">
        <is>
          <t>Ginkgo Biloba</t>
        </is>
      </c>
      <c r="D21" t="inlineStr">
        <is>
          <t>Green Tea</t>
        </is>
      </c>
      <c r="E21" t="inlineStr">
        <is>
          <t>Black Pepper</t>
        </is>
      </c>
      <c r="F21" t="inlineStr">
        <is>
          <t>Focus</t>
        </is>
      </c>
      <c r="G21" t="inlineStr">
        <is>
          <t>Focus</t>
        </is>
      </c>
      <c r="H21" t="inlineStr">
        <is>
          <t>Combines focus pathways with complementary mechanisms across three herbs.</t>
        </is>
      </c>
      <c r="I21" t="inlineStr">
        <is>
          <t>Low</t>
        </is>
      </c>
    </row>
    <row r="22">
      <c r="A22" t="inlineStr">
        <is>
          <t>3-Herb Stack</t>
        </is>
      </c>
      <c r="B22" t="inlineStr">
        <is>
          <t>Focus Stack: Panax + Green + Chinese</t>
        </is>
      </c>
      <c r="C22" t="inlineStr">
        <is>
          <t>Panax Ginseng</t>
        </is>
      </c>
      <c r="D22" t="inlineStr">
        <is>
          <t>Green Tea</t>
        </is>
      </c>
      <c r="E22" t="inlineStr">
        <is>
          <t>Chinese Skullcap</t>
        </is>
      </c>
      <c r="F22" t="inlineStr">
        <is>
          <t>Focus</t>
        </is>
      </c>
      <c r="G22" t="inlineStr">
        <is>
          <t>Focus</t>
        </is>
      </c>
      <c r="H22" t="inlineStr">
        <is>
          <t>Combines focus pathways with complementary mechanisms across three herbs.</t>
        </is>
      </c>
      <c r="I22" t="inlineStr">
        <is>
          <t>Low</t>
        </is>
      </c>
    </row>
    <row r="23">
      <c r="A23" t="inlineStr">
        <is>
          <t>3-Herb Stack</t>
        </is>
      </c>
      <c r="B23" t="inlineStr">
        <is>
          <t>Focus Stack: Panax + Green + Epimedium</t>
        </is>
      </c>
      <c r="C23" t="inlineStr">
        <is>
          <t>Panax Ginseng</t>
        </is>
      </c>
      <c r="D23" t="inlineStr">
        <is>
          <t>Green Tea</t>
        </is>
      </c>
      <c r="E23" t="inlineStr">
        <is>
          <t>Epimedium</t>
        </is>
      </c>
      <c r="F23" t="inlineStr">
        <is>
          <t>Focus</t>
        </is>
      </c>
      <c r="G23" t="inlineStr">
        <is>
          <t>Focus</t>
        </is>
      </c>
      <c r="H23" t="inlineStr">
        <is>
          <t>Combines focus pathways with complementary mechanisms across three herbs.</t>
        </is>
      </c>
      <c r="I23" t="inlineStr">
        <is>
          <t>Low</t>
        </is>
      </c>
    </row>
    <row r="24">
      <c r="A24" t="inlineStr">
        <is>
          <t>3-Herb Stack</t>
        </is>
      </c>
      <c r="B24" t="inlineStr">
        <is>
          <t>Focus Stack: Ginkgo + Panax + Epimedium</t>
        </is>
      </c>
      <c r="C24" t="inlineStr">
        <is>
          <t>Ginkgo Biloba</t>
        </is>
      </c>
      <c r="D24" t="inlineStr">
        <is>
          <t>Panax Ginseng</t>
        </is>
      </c>
      <c r="E24" t="inlineStr">
        <is>
          <t>Epimedium</t>
        </is>
      </c>
      <c r="F24" t="inlineStr">
        <is>
          <t>Focus</t>
        </is>
      </c>
      <c r="G24" t="inlineStr">
        <is>
          <t>Focus</t>
        </is>
      </c>
      <c r="H24" t="inlineStr">
        <is>
          <t>Combines focus pathways with complementary mechanisms across three herbs.</t>
        </is>
      </c>
      <c r="I24" t="inlineStr">
        <is>
          <t>Low</t>
        </is>
      </c>
    </row>
    <row r="25">
      <c r="A25" t="inlineStr">
        <is>
          <t>3-Herb Stack</t>
        </is>
      </c>
      <c r="B25" t="inlineStr">
        <is>
          <t>Focus Stack: Panax + Chamomile + Black</t>
        </is>
      </c>
      <c r="C25" t="inlineStr">
        <is>
          <t>Panax Ginseng</t>
        </is>
      </c>
      <c r="D25" t="inlineStr">
        <is>
          <t>Chamomile</t>
        </is>
      </c>
      <c r="E25" t="inlineStr">
        <is>
          <t>Black Cohosh</t>
        </is>
      </c>
      <c r="F25" t="inlineStr">
        <is>
          <t>Focus</t>
        </is>
      </c>
      <c r="G25" t="inlineStr">
        <is>
          <t>Focus</t>
        </is>
      </c>
      <c r="H25" t="inlineStr">
        <is>
          <t>Combines focus pathways with complementary mechanisms across three herbs.</t>
        </is>
      </c>
      <c r="I25" t="inlineStr">
        <is>
          <t>Low</t>
        </is>
      </c>
    </row>
    <row r="26">
      <c r="A26" t="inlineStr">
        <is>
          <t>3-Herb Stack</t>
        </is>
      </c>
      <c r="B26" t="inlineStr">
        <is>
          <t>Focus Stack: Ginkgo + Chamomile + Black</t>
        </is>
      </c>
      <c r="C26" t="inlineStr">
        <is>
          <t>Ginkgo Biloba</t>
        </is>
      </c>
      <c r="D26" t="inlineStr">
        <is>
          <t>Chamomile</t>
        </is>
      </c>
      <c r="E26" t="inlineStr">
        <is>
          <t>Black Cohosh</t>
        </is>
      </c>
      <c r="F26" t="inlineStr">
        <is>
          <t>Focus</t>
        </is>
      </c>
      <c r="G26" t="inlineStr">
        <is>
          <t>Focus</t>
        </is>
      </c>
      <c r="H26" t="inlineStr">
        <is>
          <t>Combines focus pathways with complementary mechanisms across three herbs.</t>
        </is>
      </c>
      <c r="I26" t="inlineStr">
        <is>
          <t>Low</t>
        </is>
      </c>
    </row>
    <row r="27">
      <c r="A27" t="inlineStr">
        <is>
          <t>3-Herb Stack</t>
        </is>
      </c>
      <c r="B27" t="inlineStr">
        <is>
          <t>Focus Stack: Panax + Epimedium + Black</t>
        </is>
      </c>
      <c r="C27" t="inlineStr">
        <is>
          <t>Panax Ginseng</t>
        </is>
      </c>
      <c r="D27" t="inlineStr">
        <is>
          <t>Epimedium</t>
        </is>
      </c>
      <c r="E27" t="inlineStr">
        <is>
          <t>Black Cohosh</t>
        </is>
      </c>
      <c r="F27" t="inlineStr">
        <is>
          <t>Focus</t>
        </is>
      </c>
      <c r="G27" t="inlineStr">
        <is>
          <t>Focus</t>
        </is>
      </c>
      <c r="H27" t="inlineStr">
        <is>
          <t>Combines focus pathways with complementary mechanisms across three herbs.</t>
        </is>
      </c>
      <c r="I27" t="inlineStr">
        <is>
          <t>Low</t>
        </is>
      </c>
    </row>
    <row r="28">
      <c r="A28" t="inlineStr">
        <is>
          <t>3-Herb Stack</t>
        </is>
      </c>
      <c r="B28" t="inlineStr">
        <is>
          <t>Stress Stack: Ginkgo + Chinese + Ashwagandha</t>
        </is>
      </c>
      <c r="C28" t="inlineStr">
        <is>
          <t>Ginkgo Biloba</t>
        </is>
      </c>
      <c r="D28" t="inlineStr">
        <is>
          <t>Chinese Skullcap</t>
        </is>
      </c>
      <c r="E28" t="inlineStr">
        <is>
          <t>Ashwagandha</t>
        </is>
      </c>
      <c r="F28" t="inlineStr">
        <is>
          <t>Stress</t>
        </is>
      </c>
      <c r="G28" t="inlineStr">
        <is>
          <t>Stress</t>
        </is>
      </c>
      <c r="H28" t="inlineStr">
        <is>
          <t>Combines stress pathways with complementary mechanisms across three herbs.</t>
        </is>
      </c>
      <c r="I28" t="inlineStr">
        <is>
          <t>Low</t>
        </is>
      </c>
    </row>
    <row r="29">
      <c r="A29" t="inlineStr">
        <is>
          <t>3-Herb Stack</t>
        </is>
      </c>
      <c r="B29" t="inlineStr">
        <is>
          <t>Focus Stack: Panax + Green + Black</t>
        </is>
      </c>
      <c r="C29" t="inlineStr">
        <is>
          <t>Panax Ginseng</t>
        </is>
      </c>
      <c r="D29" t="inlineStr">
        <is>
          <t>Green Tea</t>
        </is>
      </c>
      <c r="E29" t="inlineStr">
        <is>
          <t>Black Cohosh</t>
        </is>
      </c>
      <c r="F29" t="inlineStr">
        <is>
          <t>Focus</t>
        </is>
      </c>
      <c r="G29" t="inlineStr">
        <is>
          <t>Focus</t>
        </is>
      </c>
      <c r="H29" t="inlineStr">
        <is>
          <t>Combines focus pathways with complementary mechanisms across three herbs.</t>
        </is>
      </c>
      <c r="I29" t="inlineStr">
        <is>
          <t>Low</t>
        </is>
      </c>
    </row>
  </sheetData>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Metric</t>
        </is>
      </c>
      <c r="B1" t="inlineStr">
        <is>
          <t>Value</t>
        </is>
      </c>
    </row>
    <row r="2">
      <c r="A2" t="inlineStr">
        <is>
          <t>Products generated</t>
        </is>
      </c>
      <c r="B2" t="n">
        <v>28</v>
      </c>
    </row>
  </sheetData>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H173"/>
  <sheetViews>
    <sheetView workbookViewId="0">
      <selection activeCell="A1" sqref="A1"/>
    </sheetView>
  </sheetViews>
  <sheetFormatPr baseColWidth="8" defaultRowHeight="15"/>
  <cols>
    <col width="22" customWidth="1" min="1" max="1"/>
    <col width="16" customWidth="1" min="2" max="2"/>
    <col width="34" customWidth="1" min="3" max="3"/>
    <col width="38" customWidth="1" min="4" max="4"/>
    <col width="28" customWidth="1" min="5" max="5"/>
    <col width="26" customWidth="1" min="6" max="6"/>
    <col width="14" customWidth="1" min="7" max="7"/>
    <col width="18" customWidth="1" min="8" max="8"/>
  </cols>
  <sheetData>
    <row r="1">
      <c r="A1" s="73" t="inlineStr">
        <is>
          <t>Herb</t>
        </is>
      </c>
      <c r="B1" s="73" t="inlineStr">
        <is>
          <t>Primary Category</t>
        </is>
      </c>
      <c r="C1" s="73" t="inlineStr">
        <is>
          <t>Typical Dose Framing</t>
        </is>
      </c>
      <c r="D1" s="73" t="inlineStr">
        <is>
          <t>Dose Notes</t>
        </is>
      </c>
      <c r="E1" s="73" t="inlineStr">
        <is>
          <t>Interaction Flags</t>
        </is>
      </c>
      <c r="F1" s="73" t="inlineStr">
        <is>
          <t>Contraindication Flags</t>
        </is>
      </c>
      <c r="G1" s="73" t="inlineStr">
        <is>
          <t>Safety Tier V1</t>
        </is>
      </c>
      <c r="H1" s="73" t="inlineStr">
        <is>
          <t>Default Product Exclusion</t>
        </is>
      </c>
    </row>
    <row r="2">
      <c r="A2" s="68" t="inlineStr">
        <is>
          <t>Ashwagandha</t>
        </is>
      </c>
      <c r="B2" s="68" t="inlineStr">
        <is>
          <t>General</t>
        </is>
      </c>
      <c r="C2" s="68" t="inlineStr">
        <is>
          <t>Start low; usually evening or split use</t>
        </is>
      </c>
      <c r="D2" s="68" t="inlineStr">
        <is>
          <t>Prefer evening or split dosing; avoid stacking with other sedative-heavy products by default.</t>
        </is>
      </c>
      <c r="E2" s="68" t="inlineStr">
        <is>
          <t>blood-pressure; glucose-lowering; hepatic-caution; immune-caution; lactation; pregnancy; sedation-cns; thyroid-hormonal</t>
        </is>
      </c>
      <c r="F2" s="68" t="inlineStr">
        <is>
          <t>autoimmune disease; breastfeeding; liver disease; pregnancy; thyroid disorders</t>
        </is>
      </c>
      <c r="G2" s="68" t="inlineStr">
        <is>
          <t>Elevated</t>
        </is>
      </c>
      <c r="H2" s="68" t="inlineStr">
        <is>
          <t>Review</t>
        </is>
      </c>
    </row>
    <row r="3">
      <c r="A3" s="68" t="inlineStr">
        <is>
          <t>Black Cohosh</t>
        </is>
      </c>
      <c r="B3" s="68" t="inlineStr">
        <is>
          <t>General</t>
        </is>
      </c>
      <c r="C3" s="68" t="inlineStr">
        <is>
          <t>Start low; usually evening or split use</t>
        </is>
      </c>
      <c r="D3" s="68" t="inlineStr">
        <is>
          <t>Avoid aggressive stacking with other monoamine-active or stimulating products by default.</t>
        </is>
      </c>
      <c r="E3" s="68" t="inlineStr">
        <is>
          <t>hepatic-caution; lactation; monoamine-neuro; pregnancy; thyroid-hormonal</t>
        </is>
      </c>
      <c r="F3" s="68" t="inlineStr">
        <is>
          <t>breastfeeding; hormone-sensitive conditions; liver disease; pregnancy</t>
        </is>
      </c>
      <c r="G3" s="68" t="inlineStr">
        <is>
          <t>Elevated</t>
        </is>
      </c>
      <c r="H3" s="68" t="inlineStr">
        <is>
          <t>Review</t>
        </is>
      </c>
    </row>
    <row r="4">
      <c r="A4" s="68" t="inlineStr">
        <is>
          <t>Echinacea Purpurea</t>
        </is>
      </c>
      <c r="B4" s="68" t="inlineStr">
        <is>
          <t>General</t>
        </is>
      </c>
      <c r="C4" s="68" t="inlineStr">
        <is>
          <t>Start with low single-herb exposure and increase only if tolerated</t>
        </is>
      </c>
      <c r="D4" s="68" t="inlineStr">
        <is>
          <t>Prefer conservative use and avoid default inclusion in liver-sensitive audiences.</t>
        </is>
      </c>
      <c r="E4" s="68" t="inlineStr">
        <is>
          <t>hepatic-caution; immune-caution; lactation; pregnancy</t>
        </is>
      </c>
      <c r="F4" s="68" t="inlineStr">
        <is>
          <t>autoimmune disease; breastfeeding; pregnancy</t>
        </is>
      </c>
      <c r="G4" s="68" t="inlineStr">
        <is>
          <t>Moderate</t>
        </is>
      </c>
      <c r="H4" s="68" t="inlineStr">
        <is>
          <t>No</t>
        </is>
      </c>
    </row>
    <row r="5">
      <c r="A5" s="68" t="inlineStr">
        <is>
          <t>Garlic</t>
        </is>
      </c>
      <c r="B5" s="68" t="inlineStr">
        <is>
          <t>General</t>
        </is>
      </c>
      <c r="C5" s="68" t="inlineStr">
        <is>
          <t>Start low; usually daytime use</t>
        </is>
      </c>
      <c r="D5" s="68" t="inlineStr">
        <is>
          <t>Keep conservative around surgery, anticoagulants, or antiplatelet use.</t>
        </is>
      </c>
      <c r="E5" s="68" t="inlineStr">
        <is>
          <t>bleeding-risk; blood-pressure; glucose-lowering; lactation; pregnancy</t>
        </is>
      </c>
      <c r="F5" s="68" t="inlineStr">
        <is>
          <t>bleeding disorders; breastfeeding; pregnancy</t>
        </is>
      </c>
      <c r="G5" s="68" t="inlineStr">
        <is>
          <t>Moderate</t>
        </is>
      </c>
      <c r="H5" s="68" t="inlineStr">
        <is>
          <t>No</t>
        </is>
      </c>
    </row>
    <row r="6">
      <c r="A6" s="68" t="inlineStr">
        <is>
          <t>Ginger</t>
        </is>
      </c>
      <c r="B6" s="68" t="inlineStr">
        <is>
          <t>General</t>
        </is>
      </c>
      <c r="C6" s="68" t="inlineStr">
        <is>
          <t>Start low; usually daytime use</t>
        </is>
      </c>
      <c r="D6" s="68" t="inlineStr">
        <is>
          <t>Keep conservative around surgery, anticoagulants, or antiplatelet use.</t>
        </is>
      </c>
      <c r="E6" s="68" t="inlineStr">
        <is>
          <t>bleeding-risk; blood-pressure; glucose-lowering; pregnancy</t>
        </is>
      </c>
      <c r="F6" s="68" t="inlineStr">
        <is>
          <t>bleeding disorders; pregnancy</t>
        </is>
      </c>
      <c r="G6" s="68" t="inlineStr">
        <is>
          <t>Moderate</t>
        </is>
      </c>
      <c r="H6" s="68" t="inlineStr">
        <is>
          <t>No</t>
        </is>
      </c>
    </row>
    <row r="7">
      <c r="A7" s="68" t="inlineStr">
        <is>
          <t>Ginkgo Biloba</t>
        </is>
      </c>
      <c r="B7" s="68" t="inlineStr">
        <is>
          <t>General</t>
        </is>
      </c>
      <c r="C7" s="68" t="inlineStr">
        <is>
          <t>Start low; usually evening or split use</t>
        </is>
      </c>
      <c r="D7" s="68" t="inlineStr">
        <is>
          <t>Keep conservative around surgery, anticoagulants, or antiplatelet use.</t>
        </is>
      </c>
      <c r="E7" s="68" t="inlineStr">
        <is>
          <t>bleeding-risk; glucose-lowering; lactation; monoamine-neuro; pregnancy; seizure-caution</t>
        </is>
      </c>
      <c r="F7" s="68" t="inlineStr">
        <is>
          <t>bleeding disorders; breastfeeding; pregnancy; seizure history</t>
        </is>
      </c>
      <c r="G7" s="68" t="inlineStr">
        <is>
          <t>Elevated</t>
        </is>
      </c>
      <c r="H7" s="68" t="inlineStr">
        <is>
          <t>Review</t>
        </is>
      </c>
    </row>
    <row r="8">
      <c r="A8" s="68" t="inlineStr">
        <is>
          <t>Holy Basil</t>
        </is>
      </c>
      <c r="B8" s="68" t="inlineStr">
        <is>
          <t>General</t>
        </is>
      </c>
      <c r="C8" s="68" t="inlineStr">
        <is>
          <t>Start with low single-herb exposure and increase only if tolerated</t>
        </is>
      </c>
      <c r="D8" s="68" t="inlineStr">
        <is>
          <t>Keep conservative around surgery, anticoagulants, or antiplatelet use.</t>
        </is>
      </c>
      <c r="E8" s="68" t="inlineStr">
        <is>
          <t>bleeding-risk; glucose-lowering; pregnancy</t>
        </is>
      </c>
      <c r="F8" s="68" t="inlineStr">
        <is>
          <t>pregnancy</t>
        </is>
      </c>
      <c r="G8" s="68" t="inlineStr">
        <is>
          <t>Moderate</t>
        </is>
      </c>
      <c r="H8" s="68" t="inlineStr">
        <is>
          <t>No</t>
        </is>
      </c>
    </row>
    <row r="9">
      <c r="A9" s="68" t="inlineStr">
        <is>
          <t>Kava</t>
        </is>
      </c>
      <c r="B9" s="68" t="inlineStr">
        <is>
          <t>General</t>
        </is>
      </c>
      <c r="C9" s="68" t="inlineStr">
        <is>
          <t>Start low; usually evening or split use</t>
        </is>
      </c>
      <c r="D9" s="68" t="inlineStr">
        <is>
          <t>Prefer evening or split dosing; avoid stacking with other sedative-heavy products by default.</t>
        </is>
      </c>
      <c r="E9" s="68" t="inlineStr">
        <is>
          <t>hepatic-caution; lactation; pregnancy; sedation-cns</t>
        </is>
      </c>
      <c r="F9" s="68" t="inlineStr">
        <is>
          <t>breastfeeding; liver disease; pregnancy</t>
        </is>
      </c>
      <c r="G9" s="68" t="inlineStr">
        <is>
          <t>Elevated</t>
        </is>
      </c>
      <c r="H9" s="68" t="inlineStr">
        <is>
          <t>Review</t>
        </is>
      </c>
    </row>
    <row r="10">
      <c r="A10" s="68" t="inlineStr">
        <is>
          <t>Lemon Balm</t>
        </is>
      </c>
      <c r="B10" s="68" t="inlineStr">
        <is>
          <t>General</t>
        </is>
      </c>
      <c r="C10" s="68" t="inlineStr">
        <is>
          <t>Start low; usually evening or split use</t>
        </is>
      </c>
      <c r="D10" s="68" t="inlineStr">
        <is>
          <t>Prefer evening or split dosing; avoid stacking with other sedative-heavy products by default.</t>
        </is>
      </c>
      <c r="E10" s="68" t="inlineStr">
        <is>
          <t>sedation-cns; thyroid-hormonal</t>
        </is>
      </c>
      <c r="F10" s="68" t="inlineStr">
        <is>
          <t>thyroid disorders</t>
        </is>
      </c>
      <c r="G10" s="68" t="inlineStr">
        <is>
          <t>Moderate</t>
        </is>
      </c>
      <c r="H10" s="68" t="inlineStr">
        <is>
          <t>No</t>
        </is>
      </c>
    </row>
    <row r="11">
      <c r="A11" s="68" t="inlineStr">
        <is>
          <t>Maca</t>
        </is>
      </c>
      <c r="B11" s="68" t="inlineStr">
        <is>
          <t>General</t>
        </is>
      </c>
      <c r="C11" s="68" t="inlineStr">
        <is>
          <t>Start with low single-herb exposure and increase only if tolerated</t>
        </is>
      </c>
      <c r="D11" s="68" t="inlineStr">
        <is>
          <t>Product-ideation framing only; not clinical dosing advice.</t>
        </is>
      </c>
      <c r="E11" s="68" t="inlineStr">
        <is>
          <t>thyroid-hormonal</t>
        </is>
      </c>
      <c r="F11" s="68" t="inlineStr">
        <is>
          <t>hormone-sensitive conditions</t>
        </is>
      </c>
      <c r="G11" s="68" t="inlineStr">
        <is>
          <t>Moderate</t>
        </is>
      </c>
      <c r="H11" s="68" t="inlineStr">
        <is>
          <t>No</t>
        </is>
      </c>
    </row>
    <row r="12">
      <c r="A12" s="68" t="inlineStr">
        <is>
          <t>Milk Thistle</t>
        </is>
      </c>
      <c r="B12" s="68" t="inlineStr">
        <is>
          <t>General</t>
        </is>
      </c>
      <c r="C12" s="68" t="inlineStr">
        <is>
          <t>Start with low single-herb exposure and increase only if tolerated</t>
        </is>
      </c>
      <c r="D12" s="68" t="inlineStr">
        <is>
          <t>Keep conservative around surgery, anticoagulants, or antiplatelet use.</t>
        </is>
      </c>
      <c r="E12" s="68" t="inlineStr">
        <is>
          <t>bleeding-risk; hepatic-caution; lactation; pregnancy</t>
        </is>
      </c>
      <c r="F12" s="68" t="inlineStr">
        <is>
          <t>breastfeeding; pregnancy</t>
        </is>
      </c>
      <c r="G12" s="68" t="inlineStr">
        <is>
          <t>Elevated</t>
        </is>
      </c>
      <c r="H12" s="68" t="inlineStr">
        <is>
          <t>Review</t>
        </is>
      </c>
    </row>
    <row r="13">
      <c r="A13" s="68" t="inlineStr">
        <is>
          <t>Peppermint</t>
        </is>
      </c>
      <c r="B13" s="68" t="inlineStr">
        <is>
          <t>General</t>
        </is>
      </c>
      <c r="C13" s="68" t="inlineStr">
        <is>
          <t>Start with low single-herb exposure and increase only if tolerated</t>
        </is>
      </c>
      <c r="D13" s="68" t="inlineStr">
        <is>
          <t>Prefer conservative use and avoid default inclusion in liver-sensitive audiences.</t>
        </is>
      </c>
      <c r="E13" s="68" t="inlineStr">
        <is>
          <t>hepatic-caution</t>
        </is>
      </c>
      <c r="F13" s="68" t="str"/>
      <c r="G13" s="68" t="inlineStr">
        <is>
          <t>Baseline</t>
        </is>
      </c>
      <c r="H13" s="68" t="inlineStr">
        <is>
          <t>No</t>
        </is>
      </c>
    </row>
    <row r="14">
      <c r="A14" s="68" t="inlineStr">
        <is>
          <t>Rhodiola Rosea</t>
        </is>
      </c>
      <c r="B14" s="68" t="inlineStr">
        <is>
          <t>General</t>
        </is>
      </c>
      <c r="C14" s="68" t="inlineStr">
        <is>
          <t>Start low; usually evening or split use</t>
        </is>
      </c>
      <c r="D14" s="68" t="inlineStr">
        <is>
          <t>Prefer evening or split dosing; avoid stacking with other sedative-heavy products by default.</t>
        </is>
      </c>
      <c r="E14" s="68" t="inlineStr">
        <is>
          <t>monoamine-neuro; sedation-cns</t>
        </is>
      </c>
      <c r="F14" s="68" t="str"/>
      <c r="G14" s="68" t="inlineStr">
        <is>
          <t>Moderate</t>
        </is>
      </c>
      <c r="H14" s="68" t="inlineStr">
        <is>
          <t>No</t>
        </is>
      </c>
    </row>
    <row r="15">
      <c r="A15" s="68" t="inlineStr">
        <is>
          <t>Saw Palmetto</t>
        </is>
      </c>
      <c r="B15" s="68" t="inlineStr">
        <is>
          <t>General</t>
        </is>
      </c>
      <c r="C15" s="68" t="inlineStr">
        <is>
          <t>Start with low single-herb exposure and increase only if tolerated</t>
        </is>
      </c>
      <c r="D15" s="68" t="inlineStr">
        <is>
          <t>Keep conservative around surgery, anticoagulants, or antiplatelet use.</t>
        </is>
      </c>
      <c r="E15" s="68" t="inlineStr">
        <is>
          <t>bleeding-risk; pregnancy; thyroid-hormonal</t>
        </is>
      </c>
      <c r="F15" s="68" t="inlineStr">
        <is>
          <t>pregnancy</t>
        </is>
      </c>
      <c r="G15" s="68" t="inlineStr">
        <is>
          <t>Moderate</t>
        </is>
      </c>
      <c r="H15" s="68" t="inlineStr">
        <is>
          <t>No</t>
        </is>
      </c>
    </row>
    <row r="16">
      <c r="A16" s="68" t="inlineStr">
        <is>
          <t>St Johns Wort</t>
        </is>
      </c>
      <c r="B16" s="68" t="inlineStr">
        <is>
          <t>General</t>
        </is>
      </c>
      <c r="C16" s="68" t="inlineStr">
        <is>
          <t>Start low; usually daytime use</t>
        </is>
      </c>
      <c r="D16" s="68" t="inlineStr">
        <is>
          <t>Keep conservative around surgery, anticoagulants, or antiplatelet use.</t>
        </is>
      </c>
      <c r="E16" s="68" t="inlineStr">
        <is>
          <t>bleeding-risk; lactation; monoamine-neuro; pregnancy</t>
        </is>
      </c>
      <c r="F16" s="68" t="inlineStr">
        <is>
          <t>breastfeeding; pregnancy</t>
        </is>
      </c>
      <c r="G16" s="68" t="inlineStr">
        <is>
          <t>Elevated</t>
        </is>
      </c>
      <c r="H16" s="68" t="inlineStr">
        <is>
          <t>Review</t>
        </is>
      </c>
    </row>
    <row r="17">
      <c r="A17" s="68" t="inlineStr">
        <is>
          <t>Turmeric</t>
        </is>
      </c>
      <c r="B17" s="68" t="inlineStr">
        <is>
          <t>General</t>
        </is>
      </c>
      <c r="C17" s="68" t="inlineStr">
        <is>
          <t>Start with low single-herb exposure and increase only if tolerated</t>
        </is>
      </c>
      <c r="D17" s="68" t="inlineStr">
        <is>
          <t>Keep conservative around surgery, anticoagulants, or antiplatelet use.</t>
        </is>
      </c>
      <c r="E17" s="68" t="inlineStr">
        <is>
          <t>bleeding-risk; glucose-lowering; hepatic-caution; lactation; pregnancy</t>
        </is>
      </c>
      <c r="F17" s="68" t="inlineStr">
        <is>
          <t>bleeding disorders; breastfeeding; pregnancy</t>
        </is>
      </c>
      <c r="G17" s="68" t="inlineStr">
        <is>
          <t>Elevated</t>
        </is>
      </c>
      <c r="H17" s="68" t="inlineStr">
        <is>
          <t>Review</t>
        </is>
      </c>
    </row>
    <row r="18">
      <c r="A18" s="68" t="inlineStr">
        <is>
          <t>Valerian</t>
        </is>
      </c>
      <c r="B18" s="68" t="inlineStr">
        <is>
          <t>General</t>
        </is>
      </c>
      <c r="C18" s="68" t="inlineStr">
        <is>
          <t>Start low; usually evening or split use</t>
        </is>
      </c>
      <c r="D18" s="68" t="inlineStr">
        <is>
          <t>Prefer evening or split dosing; avoid stacking with other sedative-heavy products by default.</t>
        </is>
      </c>
      <c r="E18" s="68" t="inlineStr">
        <is>
          <t>hepatic-caution; lactation; pregnancy; sedation-cns</t>
        </is>
      </c>
      <c r="F18" s="68" t="inlineStr">
        <is>
          <t>breastfeeding; liver disease; pregnancy</t>
        </is>
      </c>
      <c r="G18" s="68" t="inlineStr">
        <is>
          <t>Elevated</t>
        </is>
      </c>
      <c r="H18" s="68" t="inlineStr">
        <is>
          <t>Review</t>
        </is>
      </c>
    </row>
    <row r="19">
      <c r="A19" s="68" t="inlineStr">
        <is>
          <t>Guarana</t>
        </is>
      </c>
      <c r="B19" s="68" t="inlineStr">
        <is>
          <t>General</t>
        </is>
      </c>
      <c r="C19" s="68" t="inlineStr">
        <is>
          <t>Start low; usually daytime use</t>
        </is>
      </c>
      <c r="D19" s="68" t="inlineStr">
        <is>
          <t>Product-ideation framing only; not clinical dosing advice.</t>
        </is>
      </c>
      <c r="E19" s="68" t="inlineStr">
        <is>
          <t>blood-pressure</t>
        </is>
      </c>
      <c r="F19" s="68" t="str"/>
      <c r="G19" s="68" t="inlineStr">
        <is>
          <t>Baseline</t>
        </is>
      </c>
      <c r="H19" s="68" t="inlineStr">
        <is>
          <t>No</t>
        </is>
      </c>
    </row>
    <row r="20">
      <c r="A20" s="68" t="inlineStr">
        <is>
          <t>Yerba Mate</t>
        </is>
      </c>
      <c r="B20" s="68" t="inlineStr">
        <is>
          <t>General</t>
        </is>
      </c>
      <c r="C20" s="68" t="inlineStr">
        <is>
          <t>Start low; usually daytime use</t>
        </is>
      </c>
      <c r="D20" s="68" t="inlineStr">
        <is>
          <t>Product-ideation framing only; not clinical dosing advice.</t>
        </is>
      </c>
      <c r="E20" s="68" t="inlineStr">
        <is>
          <t>blood-pressure</t>
        </is>
      </c>
      <c r="F20" s="68" t="str"/>
      <c r="G20" s="68" t="inlineStr">
        <is>
          <t>Baseline</t>
        </is>
      </c>
      <c r="H20" s="68" t="inlineStr">
        <is>
          <t>No</t>
        </is>
      </c>
    </row>
    <row r="21">
      <c r="A21" s="68" t="inlineStr">
        <is>
          <t>Damiana</t>
        </is>
      </c>
      <c r="B21" s="68" t="inlineStr">
        <is>
          <t>General</t>
        </is>
      </c>
      <c r="C21" s="68" t="inlineStr">
        <is>
          <t>Start with low single-herb exposure and increase only if tolerated</t>
        </is>
      </c>
      <c r="D21" s="68" t="inlineStr">
        <is>
          <t>Product-ideation framing only; not clinical dosing advice.</t>
        </is>
      </c>
      <c r="E21" s="68" t="inlineStr">
        <is>
          <t>pregnancy</t>
        </is>
      </c>
      <c r="F21" s="68" t="inlineStr">
        <is>
          <t>pregnancy</t>
        </is>
      </c>
      <c r="G21" s="68" t="inlineStr">
        <is>
          <t>Baseline</t>
        </is>
      </c>
      <c r="H21" s="68" t="inlineStr">
        <is>
          <t>No</t>
        </is>
      </c>
    </row>
    <row r="22">
      <c r="A22" s="68" t="inlineStr">
        <is>
          <t>Blue Lotus</t>
        </is>
      </c>
      <c r="B22" s="68" t="inlineStr">
        <is>
          <t>General</t>
        </is>
      </c>
      <c r="C22" s="68" t="inlineStr">
        <is>
          <t>Start low; usually evening or split use</t>
        </is>
      </c>
      <c r="D22" s="68" t="inlineStr">
        <is>
          <t>Prefer evening or split dosing; avoid stacking with other sedative-heavy products by default.</t>
        </is>
      </c>
      <c r="E22" s="68" t="inlineStr">
        <is>
          <t>sedation-cns</t>
        </is>
      </c>
      <c r="F22" s="68" t="str"/>
      <c r="G22" s="68" t="inlineStr">
        <is>
          <t>Baseline</t>
        </is>
      </c>
      <c r="H22" s="68" t="inlineStr">
        <is>
          <t>No</t>
        </is>
      </c>
    </row>
    <row r="23">
      <c r="A23" s="68" t="inlineStr">
        <is>
          <t>Kudzu</t>
        </is>
      </c>
      <c r="B23" s="68" t="inlineStr">
        <is>
          <t>General</t>
        </is>
      </c>
      <c r="C23" s="68" t="inlineStr">
        <is>
          <t>Start with low single-herb exposure and increase only if tolerated</t>
        </is>
      </c>
      <c r="D23" s="68" t="inlineStr">
        <is>
          <t>Product-ideation framing only; not clinical dosing advice.</t>
        </is>
      </c>
      <c r="E23" s="68" t="str"/>
      <c r="F23" s="68" t="str"/>
      <c r="G23" s="68" t="inlineStr">
        <is>
          <t>Baseline</t>
        </is>
      </c>
      <c r="H23" s="68" t="inlineStr">
        <is>
          <t>No</t>
        </is>
      </c>
    </row>
    <row r="24">
      <c r="A24" s="68" t="inlineStr">
        <is>
          <t>Yarrow</t>
        </is>
      </c>
      <c r="B24" s="68" t="inlineStr">
        <is>
          <t>General</t>
        </is>
      </c>
      <c r="C24" s="68" t="inlineStr">
        <is>
          <t>Start with low single-herb exposure and increase only if tolerated</t>
        </is>
      </c>
      <c r="D24" s="68" t="inlineStr">
        <is>
          <t>Keep conservative around surgery, anticoagulants, or antiplatelet use.</t>
        </is>
      </c>
      <c r="E24" s="68" t="inlineStr">
        <is>
          <t>bleeding-risk; pregnancy</t>
        </is>
      </c>
      <c r="F24" s="68" t="inlineStr">
        <is>
          <t>pregnancy</t>
        </is>
      </c>
      <c r="G24" s="68" t="inlineStr">
        <is>
          <t>Moderate</t>
        </is>
      </c>
      <c r="H24" s="68" t="inlineStr">
        <is>
          <t>No</t>
        </is>
      </c>
    </row>
    <row r="25">
      <c r="A25" s="68" t="inlineStr">
        <is>
          <t>Feverfew</t>
        </is>
      </c>
      <c r="B25" s="68" t="inlineStr">
        <is>
          <t>General</t>
        </is>
      </c>
      <c r="C25" s="68" t="inlineStr">
        <is>
          <t>Start low; usually daytime use</t>
        </is>
      </c>
      <c r="D25" s="68" t="inlineStr">
        <is>
          <t>Keep conservative around surgery, anticoagulants, or antiplatelet use.</t>
        </is>
      </c>
      <c r="E25" s="68" t="inlineStr">
        <is>
          <t>bleeding-risk; blood-pressure; pregnancy</t>
        </is>
      </c>
      <c r="F25" s="68" t="inlineStr">
        <is>
          <t>pregnancy</t>
        </is>
      </c>
      <c r="G25" s="68" t="inlineStr">
        <is>
          <t>Moderate</t>
        </is>
      </c>
      <c r="H25" s="68" t="inlineStr">
        <is>
          <t>No</t>
        </is>
      </c>
    </row>
    <row r="26">
      <c r="A26" s="68" t="inlineStr">
        <is>
          <t>Butterbur</t>
        </is>
      </c>
      <c r="B26" s="68" t="inlineStr">
        <is>
          <t>General</t>
        </is>
      </c>
      <c r="C26" s="68" t="inlineStr">
        <is>
          <t>Start with low single-herb exposure and increase only if tolerated</t>
        </is>
      </c>
      <c r="D26" s="68" t="inlineStr">
        <is>
          <t>Product-ideation framing only; not clinical dosing advice.</t>
        </is>
      </c>
      <c r="E26" s="68" t="str"/>
      <c r="F26" s="68" t="str"/>
      <c r="G26" s="68" t="inlineStr">
        <is>
          <t>Baseline</t>
        </is>
      </c>
      <c r="H26" s="68" t="inlineStr">
        <is>
          <t>No</t>
        </is>
      </c>
    </row>
    <row r="27">
      <c r="A27" s="68" t="inlineStr">
        <is>
          <t>Dong Quai</t>
        </is>
      </c>
      <c r="B27" s="68" t="inlineStr">
        <is>
          <t>General</t>
        </is>
      </c>
      <c r="C27" s="68" t="inlineStr">
        <is>
          <t>Start with low single-herb exposure and increase only if tolerated</t>
        </is>
      </c>
      <c r="D27" s="68" t="inlineStr">
        <is>
          <t>Keep conservative around surgery, anticoagulants, or antiplatelet use.</t>
        </is>
      </c>
      <c r="E27" s="68" t="inlineStr">
        <is>
          <t>bleeding-risk; pregnancy</t>
        </is>
      </c>
      <c r="F27" s="68" t="inlineStr">
        <is>
          <t>pregnancy</t>
        </is>
      </c>
      <c r="G27" s="68" t="inlineStr">
        <is>
          <t>Moderate</t>
        </is>
      </c>
      <c r="H27" s="68" t="inlineStr">
        <is>
          <t>No</t>
        </is>
      </c>
    </row>
    <row r="28">
      <c r="A28" s="68" t="inlineStr">
        <is>
          <t>Rosemary</t>
        </is>
      </c>
      <c r="B28" s="68" t="inlineStr">
        <is>
          <t>General</t>
        </is>
      </c>
      <c r="C28" s="68" t="inlineStr">
        <is>
          <t>Start with low single-herb exposure and increase only if tolerated</t>
        </is>
      </c>
      <c r="D28" s="68" t="inlineStr">
        <is>
          <t>Product-ideation framing only; not clinical dosing advice.</t>
        </is>
      </c>
      <c r="E28" s="68" t="inlineStr">
        <is>
          <t>seizure-caution</t>
        </is>
      </c>
      <c r="F28" s="68" t="inlineStr">
        <is>
          <t>seizure history</t>
        </is>
      </c>
      <c r="G28" s="68" t="inlineStr">
        <is>
          <t>Baseline</t>
        </is>
      </c>
      <c r="H28" s="68" t="inlineStr">
        <is>
          <t>No</t>
        </is>
      </c>
    </row>
    <row r="29">
      <c r="A29" s="68" t="inlineStr">
        <is>
          <t>Sage</t>
        </is>
      </c>
      <c r="B29" s="68" t="inlineStr">
        <is>
          <t>General</t>
        </is>
      </c>
      <c r="C29" s="68" t="inlineStr">
        <is>
          <t>Start with low single-herb exposure and increase only if tolerated</t>
        </is>
      </c>
      <c r="D29" s="68" t="inlineStr">
        <is>
          <t>Product-ideation framing only; not clinical dosing advice.</t>
        </is>
      </c>
      <c r="E29" s="68" t="inlineStr">
        <is>
          <t>seizure-caution</t>
        </is>
      </c>
      <c r="F29" s="68" t="inlineStr">
        <is>
          <t>seizure history</t>
        </is>
      </c>
      <c r="G29" s="68" t="inlineStr">
        <is>
          <t>Baseline</t>
        </is>
      </c>
      <c r="H29" s="68" t="inlineStr">
        <is>
          <t>No</t>
        </is>
      </c>
    </row>
    <row r="30">
      <c r="A30" s="68" t="inlineStr">
        <is>
          <t>Thyme</t>
        </is>
      </c>
      <c r="B30" s="68" t="inlineStr">
        <is>
          <t>General</t>
        </is>
      </c>
      <c r="C30" s="68" t="inlineStr">
        <is>
          <t>Start with low single-herb exposure and increase only if tolerated</t>
        </is>
      </c>
      <c r="D30" s="68" t="inlineStr">
        <is>
          <t>Product-ideation framing only; not clinical dosing advice.</t>
        </is>
      </c>
      <c r="E30" s="68" t="str"/>
      <c r="F30" s="68" t="str"/>
      <c r="G30" s="68" t="inlineStr">
        <is>
          <t>Baseline</t>
        </is>
      </c>
      <c r="H30" s="68" t="inlineStr">
        <is>
          <t>No</t>
        </is>
      </c>
    </row>
    <row r="31">
      <c r="A31" s="68" t="inlineStr">
        <is>
          <t>Oregano</t>
        </is>
      </c>
      <c r="B31" s="68" t="inlineStr">
        <is>
          <t>General</t>
        </is>
      </c>
      <c r="C31" s="68" t="inlineStr">
        <is>
          <t>Start with low single-herb exposure and increase only if tolerated</t>
        </is>
      </c>
      <c r="D31" s="68" t="inlineStr">
        <is>
          <t>Product-ideation framing only; not clinical dosing advice.</t>
        </is>
      </c>
      <c r="E31" s="68" t="str"/>
      <c r="F31" s="68" t="str"/>
      <c r="G31" s="68" t="inlineStr">
        <is>
          <t>Baseline</t>
        </is>
      </c>
      <c r="H31" s="68" t="inlineStr">
        <is>
          <t>No</t>
        </is>
      </c>
    </row>
    <row r="32">
      <c r="A32" s="68" t="inlineStr">
        <is>
          <t>Eucalyptus</t>
        </is>
      </c>
      <c r="B32" s="68" t="inlineStr">
        <is>
          <t>General</t>
        </is>
      </c>
      <c r="C32" s="68" t="inlineStr">
        <is>
          <t>Start with low single-herb exposure and increase only if tolerated</t>
        </is>
      </c>
      <c r="D32" s="68" t="inlineStr">
        <is>
          <t>Product-ideation framing only; not clinical dosing advice.</t>
        </is>
      </c>
      <c r="E32" s="68" t="str"/>
      <c r="F32" s="68" t="str"/>
      <c r="G32" s="68" t="inlineStr">
        <is>
          <t>Baseline</t>
        </is>
      </c>
      <c r="H32" s="68" t="inlineStr">
        <is>
          <t>No</t>
        </is>
      </c>
    </row>
    <row r="33">
      <c r="A33" s="68" t="inlineStr">
        <is>
          <t>Artichoke</t>
        </is>
      </c>
      <c r="B33" s="68" t="inlineStr">
        <is>
          <t>General</t>
        </is>
      </c>
      <c r="C33" s="68" t="inlineStr">
        <is>
          <t>Start with low single-herb exposure and increase only if tolerated</t>
        </is>
      </c>
      <c r="D33" s="68" t="inlineStr">
        <is>
          <t>Prefer conservative use and avoid default inclusion in liver-sensitive audiences.</t>
        </is>
      </c>
      <c r="E33" s="68" t="inlineStr">
        <is>
          <t>hepatic-caution</t>
        </is>
      </c>
      <c r="F33" s="68" t="str"/>
      <c r="G33" s="68" t="inlineStr">
        <is>
          <t>Baseline</t>
        </is>
      </c>
      <c r="H33" s="68" t="inlineStr">
        <is>
          <t>No</t>
        </is>
      </c>
    </row>
    <row r="34">
      <c r="A34" s="68" t="inlineStr">
        <is>
          <t>Fennel</t>
        </is>
      </c>
      <c r="B34" s="68" t="inlineStr">
        <is>
          <t>General</t>
        </is>
      </c>
      <c r="C34" s="68" t="inlineStr">
        <is>
          <t>Start with low single-herb exposure and increase only if tolerated</t>
        </is>
      </c>
      <c r="D34" s="68" t="inlineStr">
        <is>
          <t>Product-ideation framing only; not clinical dosing advice.</t>
        </is>
      </c>
      <c r="E34" s="68" t="str"/>
      <c r="F34" s="68" t="str"/>
      <c r="G34" s="68" t="inlineStr">
        <is>
          <t>Baseline</t>
        </is>
      </c>
      <c r="H34" s="68" t="inlineStr">
        <is>
          <t>No</t>
        </is>
      </c>
    </row>
    <row r="35">
      <c r="A35" s="68" t="inlineStr">
        <is>
          <t>Cinnamon</t>
        </is>
      </c>
      <c r="B35" s="68" t="inlineStr">
        <is>
          <t>General</t>
        </is>
      </c>
      <c r="C35" s="68" t="inlineStr">
        <is>
          <t>Start with low single-herb exposure and increase only if tolerated</t>
        </is>
      </c>
      <c r="D35" s="68" t="inlineStr">
        <is>
          <t>Product-ideation framing only; not clinical dosing advice.</t>
        </is>
      </c>
      <c r="E35" s="68" t="str"/>
      <c r="F35" s="68" t="str"/>
      <c r="G35" s="68" t="inlineStr">
        <is>
          <t>Baseline</t>
        </is>
      </c>
      <c r="H35" s="68" t="inlineStr">
        <is>
          <t>No</t>
        </is>
      </c>
    </row>
    <row r="36">
      <c r="A36" s="68" t="inlineStr">
        <is>
          <t>Dandelion</t>
        </is>
      </c>
      <c r="B36" s="68" t="inlineStr">
        <is>
          <t>General</t>
        </is>
      </c>
      <c r="C36" s="68" t="inlineStr">
        <is>
          <t>Start with low single-herb exposure and increase only if tolerated</t>
        </is>
      </c>
      <c r="D36" s="68" t="inlineStr">
        <is>
          <t>Product-ideation framing only; not clinical dosing advice.</t>
        </is>
      </c>
      <c r="E36" s="68" t="str"/>
      <c r="F36" s="68" t="str"/>
      <c r="G36" s="68" t="inlineStr">
        <is>
          <t>Moderate</t>
        </is>
      </c>
      <c r="H36" s="68" t="inlineStr">
        <is>
          <t>No</t>
        </is>
      </c>
    </row>
    <row r="37">
      <c r="A37" s="68" t="inlineStr">
        <is>
          <t>Burdock</t>
        </is>
      </c>
      <c r="B37" s="68" t="inlineStr">
        <is>
          <t>General</t>
        </is>
      </c>
      <c r="C37" s="68" t="inlineStr">
        <is>
          <t>Start with low single-herb exposure and increase only if tolerated</t>
        </is>
      </c>
      <c r="D37" s="68" t="inlineStr">
        <is>
          <t>Product-ideation framing only; not clinical dosing advice.</t>
        </is>
      </c>
      <c r="E37" s="68" t="str"/>
      <c r="F37" s="68" t="str"/>
      <c r="G37" s="68" t="inlineStr">
        <is>
          <t>Moderate</t>
        </is>
      </c>
      <c r="H37" s="68" t="inlineStr">
        <is>
          <t>No</t>
        </is>
      </c>
    </row>
    <row r="38">
      <c r="A38" s="68" t="inlineStr">
        <is>
          <t>Chamomile</t>
        </is>
      </c>
      <c r="B38" s="68" t="inlineStr">
        <is>
          <t>General</t>
        </is>
      </c>
      <c r="C38" s="68" t="inlineStr">
        <is>
          <t>Start low; usually evening or split use</t>
        </is>
      </c>
      <c r="D38" s="68" t="inlineStr">
        <is>
          <t>Prefer evening or split dosing; avoid stacking with other sedative-heavy products by default.</t>
        </is>
      </c>
      <c r="E38" s="68" t="inlineStr">
        <is>
          <t>sedation-cns</t>
        </is>
      </c>
      <c r="F38" s="68" t="str"/>
      <c r="G38" s="68" t="inlineStr">
        <is>
          <t>Baseline</t>
        </is>
      </c>
      <c r="H38" s="68" t="inlineStr">
        <is>
          <t>No</t>
        </is>
      </c>
    </row>
    <row r="39">
      <c r="A39" s="68" t="inlineStr">
        <is>
          <t>Red Clover</t>
        </is>
      </c>
      <c r="B39" s="68" t="inlineStr">
        <is>
          <t>General</t>
        </is>
      </c>
      <c r="C39" s="68" t="inlineStr">
        <is>
          <t>Start with low single-herb exposure and increase only if tolerated</t>
        </is>
      </c>
      <c r="D39" s="68" t="inlineStr">
        <is>
          <t>Product-ideation framing only; not clinical dosing advice.</t>
        </is>
      </c>
      <c r="E39" s="68" t="inlineStr">
        <is>
          <t>thyroid-hormonal</t>
        </is>
      </c>
      <c r="F39" s="68" t="str"/>
      <c r="G39" s="68" t="inlineStr">
        <is>
          <t>Baseline</t>
        </is>
      </c>
      <c r="H39" s="68" t="inlineStr">
        <is>
          <t>No</t>
        </is>
      </c>
    </row>
    <row r="40">
      <c r="A40" s="68" t="inlineStr">
        <is>
          <t>Oatstraw</t>
        </is>
      </c>
      <c r="B40" s="68" t="inlineStr">
        <is>
          <t>General</t>
        </is>
      </c>
      <c r="C40" s="68" t="inlineStr">
        <is>
          <t>Start with low single-herb exposure and increase only if tolerated</t>
        </is>
      </c>
      <c r="D40" s="68" t="inlineStr">
        <is>
          <t>Product-ideation framing only; not clinical dosing advice.</t>
        </is>
      </c>
      <c r="E40" s="68" t="str"/>
      <c r="F40" s="68" t="str"/>
      <c r="G40" s="68" t="inlineStr">
        <is>
          <t>Moderate</t>
        </is>
      </c>
      <c r="H40" s="68" t="inlineStr">
        <is>
          <t>No</t>
        </is>
      </c>
    </row>
    <row r="41">
      <c r="A41" s="68" t="inlineStr">
        <is>
          <t>Calendula</t>
        </is>
      </c>
      <c r="B41" s="68" t="inlineStr">
        <is>
          <t>General</t>
        </is>
      </c>
      <c r="C41" s="68" t="inlineStr">
        <is>
          <t>Start with low single-herb exposure and increase only if tolerated</t>
        </is>
      </c>
      <c r="D41" s="68" t="inlineStr">
        <is>
          <t>Product-ideation framing only; not clinical dosing advice.</t>
        </is>
      </c>
      <c r="E41" s="68" t="str"/>
      <c r="F41" s="68" t="str"/>
      <c r="G41" s="68" t="inlineStr">
        <is>
          <t>Moderate</t>
        </is>
      </c>
      <c r="H41" s="68" t="inlineStr">
        <is>
          <t>No</t>
        </is>
      </c>
    </row>
    <row r="42">
      <c r="A42" s="68" t="inlineStr">
        <is>
          <t>Pau d'Arco</t>
        </is>
      </c>
      <c r="B42" s="68" t="inlineStr">
        <is>
          <t>General</t>
        </is>
      </c>
      <c r="C42" s="68" t="inlineStr">
        <is>
          <t>Start with low single-herb exposure and increase only if tolerated</t>
        </is>
      </c>
      <c r="D42" s="68" t="inlineStr">
        <is>
          <t>Product-ideation framing only; not clinical dosing advice.</t>
        </is>
      </c>
      <c r="E42" s="68" t="inlineStr">
        <is>
          <t>immune-caution</t>
        </is>
      </c>
      <c r="F42" s="68" t="str"/>
      <c r="G42" s="68" t="inlineStr">
        <is>
          <t>Baseline</t>
        </is>
      </c>
      <c r="H42" s="68" t="inlineStr">
        <is>
          <t>No</t>
        </is>
      </c>
    </row>
    <row r="43">
      <c r="A43" s="68" t="inlineStr">
        <is>
          <t>Gymnema</t>
        </is>
      </c>
      <c r="B43" s="68" t="inlineStr">
        <is>
          <t>General</t>
        </is>
      </c>
      <c r="C43" s="68" t="inlineStr">
        <is>
          <t>Start with low single-herb exposure and increase only if tolerated</t>
        </is>
      </c>
      <c r="D43" s="68" t="inlineStr">
        <is>
          <t>Product-ideation framing only; not clinical dosing advice.</t>
        </is>
      </c>
      <c r="E43" s="68" t="inlineStr">
        <is>
          <t>glucose-lowering</t>
        </is>
      </c>
      <c r="F43" s="68" t="str"/>
      <c r="G43" s="68" t="inlineStr">
        <is>
          <t>Baseline</t>
        </is>
      </c>
      <c r="H43" s="68" t="inlineStr">
        <is>
          <t>No</t>
        </is>
      </c>
    </row>
    <row r="44">
      <c r="A44" s="68" t="inlineStr">
        <is>
          <t>Banaba</t>
        </is>
      </c>
      <c r="B44" s="68" t="inlineStr">
        <is>
          <t>General</t>
        </is>
      </c>
      <c r="C44" s="68" t="inlineStr">
        <is>
          <t>Start with low single-herb exposure and increase only if tolerated</t>
        </is>
      </c>
      <c r="D44" s="68" t="inlineStr">
        <is>
          <t>Product-ideation framing only; not clinical dosing advice.</t>
        </is>
      </c>
      <c r="E44" s="68" t="inlineStr">
        <is>
          <t>glucose-lowering</t>
        </is>
      </c>
      <c r="F44" s="68" t="str"/>
      <c r="G44" s="68" t="inlineStr">
        <is>
          <t>Baseline</t>
        </is>
      </c>
      <c r="H44" s="68" t="inlineStr">
        <is>
          <t>No</t>
        </is>
      </c>
    </row>
    <row r="45">
      <c r="A45" s="68" t="inlineStr">
        <is>
          <t>Mulberry Leaf</t>
        </is>
      </c>
      <c r="B45" s="68" t="inlineStr">
        <is>
          <t>General</t>
        </is>
      </c>
      <c r="C45" s="68" t="inlineStr">
        <is>
          <t>Start with low single-herb exposure and increase only if tolerated</t>
        </is>
      </c>
      <c r="D45" s="68" t="inlineStr">
        <is>
          <t>Product-ideation framing only; not clinical dosing advice.</t>
        </is>
      </c>
      <c r="E45" s="68" t="inlineStr">
        <is>
          <t>glucose-lowering</t>
        </is>
      </c>
      <c r="F45" s="68" t="str"/>
      <c r="G45" s="68" t="inlineStr">
        <is>
          <t>Baseline</t>
        </is>
      </c>
      <c r="H45" s="68" t="inlineStr">
        <is>
          <t>No</t>
        </is>
      </c>
    </row>
    <row r="46">
      <c r="A46" s="68" t="inlineStr">
        <is>
          <t>Neem</t>
        </is>
      </c>
      <c r="B46" s="68" t="inlineStr">
        <is>
          <t>General</t>
        </is>
      </c>
      <c r="C46" s="68" t="inlineStr">
        <is>
          <t>Start with low single-herb exposure and increase only if tolerated</t>
        </is>
      </c>
      <c r="D46" s="68" t="inlineStr">
        <is>
          <t>Product-ideation framing only; not clinical dosing advice.</t>
        </is>
      </c>
      <c r="E46" s="68" t="str"/>
      <c r="F46" s="68" t="str"/>
      <c r="G46" s="68" t="inlineStr">
        <is>
          <t>Baseline</t>
        </is>
      </c>
      <c r="H46" s="68" t="inlineStr">
        <is>
          <t>No</t>
        </is>
      </c>
    </row>
    <row r="47">
      <c r="A47" s="68" t="inlineStr">
        <is>
          <t>Mugwort</t>
        </is>
      </c>
      <c r="B47" s="68" t="inlineStr">
        <is>
          <t>General</t>
        </is>
      </c>
      <c r="C47" s="68" t="inlineStr">
        <is>
          <t>Start with low single-herb exposure and increase only if tolerated</t>
        </is>
      </c>
      <c r="D47" s="68" t="inlineStr">
        <is>
          <t>Product-ideation framing only; not clinical dosing advice.</t>
        </is>
      </c>
      <c r="E47" s="68" t="inlineStr">
        <is>
          <t>pregnancy</t>
        </is>
      </c>
      <c r="F47" s="68" t="inlineStr">
        <is>
          <t>pregnancy</t>
        </is>
      </c>
      <c r="G47" s="68" t="inlineStr">
        <is>
          <t>Moderate</t>
        </is>
      </c>
      <c r="H47" s="68" t="inlineStr">
        <is>
          <t>No</t>
        </is>
      </c>
    </row>
    <row r="48">
      <c r="A48" s="68" t="inlineStr">
        <is>
          <t>Lemon Verbena</t>
        </is>
      </c>
      <c r="B48" s="68" t="inlineStr">
        <is>
          <t>General</t>
        </is>
      </c>
      <c r="C48" s="68" t="inlineStr">
        <is>
          <t>Start with low single-herb exposure and increase only if tolerated</t>
        </is>
      </c>
      <c r="D48" s="68" t="inlineStr">
        <is>
          <t>Product-ideation framing only; not clinical dosing advice.</t>
        </is>
      </c>
      <c r="E48" s="68" t="str"/>
      <c r="F48" s="68" t="str"/>
      <c r="G48" s="68" t="inlineStr">
        <is>
          <t>Moderate</t>
        </is>
      </c>
      <c r="H48" s="68" t="inlineStr">
        <is>
          <t>No</t>
        </is>
      </c>
    </row>
    <row r="49">
      <c r="A49" s="68" t="inlineStr">
        <is>
          <t>Milk Oats</t>
        </is>
      </c>
      <c r="B49" s="68" t="inlineStr">
        <is>
          <t>General</t>
        </is>
      </c>
      <c r="C49" s="68" t="inlineStr">
        <is>
          <t>Start with low single-herb exposure and increase only if tolerated</t>
        </is>
      </c>
      <c r="D49" s="68" t="inlineStr">
        <is>
          <t>Product-ideation framing only; not clinical dosing advice.</t>
        </is>
      </c>
      <c r="E49" s="68" t="str"/>
      <c r="F49" s="68" t="str"/>
      <c r="G49" s="68" t="inlineStr">
        <is>
          <t>Moderate</t>
        </is>
      </c>
      <c r="H49" s="68" t="inlineStr">
        <is>
          <t>No</t>
        </is>
      </c>
    </row>
    <row r="50">
      <c r="A50" s="68" t="inlineStr">
        <is>
          <t>Cissus</t>
        </is>
      </c>
      <c r="B50" s="68" t="inlineStr">
        <is>
          <t>General</t>
        </is>
      </c>
      <c r="C50" s="68" t="inlineStr">
        <is>
          <t>Start with low single-herb exposure and increase only if tolerated</t>
        </is>
      </c>
      <c r="D50" s="68" t="inlineStr">
        <is>
          <t>Product-ideation framing only; not clinical dosing advice.</t>
        </is>
      </c>
      <c r="E50" s="68" t="str"/>
      <c r="F50" s="68" t="str"/>
      <c r="G50" s="68" t="inlineStr">
        <is>
          <t>Baseline</t>
        </is>
      </c>
      <c r="H50" s="68" t="inlineStr">
        <is>
          <t>No</t>
        </is>
      </c>
    </row>
    <row r="51">
      <c r="A51" s="68" t="inlineStr">
        <is>
          <t>Ashitaba</t>
        </is>
      </c>
      <c r="B51" s="68" t="inlineStr">
        <is>
          <t>General</t>
        </is>
      </c>
      <c r="C51" s="68" t="inlineStr">
        <is>
          <t>Start with low single-herb exposure and increase only if tolerated</t>
        </is>
      </c>
      <c r="D51" s="68" t="inlineStr">
        <is>
          <t>Product-ideation framing only; not clinical dosing advice.</t>
        </is>
      </c>
      <c r="E51" s="68" t="str"/>
      <c r="F51" s="68" t="str"/>
      <c r="G51" s="68" t="inlineStr">
        <is>
          <t>Moderate</t>
        </is>
      </c>
      <c r="H51" s="68" t="inlineStr">
        <is>
          <t>No</t>
        </is>
      </c>
    </row>
    <row r="52">
      <c r="A52" s="68" t="inlineStr">
        <is>
          <t>Pomegranate</t>
        </is>
      </c>
      <c r="B52" s="68" t="inlineStr">
        <is>
          <t>General</t>
        </is>
      </c>
      <c r="C52" s="68" t="inlineStr">
        <is>
          <t>Start low; usually daytime use</t>
        </is>
      </c>
      <c r="D52" s="68" t="inlineStr">
        <is>
          <t>Product-ideation framing only; not clinical dosing advice.</t>
        </is>
      </c>
      <c r="E52" s="68" t="inlineStr">
        <is>
          <t>blood-pressure</t>
        </is>
      </c>
      <c r="F52" s="68" t="str"/>
      <c r="G52" s="68" t="inlineStr">
        <is>
          <t>Baseline</t>
        </is>
      </c>
      <c r="H52" s="68" t="inlineStr">
        <is>
          <t>No</t>
        </is>
      </c>
    </row>
    <row r="53">
      <c r="A53" s="68" t="inlineStr">
        <is>
          <t>Moringa</t>
        </is>
      </c>
      <c r="B53" s="68" t="inlineStr">
        <is>
          <t>General</t>
        </is>
      </c>
      <c r="C53" s="68" t="inlineStr">
        <is>
          <t>Start with low single-herb exposure and increase only if tolerated</t>
        </is>
      </c>
      <c r="D53" s="68" t="inlineStr">
        <is>
          <t>Product-ideation framing only; not clinical dosing advice.</t>
        </is>
      </c>
      <c r="E53" s="68" t="inlineStr">
        <is>
          <t>glucose-lowering</t>
        </is>
      </c>
      <c r="F53" s="68" t="str"/>
      <c r="G53" s="68" t="inlineStr">
        <is>
          <t>Baseline</t>
        </is>
      </c>
      <c r="H53" s="68" t="inlineStr">
        <is>
          <t>No</t>
        </is>
      </c>
    </row>
    <row r="54">
      <c r="A54" s="68" t="inlineStr">
        <is>
          <t>Arjuna</t>
        </is>
      </c>
      <c r="B54" s="68" t="inlineStr">
        <is>
          <t>Circulation</t>
        </is>
      </c>
      <c r="C54" s="68" t="inlineStr">
        <is>
          <t>Start low; usually daytime use</t>
        </is>
      </c>
      <c r="D54" s="68" t="inlineStr">
        <is>
          <t>Product-ideation framing only; not clinical dosing advice.</t>
        </is>
      </c>
      <c r="E54" s="68" t="inlineStr">
        <is>
          <t>blood-pressure</t>
        </is>
      </c>
      <c r="F54" s="68" t="str"/>
      <c r="G54" s="68" t="inlineStr">
        <is>
          <t>Baseline</t>
        </is>
      </c>
      <c r="H54" s="68" t="inlineStr">
        <is>
          <t>No</t>
        </is>
      </c>
    </row>
    <row r="55">
      <c r="A55" s="68" t="inlineStr">
        <is>
          <t>Noni</t>
        </is>
      </c>
      <c r="B55" s="68" t="inlineStr">
        <is>
          <t>General</t>
        </is>
      </c>
      <c r="C55" s="68" t="inlineStr">
        <is>
          <t>Start with low single-herb exposure and increase only if tolerated</t>
        </is>
      </c>
      <c r="D55" s="68" t="inlineStr">
        <is>
          <t>Product-ideation framing only; not clinical dosing advice.</t>
        </is>
      </c>
      <c r="E55" s="68" t="str"/>
      <c r="F55" s="68" t="str"/>
      <c r="G55" s="68" t="inlineStr">
        <is>
          <t>Moderate</t>
        </is>
      </c>
      <c r="H55" s="68" t="inlineStr">
        <is>
          <t>No</t>
        </is>
      </c>
    </row>
    <row r="56">
      <c r="A56" s="68" t="inlineStr">
        <is>
          <t>Cranberry</t>
        </is>
      </c>
      <c r="B56" s="68" t="inlineStr">
        <is>
          <t>General</t>
        </is>
      </c>
      <c r="C56" s="68" t="inlineStr">
        <is>
          <t>Start with low single-herb exposure and increase only if tolerated</t>
        </is>
      </c>
      <c r="D56" s="68" t="inlineStr">
        <is>
          <t>Keep conservative around surgery, anticoagulants, or antiplatelet use.</t>
        </is>
      </c>
      <c r="E56" s="68" t="inlineStr">
        <is>
          <t>bleeding-risk</t>
        </is>
      </c>
      <c r="F56" s="68" t="str"/>
      <c r="G56" s="68" t="inlineStr">
        <is>
          <t>Baseline</t>
        </is>
      </c>
      <c r="H56" s="68" t="inlineStr">
        <is>
          <t>No</t>
        </is>
      </c>
    </row>
    <row r="57">
      <c r="A57" s="68" t="inlineStr">
        <is>
          <t>Rose Hips</t>
        </is>
      </c>
      <c r="B57" s="68" t="inlineStr">
        <is>
          <t>General</t>
        </is>
      </c>
      <c r="C57" s="68" t="inlineStr">
        <is>
          <t>Start with low single-herb exposure and increase only if tolerated</t>
        </is>
      </c>
      <c r="D57" s="68" t="inlineStr">
        <is>
          <t>Product-ideation framing only; not clinical dosing advice.</t>
        </is>
      </c>
      <c r="E57" s="68" t="str"/>
      <c r="F57" s="68" t="str"/>
      <c r="G57" s="68" t="inlineStr">
        <is>
          <t>Baseline</t>
        </is>
      </c>
      <c r="H57" s="68" t="inlineStr">
        <is>
          <t>No</t>
        </is>
      </c>
    </row>
    <row r="58">
      <c r="A58" s="68" t="inlineStr">
        <is>
          <t>Juniper</t>
        </is>
      </c>
      <c r="B58" s="68" t="inlineStr">
        <is>
          <t>General</t>
        </is>
      </c>
      <c r="C58" s="68" t="inlineStr">
        <is>
          <t>Start with low single-herb exposure and increase only if tolerated</t>
        </is>
      </c>
      <c r="D58" s="68" t="inlineStr">
        <is>
          <t>Product-ideation framing only; not clinical dosing advice.</t>
        </is>
      </c>
      <c r="E58" s="68" t="str"/>
      <c r="F58" s="68" t="str"/>
      <c r="G58" s="68" t="inlineStr">
        <is>
          <t>Moderate</t>
        </is>
      </c>
      <c r="H58" s="68" t="inlineStr">
        <is>
          <t>No</t>
        </is>
      </c>
    </row>
    <row r="59">
      <c r="A59" s="68" t="inlineStr">
        <is>
          <t>Myrtle</t>
        </is>
      </c>
      <c r="B59" s="68" t="inlineStr">
        <is>
          <t>General</t>
        </is>
      </c>
      <c r="C59" s="68" t="inlineStr">
        <is>
          <t>Start with low single-herb exposure and increase only if tolerated</t>
        </is>
      </c>
      <c r="D59" s="68" t="inlineStr">
        <is>
          <t>Product-ideation framing only; not clinical dosing advice.</t>
        </is>
      </c>
      <c r="E59" s="68" t="str"/>
      <c r="F59" s="68" t="str"/>
      <c r="G59" s="68" t="inlineStr">
        <is>
          <t>Moderate</t>
        </is>
      </c>
      <c r="H59" s="68" t="inlineStr">
        <is>
          <t>No</t>
        </is>
      </c>
    </row>
    <row r="60">
      <c r="A60" s="68" t="inlineStr">
        <is>
          <t>Acerola</t>
        </is>
      </c>
      <c r="B60" s="68" t="inlineStr">
        <is>
          <t>General</t>
        </is>
      </c>
      <c r="C60" s="68" t="inlineStr">
        <is>
          <t>Start with low single-herb exposure and increase only if tolerated</t>
        </is>
      </c>
      <c r="D60" s="68" t="inlineStr">
        <is>
          <t>Product-ideation framing only; not clinical dosing advice.</t>
        </is>
      </c>
      <c r="E60" s="68" t="inlineStr">
        <is>
          <t>immune-caution</t>
        </is>
      </c>
      <c r="F60" s="68" t="str"/>
      <c r="G60" s="68" t="inlineStr">
        <is>
          <t>Baseline</t>
        </is>
      </c>
      <c r="H60" s="68" t="inlineStr">
        <is>
          <t>No</t>
        </is>
      </c>
    </row>
    <row r="61">
      <c r="A61" s="68" t="inlineStr">
        <is>
          <t>Mangosteen</t>
        </is>
      </c>
      <c r="B61" s="68" t="inlineStr">
        <is>
          <t>General</t>
        </is>
      </c>
      <c r="C61" s="68" t="inlineStr">
        <is>
          <t>Start with low single-herb exposure and increase only if tolerated</t>
        </is>
      </c>
      <c r="D61" s="68" t="inlineStr">
        <is>
          <t>Product-ideation framing only; not clinical dosing advice.</t>
        </is>
      </c>
      <c r="E61" s="68" t="str"/>
      <c r="F61" s="68" t="str"/>
      <c r="G61" s="68" t="inlineStr">
        <is>
          <t>Moderate</t>
        </is>
      </c>
      <c r="H61" s="68" t="inlineStr">
        <is>
          <t>No</t>
        </is>
      </c>
    </row>
    <row r="62">
      <c r="A62" s="68" t="inlineStr">
        <is>
          <t>Boldo</t>
        </is>
      </c>
      <c r="B62" s="68" t="inlineStr">
        <is>
          <t>General</t>
        </is>
      </c>
      <c r="C62" s="68" t="inlineStr">
        <is>
          <t>Start with low single-herb exposure and increase only if tolerated</t>
        </is>
      </c>
      <c r="D62" s="68" t="inlineStr">
        <is>
          <t>Prefer conservative use and avoid default inclusion in liver-sensitive audiences.</t>
        </is>
      </c>
      <c r="E62" s="68" t="inlineStr">
        <is>
          <t>hepatic-caution</t>
        </is>
      </c>
      <c r="F62" s="68" t="str"/>
      <c r="G62" s="68" t="inlineStr">
        <is>
          <t>Moderate</t>
        </is>
      </c>
      <c r="H62" s="68" t="inlineStr">
        <is>
          <t>No</t>
        </is>
      </c>
    </row>
    <row r="63">
      <c r="A63" s="68" t="inlineStr">
        <is>
          <t>Suma</t>
        </is>
      </c>
      <c r="B63" s="68" t="inlineStr">
        <is>
          <t>General</t>
        </is>
      </c>
      <c r="C63" s="68" t="inlineStr">
        <is>
          <t>Start with low single-herb exposure and increase only if tolerated</t>
        </is>
      </c>
      <c r="D63" s="68" t="inlineStr">
        <is>
          <t>Product-ideation framing only; not clinical dosing advice.</t>
        </is>
      </c>
      <c r="E63" s="68" t="str"/>
      <c r="F63" s="68" t="str"/>
      <c r="G63" s="68" t="inlineStr">
        <is>
          <t>Moderate</t>
        </is>
      </c>
      <c r="H63" s="68" t="inlineStr">
        <is>
          <t>No</t>
        </is>
      </c>
    </row>
    <row r="64">
      <c r="A64" s="68" t="inlineStr">
        <is>
          <t>Maral Root</t>
        </is>
      </c>
      <c r="B64" s="68" t="inlineStr">
        <is>
          <t>General</t>
        </is>
      </c>
      <c r="C64" s="68" t="inlineStr">
        <is>
          <t>Start with low single-herb exposure and increase only if tolerated</t>
        </is>
      </c>
      <c r="D64" s="68" t="inlineStr">
        <is>
          <t>Product-ideation framing only; not clinical dosing advice.</t>
        </is>
      </c>
      <c r="E64" s="68" t="str"/>
      <c r="F64" s="68" t="str"/>
      <c r="G64" s="68" t="inlineStr">
        <is>
          <t>Moderate</t>
        </is>
      </c>
      <c r="H64" s="68" t="inlineStr">
        <is>
          <t>No</t>
        </is>
      </c>
    </row>
    <row r="65">
      <c r="A65" s="68" t="inlineStr">
        <is>
          <t>Jatamansi</t>
        </is>
      </c>
      <c r="B65" s="68" t="inlineStr">
        <is>
          <t>General</t>
        </is>
      </c>
      <c r="C65" s="68" t="inlineStr">
        <is>
          <t>Start low; usually evening or split use</t>
        </is>
      </c>
      <c r="D65" s="68" t="inlineStr">
        <is>
          <t>Prefer evening or split dosing; avoid stacking with other sedative-heavy products by default.</t>
        </is>
      </c>
      <c r="E65" s="68" t="inlineStr">
        <is>
          <t>sedation-cns</t>
        </is>
      </c>
      <c r="F65" s="68" t="str"/>
      <c r="G65" s="68" t="inlineStr">
        <is>
          <t>Moderate</t>
        </is>
      </c>
      <c r="H65" s="68" t="inlineStr">
        <is>
          <t>No</t>
        </is>
      </c>
    </row>
    <row r="66">
      <c r="A66" s="68" t="inlineStr">
        <is>
          <t>Soursop</t>
        </is>
      </c>
      <c r="B66" s="68" t="inlineStr">
        <is>
          <t>General</t>
        </is>
      </c>
      <c r="C66" s="68" t="inlineStr">
        <is>
          <t>Start with low single-herb exposure and increase only if tolerated</t>
        </is>
      </c>
      <c r="D66" s="68" t="inlineStr">
        <is>
          <t>Product-ideation framing only; not clinical dosing advice.</t>
        </is>
      </c>
      <c r="E66" s="68" t="str"/>
      <c r="F66" s="68" t="str"/>
      <c r="G66" s="68" t="inlineStr">
        <is>
          <t>Baseline</t>
        </is>
      </c>
      <c r="H66" s="68" t="inlineStr">
        <is>
          <t>No</t>
        </is>
      </c>
    </row>
    <row r="67">
      <c r="A67" s="68" t="inlineStr">
        <is>
          <t>Ashoka</t>
        </is>
      </c>
      <c r="B67" s="68" t="inlineStr">
        <is>
          <t>General</t>
        </is>
      </c>
      <c r="C67" s="68" t="inlineStr">
        <is>
          <t>Start with low single-herb exposure and increase only if tolerated</t>
        </is>
      </c>
      <c r="D67" s="68" t="inlineStr">
        <is>
          <t>Product-ideation framing only; not clinical dosing advice.</t>
        </is>
      </c>
      <c r="E67" s="68" t="str"/>
      <c r="F67" s="68" t="str"/>
      <c r="G67" s="68" t="inlineStr">
        <is>
          <t>Moderate</t>
        </is>
      </c>
      <c r="H67" s="68" t="inlineStr">
        <is>
          <t>No</t>
        </is>
      </c>
    </row>
    <row r="68">
      <c r="A68" s="68" t="inlineStr">
        <is>
          <t>Shankhpushpi</t>
        </is>
      </c>
      <c r="B68" s="68" t="inlineStr">
        <is>
          <t>General</t>
        </is>
      </c>
      <c r="C68" s="68" t="inlineStr">
        <is>
          <t>Start with low single-herb exposure and increase only if tolerated</t>
        </is>
      </c>
      <c r="D68" s="68" t="inlineStr">
        <is>
          <t>Product-ideation framing only; not clinical dosing advice.</t>
        </is>
      </c>
      <c r="E68" s="68" t="str"/>
      <c r="F68" s="68" t="str"/>
      <c r="G68" s="68" t="inlineStr">
        <is>
          <t>Moderate</t>
        </is>
      </c>
      <c r="H68" s="68" t="inlineStr">
        <is>
          <t>No</t>
        </is>
      </c>
    </row>
    <row r="69">
      <c r="A69" s="68" t="inlineStr">
        <is>
          <t>Hops</t>
        </is>
      </c>
      <c r="B69" s="68" t="inlineStr">
        <is>
          <t>General</t>
        </is>
      </c>
      <c r="C69" s="68" t="inlineStr">
        <is>
          <t>Start low; usually evening or split use</t>
        </is>
      </c>
      <c r="D69" s="68" t="inlineStr">
        <is>
          <t>Prefer evening or split dosing; avoid stacking with other sedative-heavy products by default.</t>
        </is>
      </c>
      <c r="E69" s="68" t="inlineStr">
        <is>
          <t>sedation-cns</t>
        </is>
      </c>
      <c r="F69" s="68" t="str"/>
      <c r="G69" s="68" t="inlineStr">
        <is>
          <t>Baseline</t>
        </is>
      </c>
      <c r="H69" s="68" t="inlineStr">
        <is>
          <t>No</t>
        </is>
      </c>
    </row>
    <row r="70">
      <c r="A70" s="68" t="inlineStr">
        <is>
          <t>Lemongrass</t>
        </is>
      </c>
      <c r="B70" s="68" t="inlineStr">
        <is>
          <t>General</t>
        </is>
      </c>
      <c r="C70" s="68" t="inlineStr">
        <is>
          <t>Start with low single-herb exposure and increase only if tolerated</t>
        </is>
      </c>
      <c r="D70" s="68" t="inlineStr">
        <is>
          <t>Product-ideation framing only; not clinical dosing advice.</t>
        </is>
      </c>
      <c r="E70" s="68" t="str"/>
      <c r="F70" s="68" t="str"/>
      <c r="G70" s="68" t="inlineStr">
        <is>
          <t>Baseline</t>
        </is>
      </c>
      <c r="H70" s="68" t="inlineStr">
        <is>
          <t>No</t>
        </is>
      </c>
    </row>
    <row r="71">
      <c r="A71" s="68" t="inlineStr">
        <is>
          <t>Perilla</t>
        </is>
      </c>
      <c r="B71" s="68" t="inlineStr">
        <is>
          <t>General</t>
        </is>
      </c>
      <c r="C71" s="68" t="inlineStr">
        <is>
          <t>Start with low single-herb exposure and increase only if tolerated</t>
        </is>
      </c>
      <c r="D71" s="68" t="inlineStr">
        <is>
          <t>Product-ideation framing only; not clinical dosing advice.</t>
        </is>
      </c>
      <c r="E71" s="68" t="str"/>
      <c r="F71" s="68" t="str"/>
      <c r="G71" s="68" t="inlineStr">
        <is>
          <t>Moderate</t>
        </is>
      </c>
      <c r="H71" s="68" t="inlineStr">
        <is>
          <t>No</t>
        </is>
      </c>
    </row>
    <row r="72">
      <c r="A72" s="68" t="inlineStr">
        <is>
          <t>Carob</t>
        </is>
      </c>
      <c r="B72" s="68" t="inlineStr">
        <is>
          <t>General</t>
        </is>
      </c>
      <c r="C72" s="68" t="inlineStr">
        <is>
          <t>Start with low single-herb exposure and increase only if tolerated</t>
        </is>
      </c>
      <c r="D72" s="68" t="inlineStr">
        <is>
          <t>Product-ideation framing only; not clinical dosing advice.</t>
        </is>
      </c>
      <c r="E72" s="68" t="str"/>
      <c r="F72" s="68" t="str"/>
      <c r="G72" s="68" t="inlineStr">
        <is>
          <t>Baseline</t>
        </is>
      </c>
      <c r="H72" s="68" t="inlineStr">
        <is>
          <t>No</t>
        </is>
      </c>
    </row>
    <row r="73">
      <c r="A73" s="68" t="inlineStr">
        <is>
          <t>Danshen</t>
        </is>
      </c>
      <c r="B73" s="68" t="inlineStr">
        <is>
          <t>General</t>
        </is>
      </c>
      <c r="C73" s="68" t="inlineStr">
        <is>
          <t>Start low; usually daytime use</t>
        </is>
      </c>
      <c r="D73" s="68" t="inlineStr">
        <is>
          <t>Keep conservative around surgery, anticoagulants, or antiplatelet use.</t>
        </is>
      </c>
      <c r="E73" s="68" t="inlineStr">
        <is>
          <t>bleeding-risk; blood-pressure</t>
        </is>
      </c>
      <c r="F73" s="68" t="str"/>
      <c r="G73" s="68" t="inlineStr">
        <is>
          <t>Baseline</t>
        </is>
      </c>
      <c r="H73" s="68" t="inlineStr">
        <is>
          <t>No</t>
        </is>
      </c>
    </row>
    <row r="74">
      <c r="A74" s="68" t="inlineStr">
        <is>
          <t>Eucommia</t>
        </is>
      </c>
      <c r="B74" s="68" t="inlineStr">
        <is>
          <t>General</t>
        </is>
      </c>
      <c r="C74" s="68" t="inlineStr">
        <is>
          <t>Start with low single-herb exposure and increase only if tolerated</t>
        </is>
      </c>
      <c r="D74" s="68" t="inlineStr">
        <is>
          <t>Product-ideation framing only; not clinical dosing advice.</t>
        </is>
      </c>
      <c r="E74" s="68" t="str"/>
      <c r="F74" s="68" t="str"/>
      <c r="G74" s="68" t="inlineStr">
        <is>
          <t>Moderate</t>
        </is>
      </c>
      <c r="H74" s="68" t="inlineStr">
        <is>
          <t>No</t>
        </is>
      </c>
    </row>
    <row r="75">
      <c r="A75" s="68" t="inlineStr">
        <is>
          <t>Cistanche</t>
        </is>
      </c>
      <c r="B75" s="68" t="inlineStr">
        <is>
          <t>General</t>
        </is>
      </c>
      <c r="C75" s="68" t="inlineStr">
        <is>
          <t>Start with low single-herb exposure and increase only if tolerated</t>
        </is>
      </c>
      <c r="D75" s="68" t="inlineStr">
        <is>
          <t>Product-ideation framing only; not clinical dosing advice.</t>
        </is>
      </c>
      <c r="E75" s="68" t="str"/>
      <c r="F75" s="68" t="str"/>
      <c r="G75" s="68" t="inlineStr">
        <is>
          <t>Moderate</t>
        </is>
      </c>
      <c r="H75" s="68" t="inlineStr">
        <is>
          <t>No</t>
        </is>
      </c>
    </row>
    <row r="76">
      <c r="A76" s="68" t="inlineStr">
        <is>
          <t>Jujube</t>
        </is>
      </c>
      <c r="B76" s="68" t="inlineStr">
        <is>
          <t>General</t>
        </is>
      </c>
      <c r="C76" s="68" t="inlineStr">
        <is>
          <t>Start low; usually evening or split use</t>
        </is>
      </c>
      <c r="D76" s="68" t="inlineStr">
        <is>
          <t>Prefer evening or split dosing; avoid stacking with other sedative-heavy products by default.</t>
        </is>
      </c>
      <c r="E76" s="68" t="inlineStr">
        <is>
          <t>sedation-cns</t>
        </is>
      </c>
      <c r="F76" s="68" t="str"/>
      <c r="G76" s="68" t="inlineStr">
        <is>
          <t>Moderate</t>
        </is>
      </c>
      <c r="H76" s="68" t="inlineStr">
        <is>
          <t>No</t>
        </is>
      </c>
    </row>
    <row r="77">
      <c r="A77" s="68" t="inlineStr">
        <is>
          <t>Longan</t>
        </is>
      </c>
      <c r="B77" s="68" t="inlineStr">
        <is>
          <t>General</t>
        </is>
      </c>
      <c r="C77" s="68" t="inlineStr">
        <is>
          <t>Start with low single-herb exposure and increase only if tolerated</t>
        </is>
      </c>
      <c r="D77" s="68" t="inlineStr">
        <is>
          <t>Product-ideation framing only; not clinical dosing advice.</t>
        </is>
      </c>
      <c r="E77" s="68" t="str"/>
      <c r="F77" s="68" t="str"/>
      <c r="G77" s="68" t="inlineStr">
        <is>
          <t>Moderate</t>
        </is>
      </c>
      <c r="H77" s="68" t="inlineStr">
        <is>
          <t>No</t>
        </is>
      </c>
    </row>
    <row r="78">
      <c r="A78" s="68" t="inlineStr">
        <is>
          <t>Polygala</t>
        </is>
      </c>
      <c r="B78" s="68" t="inlineStr">
        <is>
          <t>General</t>
        </is>
      </c>
      <c r="C78" s="68" t="inlineStr">
        <is>
          <t>Start low; usually evening or split use</t>
        </is>
      </c>
      <c r="D78" s="68" t="inlineStr">
        <is>
          <t>Prefer evening or split dosing; avoid stacking with other sedative-heavy products by default.</t>
        </is>
      </c>
      <c r="E78" s="68" t="inlineStr">
        <is>
          <t>sedation-cns</t>
        </is>
      </c>
      <c r="F78" s="68" t="str"/>
      <c r="G78" s="68" t="inlineStr">
        <is>
          <t>Moderate</t>
        </is>
      </c>
      <c r="H78" s="68" t="inlineStr">
        <is>
          <t>No</t>
        </is>
      </c>
    </row>
    <row r="79">
      <c r="A79" s="68" t="inlineStr">
        <is>
          <t>Gastrodia</t>
        </is>
      </c>
      <c r="B79" s="68" t="inlineStr">
        <is>
          <t>General</t>
        </is>
      </c>
      <c r="C79" s="68" t="inlineStr">
        <is>
          <t>Start with low single-herb exposure and increase only if tolerated</t>
        </is>
      </c>
      <c r="D79" s="68" t="inlineStr">
        <is>
          <t>Product-ideation framing only; not clinical dosing advice.</t>
        </is>
      </c>
      <c r="E79" s="68" t="str"/>
      <c r="F79" s="68" t="str"/>
      <c r="G79" s="68" t="inlineStr">
        <is>
          <t>Moderate</t>
        </is>
      </c>
      <c r="H79" s="68" t="inlineStr">
        <is>
          <t>No</t>
        </is>
      </c>
    </row>
    <row r="80">
      <c r="A80" s="68" t="inlineStr">
        <is>
          <t>White Peony</t>
        </is>
      </c>
      <c r="B80" s="68" t="inlineStr">
        <is>
          <t>General</t>
        </is>
      </c>
      <c r="C80" s="68" t="inlineStr">
        <is>
          <t>Start with low single-herb exposure and increase only if tolerated</t>
        </is>
      </c>
      <c r="D80" s="68" t="inlineStr">
        <is>
          <t>Keep conservative around surgery, anticoagulants, or antiplatelet use.</t>
        </is>
      </c>
      <c r="E80" s="68" t="inlineStr">
        <is>
          <t>bleeding-risk</t>
        </is>
      </c>
      <c r="F80" s="68" t="str"/>
      <c r="G80" s="68" t="inlineStr">
        <is>
          <t>Moderate</t>
        </is>
      </c>
      <c r="H80" s="68" t="inlineStr">
        <is>
          <t>No</t>
        </is>
      </c>
    </row>
    <row r="81">
      <c r="A81" s="68" t="inlineStr">
        <is>
          <t>Bupleurum</t>
        </is>
      </c>
      <c r="B81" s="68" t="inlineStr">
        <is>
          <t>General</t>
        </is>
      </c>
      <c r="C81" s="68" t="inlineStr">
        <is>
          <t>Start with low single-herb exposure and increase only if tolerated</t>
        </is>
      </c>
      <c r="D81" s="68" t="inlineStr">
        <is>
          <t>Prefer conservative use and avoid default inclusion in liver-sensitive audiences.</t>
        </is>
      </c>
      <c r="E81" s="68" t="inlineStr">
        <is>
          <t>hepatic-caution</t>
        </is>
      </c>
      <c r="F81" s="68" t="str"/>
      <c r="G81" s="68" t="inlineStr">
        <is>
          <t>Moderate</t>
        </is>
      </c>
      <c r="H81" s="68" t="inlineStr">
        <is>
          <t>No</t>
        </is>
      </c>
    </row>
    <row r="82">
      <c r="A82" s="68" t="inlineStr">
        <is>
          <t>Codonopsis</t>
        </is>
      </c>
      <c r="B82" s="68" t="inlineStr">
        <is>
          <t>General</t>
        </is>
      </c>
      <c r="C82" s="68" t="inlineStr">
        <is>
          <t>Start with low single-herb exposure and increase only if tolerated</t>
        </is>
      </c>
      <c r="D82" s="68" t="inlineStr">
        <is>
          <t>Product-ideation framing only; not clinical dosing advice.</t>
        </is>
      </c>
      <c r="E82" s="68" t="str"/>
      <c r="F82" s="68" t="str"/>
      <c r="G82" s="68" t="inlineStr">
        <is>
          <t>Moderate</t>
        </is>
      </c>
      <c r="H82" s="68" t="inlineStr">
        <is>
          <t>No</t>
        </is>
      </c>
    </row>
    <row r="83">
      <c r="A83" s="68" t="inlineStr">
        <is>
          <t>Dendrobium</t>
        </is>
      </c>
      <c r="B83" s="68" t="inlineStr">
        <is>
          <t>General</t>
        </is>
      </c>
      <c r="C83" s="68" t="inlineStr">
        <is>
          <t>Start with low single-herb exposure and increase only if tolerated</t>
        </is>
      </c>
      <c r="D83" s="68" t="inlineStr">
        <is>
          <t>Product-ideation framing only; not clinical dosing advice.</t>
        </is>
      </c>
      <c r="E83" s="68" t="str"/>
      <c r="F83" s="68" t="str"/>
      <c r="G83" s="68" t="inlineStr">
        <is>
          <t>Moderate</t>
        </is>
      </c>
      <c r="H83" s="68" t="inlineStr">
        <is>
          <t>No</t>
        </is>
      </c>
    </row>
    <row r="84">
      <c r="A84" s="68" t="inlineStr">
        <is>
          <t>Ophiopogon</t>
        </is>
      </c>
      <c r="B84" s="68" t="inlineStr">
        <is>
          <t>General</t>
        </is>
      </c>
      <c r="C84" s="68" t="inlineStr">
        <is>
          <t>Start with low single-herb exposure and increase only if tolerated</t>
        </is>
      </c>
      <c r="D84" s="68" t="inlineStr">
        <is>
          <t>Product-ideation framing only; not clinical dosing advice.</t>
        </is>
      </c>
      <c r="E84" s="68" t="str"/>
      <c r="F84" s="68" t="str"/>
      <c r="G84" s="68" t="inlineStr">
        <is>
          <t>Moderate</t>
        </is>
      </c>
      <c r="H84" s="68" t="inlineStr">
        <is>
          <t>No</t>
        </is>
      </c>
    </row>
    <row r="85">
      <c r="A85" s="68" t="inlineStr">
        <is>
          <t>Houttuynia</t>
        </is>
      </c>
      <c r="B85" s="68" t="inlineStr">
        <is>
          <t>General</t>
        </is>
      </c>
      <c r="C85" s="68" t="inlineStr">
        <is>
          <t>Start with low single-herb exposure and increase only if tolerated</t>
        </is>
      </c>
      <c r="D85" s="68" t="inlineStr">
        <is>
          <t>Product-ideation framing only; not clinical dosing advice.</t>
        </is>
      </c>
      <c r="E85" s="68" t="inlineStr">
        <is>
          <t>immune-caution</t>
        </is>
      </c>
      <c r="F85" s="68" t="str"/>
      <c r="G85" s="68" t="inlineStr">
        <is>
          <t>Moderate</t>
        </is>
      </c>
      <c r="H85" s="68" t="inlineStr">
        <is>
          <t>No</t>
        </is>
      </c>
    </row>
    <row r="86">
      <c r="A86" s="68" t="inlineStr">
        <is>
          <t>Isatis</t>
        </is>
      </c>
      <c r="B86" s="68" t="inlineStr">
        <is>
          <t>General</t>
        </is>
      </c>
      <c r="C86" s="68" t="inlineStr">
        <is>
          <t>Start with low single-herb exposure and increase only if tolerated</t>
        </is>
      </c>
      <c r="D86" s="68" t="inlineStr">
        <is>
          <t>Product-ideation framing only; not clinical dosing advice.</t>
        </is>
      </c>
      <c r="E86" s="68" t="inlineStr">
        <is>
          <t>immune-caution</t>
        </is>
      </c>
      <c r="F86" s="68" t="str"/>
      <c r="G86" s="68" t="inlineStr">
        <is>
          <t>Moderate</t>
        </is>
      </c>
      <c r="H86" s="68" t="inlineStr">
        <is>
          <t>No</t>
        </is>
      </c>
    </row>
    <row r="87">
      <c r="A87" s="68" t="inlineStr">
        <is>
          <t>Sophora Flavescens</t>
        </is>
      </c>
      <c r="B87" s="68" t="inlineStr">
        <is>
          <t>General</t>
        </is>
      </c>
      <c r="C87" s="68" t="inlineStr">
        <is>
          <t>Start with low single-herb exposure and increase only if tolerated</t>
        </is>
      </c>
      <c r="D87" s="68" t="inlineStr">
        <is>
          <t>Product-ideation framing only; not clinical dosing advice.</t>
        </is>
      </c>
      <c r="E87" s="68" t="str"/>
      <c r="F87" s="68" t="str"/>
      <c r="G87" s="68" t="inlineStr">
        <is>
          <t>Moderate</t>
        </is>
      </c>
      <c r="H87" s="68" t="inlineStr">
        <is>
          <t>No</t>
        </is>
      </c>
    </row>
    <row r="88">
      <c r="A88" s="68" t="inlineStr">
        <is>
          <t>Notoginseng</t>
        </is>
      </c>
      <c r="B88" s="68" t="inlineStr">
        <is>
          <t>General</t>
        </is>
      </c>
      <c r="C88" s="68" t="inlineStr">
        <is>
          <t>Start low; usually daytime use</t>
        </is>
      </c>
      <c r="D88" s="68" t="inlineStr">
        <is>
          <t>Keep conservative around surgery, anticoagulants, or antiplatelet use.</t>
        </is>
      </c>
      <c r="E88" s="68" t="inlineStr">
        <is>
          <t>bleeding-risk; blood-pressure</t>
        </is>
      </c>
      <c r="F88" s="68" t="str"/>
      <c r="G88" s="68" t="inlineStr">
        <is>
          <t>Baseline</t>
        </is>
      </c>
      <c r="H88" s="68" t="inlineStr">
        <is>
          <t>No</t>
        </is>
      </c>
    </row>
    <row r="89">
      <c r="A89" s="68" t="inlineStr">
        <is>
          <t>Luo Han Guo</t>
        </is>
      </c>
      <c r="B89" s="68" t="inlineStr">
        <is>
          <t>General</t>
        </is>
      </c>
      <c r="C89" s="68" t="inlineStr">
        <is>
          <t>Start with low single-herb exposure and increase only if tolerated</t>
        </is>
      </c>
      <c r="D89" s="68" t="inlineStr">
        <is>
          <t>Product-ideation framing only; not clinical dosing advice.</t>
        </is>
      </c>
      <c r="E89" s="68" t="str"/>
      <c r="F89" s="68" t="str"/>
      <c r="G89" s="68" t="inlineStr">
        <is>
          <t>Baseline</t>
        </is>
      </c>
      <c r="H89" s="68" t="inlineStr">
        <is>
          <t>No</t>
        </is>
      </c>
    </row>
    <row r="90">
      <c r="A90" s="68" t="inlineStr">
        <is>
          <t>Kuding Tea</t>
        </is>
      </c>
      <c r="B90" s="68" t="inlineStr">
        <is>
          <t>General</t>
        </is>
      </c>
      <c r="C90" s="68" t="inlineStr">
        <is>
          <t>Start with low single-herb exposure and increase only if tolerated</t>
        </is>
      </c>
      <c r="D90" s="68" t="inlineStr">
        <is>
          <t>Product-ideation framing only; not clinical dosing advice.</t>
        </is>
      </c>
      <c r="E90" s="68" t="str"/>
      <c r="F90" s="68" t="str"/>
      <c r="G90" s="68" t="inlineStr">
        <is>
          <t>Moderate</t>
        </is>
      </c>
      <c r="H90" s="68" t="inlineStr">
        <is>
          <t>No</t>
        </is>
      </c>
    </row>
    <row r="91">
      <c r="A91" s="68" t="inlineStr">
        <is>
          <t>Atractylodes</t>
        </is>
      </c>
      <c r="B91" s="68" t="inlineStr">
        <is>
          <t>General</t>
        </is>
      </c>
      <c r="C91" s="68" t="inlineStr">
        <is>
          <t>Start with low single-herb exposure and increase only if tolerated</t>
        </is>
      </c>
      <c r="D91" s="68" t="inlineStr">
        <is>
          <t>Product-ideation framing only; not clinical dosing advice.</t>
        </is>
      </c>
      <c r="E91" s="68" t="str"/>
      <c r="F91" s="68" t="str"/>
      <c r="G91" s="68" t="inlineStr">
        <is>
          <t>Moderate</t>
        </is>
      </c>
      <c r="H91" s="68" t="inlineStr">
        <is>
          <t>No</t>
        </is>
      </c>
    </row>
    <row r="92">
      <c r="A92" s="68" t="inlineStr">
        <is>
          <t>Schisandra Berry</t>
        </is>
      </c>
      <c r="B92" s="68" t="inlineStr">
        <is>
          <t>General</t>
        </is>
      </c>
      <c r="C92" s="68" t="inlineStr">
        <is>
          <t>Start with low single-herb exposure and increase only if tolerated</t>
        </is>
      </c>
      <c r="D92" s="68" t="inlineStr">
        <is>
          <t>Prefer conservative use and avoid default inclusion in liver-sensitive audiences.</t>
        </is>
      </c>
      <c r="E92" s="68" t="inlineStr">
        <is>
          <t>hepatic-caution</t>
        </is>
      </c>
      <c r="F92" s="68" t="str"/>
      <c r="G92" s="68" t="inlineStr">
        <is>
          <t>Baseline</t>
        </is>
      </c>
      <c r="H92" s="68" t="inlineStr">
        <is>
          <t>No</t>
        </is>
      </c>
    </row>
    <row r="93">
      <c r="A93" s="68" t="inlineStr">
        <is>
          <t>Catuba</t>
        </is>
      </c>
      <c r="B93" s="68" t="inlineStr">
        <is>
          <t>General</t>
        </is>
      </c>
      <c r="C93" s="68" t="inlineStr">
        <is>
          <t>Start with low single-herb exposure and increase only if tolerated</t>
        </is>
      </c>
      <c r="D93" s="68" t="inlineStr">
        <is>
          <t>Product-ideation framing only; not clinical dosing advice.</t>
        </is>
      </c>
      <c r="E93" s="68" t="str"/>
      <c r="F93" s="68" t="str"/>
      <c r="G93" s="68" t="inlineStr">
        <is>
          <t>Moderate</t>
        </is>
      </c>
      <c r="H93" s="68" t="inlineStr">
        <is>
          <t>No</t>
        </is>
      </c>
    </row>
    <row r="94">
      <c r="A94" s="68" t="inlineStr">
        <is>
          <t>Muira Puama</t>
        </is>
      </c>
      <c r="B94" s="68" t="inlineStr">
        <is>
          <t>General</t>
        </is>
      </c>
      <c r="C94" s="68" t="inlineStr">
        <is>
          <t>Start with low single-herb exposure and increase only if tolerated</t>
        </is>
      </c>
      <c r="D94" s="68" t="inlineStr">
        <is>
          <t>Product-ideation framing only; not clinical dosing advice.</t>
        </is>
      </c>
      <c r="E94" s="68" t="str"/>
      <c r="F94" s="68" t="str"/>
      <c r="G94" s="68" t="inlineStr">
        <is>
          <t>Moderate</t>
        </is>
      </c>
      <c r="H94" s="68" t="inlineStr">
        <is>
          <t>No</t>
        </is>
      </c>
    </row>
    <row r="95">
      <c r="A95" s="68" t="inlineStr">
        <is>
          <t>Maitake D-Fraction</t>
        </is>
      </c>
      <c r="B95" s="68" t="inlineStr">
        <is>
          <t>General</t>
        </is>
      </c>
      <c r="C95" s="68" t="inlineStr">
        <is>
          <t>Start with low single-herb exposure and increase only if tolerated</t>
        </is>
      </c>
      <c r="D95" s="68" t="inlineStr">
        <is>
          <t>Product-ideation framing only; not clinical dosing advice.</t>
        </is>
      </c>
      <c r="E95" s="68" t="inlineStr">
        <is>
          <t>immune-caution</t>
        </is>
      </c>
      <c r="F95" s="68" t="str"/>
      <c r="G95" s="68" t="inlineStr">
        <is>
          <t>Baseline</t>
        </is>
      </c>
      <c r="H95" s="68" t="inlineStr">
        <is>
          <t>No</t>
        </is>
      </c>
    </row>
    <row r="96">
      <c r="A96" s="68" t="inlineStr">
        <is>
          <t>Poria</t>
        </is>
      </c>
      <c r="B96" s="68" t="inlineStr">
        <is>
          <t>General</t>
        </is>
      </c>
      <c r="C96" s="68" t="inlineStr">
        <is>
          <t>Start with low single-herb exposure and increase only if tolerated</t>
        </is>
      </c>
      <c r="D96" s="68" t="inlineStr">
        <is>
          <t>Product-ideation framing only; not clinical dosing advice.</t>
        </is>
      </c>
      <c r="E96" s="68" t="str"/>
      <c r="F96" s="68" t="str"/>
      <c r="G96" s="68" t="inlineStr">
        <is>
          <t>Moderate</t>
        </is>
      </c>
      <c r="H96" s="68" t="inlineStr">
        <is>
          <t>No</t>
        </is>
      </c>
    </row>
    <row r="97">
      <c r="A97" s="68" t="inlineStr">
        <is>
          <t>Rehmannia Prepared</t>
        </is>
      </c>
      <c r="B97" s="68" t="inlineStr">
        <is>
          <t>General</t>
        </is>
      </c>
      <c r="C97" s="68" t="inlineStr">
        <is>
          <t>Start with low single-herb exposure and increase only if tolerated</t>
        </is>
      </c>
      <c r="D97" s="68" t="inlineStr">
        <is>
          <t>Product-ideation framing only; not clinical dosing advice.</t>
        </is>
      </c>
      <c r="E97" s="68" t="str"/>
      <c r="F97" s="68" t="str"/>
      <c r="G97" s="68" t="inlineStr">
        <is>
          <t>Moderate</t>
        </is>
      </c>
      <c r="H97" s="68" t="inlineStr">
        <is>
          <t>No</t>
        </is>
      </c>
    </row>
    <row r="98">
      <c r="A98" s="68" t="inlineStr">
        <is>
          <t>Agarikon</t>
        </is>
      </c>
      <c r="B98" s="68" t="inlineStr">
        <is>
          <t>General</t>
        </is>
      </c>
      <c r="C98" s="68" t="inlineStr">
        <is>
          <t>Start with low single-herb exposure and increase only if tolerated</t>
        </is>
      </c>
      <c r="D98" s="68" t="inlineStr">
        <is>
          <t>Product-ideation framing only; not clinical dosing advice.</t>
        </is>
      </c>
      <c r="E98" s="68" t="inlineStr">
        <is>
          <t>immune-caution</t>
        </is>
      </c>
      <c r="F98" s="68" t="str"/>
      <c r="G98" s="68" t="inlineStr">
        <is>
          <t>Baseline</t>
        </is>
      </c>
      <c r="H98" s="68" t="inlineStr">
        <is>
          <t>No</t>
        </is>
      </c>
    </row>
    <row r="99">
      <c r="A99" s="68" t="inlineStr">
        <is>
          <t>Elecampane</t>
        </is>
      </c>
      <c r="B99" s="68" t="inlineStr">
        <is>
          <t>General</t>
        </is>
      </c>
      <c r="C99" s="68" t="inlineStr">
        <is>
          <t>Start with low single-herb exposure and increase only if tolerated</t>
        </is>
      </c>
      <c r="D99" s="68" t="inlineStr">
        <is>
          <t>Product-ideation framing only; not clinical dosing advice.</t>
        </is>
      </c>
      <c r="E99" s="68" t="str"/>
      <c r="F99" s="68" t="str"/>
      <c r="G99" s="68" t="inlineStr">
        <is>
          <t>Moderate</t>
        </is>
      </c>
      <c r="H99" s="68" t="inlineStr">
        <is>
          <t>No</t>
        </is>
      </c>
    </row>
    <row r="100">
      <c r="A100" s="68" t="inlineStr">
        <is>
          <t>Angelica Root</t>
        </is>
      </c>
      <c r="B100" s="68" t="inlineStr">
        <is>
          <t>General</t>
        </is>
      </c>
      <c r="C100" s="68" t="inlineStr">
        <is>
          <t>Start with low single-herb exposure and increase only if tolerated</t>
        </is>
      </c>
      <c r="D100" s="68" t="inlineStr">
        <is>
          <t>Product-ideation framing only; not clinical dosing advice.</t>
        </is>
      </c>
      <c r="E100" s="68" t="str"/>
      <c r="F100" s="68" t="str"/>
      <c r="G100" s="68" t="inlineStr">
        <is>
          <t>Moderate</t>
        </is>
      </c>
      <c r="H100" s="68" t="inlineStr">
        <is>
          <t>No</t>
        </is>
      </c>
    </row>
    <row r="101">
      <c r="A101" s="68" t="inlineStr">
        <is>
          <t>Galangal</t>
        </is>
      </c>
      <c r="B101" s="68" t="inlineStr">
        <is>
          <t>General</t>
        </is>
      </c>
      <c r="C101" s="68" t="inlineStr">
        <is>
          <t>Start with low single-herb exposure and increase only if tolerated</t>
        </is>
      </c>
      <c r="D101" s="68" t="inlineStr">
        <is>
          <t>Product-ideation framing only; not clinical dosing advice.</t>
        </is>
      </c>
      <c r="E101" s="68" t="str"/>
      <c r="F101" s="68" t="str"/>
      <c r="G101" s="68" t="inlineStr">
        <is>
          <t>Moderate</t>
        </is>
      </c>
      <c r="H101" s="68" t="inlineStr">
        <is>
          <t>No</t>
        </is>
      </c>
    </row>
    <row r="102">
      <c r="A102" s="68" t="inlineStr">
        <is>
          <t>Black Pepper</t>
        </is>
      </c>
      <c r="B102" s="68" t="inlineStr">
        <is>
          <t>General</t>
        </is>
      </c>
      <c r="C102" s="68" t="inlineStr">
        <is>
          <t>Start with low single-herb exposure and increase only if tolerated</t>
        </is>
      </c>
      <c r="D102" s="68" t="inlineStr">
        <is>
          <t>Product-ideation framing only; not clinical dosing advice.</t>
        </is>
      </c>
      <c r="E102" s="68" t="str"/>
      <c r="F102" s="68" t="str"/>
      <c r="G102" s="68" t="inlineStr">
        <is>
          <t>Baseline</t>
        </is>
      </c>
      <c r="H102" s="68" t="inlineStr">
        <is>
          <t>No</t>
        </is>
      </c>
    </row>
    <row r="103">
      <c r="A103" s="68" t="inlineStr">
        <is>
          <t>Cardamom</t>
        </is>
      </c>
      <c r="B103" s="68" t="inlineStr">
        <is>
          <t>General</t>
        </is>
      </c>
      <c r="C103" s="68" t="inlineStr">
        <is>
          <t>Start with low single-herb exposure and increase only if tolerated</t>
        </is>
      </c>
      <c r="D103" s="68" t="inlineStr">
        <is>
          <t>Product-ideation framing only; not clinical dosing advice.</t>
        </is>
      </c>
      <c r="E103" s="68" t="str"/>
      <c r="F103" s="68" t="str"/>
      <c r="G103" s="68" t="inlineStr">
        <is>
          <t>Moderate</t>
        </is>
      </c>
      <c r="H103" s="68" t="inlineStr">
        <is>
          <t>No</t>
        </is>
      </c>
    </row>
    <row r="104">
      <c r="A104" s="68" t="inlineStr">
        <is>
          <t>Holy Basil Seed</t>
        </is>
      </c>
      <c r="B104" s="68" t="inlineStr">
        <is>
          <t>General</t>
        </is>
      </c>
      <c r="C104" s="68" t="inlineStr">
        <is>
          <t>Start with low single-herb exposure and increase only if tolerated</t>
        </is>
      </c>
      <c r="D104" s="68" t="inlineStr">
        <is>
          <t>Product-ideation framing only; not clinical dosing advice.</t>
        </is>
      </c>
      <c r="E104" s="68" t="str"/>
      <c r="F104" s="68" t="str"/>
      <c r="G104" s="68" t="inlineStr">
        <is>
          <t>Baseline</t>
        </is>
      </c>
      <c r="H104" s="68" t="inlineStr">
        <is>
          <t>No</t>
        </is>
      </c>
    </row>
    <row r="105">
      <c r="A105" s="68" t="inlineStr">
        <is>
          <t>Psyllium</t>
        </is>
      </c>
      <c r="B105" s="68" t="inlineStr">
        <is>
          <t>General</t>
        </is>
      </c>
      <c r="C105" s="68" t="inlineStr">
        <is>
          <t>Start with low single-herb exposure and increase only if tolerated</t>
        </is>
      </c>
      <c r="D105" s="68" t="inlineStr">
        <is>
          <t>Product-ideation framing only; not clinical dosing advice.</t>
        </is>
      </c>
      <c r="E105" s="68" t="str"/>
      <c r="F105" s="68" t="str"/>
      <c r="G105" s="68" t="inlineStr">
        <is>
          <t>Baseline</t>
        </is>
      </c>
      <c r="H105" s="68" t="inlineStr">
        <is>
          <t>No</t>
        </is>
      </c>
    </row>
    <row r="106">
      <c r="A106" s="68" t="inlineStr">
        <is>
          <t>Caraway</t>
        </is>
      </c>
      <c r="B106" s="68" t="inlineStr">
        <is>
          <t>General</t>
        </is>
      </c>
      <c r="C106" s="68" t="inlineStr">
        <is>
          <t>Start with low single-herb exposure and increase only if tolerated</t>
        </is>
      </c>
      <c r="D106" s="68" t="inlineStr">
        <is>
          <t>Product-ideation framing only; not clinical dosing advice.</t>
        </is>
      </c>
      <c r="E106" s="68" t="str"/>
      <c r="F106" s="68" t="str"/>
      <c r="G106" s="68" t="inlineStr">
        <is>
          <t>Baseline</t>
        </is>
      </c>
      <c r="H106" s="68" t="inlineStr">
        <is>
          <t>No</t>
        </is>
      </c>
    </row>
    <row r="107">
      <c r="A107" s="68" t="inlineStr">
        <is>
          <t>Ajwain</t>
        </is>
      </c>
      <c r="B107" s="68" t="inlineStr">
        <is>
          <t>General</t>
        </is>
      </c>
      <c r="C107" s="68" t="inlineStr">
        <is>
          <t>Start with low single-herb exposure and increase only if tolerated</t>
        </is>
      </c>
      <c r="D107" s="68" t="inlineStr">
        <is>
          <t>Product-ideation framing only; not clinical dosing advice.</t>
        </is>
      </c>
      <c r="E107" s="68" t="str"/>
      <c r="F107" s="68" t="str"/>
      <c r="G107" s="68" t="inlineStr">
        <is>
          <t>Moderate</t>
        </is>
      </c>
      <c r="H107" s="68" t="inlineStr">
        <is>
          <t>No</t>
        </is>
      </c>
    </row>
    <row r="108">
      <c r="A108" s="68" t="inlineStr">
        <is>
          <t>Holy Basil Purple</t>
        </is>
      </c>
      <c r="B108" s="68" t="inlineStr">
        <is>
          <t>General</t>
        </is>
      </c>
      <c r="C108" s="68" t="inlineStr">
        <is>
          <t>Start with low single-herb exposure and increase only if tolerated</t>
        </is>
      </c>
      <c r="D108" s="68" t="inlineStr">
        <is>
          <t>Product-ideation framing only; not clinical dosing advice.</t>
        </is>
      </c>
      <c r="E108" s="68" t="str"/>
      <c r="F108" s="68" t="str"/>
      <c r="G108" s="68" t="inlineStr">
        <is>
          <t>Baseline</t>
        </is>
      </c>
      <c r="H108" s="68" t="inlineStr">
        <is>
          <t>No</t>
        </is>
      </c>
    </row>
    <row r="109">
      <c r="A109" s="68" t="inlineStr">
        <is>
          <t>Curry Leaf</t>
        </is>
      </c>
      <c r="B109" s="68" t="inlineStr">
        <is>
          <t>General</t>
        </is>
      </c>
      <c r="C109" s="68" t="inlineStr">
        <is>
          <t>Start with low single-herb exposure and increase only if tolerated</t>
        </is>
      </c>
      <c r="D109" s="68" t="inlineStr">
        <is>
          <t>Product-ideation framing only; not clinical dosing advice.</t>
        </is>
      </c>
      <c r="E109" s="68" t="str"/>
      <c r="F109" s="68" t="str"/>
      <c r="G109" s="68" t="inlineStr">
        <is>
          <t>Moderate</t>
        </is>
      </c>
      <c r="H109" s="68" t="inlineStr">
        <is>
          <t>No</t>
        </is>
      </c>
    </row>
    <row r="110">
      <c r="A110" s="68" t="inlineStr">
        <is>
          <t>Gudmar</t>
        </is>
      </c>
      <c r="B110" s="68" t="inlineStr">
        <is>
          <t>General</t>
        </is>
      </c>
      <c r="C110" s="68" t="inlineStr">
        <is>
          <t>Start with low single-herb exposure and increase only if tolerated</t>
        </is>
      </c>
      <c r="D110" s="68" t="inlineStr">
        <is>
          <t>Product-ideation framing only; not clinical dosing advice.</t>
        </is>
      </c>
      <c r="E110" s="68" t="inlineStr">
        <is>
          <t>glucose-lowering</t>
        </is>
      </c>
      <c r="F110" s="68" t="str"/>
      <c r="G110" s="68" t="inlineStr">
        <is>
          <t>Baseline</t>
        </is>
      </c>
      <c r="H110" s="68" t="inlineStr">
        <is>
          <t>No</t>
        </is>
      </c>
    </row>
    <row r="111">
      <c r="A111" s="68" t="inlineStr">
        <is>
          <t>Roselle Seed</t>
        </is>
      </c>
      <c r="B111" s="68" t="inlineStr">
        <is>
          <t>General</t>
        </is>
      </c>
      <c r="C111" s="68" t="inlineStr">
        <is>
          <t>Start low; usually evening or split use</t>
        </is>
      </c>
      <c r="D111" s="68" t="inlineStr">
        <is>
          <t>Product-ideation framing only; not clinical dosing advice.</t>
        </is>
      </c>
      <c r="E111" s="68" t="str"/>
      <c r="F111" s="68" t="str"/>
      <c r="G111" s="68" t="inlineStr">
        <is>
          <t>Baseline</t>
        </is>
      </c>
      <c r="H111" s="68" t="inlineStr">
        <is>
          <t>No</t>
        </is>
      </c>
    </row>
    <row r="112">
      <c r="A112" s="68" t="inlineStr">
        <is>
          <t>Tamarind</t>
        </is>
      </c>
      <c r="B112" s="68" t="inlineStr">
        <is>
          <t>General</t>
        </is>
      </c>
      <c r="C112" s="68" t="inlineStr">
        <is>
          <t>Start with low single-herb exposure and increase only if tolerated</t>
        </is>
      </c>
      <c r="D112" s="68" t="inlineStr">
        <is>
          <t>Product-ideation framing only; not clinical dosing advice.</t>
        </is>
      </c>
      <c r="E112" s="68" t="str"/>
      <c r="F112" s="68" t="str"/>
      <c r="G112" s="68" t="inlineStr">
        <is>
          <t>Baseline</t>
        </is>
      </c>
      <c r="H112" s="68" t="inlineStr">
        <is>
          <t>No</t>
        </is>
      </c>
    </row>
    <row r="113">
      <c r="A113" s="68" t="inlineStr">
        <is>
          <t>Rhodiola</t>
        </is>
      </c>
      <c r="B113" s="68" t="inlineStr">
        <is>
          <t>General</t>
        </is>
      </c>
      <c r="C113" s="68" t="inlineStr">
        <is>
          <t>Start with low single-herb exposure and increase only if tolerated</t>
        </is>
      </c>
      <c r="D113" s="68" t="inlineStr">
        <is>
          <t>Product-ideation framing only; not clinical dosing advice.</t>
        </is>
      </c>
      <c r="E113" s="68" t="str"/>
      <c r="F113" s="68" t="str"/>
      <c r="G113" s="68" t="inlineStr">
        <is>
          <t>Baseline</t>
        </is>
      </c>
      <c r="H113" s="68" t="inlineStr">
        <is>
          <t>No</t>
        </is>
      </c>
    </row>
    <row r="114">
      <c r="A114" s="68" t="inlineStr">
        <is>
          <t>Cordyceps</t>
        </is>
      </c>
      <c r="B114" s="68" t="inlineStr">
        <is>
          <t>General</t>
        </is>
      </c>
      <c r="C114" s="68" t="inlineStr">
        <is>
          <t>Start with low single-herb exposure and increase only if tolerated</t>
        </is>
      </c>
      <c r="D114" s="68" t="inlineStr">
        <is>
          <t>Product-ideation framing only; not clinical dosing advice.</t>
        </is>
      </c>
      <c r="E114" s="68" t="str"/>
      <c r="F114" s="68" t="str"/>
      <c r="G114" s="68" t="inlineStr">
        <is>
          <t>Baseline</t>
        </is>
      </c>
      <c r="H114" s="68" t="inlineStr">
        <is>
          <t>No</t>
        </is>
      </c>
    </row>
    <row r="115">
      <c r="A115" s="68" t="inlineStr">
        <is>
          <t>Lion's Mane</t>
        </is>
      </c>
      <c r="B115" s="68" t="inlineStr">
        <is>
          <t>General</t>
        </is>
      </c>
      <c r="C115" s="68" t="inlineStr">
        <is>
          <t>Start with low single-herb exposure and increase only if tolerated</t>
        </is>
      </c>
      <c r="D115" s="68" t="inlineStr">
        <is>
          <t>Product-ideation framing only; not clinical dosing advice.</t>
        </is>
      </c>
      <c r="E115" s="68" t="str"/>
      <c r="F115" s="68" t="str"/>
      <c r="G115" s="68" t="inlineStr">
        <is>
          <t>Baseline</t>
        </is>
      </c>
      <c r="H115" s="68" t="inlineStr">
        <is>
          <t>No</t>
        </is>
      </c>
    </row>
    <row r="116">
      <c r="A116" s="68" t="inlineStr">
        <is>
          <t>Panax Ginseng</t>
        </is>
      </c>
      <c r="B116" s="68" t="inlineStr">
        <is>
          <t>Focus</t>
        </is>
      </c>
      <c r="C116" s="68" t="inlineStr">
        <is>
          <t>Start low; usually evening or split use</t>
        </is>
      </c>
      <c r="D116" s="68" t="inlineStr">
        <is>
          <t>Product-ideation framing only; not clinical dosing advice.</t>
        </is>
      </c>
      <c r="E116" s="68" t="str"/>
      <c r="F116" s="68" t="str"/>
      <c r="G116" s="68" t="inlineStr">
        <is>
          <t>Baseline</t>
        </is>
      </c>
      <c r="H116" s="68" t="inlineStr">
        <is>
          <t>No</t>
        </is>
      </c>
    </row>
    <row r="117">
      <c r="A117" s="68" t="inlineStr">
        <is>
          <t>Passionflower</t>
        </is>
      </c>
      <c r="B117" s="68" t="inlineStr">
        <is>
          <t>General</t>
        </is>
      </c>
      <c r="C117" s="68" t="inlineStr">
        <is>
          <t>Start low; usually evening or split use</t>
        </is>
      </c>
      <c r="D117" s="68" t="inlineStr">
        <is>
          <t>Prefer evening or split dosing; avoid stacking with other sedative-heavy products by default.</t>
        </is>
      </c>
      <c r="E117" s="68" t="inlineStr">
        <is>
          <t>sedation-cns</t>
        </is>
      </c>
      <c r="F117" s="68" t="str"/>
      <c r="G117" s="68" t="inlineStr">
        <is>
          <t>Baseline</t>
        </is>
      </c>
      <c r="H117" s="68" t="inlineStr">
        <is>
          <t>No</t>
        </is>
      </c>
    </row>
    <row r="118">
      <c r="A118" s="68" t="inlineStr">
        <is>
          <t>Yohimbe</t>
        </is>
      </c>
      <c r="B118" s="68" t="inlineStr">
        <is>
          <t>General</t>
        </is>
      </c>
      <c r="C118" s="68" t="inlineStr">
        <is>
          <t>Start with low single-herb exposure and increase only if tolerated</t>
        </is>
      </c>
      <c r="D118" s="68" t="inlineStr">
        <is>
          <t>Product-ideation framing only; not clinical dosing advice.</t>
        </is>
      </c>
      <c r="E118" s="68" t="str"/>
      <c r="F118" s="68" t="str"/>
      <c r="G118" s="68" t="inlineStr">
        <is>
          <t>Baseline</t>
        </is>
      </c>
      <c r="H118" s="68" t="inlineStr">
        <is>
          <t>Review</t>
        </is>
      </c>
    </row>
    <row r="119">
      <c r="A119" s="68" t="inlineStr">
        <is>
          <t>Skullcap</t>
        </is>
      </c>
      <c r="B119" s="68" t="inlineStr">
        <is>
          <t>General</t>
        </is>
      </c>
      <c r="C119" s="68" t="inlineStr">
        <is>
          <t>Start low; usually evening or split use</t>
        </is>
      </c>
      <c r="D119" s="68" t="inlineStr">
        <is>
          <t>Prefer evening or split dosing; avoid stacking with other sedative-heavy products by default.</t>
        </is>
      </c>
      <c r="E119" s="68" t="inlineStr">
        <is>
          <t>sedation-cns</t>
        </is>
      </c>
      <c r="F119" s="68" t="str"/>
      <c r="G119" s="68" t="inlineStr">
        <is>
          <t>Baseline</t>
        </is>
      </c>
      <c r="H119" s="68" t="inlineStr">
        <is>
          <t>No</t>
        </is>
      </c>
    </row>
    <row r="120">
      <c r="A120" s="68" t="inlineStr">
        <is>
          <t>Eleuthero</t>
        </is>
      </c>
      <c r="B120" s="68" t="inlineStr">
        <is>
          <t>General</t>
        </is>
      </c>
      <c r="C120" s="68" t="inlineStr">
        <is>
          <t>Start with low single-herb exposure and increase only if tolerated</t>
        </is>
      </c>
      <c r="D120" s="68" t="inlineStr">
        <is>
          <t>Product-ideation framing only; not clinical dosing advice.</t>
        </is>
      </c>
      <c r="E120" s="68" t="str"/>
      <c r="F120" s="68" t="str"/>
      <c r="G120" s="68" t="inlineStr">
        <is>
          <t>Baseline</t>
        </is>
      </c>
      <c r="H120" s="68" t="inlineStr">
        <is>
          <t>No</t>
        </is>
      </c>
    </row>
    <row r="121">
      <c r="A121" s="68" t="inlineStr">
        <is>
          <t>Gotu Kola</t>
        </is>
      </c>
      <c r="B121" s="68" t="inlineStr">
        <is>
          <t>General</t>
        </is>
      </c>
      <c r="C121" s="68" t="inlineStr">
        <is>
          <t>Start with low single-herb exposure and increase only if tolerated</t>
        </is>
      </c>
      <c r="D121" s="68" t="inlineStr">
        <is>
          <t>Product-ideation framing only; not clinical dosing advice.</t>
        </is>
      </c>
      <c r="E121" s="68" t="str"/>
      <c r="F121" s="68" t="str"/>
      <c r="G121" s="68" t="inlineStr">
        <is>
          <t>Baseline</t>
        </is>
      </c>
      <c r="H121" s="68" t="inlineStr">
        <is>
          <t>No</t>
        </is>
      </c>
    </row>
    <row r="122">
      <c r="A122" s="68" t="inlineStr">
        <is>
          <t>Schisandra</t>
        </is>
      </c>
      <c r="B122" s="68" t="inlineStr">
        <is>
          <t>General</t>
        </is>
      </c>
      <c r="C122" s="68" t="inlineStr">
        <is>
          <t>Start with low single-herb exposure and increase only if tolerated</t>
        </is>
      </c>
      <c r="D122" s="68" t="inlineStr">
        <is>
          <t>Product-ideation framing only; not clinical dosing advice.</t>
        </is>
      </c>
      <c r="E122" s="68" t="str"/>
      <c r="F122" s="68" t="str"/>
      <c r="G122" s="68" t="inlineStr">
        <is>
          <t>Baseline</t>
        </is>
      </c>
      <c r="H122" s="68" t="inlineStr">
        <is>
          <t>No</t>
        </is>
      </c>
    </row>
    <row r="123">
      <c r="A123" s="68" t="inlineStr">
        <is>
          <t>Reishi</t>
        </is>
      </c>
      <c r="B123" s="68" t="inlineStr">
        <is>
          <t>General</t>
        </is>
      </c>
      <c r="C123" s="68" t="inlineStr">
        <is>
          <t>Start with low single-herb exposure and increase only if tolerated</t>
        </is>
      </c>
      <c r="D123" s="68" t="inlineStr">
        <is>
          <t>Product-ideation framing only; not clinical dosing advice.</t>
        </is>
      </c>
      <c r="E123" s="68" t="str"/>
      <c r="F123" s="68" t="str"/>
      <c r="G123" s="68" t="inlineStr">
        <is>
          <t>Baseline</t>
        </is>
      </c>
      <c r="H123" s="68" t="inlineStr">
        <is>
          <t>No</t>
        </is>
      </c>
    </row>
    <row r="124">
      <c r="A124" s="68" t="inlineStr">
        <is>
          <t>Chaga</t>
        </is>
      </c>
      <c r="B124" s="68" t="inlineStr">
        <is>
          <t>General</t>
        </is>
      </c>
      <c r="C124" s="68" t="inlineStr">
        <is>
          <t>Start with low single-herb exposure and increase only if tolerated</t>
        </is>
      </c>
      <c r="D124" s="68" t="inlineStr">
        <is>
          <t>Product-ideation framing only; not clinical dosing advice.</t>
        </is>
      </c>
      <c r="E124" s="68" t="str"/>
      <c r="F124" s="68" t="str"/>
      <c r="G124" s="68" t="inlineStr">
        <is>
          <t>Baseline</t>
        </is>
      </c>
      <c r="H124" s="68" t="inlineStr">
        <is>
          <t>No</t>
        </is>
      </c>
    </row>
    <row r="125">
      <c r="A125" s="68" t="inlineStr">
        <is>
          <t>Turkey Tail</t>
        </is>
      </c>
      <c r="B125" s="68" t="inlineStr">
        <is>
          <t>General</t>
        </is>
      </c>
      <c r="C125" s="68" t="inlineStr">
        <is>
          <t>Start with low single-herb exposure and increase only if tolerated</t>
        </is>
      </c>
      <c r="D125" s="68" t="inlineStr">
        <is>
          <t>Product-ideation framing only; not clinical dosing advice.</t>
        </is>
      </c>
      <c r="E125" s="68" t="str"/>
      <c r="F125" s="68" t="str"/>
      <c r="G125" s="68" t="inlineStr">
        <is>
          <t>Baseline</t>
        </is>
      </c>
      <c r="H125" s="68" t="inlineStr">
        <is>
          <t>No</t>
        </is>
      </c>
    </row>
    <row r="126">
      <c r="A126" s="68" t="inlineStr">
        <is>
          <t>Boswellia</t>
        </is>
      </c>
      <c r="B126" s="68" t="inlineStr">
        <is>
          <t>General</t>
        </is>
      </c>
      <c r="C126" s="68" t="inlineStr">
        <is>
          <t>Start with low single-herb exposure and increase only if tolerated</t>
        </is>
      </c>
      <c r="D126" s="68" t="inlineStr">
        <is>
          <t>Product-ideation framing only; not clinical dosing advice.</t>
        </is>
      </c>
      <c r="E126" s="68" t="str"/>
      <c r="F126" s="68" t="str"/>
      <c r="G126" s="68" t="inlineStr">
        <is>
          <t>Baseline</t>
        </is>
      </c>
      <c r="H126" s="68" t="inlineStr">
        <is>
          <t>No</t>
        </is>
      </c>
    </row>
    <row r="127">
      <c r="A127" s="68" t="inlineStr">
        <is>
          <t>Hawthorn</t>
        </is>
      </c>
      <c r="B127" s="68" t="inlineStr">
        <is>
          <t>General</t>
        </is>
      </c>
      <c r="C127" s="68" t="inlineStr">
        <is>
          <t>Start low; usually daytime use</t>
        </is>
      </c>
      <c r="D127" s="68" t="inlineStr">
        <is>
          <t>Product-ideation framing only; not clinical dosing advice.</t>
        </is>
      </c>
      <c r="E127" s="68" t="inlineStr">
        <is>
          <t>blood-pressure</t>
        </is>
      </c>
      <c r="F127" s="68" t="str"/>
      <c r="G127" s="68" t="inlineStr">
        <is>
          <t>Baseline</t>
        </is>
      </c>
      <c r="H127" s="68" t="inlineStr">
        <is>
          <t>No</t>
        </is>
      </c>
    </row>
    <row r="128">
      <c r="A128" s="68" t="inlineStr">
        <is>
          <t>Astragalus</t>
        </is>
      </c>
      <c r="B128" s="68" t="inlineStr">
        <is>
          <t>General</t>
        </is>
      </c>
      <c r="C128" s="68" t="inlineStr">
        <is>
          <t>Start with low single-herb exposure and increase only if tolerated</t>
        </is>
      </c>
      <c r="D128" s="68" t="inlineStr">
        <is>
          <t>Product-ideation framing only; not clinical dosing advice.</t>
        </is>
      </c>
      <c r="E128" s="68" t="inlineStr">
        <is>
          <t>immune-caution</t>
        </is>
      </c>
      <c r="F128" s="68" t="str"/>
      <c r="G128" s="68" t="inlineStr">
        <is>
          <t>Baseline</t>
        </is>
      </c>
      <c r="H128" s="68" t="inlineStr">
        <is>
          <t>No</t>
        </is>
      </c>
    </row>
    <row r="129">
      <c r="A129" s="68" t="inlineStr">
        <is>
          <t>Nettle Root</t>
        </is>
      </c>
      <c r="B129" s="68" t="inlineStr">
        <is>
          <t>General</t>
        </is>
      </c>
      <c r="C129" s="68" t="inlineStr">
        <is>
          <t>Start with low single-herb exposure and increase only if tolerated</t>
        </is>
      </c>
      <c r="D129" s="68" t="inlineStr">
        <is>
          <t>Product-ideation framing only; not clinical dosing advice.</t>
        </is>
      </c>
      <c r="E129" s="68" t="str"/>
      <c r="F129" s="68" t="str"/>
      <c r="G129" s="68" t="inlineStr">
        <is>
          <t>Baseline</t>
        </is>
      </c>
      <c r="H129" s="68" t="inlineStr">
        <is>
          <t>No</t>
        </is>
      </c>
    </row>
    <row r="130">
      <c r="A130" s="68" t="inlineStr">
        <is>
          <t>Bacopa</t>
        </is>
      </c>
      <c r="B130" s="68" t="inlineStr">
        <is>
          <t>General</t>
        </is>
      </c>
      <c r="C130" s="68" t="inlineStr">
        <is>
          <t>Start with low single-herb exposure and increase only if tolerated</t>
        </is>
      </c>
      <c r="D130" s="68" t="inlineStr">
        <is>
          <t>Product-ideation framing only; not clinical dosing advice.</t>
        </is>
      </c>
      <c r="E130" s="68" t="str"/>
      <c r="F130" s="68" t="str"/>
      <c r="G130" s="68" t="inlineStr">
        <is>
          <t>Baseline</t>
        </is>
      </c>
      <c r="H130" s="68" t="inlineStr">
        <is>
          <t>No</t>
        </is>
      </c>
    </row>
    <row r="131">
      <c r="A131" s="68" t="inlineStr">
        <is>
          <t>Mucuna</t>
        </is>
      </c>
      <c r="B131" s="68" t="inlineStr">
        <is>
          <t>General</t>
        </is>
      </c>
      <c r="C131" s="68" t="inlineStr">
        <is>
          <t>Start low; usually daytime use</t>
        </is>
      </c>
      <c r="D131" s="68" t="inlineStr">
        <is>
          <t>Avoid aggressive stacking with other monoamine-active or stimulating products by default.</t>
        </is>
      </c>
      <c r="E131" s="68" t="inlineStr">
        <is>
          <t>blood-pressure; monoamine-neuro</t>
        </is>
      </c>
      <c r="F131" s="68" t="str"/>
      <c r="G131" s="68" t="inlineStr">
        <is>
          <t>Moderate</t>
        </is>
      </c>
      <c r="H131" s="68" t="inlineStr">
        <is>
          <t>No</t>
        </is>
      </c>
    </row>
    <row r="132">
      <c r="A132" s="68" t="inlineStr">
        <is>
          <t>Epimedium</t>
        </is>
      </c>
      <c r="B132" s="68" t="inlineStr">
        <is>
          <t>General</t>
        </is>
      </c>
      <c r="C132" s="68" t="inlineStr">
        <is>
          <t>Start low; usually daytime use</t>
        </is>
      </c>
      <c r="D132" s="68" t="inlineStr">
        <is>
          <t>Keep conservative around surgery, anticoagulants, or antiplatelet use.</t>
        </is>
      </c>
      <c r="E132" s="68" t="inlineStr">
        <is>
          <t>bleeding-risk; blood-pressure</t>
        </is>
      </c>
      <c r="F132" s="68" t="str"/>
      <c r="G132" s="68" t="inlineStr">
        <is>
          <t>Moderate</t>
        </is>
      </c>
      <c r="H132" s="68" t="inlineStr">
        <is>
          <t>No</t>
        </is>
      </c>
    </row>
    <row r="133">
      <c r="A133" s="68" t="inlineStr">
        <is>
          <t>Tongkat Ali</t>
        </is>
      </c>
      <c r="B133" s="68" t="inlineStr">
        <is>
          <t>General</t>
        </is>
      </c>
      <c r="C133" s="68" t="inlineStr">
        <is>
          <t>Start low; usually evening or split use</t>
        </is>
      </c>
      <c r="D133" s="68" t="inlineStr">
        <is>
          <t>Prefer evening or split dosing; avoid stacking with other sedative-heavy products by default.</t>
        </is>
      </c>
      <c r="E133" s="68" t="inlineStr">
        <is>
          <t>glucose-lowering; sedation-cns; thyroid-hormonal</t>
        </is>
      </c>
      <c r="F133" s="68" t="str"/>
      <c r="G133" s="68" t="inlineStr">
        <is>
          <t>Moderate</t>
        </is>
      </c>
      <c r="H133" s="68" t="inlineStr">
        <is>
          <t>No</t>
        </is>
      </c>
    </row>
    <row r="134">
      <c r="A134" s="68" t="inlineStr">
        <is>
          <t>Shatavari</t>
        </is>
      </c>
      <c r="B134" s="68" t="inlineStr">
        <is>
          <t>General</t>
        </is>
      </c>
      <c r="C134" s="68" t="inlineStr">
        <is>
          <t>Start with low single-herb exposure and increase only if tolerated</t>
        </is>
      </c>
      <c r="D134" s="68" t="inlineStr">
        <is>
          <t>Product-ideation framing only; not clinical dosing advice.</t>
        </is>
      </c>
      <c r="E134" s="68" t="inlineStr">
        <is>
          <t>glucose-lowering; thyroid-hormonal</t>
        </is>
      </c>
      <c r="F134" s="68" t="str"/>
      <c r="G134" s="68" t="inlineStr">
        <is>
          <t>Moderate</t>
        </is>
      </c>
      <c r="H134" s="68" t="inlineStr">
        <is>
          <t>No</t>
        </is>
      </c>
    </row>
    <row r="135">
      <c r="A135" s="68" t="inlineStr">
        <is>
          <t>Pueraria Mirifica</t>
        </is>
      </c>
      <c r="B135" s="68" t="inlineStr">
        <is>
          <t>General</t>
        </is>
      </c>
      <c r="C135" s="68" t="inlineStr">
        <is>
          <t>Start with low single-herb exposure and increase only if tolerated</t>
        </is>
      </c>
      <c r="D135" s="68" t="inlineStr">
        <is>
          <t>Product-ideation framing only; not clinical dosing advice.</t>
        </is>
      </c>
      <c r="E135" s="68" t="inlineStr">
        <is>
          <t>lactation; pregnancy; thyroid-hormonal</t>
        </is>
      </c>
      <c r="F135" s="68" t="inlineStr">
        <is>
          <t>breastfeeding; pregnancy</t>
        </is>
      </c>
      <c r="G135" s="68" t="inlineStr">
        <is>
          <t>Moderate</t>
        </is>
      </c>
      <c r="H135" s="68" t="inlineStr">
        <is>
          <t>No</t>
        </is>
      </c>
    </row>
    <row r="136">
      <c r="A136" s="68" t="inlineStr">
        <is>
          <t>Cacao</t>
        </is>
      </c>
      <c r="B136" s="68" t="inlineStr">
        <is>
          <t>General</t>
        </is>
      </c>
      <c r="C136" s="68" t="inlineStr">
        <is>
          <t>Start with low single-herb exposure and increase only if tolerated</t>
        </is>
      </c>
      <c r="D136" s="68" t="inlineStr">
        <is>
          <t>Product-ideation framing only; not clinical dosing advice.</t>
        </is>
      </c>
      <c r="E136" s="68" t="str"/>
      <c r="F136" s="68" t="str"/>
      <c r="G136" s="68" t="inlineStr">
        <is>
          <t>Moderate</t>
        </is>
      </c>
      <c r="H136" s="68" t="inlineStr">
        <is>
          <t>No</t>
        </is>
      </c>
    </row>
    <row r="137">
      <c r="A137" s="68" t="inlineStr">
        <is>
          <t>Rooibos</t>
        </is>
      </c>
      <c r="B137" s="68" t="inlineStr">
        <is>
          <t>General</t>
        </is>
      </c>
      <c r="C137" s="68" t="inlineStr">
        <is>
          <t>Start with low single-herb exposure and increase only if tolerated</t>
        </is>
      </c>
      <c r="D137" s="68" t="inlineStr">
        <is>
          <t>Product-ideation framing only; not clinical dosing advice.</t>
        </is>
      </c>
      <c r="E137" s="68" t="str"/>
      <c r="F137" s="68" t="str"/>
      <c r="G137" s="68" t="inlineStr">
        <is>
          <t>Moderate</t>
        </is>
      </c>
      <c r="H137" s="68" t="inlineStr">
        <is>
          <t>No</t>
        </is>
      </c>
    </row>
    <row r="138">
      <c r="A138" s="68" t="inlineStr">
        <is>
          <t>Cat's Claw</t>
        </is>
      </c>
      <c r="B138" s="68" t="inlineStr">
        <is>
          <t>General</t>
        </is>
      </c>
      <c r="C138" s="68" t="inlineStr">
        <is>
          <t>Start low; usually daytime use</t>
        </is>
      </c>
      <c r="D138" s="68" t="inlineStr">
        <is>
          <t>Keep conservative around surgery, anticoagulants, or antiplatelet use.</t>
        </is>
      </c>
      <c r="E138" s="68" t="inlineStr">
        <is>
          <t>bleeding-risk; blood-pressure; immune-caution; lactation; pregnancy</t>
        </is>
      </c>
      <c r="F138" s="68" t="inlineStr">
        <is>
          <t>breastfeeding; pregnancy</t>
        </is>
      </c>
      <c r="G138" s="68" t="inlineStr">
        <is>
          <t>Moderate</t>
        </is>
      </c>
      <c r="H138" s="68" t="inlineStr">
        <is>
          <t>No</t>
        </is>
      </c>
    </row>
    <row r="139">
      <c r="A139" s="68" t="inlineStr">
        <is>
          <t>Lavender</t>
        </is>
      </c>
      <c r="B139" s="68" t="inlineStr">
        <is>
          <t>General</t>
        </is>
      </c>
      <c r="C139" s="68" t="inlineStr">
        <is>
          <t>Start low; usually evening or split use</t>
        </is>
      </c>
      <c r="D139" s="68" t="inlineStr">
        <is>
          <t>Prefer evening or split dosing; avoid stacking with other sedative-heavy products by default.</t>
        </is>
      </c>
      <c r="E139" s="68" t="inlineStr">
        <is>
          <t>sedation-cns</t>
        </is>
      </c>
      <c r="F139" s="68" t="str"/>
      <c r="G139" s="68" t="inlineStr">
        <is>
          <t>Moderate</t>
        </is>
      </c>
      <c r="H139" s="68" t="inlineStr">
        <is>
          <t>No</t>
        </is>
      </c>
    </row>
    <row r="140">
      <c r="A140" s="68" t="inlineStr">
        <is>
          <t>Berberis</t>
        </is>
      </c>
      <c r="B140" s="68" t="inlineStr">
        <is>
          <t>General</t>
        </is>
      </c>
      <c r="C140" s="68" t="inlineStr">
        <is>
          <t>Start with low single-herb exposure and increase only if tolerated</t>
        </is>
      </c>
      <c r="D140" s="68" t="inlineStr">
        <is>
          <t>Keep conservative around surgery, anticoagulants, or antiplatelet use.</t>
        </is>
      </c>
      <c r="E140" s="68" t="inlineStr">
        <is>
          <t>bleeding-risk; glucose-lowering; lactation; pregnancy</t>
        </is>
      </c>
      <c r="F140" s="68" t="inlineStr">
        <is>
          <t>breastfeeding; pregnancy</t>
        </is>
      </c>
      <c r="G140" s="68" t="inlineStr">
        <is>
          <t>Moderate</t>
        </is>
      </c>
      <c r="H140" s="68" t="inlineStr">
        <is>
          <t>No</t>
        </is>
      </c>
    </row>
    <row r="141">
      <c r="A141" s="68" t="inlineStr">
        <is>
          <t>Bitter Melon</t>
        </is>
      </c>
      <c r="B141" s="68" t="inlineStr">
        <is>
          <t>General</t>
        </is>
      </c>
      <c r="C141" s="68" t="inlineStr">
        <is>
          <t>Start with low single-herb exposure and increase only if tolerated</t>
        </is>
      </c>
      <c r="D141" s="68" t="inlineStr">
        <is>
          <t>Product-ideation framing only; not clinical dosing advice.</t>
        </is>
      </c>
      <c r="E141" s="68" t="inlineStr">
        <is>
          <t>glucose-lowering; pregnancy</t>
        </is>
      </c>
      <c r="F141" s="68" t="inlineStr">
        <is>
          <t>pregnancy</t>
        </is>
      </c>
      <c r="G141" s="68" t="inlineStr">
        <is>
          <t>Moderate</t>
        </is>
      </c>
      <c r="H141" s="68" t="inlineStr">
        <is>
          <t>No</t>
        </is>
      </c>
    </row>
    <row r="142">
      <c r="A142" s="68" t="inlineStr">
        <is>
          <t>Coleus Forskohlii</t>
        </is>
      </c>
      <c r="B142" s="68" t="inlineStr">
        <is>
          <t>General</t>
        </is>
      </c>
      <c r="C142" s="68" t="inlineStr">
        <is>
          <t>Start low; usually daytime use</t>
        </is>
      </c>
      <c r="D142" s="68" t="inlineStr">
        <is>
          <t>Keep conservative around surgery, anticoagulants, or antiplatelet use.</t>
        </is>
      </c>
      <c r="E142" s="68" t="inlineStr">
        <is>
          <t>bleeding-risk; blood-pressure</t>
        </is>
      </c>
      <c r="F142" s="68" t="str"/>
      <c r="G142" s="68" t="inlineStr">
        <is>
          <t>Moderate</t>
        </is>
      </c>
      <c r="H142" s="68" t="inlineStr">
        <is>
          <t>No</t>
        </is>
      </c>
    </row>
    <row r="143">
      <c r="A143" s="68" t="inlineStr">
        <is>
          <t>Aloe Vera</t>
        </is>
      </c>
      <c r="B143" s="68" t="inlineStr">
        <is>
          <t>General</t>
        </is>
      </c>
      <c r="C143" s="68" t="inlineStr">
        <is>
          <t>Start with low single-herb exposure and increase only if tolerated</t>
        </is>
      </c>
      <c r="D143" s="68" t="inlineStr">
        <is>
          <t>Product-ideation framing only; not clinical dosing advice.</t>
        </is>
      </c>
      <c r="E143" s="68" t="inlineStr">
        <is>
          <t>glucose-lowering; pregnancy</t>
        </is>
      </c>
      <c r="F143" s="68" t="inlineStr">
        <is>
          <t>pregnancy</t>
        </is>
      </c>
      <c r="G143" s="68" t="inlineStr">
        <is>
          <t>Baseline</t>
        </is>
      </c>
      <c r="H143" s="68" t="inlineStr">
        <is>
          <t>No</t>
        </is>
      </c>
    </row>
    <row r="144">
      <c r="A144" s="68" t="inlineStr">
        <is>
          <t>American Ginseng</t>
        </is>
      </c>
      <c r="B144" s="68" t="inlineStr">
        <is>
          <t>General</t>
        </is>
      </c>
      <c r="C144" s="68" t="inlineStr">
        <is>
          <t>Start low; usually evening or split use</t>
        </is>
      </c>
      <c r="D144" s="68" t="inlineStr">
        <is>
          <t>Prefer evening or split dosing; avoid stacking with other sedative-heavy products by default.</t>
        </is>
      </c>
      <c r="E144" s="68" t="inlineStr">
        <is>
          <t>sedation-cns</t>
        </is>
      </c>
      <c r="F144" s="68" t="str"/>
      <c r="G144" s="68" t="inlineStr">
        <is>
          <t>Baseline</t>
        </is>
      </c>
      <c r="H144" s="68" t="inlineStr">
        <is>
          <t>No</t>
        </is>
      </c>
    </row>
    <row r="145">
      <c r="A145" s="68" t="inlineStr">
        <is>
          <t>Artemisia Annua</t>
        </is>
      </c>
      <c r="B145" s="68" t="inlineStr">
        <is>
          <t>General</t>
        </is>
      </c>
      <c r="C145" s="68" t="inlineStr">
        <is>
          <t>Start with low single-herb exposure and increase only if tolerated</t>
        </is>
      </c>
      <c r="D145" s="68" t="inlineStr">
        <is>
          <t>Prefer conservative use and avoid default inclusion in liver-sensitive audiences.</t>
        </is>
      </c>
      <c r="E145" s="68" t="inlineStr">
        <is>
          <t>hepatic-caution; immune-caution; pregnancy</t>
        </is>
      </c>
      <c r="F145" s="68" t="inlineStr">
        <is>
          <t>pregnancy</t>
        </is>
      </c>
      <c r="G145" s="68" t="inlineStr">
        <is>
          <t>Moderate</t>
        </is>
      </c>
      <c r="H145" s="68" t="inlineStr">
        <is>
          <t>No</t>
        </is>
      </c>
    </row>
    <row r="146">
      <c r="A146" s="68" t="inlineStr">
        <is>
          <t>Celastrus Paniculatus</t>
        </is>
      </c>
      <c r="B146" s="68" t="inlineStr">
        <is>
          <t>General</t>
        </is>
      </c>
      <c r="C146" s="68" t="inlineStr">
        <is>
          <t>Start with low single-herb exposure and increase only if tolerated</t>
        </is>
      </c>
      <c r="D146" s="68" t="inlineStr">
        <is>
          <t>Product-ideation framing only; not clinical dosing advice.</t>
        </is>
      </c>
      <c r="E146" s="68" t="str"/>
      <c r="F146" s="68" t="str"/>
      <c r="G146" s="68" t="inlineStr">
        <is>
          <t>Baseline</t>
        </is>
      </c>
      <c r="H146" s="68" t="inlineStr">
        <is>
          <t>No</t>
        </is>
      </c>
    </row>
    <row r="147">
      <c r="A147" s="68" t="inlineStr">
        <is>
          <t>Calamus</t>
        </is>
      </c>
      <c r="B147" s="68" t="inlineStr">
        <is>
          <t>General</t>
        </is>
      </c>
      <c r="C147" s="68" t="inlineStr">
        <is>
          <t>Start low; usually evening or split use</t>
        </is>
      </c>
      <c r="D147" s="68" t="inlineStr">
        <is>
          <t>Prefer evening or split dosing; avoid stacking with other sedative-heavy products by default.</t>
        </is>
      </c>
      <c r="E147" s="68" t="inlineStr">
        <is>
          <t>sedation-cns</t>
        </is>
      </c>
      <c r="F147" s="68" t="str"/>
      <c r="G147" s="68" t="inlineStr">
        <is>
          <t>Baseline</t>
        </is>
      </c>
      <c r="H147" s="68" t="inlineStr">
        <is>
          <t>No</t>
        </is>
      </c>
    </row>
    <row r="148">
      <c r="A148" s="68" t="inlineStr">
        <is>
          <t>Cayenne</t>
        </is>
      </c>
      <c r="B148" s="68" t="inlineStr">
        <is>
          <t>General</t>
        </is>
      </c>
      <c r="C148" s="68" t="inlineStr">
        <is>
          <t>Start with low single-herb exposure and increase only if tolerated</t>
        </is>
      </c>
      <c r="D148" s="68" t="inlineStr">
        <is>
          <t>Product-ideation framing only; not clinical dosing advice.</t>
        </is>
      </c>
      <c r="E148" s="68" t="str"/>
      <c r="F148" s="68" t="str"/>
      <c r="G148" s="68" t="inlineStr">
        <is>
          <t>Baseline</t>
        </is>
      </c>
      <c r="H148" s="68" t="inlineStr">
        <is>
          <t>No</t>
        </is>
      </c>
    </row>
    <row r="149">
      <c r="A149" s="68" t="inlineStr">
        <is>
          <t>Corydalis</t>
        </is>
      </c>
      <c r="B149" s="68" t="inlineStr">
        <is>
          <t>Focus</t>
        </is>
      </c>
      <c r="C149" s="68" t="inlineStr">
        <is>
          <t>Start low; usually daytime use</t>
        </is>
      </c>
      <c r="D149" s="68" t="inlineStr">
        <is>
          <t>Product-ideation framing only; not clinical dosing advice.</t>
        </is>
      </c>
      <c r="E149" s="68" t="str"/>
      <c r="F149" s="68" t="str"/>
      <c r="G149" s="68" t="inlineStr">
        <is>
          <t>Baseline</t>
        </is>
      </c>
      <c r="H149" s="68" t="inlineStr">
        <is>
          <t>No</t>
        </is>
      </c>
    </row>
    <row r="150">
      <c r="A150" s="68" t="inlineStr">
        <is>
          <t>Chinese Skullcap</t>
        </is>
      </c>
      <c r="B150" s="68" t="inlineStr">
        <is>
          <t>General</t>
        </is>
      </c>
      <c r="C150" s="68" t="inlineStr">
        <is>
          <t>Start low; usually evening or split use</t>
        </is>
      </c>
      <c r="D150" s="68" t="inlineStr">
        <is>
          <t>Prefer evening or split dosing; avoid stacking with other sedative-heavy products by default.</t>
        </is>
      </c>
      <c r="E150" s="68" t="inlineStr">
        <is>
          <t>sedation-cns</t>
        </is>
      </c>
      <c r="F150" s="68" t="str"/>
      <c r="G150" s="68" t="inlineStr">
        <is>
          <t>Baseline</t>
        </is>
      </c>
      <c r="H150" s="68" t="inlineStr">
        <is>
          <t>No</t>
        </is>
      </c>
    </row>
    <row r="151">
      <c r="A151" s="68" t="inlineStr">
        <is>
          <t>Phellodendron</t>
        </is>
      </c>
      <c r="B151" s="68" t="inlineStr">
        <is>
          <t>General</t>
        </is>
      </c>
      <c r="C151" s="68" t="inlineStr">
        <is>
          <t>Start with low single-herb exposure and increase only if tolerated</t>
        </is>
      </c>
      <c r="D151" s="68" t="inlineStr">
        <is>
          <t>Product-ideation framing only; not clinical dosing advice.</t>
        </is>
      </c>
      <c r="E151" s="68" t="str"/>
      <c r="F151" s="68" t="str"/>
      <c r="G151" s="68" t="inlineStr">
        <is>
          <t>Baseline</t>
        </is>
      </c>
      <c r="H151" s="68" t="inlineStr">
        <is>
          <t>No</t>
        </is>
      </c>
    </row>
    <row r="152">
      <c r="A152" s="68" t="inlineStr">
        <is>
          <t>Coptis</t>
        </is>
      </c>
      <c r="B152" s="68" t="inlineStr">
        <is>
          <t>General</t>
        </is>
      </c>
      <c r="C152" s="68" t="inlineStr">
        <is>
          <t>Start with low single-herb exposure and increase only if tolerated</t>
        </is>
      </c>
      <c r="D152" s="68" t="inlineStr">
        <is>
          <t>Product-ideation framing only; not clinical dosing advice.</t>
        </is>
      </c>
      <c r="E152" s="68" t="str"/>
      <c r="F152" s="68" t="str"/>
      <c r="G152" s="68" t="inlineStr">
        <is>
          <t>Baseline</t>
        </is>
      </c>
      <c r="H152" s="68" t="inlineStr">
        <is>
          <t>No</t>
        </is>
      </c>
    </row>
    <row r="153">
      <c r="A153" s="68" t="inlineStr">
        <is>
          <t>Saffron</t>
        </is>
      </c>
      <c r="B153" s="68" t="inlineStr">
        <is>
          <t>General</t>
        </is>
      </c>
      <c r="C153" s="68" t="inlineStr">
        <is>
          <t>Start with low single-herb exposure and increase only if tolerated</t>
        </is>
      </c>
      <c r="D153" s="68" t="inlineStr">
        <is>
          <t>Product-ideation framing only; not clinical dosing advice.</t>
        </is>
      </c>
      <c r="E153" s="68" t="str"/>
      <c r="F153" s="68" t="str"/>
      <c r="G153" s="68" t="inlineStr">
        <is>
          <t>Baseline</t>
        </is>
      </c>
      <c r="H153" s="68" t="inlineStr">
        <is>
          <t>No</t>
        </is>
      </c>
    </row>
    <row r="154">
      <c r="A154" s="68" t="inlineStr">
        <is>
          <t>Papaya Leaf</t>
        </is>
      </c>
      <c r="B154" s="68" t="inlineStr">
        <is>
          <t>General</t>
        </is>
      </c>
      <c r="C154" s="68" t="inlineStr">
        <is>
          <t>Start with low single-herb exposure and increase only if tolerated</t>
        </is>
      </c>
      <c r="D154" s="68" t="inlineStr">
        <is>
          <t>Product-ideation framing only; not clinical dosing advice.</t>
        </is>
      </c>
      <c r="E154" s="68" t="str"/>
      <c r="F154" s="68" t="str"/>
      <c r="G154" s="68" t="inlineStr">
        <is>
          <t>Baseline</t>
        </is>
      </c>
      <c r="H154" s="68" t="inlineStr">
        <is>
          <t>No</t>
        </is>
      </c>
    </row>
    <row r="155">
      <c r="A155" s="68" t="inlineStr">
        <is>
          <t>Kanna</t>
        </is>
      </c>
      <c r="B155" s="68" t="inlineStr">
        <is>
          <t>General</t>
        </is>
      </c>
      <c r="C155" s="68" t="inlineStr">
        <is>
          <t>Start with low single-herb exposure and increase only if tolerated</t>
        </is>
      </c>
      <c r="D155" s="68" t="inlineStr">
        <is>
          <t>Product-ideation framing only; not clinical dosing advice.</t>
        </is>
      </c>
      <c r="E155" s="68" t="str"/>
      <c r="F155" s="68" t="str"/>
      <c r="G155" s="68" t="inlineStr">
        <is>
          <t>Baseline</t>
        </is>
      </c>
      <c r="H155" s="68" t="inlineStr">
        <is>
          <t>No</t>
        </is>
      </c>
    </row>
    <row r="156">
      <c r="A156" s="68" t="inlineStr">
        <is>
          <t>Green Tea</t>
        </is>
      </c>
      <c r="B156" s="68" t="inlineStr">
        <is>
          <t>Metabolic Support</t>
        </is>
      </c>
      <c r="C156" s="68" t="inlineStr">
        <is>
          <t>Start low; usually evening or split use</t>
        </is>
      </c>
      <c r="D156" s="68" t="inlineStr">
        <is>
          <t>Product-ideation framing only; not clinical dosing advice.</t>
        </is>
      </c>
      <c r="E156" s="68" t="str"/>
      <c r="F156" s="68" t="str"/>
      <c r="G156" s="68" t="inlineStr">
        <is>
          <t>Baseline</t>
        </is>
      </c>
      <c r="H156" s="68" t="inlineStr">
        <is>
          <t>No</t>
        </is>
      </c>
    </row>
    <row r="157">
      <c r="A157" s="68" t="inlineStr">
        <is>
          <t>Goldenseal</t>
        </is>
      </c>
      <c r="B157" s="68" t="inlineStr">
        <is>
          <t>General</t>
        </is>
      </c>
      <c r="C157" s="68" t="inlineStr">
        <is>
          <t>Start with low single-herb exposure and increase only if tolerated</t>
        </is>
      </c>
      <c r="D157" s="68" t="inlineStr">
        <is>
          <t>Product-ideation framing only; not clinical dosing advice.</t>
        </is>
      </c>
      <c r="E157" s="68" t="str"/>
      <c r="F157" s="68" t="str"/>
      <c r="G157" s="68" t="inlineStr">
        <is>
          <t>Baseline</t>
        </is>
      </c>
      <c r="H157" s="68" t="inlineStr">
        <is>
          <t>No</t>
        </is>
      </c>
    </row>
    <row r="158">
      <c r="A158" s="68" t="inlineStr">
        <is>
          <t>Salacia</t>
        </is>
      </c>
      <c r="B158" s="68" t="inlineStr">
        <is>
          <t>General</t>
        </is>
      </c>
      <c r="C158" s="68" t="inlineStr">
        <is>
          <t>Start with low single-herb exposure and increase only if tolerated</t>
        </is>
      </c>
      <c r="D158" s="68" t="inlineStr">
        <is>
          <t>Product-ideation framing only; not clinical dosing advice.</t>
        </is>
      </c>
      <c r="E158" s="68" t="str"/>
      <c r="F158" s="68" t="str"/>
      <c r="G158" s="68" t="inlineStr">
        <is>
          <t>Baseline</t>
        </is>
      </c>
      <c r="H158" s="68" t="inlineStr">
        <is>
          <t>No</t>
        </is>
      </c>
    </row>
    <row r="159">
      <c r="A159" s="68" t="inlineStr">
        <is>
          <t>Chuanxiong</t>
        </is>
      </c>
      <c r="B159" s="68" t="inlineStr">
        <is>
          <t>General</t>
        </is>
      </c>
      <c r="C159" s="68" t="inlineStr">
        <is>
          <t>Start low; usually daytime use</t>
        </is>
      </c>
      <c r="D159" s="68" t="inlineStr">
        <is>
          <t>Keep conservative around surgery, anticoagulants, or antiplatelet use.</t>
        </is>
      </c>
      <c r="E159" s="68" t="inlineStr">
        <is>
          <t>bleeding-risk; blood-pressure; pregnancy</t>
        </is>
      </c>
      <c r="F159" s="68" t="inlineStr">
        <is>
          <t>pregnancy</t>
        </is>
      </c>
      <c r="G159" s="68" t="inlineStr">
        <is>
          <t>Moderate</t>
        </is>
      </c>
      <c r="H159" s="68" t="inlineStr">
        <is>
          <t>No</t>
        </is>
      </c>
    </row>
    <row r="160">
      <c r="A160" s="68" t="inlineStr">
        <is>
          <t>Fingerroot</t>
        </is>
      </c>
      <c r="B160" s="68" t="inlineStr">
        <is>
          <t>General</t>
        </is>
      </c>
      <c r="C160" s="68" t="inlineStr">
        <is>
          <t>Start with low single-herb exposure and increase only if tolerated</t>
        </is>
      </c>
      <c r="D160" s="68" t="inlineStr">
        <is>
          <t>Product-ideation framing only; not clinical dosing advice.</t>
        </is>
      </c>
      <c r="E160" s="68" t="str"/>
      <c r="F160" s="68" t="str"/>
      <c r="G160" s="68" t="inlineStr">
        <is>
          <t>Baseline</t>
        </is>
      </c>
      <c r="H160" s="68" t="inlineStr">
        <is>
          <t>No</t>
        </is>
      </c>
    </row>
    <row r="161">
      <c r="A161" s="68" t="inlineStr">
        <is>
          <t>Wormwood</t>
        </is>
      </c>
      <c r="B161" s="68" t="inlineStr">
        <is>
          <t>General</t>
        </is>
      </c>
      <c r="C161" s="68" t="inlineStr">
        <is>
          <t>Start low; usually evening or split use</t>
        </is>
      </c>
      <c r="D161" s="68" t="inlineStr">
        <is>
          <t>Prefer evening or split dosing; avoid stacking with other sedative-heavy products by default.</t>
        </is>
      </c>
      <c r="E161" s="68" t="inlineStr">
        <is>
          <t>sedation-cns</t>
        </is>
      </c>
      <c r="F161" s="68" t="str"/>
      <c r="G161" s="68" t="inlineStr">
        <is>
          <t>Baseline</t>
        </is>
      </c>
      <c r="H161" s="68" t="inlineStr">
        <is>
          <t>No</t>
        </is>
      </c>
    </row>
    <row r="162">
      <c r="A162" s="68" t="inlineStr">
        <is>
          <t>Horse Chestnut</t>
        </is>
      </c>
      <c r="B162" s="68" t="inlineStr">
        <is>
          <t>General</t>
        </is>
      </c>
      <c r="C162" s="68" t="inlineStr">
        <is>
          <t>Start low; usually daytime use</t>
        </is>
      </c>
      <c r="D162" s="68" t="inlineStr">
        <is>
          <t>Keep conservative around surgery, anticoagulants, or antiplatelet use.</t>
        </is>
      </c>
      <c r="E162" s="68" t="inlineStr">
        <is>
          <t>bleeding-risk; blood-pressure</t>
        </is>
      </c>
      <c r="F162" s="68" t="str"/>
      <c r="G162" s="68" t="inlineStr">
        <is>
          <t>Baseline</t>
        </is>
      </c>
      <c r="H162" s="68" t="inlineStr">
        <is>
          <t>No</t>
        </is>
      </c>
    </row>
    <row r="163">
      <c r="A163" s="68" t="inlineStr">
        <is>
          <t>Bael</t>
        </is>
      </c>
      <c r="B163" s="68" t="inlineStr">
        <is>
          <t>General</t>
        </is>
      </c>
      <c r="C163" s="68" t="inlineStr">
        <is>
          <t>Start with low single-herb exposure and increase only if tolerated</t>
        </is>
      </c>
      <c r="D163" s="68" t="inlineStr">
        <is>
          <t>Product-ideation framing only; not clinical dosing advice.</t>
        </is>
      </c>
      <c r="E163" s="68" t="str"/>
      <c r="F163" s="68" t="str"/>
      <c r="G163" s="68" t="inlineStr">
        <is>
          <t>Baseline</t>
        </is>
      </c>
      <c r="H163" s="68" t="inlineStr">
        <is>
          <t>No</t>
        </is>
      </c>
    </row>
    <row r="164">
      <c r="A164" s="68" t="inlineStr">
        <is>
          <t>Guayusa</t>
        </is>
      </c>
      <c r="B164" s="68" t="inlineStr">
        <is>
          <t>General</t>
        </is>
      </c>
      <c r="C164" s="68" t="inlineStr">
        <is>
          <t>Start with low single-herb exposure and increase only if tolerated</t>
        </is>
      </c>
      <c r="D164" s="68" t="inlineStr">
        <is>
          <t>Product-ideation framing only; not clinical dosing advice.</t>
        </is>
      </c>
      <c r="E164" s="68" t="str"/>
      <c r="F164" s="68" t="str"/>
      <c r="G164" s="68" t="inlineStr">
        <is>
          <t>Baseline</t>
        </is>
      </c>
      <c r="H164" s="68" t="inlineStr">
        <is>
          <t>No</t>
        </is>
      </c>
    </row>
    <row r="165">
      <c r="A165" s="68" t="inlineStr">
        <is>
          <t>Honeysuckle</t>
        </is>
      </c>
      <c r="B165" s="68" t="inlineStr">
        <is>
          <t>General</t>
        </is>
      </c>
      <c r="C165" s="68" t="inlineStr">
        <is>
          <t>Start with low single-herb exposure and increase only if tolerated</t>
        </is>
      </c>
      <c r="D165" s="68" t="inlineStr">
        <is>
          <t>Product-ideation framing only; not clinical dosing advice.</t>
        </is>
      </c>
      <c r="E165" s="68" t="str"/>
      <c r="F165" s="68" t="str"/>
      <c r="G165" s="68" t="inlineStr">
        <is>
          <t>Baseline</t>
        </is>
      </c>
      <c r="H165" s="68" t="inlineStr">
        <is>
          <t>No</t>
        </is>
      </c>
    </row>
    <row r="166">
      <c r="A166" s="68" t="inlineStr">
        <is>
          <t>Cassia Alata</t>
        </is>
      </c>
      <c r="B166" s="68" t="inlineStr">
        <is>
          <t>General</t>
        </is>
      </c>
      <c r="C166" s="68" t="inlineStr">
        <is>
          <t>Start with low single-herb exposure and increase only if tolerated</t>
        </is>
      </c>
      <c r="D166" s="68" t="inlineStr">
        <is>
          <t>Product-ideation framing only; not clinical dosing advice.</t>
        </is>
      </c>
      <c r="E166" s="68" t="str"/>
      <c r="F166" s="68" t="str"/>
      <c r="G166" s="68" t="inlineStr">
        <is>
          <t>Baseline</t>
        </is>
      </c>
      <c r="H166" s="68" t="inlineStr">
        <is>
          <t>No</t>
        </is>
      </c>
    </row>
    <row r="167">
      <c r="A167" s="68" t="inlineStr">
        <is>
          <t>American Yellow Lotus</t>
        </is>
      </c>
      <c r="B167" s="68" t="inlineStr">
        <is>
          <t>General</t>
        </is>
      </c>
      <c r="C167" s="68" t="inlineStr">
        <is>
          <t>Start with low single-herb exposure and increase only if tolerated</t>
        </is>
      </c>
      <c r="D167" s="68" t="inlineStr">
        <is>
          <t>Product-ideation framing only; not clinical dosing advice.</t>
        </is>
      </c>
      <c r="E167" s="68" t="str"/>
      <c r="F167" s="68" t="str"/>
      <c r="G167" s="68" t="inlineStr">
        <is>
          <t>Baseline</t>
        </is>
      </c>
      <c r="H167" s="68" t="inlineStr">
        <is>
          <t>No</t>
        </is>
      </c>
    </row>
    <row r="168">
      <c r="A168" s="68" t="inlineStr">
        <is>
          <t>Anise Hyssop</t>
        </is>
      </c>
      <c r="B168" s="68" t="inlineStr">
        <is>
          <t>General</t>
        </is>
      </c>
      <c r="C168" s="68" t="inlineStr">
        <is>
          <t>Start with low single-herb exposure and increase only if tolerated</t>
        </is>
      </c>
      <c r="D168" s="68" t="inlineStr">
        <is>
          <t>Product-ideation framing only; not clinical dosing advice.</t>
        </is>
      </c>
      <c r="E168" s="68" t="str"/>
      <c r="F168" s="68" t="str"/>
      <c r="G168" s="68" t="inlineStr">
        <is>
          <t>Baseline</t>
        </is>
      </c>
      <c r="H168" s="68" t="inlineStr">
        <is>
          <t>No</t>
        </is>
      </c>
    </row>
    <row r="169">
      <c r="A169" s="68" t="inlineStr">
        <is>
          <t>Marshmallow</t>
        </is>
      </c>
      <c r="B169" s="68" t="inlineStr">
        <is>
          <t>General</t>
        </is>
      </c>
      <c r="C169" s="68" t="inlineStr">
        <is>
          <t>Start with low single-herb exposure and increase only if tolerated</t>
        </is>
      </c>
      <c r="D169" s="68" t="inlineStr">
        <is>
          <t>Product-ideation framing only; not clinical dosing advice.</t>
        </is>
      </c>
      <c r="E169" s="68" t="str"/>
      <c r="F169" s="68" t="str"/>
      <c r="G169" s="68" t="inlineStr">
        <is>
          <t>Baseline</t>
        </is>
      </c>
      <c r="H169" s="68" t="inlineStr">
        <is>
          <t>No</t>
        </is>
      </c>
    </row>
    <row r="170">
      <c r="A170" s="68" t="inlineStr">
        <is>
          <t>Licorice</t>
        </is>
      </c>
      <c r="B170" s="68" t="inlineStr">
        <is>
          <t>General</t>
        </is>
      </c>
      <c r="C170" s="68" t="inlineStr">
        <is>
          <t>Start with low single-herb exposure and increase only if tolerated</t>
        </is>
      </c>
      <c r="D170" s="68" t="inlineStr">
        <is>
          <t>Product-ideation framing only; not clinical dosing advice.</t>
        </is>
      </c>
      <c r="E170" s="68" t="str"/>
      <c r="F170" s="68" t="str"/>
      <c r="G170" s="68" t="inlineStr">
        <is>
          <t>Baseline</t>
        </is>
      </c>
      <c r="H170" s="68" t="inlineStr">
        <is>
          <t>No</t>
        </is>
      </c>
    </row>
    <row r="171">
      <c r="A171" s="68" t="inlineStr">
        <is>
          <t>Elderberry</t>
        </is>
      </c>
      <c r="B171" s="68" t="inlineStr">
        <is>
          <t>General</t>
        </is>
      </c>
      <c r="C171" s="68" t="inlineStr">
        <is>
          <t>Start with low single-herb exposure and increase only if tolerated</t>
        </is>
      </c>
      <c r="D171" s="68" t="inlineStr">
        <is>
          <t>Product-ideation framing only; not clinical dosing advice.</t>
        </is>
      </c>
      <c r="E171" s="68" t="inlineStr">
        <is>
          <t>immune-caution</t>
        </is>
      </c>
      <c r="F171" s="68" t="str"/>
      <c r="G171" s="68" t="inlineStr">
        <is>
          <t>Baseline</t>
        </is>
      </c>
      <c r="H171" s="68" t="inlineStr">
        <is>
          <t>No</t>
        </is>
      </c>
    </row>
    <row r="172">
      <c r="A172" s="68" t="inlineStr">
        <is>
          <t>Punarnava</t>
        </is>
      </c>
      <c r="B172" s="68" t="inlineStr">
        <is>
          <t>General</t>
        </is>
      </c>
      <c r="C172" s="68" t="inlineStr">
        <is>
          <t>Start low; usually daytime use</t>
        </is>
      </c>
      <c r="D172" s="68" t="inlineStr">
        <is>
          <t>Product-ideation framing only; not clinical dosing advice.</t>
        </is>
      </c>
      <c r="E172" s="68" t="inlineStr">
        <is>
          <t>blood-pressure</t>
        </is>
      </c>
      <c r="F172" s="68" t="str"/>
      <c r="G172" s="68" t="inlineStr">
        <is>
          <t>Baseline</t>
        </is>
      </c>
      <c r="H172" s="68" t="inlineStr">
        <is>
          <t>No</t>
        </is>
      </c>
    </row>
    <row r="173">
      <c r="A173" s="68" t="inlineStr">
        <is>
          <t>Coffee Cherry</t>
        </is>
      </c>
      <c r="B173" s="68" t="inlineStr">
        <is>
          <t>General</t>
        </is>
      </c>
      <c r="C173" s="68" t="inlineStr">
        <is>
          <t>Start with low single-herb exposure and increase only if tolerated</t>
        </is>
      </c>
      <c r="D173" s="68" t="inlineStr">
        <is>
          <t>Product-ideation framing only; not clinical dosing advice.</t>
        </is>
      </c>
      <c r="E173" s="68" t="str"/>
      <c r="F173" s="68" t="str"/>
      <c r="G173" s="68" t="inlineStr">
        <is>
          <t>Baseline</t>
        </is>
      </c>
      <c r="H173" s="68" t="inlineStr">
        <is>
          <t>No</t>
        </is>
      </c>
    </row>
  </sheetData>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S29"/>
  <sheetViews>
    <sheetView workbookViewId="0">
      <selection activeCell="A1" sqref="A1"/>
    </sheetView>
  </sheetViews>
  <sheetFormatPr baseColWidth="8" defaultRowHeight="15"/>
  <cols>
    <col width="14" customWidth="1" min="1" max="1"/>
    <col width="30" customWidth="1" min="2" max="2"/>
    <col width="18" customWidth="1" min="3" max="3"/>
    <col width="18" customWidth="1" min="4" max="4"/>
    <col width="18" customWidth="1" min="5" max="5"/>
    <col width="16" customWidth="1" min="6" max="6"/>
    <col width="16" customWidth="1" min="7" max="7"/>
    <col width="34" customWidth="1" min="8" max="8"/>
    <col width="14" customWidth="1" min="9" max="9"/>
    <col width="18" customWidth="1" min="10" max="10"/>
    <col width="16" customWidth="1" min="11" max="11"/>
    <col width="34" customWidth="1" min="12" max="12"/>
    <col width="28" customWidth="1" min="13" max="13"/>
    <col width="24" customWidth="1" min="14" max="14"/>
    <col width="28" customWidth="1" min="15" max="15"/>
  </cols>
  <sheetData>
    <row r="1">
      <c r="A1" s="76" t="inlineStr">
        <is>
          <t>Product Type</t>
        </is>
      </c>
      <c r="B1" s="76" t="inlineStr">
        <is>
          <t>Stack Name</t>
        </is>
      </c>
      <c r="C1" s="76" t="inlineStr">
        <is>
          <t>Herb A</t>
        </is>
      </c>
      <c r="D1" s="76" t="inlineStr">
        <is>
          <t>Herb B</t>
        </is>
      </c>
      <c r="E1" s="76" t="inlineStr">
        <is>
          <t>Herb C</t>
        </is>
      </c>
      <c r="F1" s="76" t="inlineStr">
        <is>
          <t>Category</t>
        </is>
      </c>
      <c r="G1" s="76" t="inlineStr">
        <is>
          <t>Use Case</t>
        </is>
      </c>
      <c r="H1" s="76" t="inlineStr">
        <is>
          <t>Base Rationale</t>
        </is>
      </c>
      <c r="I1" s="76" t="inlineStr">
        <is>
          <t>Base Risk Tier</t>
        </is>
      </c>
      <c r="J1" s="76" t="inlineStr">
        <is>
          <t>Stack Safety Summary</t>
        </is>
      </c>
      <c r="K1" s="76" t="inlineStr">
        <is>
          <t>Stack Exclusion Status</t>
        </is>
      </c>
      <c r="L1" s="76" t="inlineStr">
        <is>
          <t>Exclusion Reason</t>
        </is>
      </c>
      <c r="M1" s="76" t="inlineStr">
        <is>
          <t>Dosage Framing</t>
        </is>
      </c>
      <c r="N1" s="76" t="inlineStr">
        <is>
          <t>Safety Flags</t>
        </is>
      </c>
      <c r="O1" s="76" t="inlineStr">
        <is>
          <t>Pass 21 Note</t>
        </is>
      </c>
      <c r="P1" t="inlineStr">
        <is>
          <t>Refined Exclusion Status</t>
        </is>
      </c>
      <c r="Q1" t="inlineStr">
        <is>
          <t>Refined Exclusion Reason</t>
        </is>
      </c>
      <c r="R1" t="inlineStr">
        <is>
          <t>False Positive Cleanup Note</t>
        </is>
      </c>
      <c r="S1" t="inlineStr">
        <is>
          <t>Publishable Status V2</t>
        </is>
      </c>
    </row>
    <row r="2">
      <c r="A2" s="68" t="inlineStr">
        <is>
          <t>3-Herb Stack</t>
        </is>
      </c>
      <c r="B2" s="68" t="inlineStr">
        <is>
          <t>Focus Stack: Ginkgo + Panax + Ashwagandha</t>
        </is>
      </c>
      <c r="C2" s="68" t="inlineStr">
        <is>
          <t>Ginkgo Biloba</t>
        </is>
      </c>
      <c r="D2" s="68" t="inlineStr">
        <is>
          <t>Panax Ginseng</t>
        </is>
      </c>
      <c r="E2" s="68" t="inlineStr">
        <is>
          <t>Ashwagandha</t>
        </is>
      </c>
      <c r="F2" s="68" t="inlineStr">
        <is>
          <t>Focus</t>
        </is>
      </c>
      <c r="G2" s="68" t="inlineStr">
        <is>
          <t>Focus</t>
        </is>
      </c>
      <c r="H2" s="68" t="inlineStr">
        <is>
          <t>Combines focus pathways with complementary mechanisms across three herbs.</t>
        </is>
      </c>
      <c r="I2" s="68" t="inlineStr">
        <is>
          <t>Low</t>
        </is>
      </c>
      <c r="J2" s="68" t="inlineStr">
        <is>
          <t>Baseline, Elevated</t>
        </is>
      </c>
      <c r="K2" s="68" t="inlineStr">
        <is>
          <t>Hold</t>
        </is>
      </c>
      <c r="L2" s="68" t="inlineStr">
        <is>
          <t>Multiple elevated-safety herbs in one default product stack</t>
        </is>
      </c>
      <c r="M2" s="68" t="inlineStr">
        <is>
          <t>Daytime-first; start as a light 2-herb or low 3-herb concept.</t>
        </is>
      </c>
      <c r="N2" s="68" t="inlineStr">
        <is>
          <t>glucose-lowering; lactation; pregnancy; breastfeeding; pregnancy</t>
        </is>
      </c>
      <c r="O2" s="68" t="inlineStr">
        <is>
          <t>Pass 21 product safety hardening from herb-level interaction and contraindication flags</t>
        </is>
      </c>
      <c r="P2" t="inlineStr">
        <is>
          <t>Hold</t>
        </is>
      </c>
      <c r="Q2" t="inlineStr">
        <is>
          <t>Multiple elevated-safety herbs in one default product stack</t>
        </is>
      </c>
      <c r="R2" t="inlineStr">
        <is>
          <t>Broad keyword flags reduced; only repeated meaningful overlaps now escalate by default.</t>
        </is>
      </c>
      <c r="S2" t="inlineStr">
        <is>
          <t>Hold</t>
        </is>
      </c>
    </row>
    <row r="3">
      <c r="A3" s="68" t="inlineStr">
        <is>
          <t>3-Herb Stack</t>
        </is>
      </c>
      <c r="B3" s="68" t="inlineStr">
        <is>
          <t>Focus Stack: Ginkgo + Panax + Chinese</t>
        </is>
      </c>
      <c r="C3" s="68" t="inlineStr">
        <is>
          <t>Ginkgo Biloba</t>
        </is>
      </c>
      <c r="D3" s="68" t="inlineStr">
        <is>
          <t>Panax Ginseng</t>
        </is>
      </c>
      <c r="E3" s="68" t="inlineStr">
        <is>
          <t>Chinese Skullcap</t>
        </is>
      </c>
      <c r="F3" s="68" t="inlineStr">
        <is>
          <t>Focus</t>
        </is>
      </c>
      <c r="G3" s="68" t="inlineStr">
        <is>
          <t>Focus</t>
        </is>
      </c>
      <c r="H3" s="68" t="inlineStr">
        <is>
          <t>Combines focus pathways with complementary mechanisms across three herbs.</t>
        </is>
      </c>
      <c r="I3" s="68" t="inlineStr">
        <is>
          <t>Low</t>
        </is>
      </c>
      <c r="J3" s="68" t="inlineStr">
        <is>
          <t>Baseline, Elevated</t>
        </is>
      </c>
      <c r="K3" s="68" t="inlineStr">
        <is>
          <t>Review</t>
        </is>
      </c>
      <c r="L3" s="68" t="inlineStr">
        <is>
          <t>Needs manual safety review before default stack inclusion</t>
        </is>
      </c>
      <c r="M3" s="68" t="inlineStr">
        <is>
          <t>Daytime-first; start as a light 2-herb or low 3-herb concept.</t>
        </is>
      </c>
      <c r="N3" s="68" t="inlineStr">
        <is>
          <t>bleeding disorders; bleeding-risk; breastfeeding; glucose-lowering; lactation; monoamine-neuro</t>
        </is>
      </c>
      <c r="O3" s="68" t="inlineStr">
        <is>
          <t>Pass 21 product safety hardening from herb-level interaction and contraindication flags</t>
        </is>
      </c>
      <c r="P3" t="inlineStr">
        <is>
          <t>Review</t>
        </is>
      </c>
      <c r="Q3" t="inlineStr">
        <is>
          <t>Needs manual safety review before default stack inclusion</t>
        </is>
      </c>
      <c r="R3" t="inlineStr">
        <is>
          <t>Broad keyword flags reduced; only repeated meaningful overlaps now escalate by default.</t>
        </is>
      </c>
      <c r="S3" t="inlineStr">
        <is>
          <t>Review</t>
        </is>
      </c>
    </row>
    <row r="4">
      <c r="A4" s="68" t="inlineStr">
        <is>
          <t>3-Herb Stack</t>
        </is>
      </c>
      <c r="B4" s="68" t="inlineStr">
        <is>
          <t>Focus Stack: Ginkgo + Panax + Green</t>
        </is>
      </c>
      <c r="C4" s="68" t="inlineStr">
        <is>
          <t>Ginkgo Biloba</t>
        </is>
      </c>
      <c r="D4" s="68" t="inlineStr">
        <is>
          <t>Panax Ginseng</t>
        </is>
      </c>
      <c r="E4" s="68" t="inlineStr">
        <is>
          <t>Green Tea</t>
        </is>
      </c>
      <c r="F4" s="68" t="inlineStr">
        <is>
          <t>Focus</t>
        </is>
      </c>
      <c r="G4" s="68" t="inlineStr">
        <is>
          <t>Focus</t>
        </is>
      </c>
      <c r="H4" s="68" t="inlineStr">
        <is>
          <t>Combines focus pathways with complementary mechanisms across three herbs.</t>
        </is>
      </c>
      <c r="I4" s="68" t="inlineStr">
        <is>
          <t>Low</t>
        </is>
      </c>
      <c r="J4" s="68" t="inlineStr">
        <is>
          <t>Baseline, Elevated</t>
        </is>
      </c>
      <c r="K4" s="68" t="inlineStr">
        <is>
          <t>Review</t>
        </is>
      </c>
      <c r="L4" s="68" t="inlineStr">
        <is>
          <t>Needs manual safety review before default stack inclusion</t>
        </is>
      </c>
      <c r="M4" s="68" t="inlineStr">
        <is>
          <t>Daytime-first; start as a light 2-herb or low 3-herb concept.</t>
        </is>
      </c>
      <c r="N4" s="68" t="inlineStr">
        <is>
          <t>bleeding disorders; bleeding-risk; breastfeeding; glucose-lowering; lactation; monoamine-neuro</t>
        </is>
      </c>
      <c r="O4" s="68" t="inlineStr">
        <is>
          <t>Pass 21 product safety hardening from herb-level interaction and contraindication flags</t>
        </is>
      </c>
      <c r="P4" t="inlineStr">
        <is>
          <t>Review</t>
        </is>
      </c>
      <c r="Q4" t="inlineStr">
        <is>
          <t>Needs manual safety review before default stack inclusion</t>
        </is>
      </c>
      <c r="R4" t="inlineStr">
        <is>
          <t>Broad keyword flags reduced; only repeated meaningful overlaps now escalate by default.</t>
        </is>
      </c>
      <c r="S4" t="inlineStr">
        <is>
          <t>Review</t>
        </is>
      </c>
    </row>
    <row r="5">
      <c r="A5" s="68" t="inlineStr">
        <is>
          <t>3-Herb Stack</t>
        </is>
      </c>
      <c r="B5" s="68" t="inlineStr">
        <is>
          <t>Focus Stack: Ginkgo + Panax + Chamomile</t>
        </is>
      </c>
      <c r="C5" s="68" t="inlineStr">
        <is>
          <t>Ginkgo Biloba</t>
        </is>
      </c>
      <c r="D5" s="68" t="inlineStr">
        <is>
          <t>Panax Ginseng</t>
        </is>
      </c>
      <c r="E5" s="68" t="inlineStr">
        <is>
          <t>Chamomile</t>
        </is>
      </c>
      <c r="F5" s="68" t="inlineStr">
        <is>
          <t>Focus</t>
        </is>
      </c>
      <c r="G5" s="68" t="inlineStr">
        <is>
          <t>Focus</t>
        </is>
      </c>
      <c r="H5" s="68" t="inlineStr">
        <is>
          <t>Combines focus pathways with complementary mechanisms across three herbs.</t>
        </is>
      </c>
      <c r="I5" s="68" t="inlineStr">
        <is>
          <t>Low</t>
        </is>
      </c>
      <c r="J5" s="68" t="inlineStr">
        <is>
          <t>Baseline, Elevated</t>
        </is>
      </c>
      <c r="K5" s="68" t="inlineStr">
        <is>
          <t>Review</t>
        </is>
      </c>
      <c r="L5" s="68" t="inlineStr">
        <is>
          <t>Needs manual safety review before default stack inclusion</t>
        </is>
      </c>
      <c r="M5" s="68" t="inlineStr">
        <is>
          <t>Daytime-first; start as a light 2-herb or low 3-herb concept.</t>
        </is>
      </c>
      <c r="N5" s="68" t="inlineStr">
        <is>
          <t>bleeding disorders; bleeding-risk; breastfeeding; glucose-lowering; lactation; monoamine-neuro</t>
        </is>
      </c>
      <c r="O5" s="68" t="inlineStr">
        <is>
          <t>Pass 21 product safety hardening from herb-level interaction and contraindication flags</t>
        </is>
      </c>
      <c r="P5" t="inlineStr">
        <is>
          <t>Review</t>
        </is>
      </c>
      <c r="Q5" t="inlineStr">
        <is>
          <t>Needs manual safety review before default stack inclusion</t>
        </is>
      </c>
      <c r="R5" t="inlineStr">
        <is>
          <t>Broad keyword flags reduced; only repeated meaningful overlaps now escalate by default.</t>
        </is>
      </c>
      <c r="S5" t="inlineStr">
        <is>
          <t>Review</t>
        </is>
      </c>
    </row>
    <row r="6">
      <c r="A6" s="68" t="inlineStr">
        <is>
          <t>3-Herb Stack</t>
        </is>
      </c>
      <c r="B6" s="68" t="inlineStr">
        <is>
          <t>Focus Stack: Ginkgo + Green + Ashwagandha</t>
        </is>
      </c>
      <c r="C6" s="68" t="inlineStr">
        <is>
          <t>Ginkgo Biloba</t>
        </is>
      </c>
      <c r="D6" s="68" t="inlineStr">
        <is>
          <t>Green Tea</t>
        </is>
      </c>
      <c r="E6" s="68" t="inlineStr">
        <is>
          <t>Ashwagandha</t>
        </is>
      </c>
      <c r="F6" s="68" t="inlineStr">
        <is>
          <t>Focus</t>
        </is>
      </c>
      <c r="G6" s="68" t="inlineStr">
        <is>
          <t>Focus</t>
        </is>
      </c>
      <c r="H6" s="68" t="inlineStr">
        <is>
          <t>Combines focus pathways with complementary mechanisms across three herbs.</t>
        </is>
      </c>
      <c r="I6" s="68" t="inlineStr">
        <is>
          <t>Low</t>
        </is>
      </c>
      <c r="J6" s="68" t="inlineStr">
        <is>
          <t>Baseline, Elevated</t>
        </is>
      </c>
      <c r="K6" s="68" t="inlineStr">
        <is>
          <t>Hold</t>
        </is>
      </c>
      <c r="L6" s="68" t="inlineStr">
        <is>
          <t>Multiple elevated-safety herbs in one default product stack</t>
        </is>
      </c>
      <c r="M6" s="68" t="inlineStr">
        <is>
          <t>Daytime-first; start as a light 2-herb or low 3-herb concept.</t>
        </is>
      </c>
      <c r="N6" s="68" t="inlineStr">
        <is>
          <t>glucose-lowering; lactation; pregnancy; breastfeeding; pregnancy</t>
        </is>
      </c>
      <c r="O6" s="68" t="inlineStr">
        <is>
          <t>Pass 21 product safety hardening from herb-level interaction and contraindication flags</t>
        </is>
      </c>
      <c r="P6" t="inlineStr">
        <is>
          <t>Hold</t>
        </is>
      </c>
      <c r="Q6" t="inlineStr">
        <is>
          <t>Multiple elevated-safety herbs in one default product stack</t>
        </is>
      </c>
      <c r="R6" t="inlineStr">
        <is>
          <t>Broad keyword flags reduced; only repeated meaningful overlaps now escalate by default.</t>
        </is>
      </c>
      <c r="S6" t="inlineStr">
        <is>
          <t>Hold</t>
        </is>
      </c>
    </row>
    <row r="7">
      <c r="A7" s="68" t="inlineStr">
        <is>
          <t>3-Herb Stack</t>
        </is>
      </c>
      <c r="B7" s="68" t="inlineStr">
        <is>
          <t>Focus Stack: Ginkgo + Panax + Turmeric</t>
        </is>
      </c>
      <c r="C7" s="68" t="inlineStr">
        <is>
          <t>Ginkgo Biloba</t>
        </is>
      </c>
      <c r="D7" s="68" t="inlineStr">
        <is>
          <t>Panax Ginseng</t>
        </is>
      </c>
      <c r="E7" s="68" t="inlineStr">
        <is>
          <t>Turmeric</t>
        </is>
      </c>
      <c r="F7" s="68" t="inlineStr">
        <is>
          <t>Focus</t>
        </is>
      </c>
      <c r="G7" s="68" t="inlineStr">
        <is>
          <t>Focus</t>
        </is>
      </c>
      <c r="H7" s="68" t="inlineStr">
        <is>
          <t>Combines focus pathways with complementary mechanisms across three herbs.</t>
        </is>
      </c>
      <c r="I7" s="68" t="inlineStr">
        <is>
          <t>Low</t>
        </is>
      </c>
      <c r="J7" s="68" t="inlineStr">
        <is>
          <t>Baseline, Elevated</t>
        </is>
      </c>
      <c r="K7" s="68" t="inlineStr">
        <is>
          <t>Hold</t>
        </is>
      </c>
      <c r="L7" s="68" t="inlineStr">
        <is>
          <t>Multiple elevated-safety herbs in one default product stack</t>
        </is>
      </c>
      <c r="M7" s="68" t="inlineStr">
        <is>
          <t>Daytime-first; start as a light 2-herb or low 3-herb concept.</t>
        </is>
      </c>
      <c r="N7" s="68" t="inlineStr">
        <is>
          <t>bleeding-risk; glucose-lowering; lactation; pregnancy; bleeding disorders; breastfeeding; pregnancy</t>
        </is>
      </c>
      <c r="O7" s="68" t="inlineStr">
        <is>
          <t>Pass 21 product safety hardening from herb-level interaction and contraindication flags</t>
        </is>
      </c>
      <c r="P7" t="inlineStr">
        <is>
          <t>Hold</t>
        </is>
      </c>
      <c r="Q7" t="inlineStr">
        <is>
          <t>Multiple elevated-safety herbs in one default product stack</t>
        </is>
      </c>
      <c r="R7" t="inlineStr">
        <is>
          <t>Broad keyword flags reduced; only repeated meaningful overlaps now escalate by default.</t>
        </is>
      </c>
      <c r="S7" t="inlineStr">
        <is>
          <t>Hold</t>
        </is>
      </c>
    </row>
    <row r="8">
      <c r="A8" s="68" t="inlineStr">
        <is>
          <t>3-Herb Stack</t>
        </is>
      </c>
      <c r="B8" s="68" t="inlineStr">
        <is>
          <t>Focus Stack: Ginkgo + Panax + Blue</t>
        </is>
      </c>
      <c r="C8" s="68" t="inlineStr">
        <is>
          <t>Ginkgo Biloba</t>
        </is>
      </c>
      <c r="D8" s="68" t="inlineStr">
        <is>
          <t>Panax Ginseng</t>
        </is>
      </c>
      <c r="E8" s="68" t="inlineStr">
        <is>
          <t>Blue Lotus</t>
        </is>
      </c>
      <c r="F8" s="68" t="inlineStr">
        <is>
          <t>Focus</t>
        </is>
      </c>
      <c r="G8" s="68" t="inlineStr">
        <is>
          <t>Focus</t>
        </is>
      </c>
      <c r="H8" s="68" t="inlineStr">
        <is>
          <t>Combines focus pathways with complementary mechanisms across three herbs.</t>
        </is>
      </c>
      <c r="I8" s="68" t="inlineStr">
        <is>
          <t>Low</t>
        </is>
      </c>
      <c r="J8" s="68" t="inlineStr">
        <is>
          <t>Baseline, Elevated</t>
        </is>
      </c>
      <c r="K8" s="68" t="inlineStr">
        <is>
          <t>Review</t>
        </is>
      </c>
      <c r="L8" s="68" t="inlineStr">
        <is>
          <t>Needs manual safety review before default stack inclusion</t>
        </is>
      </c>
      <c r="M8" s="68" t="inlineStr">
        <is>
          <t>Daytime-first; start as a light 2-herb or low 3-herb concept.</t>
        </is>
      </c>
      <c r="N8" s="68" t="inlineStr">
        <is>
          <t>bleeding disorders; bleeding-risk; breastfeeding; glucose-lowering; lactation; monoamine-neuro</t>
        </is>
      </c>
      <c r="O8" s="68" t="inlineStr">
        <is>
          <t>Pass 21 product safety hardening from herb-level interaction and contraindication flags</t>
        </is>
      </c>
      <c r="P8" t="inlineStr">
        <is>
          <t>Review</t>
        </is>
      </c>
      <c r="Q8" t="inlineStr">
        <is>
          <t>Needs manual safety review before default stack inclusion</t>
        </is>
      </c>
      <c r="R8" t="inlineStr">
        <is>
          <t>Broad keyword flags reduced; only repeated meaningful overlaps now escalate by default.</t>
        </is>
      </c>
      <c r="S8" t="inlineStr">
        <is>
          <t>Review</t>
        </is>
      </c>
    </row>
    <row r="9">
      <c r="A9" s="68" t="inlineStr">
        <is>
          <t>3-Herb Stack</t>
        </is>
      </c>
      <c r="B9" s="68" t="inlineStr">
        <is>
          <t>Focus Stack: Ginkgo + Panax + Black</t>
        </is>
      </c>
      <c r="C9" s="68" t="inlineStr">
        <is>
          <t>Ginkgo Biloba</t>
        </is>
      </c>
      <c r="D9" s="68" t="inlineStr">
        <is>
          <t>Panax Ginseng</t>
        </is>
      </c>
      <c r="E9" s="68" t="inlineStr">
        <is>
          <t>Black Cohosh</t>
        </is>
      </c>
      <c r="F9" s="68" t="inlineStr">
        <is>
          <t>Focus</t>
        </is>
      </c>
      <c r="G9" s="68" t="inlineStr">
        <is>
          <t>Focus</t>
        </is>
      </c>
      <c r="H9" s="68" t="inlineStr">
        <is>
          <t>Combines focus pathways with complementary mechanisms across three herbs.</t>
        </is>
      </c>
      <c r="I9" s="68" t="inlineStr">
        <is>
          <t>Low</t>
        </is>
      </c>
      <c r="J9" s="68" t="inlineStr">
        <is>
          <t>Baseline, Elevated</t>
        </is>
      </c>
      <c r="K9" s="68" t="inlineStr">
        <is>
          <t>Hold</t>
        </is>
      </c>
      <c r="L9" s="68" t="inlineStr">
        <is>
          <t>Multiple elevated-safety herbs in one default product stack</t>
        </is>
      </c>
      <c r="M9" s="68" t="inlineStr">
        <is>
          <t>Daytime-first; start as a light 2-herb or low 3-herb concept.</t>
        </is>
      </c>
      <c r="N9" s="68" t="inlineStr">
        <is>
          <t>lactation; monoamine-neuro; pregnancy; breastfeeding; pregnancy</t>
        </is>
      </c>
      <c r="O9" s="68" t="inlineStr">
        <is>
          <t>Pass 21 product safety hardening from herb-level interaction and contraindication flags</t>
        </is>
      </c>
      <c r="P9" t="inlineStr">
        <is>
          <t>Hold</t>
        </is>
      </c>
      <c r="Q9" t="inlineStr">
        <is>
          <t>Multiple elevated-safety herbs in one default product stack</t>
        </is>
      </c>
      <c r="R9" t="inlineStr">
        <is>
          <t>Broad keyword flags reduced; only repeated meaningful overlaps now escalate by default.</t>
        </is>
      </c>
      <c r="S9" t="inlineStr">
        <is>
          <t>Hold</t>
        </is>
      </c>
    </row>
    <row r="10">
      <c r="A10" s="68" t="inlineStr">
        <is>
          <t>3-Herb Stack</t>
        </is>
      </c>
      <c r="B10" s="68" t="inlineStr">
        <is>
          <t>Focus Stack: Ginkgo + Chamomile + Ashwagandha</t>
        </is>
      </c>
      <c r="C10" s="68" t="inlineStr">
        <is>
          <t>Ginkgo Biloba</t>
        </is>
      </c>
      <c r="D10" s="68" t="inlineStr">
        <is>
          <t>Chamomile</t>
        </is>
      </c>
      <c r="E10" s="68" t="inlineStr">
        <is>
          <t>Ashwagandha</t>
        </is>
      </c>
      <c r="F10" s="68" t="inlineStr">
        <is>
          <t>Focus</t>
        </is>
      </c>
      <c r="G10" s="68" t="inlineStr">
        <is>
          <t>Focus</t>
        </is>
      </c>
      <c r="H10" s="68" t="inlineStr">
        <is>
          <t>Combines focus pathways with complementary mechanisms across three herbs.</t>
        </is>
      </c>
      <c r="I10" s="68" t="inlineStr">
        <is>
          <t>Low</t>
        </is>
      </c>
      <c r="J10" s="68" t="inlineStr">
        <is>
          <t>Baseline, Elevated</t>
        </is>
      </c>
      <c r="K10" s="68" t="inlineStr">
        <is>
          <t>Hold</t>
        </is>
      </c>
      <c r="L10" s="68" t="inlineStr">
        <is>
          <t>Multiple elevated-safety herbs in one default product stack</t>
        </is>
      </c>
      <c r="M10" s="68" t="inlineStr">
        <is>
          <t>Daytime-first; start as a light 2-herb or low 3-herb concept.</t>
        </is>
      </c>
      <c r="N10" s="68" t="inlineStr">
        <is>
          <t>glucose-lowering; lactation; pregnancy; sedation-cns; breastfeeding; pregnancy</t>
        </is>
      </c>
      <c r="O10" s="68" t="inlineStr">
        <is>
          <t>Pass 21 product safety hardening from herb-level interaction and contraindication flags</t>
        </is>
      </c>
      <c r="P10" t="inlineStr">
        <is>
          <t>Hold</t>
        </is>
      </c>
      <c r="Q10" t="inlineStr">
        <is>
          <t>Multiple elevated-safety herbs in one default product stack</t>
        </is>
      </c>
      <c r="R10" t="inlineStr">
        <is>
          <t>Broad keyword flags reduced; only repeated meaningful overlaps now escalate by default.</t>
        </is>
      </c>
      <c r="S10" t="inlineStr">
        <is>
          <t>Hold</t>
        </is>
      </c>
    </row>
    <row r="11">
      <c r="A11" s="68" t="inlineStr">
        <is>
          <t>3-Herb Stack</t>
        </is>
      </c>
      <c r="B11" s="68" t="inlineStr">
        <is>
          <t>Focus Stack: Ginkgo + Panax + Black</t>
        </is>
      </c>
      <c r="C11" s="68" t="inlineStr">
        <is>
          <t>Ginkgo Biloba</t>
        </is>
      </c>
      <c r="D11" s="68" t="inlineStr">
        <is>
          <t>Panax Ginseng</t>
        </is>
      </c>
      <c r="E11" s="68" t="inlineStr">
        <is>
          <t>Black Pepper</t>
        </is>
      </c>
      <c r="F11" s="68" t="inlineStr">
        <is>
          <t>Focus</t>
        </is>
      </c>
      <c r="G11" s="68" t="inlineStr">
        <is>
          <t>Focus</t>
        </is>
      </c>
      <c r="H11" s="68" t="inlineStr">
        <is>
          <t>Combines focus pathways with complementary mechanisms across three herbs.</t>
        </is>
      </c>
      <c r="I11" s="68" t="inlineStr">
        <is>
          <t>Low</t>
        </is>
      </c>
      <c r="J11" s="68" t="inlineStr">
        <is>
          <t>Baseline, Elevated</t>
        </is>
      </c>
      <c r="K11" s="68" t="inlineStr">
        <is>
          <t>Review</t>
        </is>
      </c>
      <c r="L11" s="68" t="inlineStr">
        <is>
          <t>Needs manual safety review before default stack inclusion</t>
        </is>
      </c>
      <c r="M11" s="68" t="inlineStr">
        <is>
          <t>Daytime-first; start as a light 2-herb or low 3-herb concept.</t>
        </is>
      </c>
      <c r="N11" s="68" t="inlineStr">
        <is>
          <t>bleeding disorders; bleeding-risk; breastfeeding; glucose-lowering; lactation; monoamine-neuro</t>
        </is>
      </c>
      <c r="O11" s="68" t="inlineStr">
        <is>
          <t>Pass 21 product safety hardening from herb-level interaction and contraindication flags</t>
        </is>
      </c>
      <c r="P11" t="inlineStr">
        <is>
          <t>Review</t>
        </is>
      </c>
      <c r="Q11" t="inlineStr">
        <is>
          <t>Needs manual safety review before default stack inclusion</t>
        </is>
      </c>
      <c r="R11" t="inlineStr">
        <is>
          <t>Broad keyword flags reduced; only repeated meaningful overlaps now escalate by default.</t>
        </is>
      </c>
      <c r="S11" t="inlineStr">
        <is>
          <t>Review</t>
        </is>
      </c>
    </row>
    <row r="12">
      <c r="A12" s="68" t="inlineStr">
        <is>
          <t>3-Herb Stack</t>
        </is>
      </c>
      <c r="B12" s="68" t="inlineStr">
        <is>
          <t>Focus Stack: Panax + Chinese + Ashwagandha</t>
        </is>
      </c>
      <c r="C12" s="68" t="inlineStr">
        <is>
          <t>Panax Ginseng</t>
        </is>
      </c>
      <c r="D12" s="68" t="inlineStr">
        <is>
          <t>Chinese Skullcap</t>
        </is>
      </c>
      <c r="E12" s="68" t="inlineStr">
        <is>
          <t>Ashwagandha</t>
        </is>
      </c>
      <c r="F12" s="68" t="inlineStr">
        <is>
          <t>Focus</t>
        </is>
      </c>
      <c r="G12" s="68" t="inlineStr">
        <is>
          <t>Focus</t>
        </is>
      </c>
      <c r="H12" s="68" t="inlineStr">
        <is>
          <t>Combines focus pathways with complementary mechanisms across three herbs.</t>
        </is>
      </c>
      <c r="I12" s="68" t="inlineStr">
        <is>
          <t>Low</t>
        </is>
      </c>
      <c r="J12" s="68" t="inlineStr">
        <is>
          <t>Baseline, Elevated</t>
        </is>
      </c>
      <c r="K12" s="68" t="inlineStr">
        <is>
          <t>Review</t>
        </is>
      </c>
      <c r="L12" s="68" t="inlineStr">
        <is>
          <t>Repeated interaction flags: sedation-cns; Needs manual safety review before default stack inclusion</t>
        </is>
      </c>
      <c r="M12" s="68" t="inlineStr">
        <is>
          <t>Daytime-first; start as a light 2-herb or low 3-herb concept.</t>
        </is>
      </c>
      <c r="N12" s="68" t="inlineStr">
        <is>
          <t>sedation-cns</t>
        </is>
      </c>
      <c r="O12" s="68" t="inlineStr">
        <is>
          <t>Pass 21 product safety hardening from herb-level interaction and contraindication flags</t>
        </is>
      </c>
      <c r="P12" t="inlineStr">
        <is>
          <t>Review</t>
        </is>
      </c>
      <c r="Q12" t="inlineStr">
        <is>
          <t>Repeated meaningful interaction flags: sedation-cns; Needs manual safety review before default stack inclusion</t>
        </is>
      </c>
      <c r="R12" t="inlineStr">
        <is>
          <t>Broad keyword flags reduced; only repeated meaningful overlaps now escalate by default.</t>
        </is>
      </c>
      <c r="S12" t="inlineStr">
        <is>
          <t>Review</t>
        </is>
      </c>
    </row>
    <row r="13">
      <c r="A13" s="68" t="inlineStr">
        <is>
          <t>3-Herb Stack</t>
        </is>
      </c>
      <c r="B13" s="68" t="inlineStr">
        <is>
          <t>Focus Stack: Ginkgo + Panax + Corydalis</t>
        </is>
      </c>
      <c r="C13" s="68" t="inlineStr">
        <is>
          <t>Ginkgo Biloba</t>
        </is>
      </c>
      <c r="D13" s="68" t="inlineStr">
        <is>
          <t>Panax Ginseng</t>
        </is>
      </c>
      <c r="E13" s="68" t="inlineStr">
        <is>
          <t>Corydalis</t>
        </is>
      </c>
      <c r="F13" s="68" t="inlineStr">
        <is>
          <t>Focus</t>
        </is>
      </c>
      <c r="G13" s="68" t="inlineStr">
        <is>
          <t>Focus</t>
        </is>
      </c>
      <c r="H13" s="68" t="inlineStr">
        <is>
          <t>Combines focus pathways with complementary mechanisms across three herbs.</t>
        </is>
      </c>
      <c r="I13" s="68" t="inlineStr">
        <is>
          <t>Low</t>
        </is>
      </c>
      <c r="J13" s="68" t="inlineStr">
        <is>
          <t>Baseline, Elevated</t>
        </is>
      </c>
      <c r="K13" s="68" t="inlineStr">
        <is>
          <t>Review</t>
        </is>
      </c>
      <c r="L13" s="68" t="inlineStr">
        <is>
          <t>Needs manual safety review before default stack inclusion</t>
        </is>
      </c>
      <c r="M13" s="68" t="inlineStr">
        <is>
          <t>Daytime-first; start as a light 2-herb or low 3-herb concept.</t>
        </is>
      </c>
      <c r="N13" s="68" t="inlineStr">
        <is>
          <t>bleeding disorders; bleeding-risk; breastfeeding; glucose-lowering; lactation; monoamine-neuro</t>
        </is>
      </c>
      <c r="O13" s="68" t="inlineStr">
        <is>
          <t>Pass 21 product safety hardening from herb-level interaction and contraindication flags</t>
        </is>
      </c>
      <c r="P13" t="inlineStr">
        <is>
          <t>Review</t>
        </is>
      </c>
      <c r="Q13" t="inlineStr">
        <is>
          <t>Needs manual safety review before default stack inclusion</t>
        </is>
      </c>
      <c r="R13" t="inlineStr">
        <is>
          <t>Broad keyword flags reduced; only repeated meaningful overlaps now escalate by default.</t>
        </is>
      </c>
      <c r="S13" t="inlineStr">
        <is>
          <t>Review</t>
        </is>
      </c>
    </row>
    <row r="14">
      <c r="A14" s="68" t="inlineStr">
        <is>
          <t>3-Herb Stack</t>
        </is>
      </c>
      <c r="B14" s="68" t="inlineStr">
        <is>
          <t>Focus Stack: Ginkgo + Green + Black</t>
        </is>
      </c>
      <c r="C14" s="68" t="inlineStr">
        <is>
          <t>Ginkgo Biloba</t>
        </is>
      </c>
      <c r="D14" s="68" t="inlineStr">
        <is>
          <t>Green Tea</t>
        </is>
      </c>
      <c r="E14" s="68" t="inlineStr">
        <is>
          <t>Black Cohosh</t>
        </is>
      </c>
      <c r="F14" s="68" t="inlineStr">
        <is>
          <t>Focus</t>
        </is>
      </c>
      <c r="G14" s="68" t="inlineStr">
        <is>
          <t>Focus</t>
        </is>
      </c>
      <c r="H14" s="68" t="inlineStr">
        <is>
          <t>Combines focus pathways with complementary mechanisms across three herbs.</t>
        </is>
      </c>
      <c r="I14" s="68" t="inlineStr">
        <is>
          <t>Low</t>
        </is>
      </c>
      <c r="J14" s="68" t="inlineStr">
        <is>
          <t>Baseline, Elevated</t>
        </is>
      </c>
      <c r="K14" s="68" t="inlineStr">
        <is>
          <t>Hold</t>
        </is>
      </c>
      <c r="L14" s="68" t="inlineStr">
        <is>
          <t>Multiple elevated-safety herbs in one default product stack</t>
        </is>
      </c>
      <c r="M14" s="68" t="inlineStr">
        <is>
          <t>Daytime-first; start as a light 2-herb or low 3-herb concept.</t>
        </is>
      </c>
      <c r="N14" s="68" t="inlineStr">
        <is>
          <t>lactation; monoamine-neuro; pregnancy; breastfeeding; pregnancy</t>
        </is>
      </c>
      <c r="O14" s="68" t="inlineStr">
        <is>
          <t>Pass 21 product safety hardening from herb-level interaction and contraindication flags</t>
        </is>
      </c>
      <c r="P14" t="inlineStr">
        <is>
          <t>Hold</t>
        </is>
      </c>
      <c r="Q14" t="inlineStr">
        <is>
          <t>Multiple elevated-safety herbs in one default product stack</t>
        </is>
      </c>
      <c r="R14" t="inlineStr">
        <is>
          <t>Broad keyword flags reduced; only repeated meaningful overlaps now escalate by default.</t>
        </is>
      </c>
      <c r="S14" t="inlineStr">
        <is>
          <t>Hold</t>
        </is>
      </c>
    </row>
    <row r="15">
      <c r="A15" s="68" t="inlineStr">
        <is>
          <t>3-Herb Stack</t>
        </is>
      </c>
      <c r="B15" s="68" t="inlineStr">
        <is>
          <t>Stress Stack: Ginkgo + Ashwagandha + Black</t>
        </is>
      </c>
      <c r="C15" s="68" t="inlineStr">
        <is>
          <t>Ginkgo Biloba</t>
        </is>
      </c>
      <c r="D15" s="68" t="inlineStr">
        <is>
          <t>Ashwagandha</t>
        </is>
      </c>
      <c r="E15" s="68" t="inlineStr">
        <is>
          <t>Black Cohosh</t>
        </is>
      </c>
      <c r="F15" s="68" t="inlineStr">
        <is>
          <t>Stress</t>
        </is>
      </c>
      <c r="G15" s="68" t="inlineStr">
        <is>
          <t>Stress</t>
        </is>
      </c>
      <c r="H15" s="68" t="inlineStr">
        <is>
          <t>Combines stress pathways with complementary mechanisms across three herbs.</t>
        </is>
      </c>
      <c r="I15" s="68" t="inlineStr">
        <is>
          <t>Low</t>
        </is>
      </c>
      <c r="J15" s="68" t="inlineStr">
        <is>
          <t>Elevated</t>
        </is>
      </c>
      <c r="K15" s="68" t="inlineStr">
        <is>
          <t>Hold</t>
        </is>
      </c>
      <c r="L15" s="68" t="inlineStr">
        <is>
          <t>Multiple elevated-safety herbs in one default product stack</t>
        </is>
      </c>
      <c r="M15" s="68" t="inlineStr">
        <is>
          <t>Prefer evening or split use; start light.</t>
        </is>
      </c>
      <c r="N15" s="68" t="inlineStr">
        <is>
          <t>glucose-lowering; hepatic-caution; lactation; monoamine-neuro; pregnancy; thyroid-hormonal; breastfeeding; liver disease; pregnancy</t>
        </is>
      </c>
      <c r="O15" s="68" t="inlineStr">
        <is>
          <t>Pass 21 product safety hardening from herb-level interaction and contraindication flags</t>
        </is>
      </c>
      <c r="P15" t="inlineStr">
        <is>
          <t>Hold</t>
        </is>
      </c>
      <c r="Q15" t="inlineStr">
        <is>
          <t>Multiple elevated-safety herbs in one default product stack</t>
        </is>
      </c>
      <c r="R15" t="inlineStr">
        <is>
          <t>Broad keyword flags reduced; only repeated meaningful overlaps now escalate by default.</t>
        </is>
      </c>
      <c r="S15" t="inlineStr">
        <is>
          <t>Hold</t>
        </is>
      </c>
    </row>
    <row r="16">
      <c r="A16" s="68" t="inlineStr">
        <is>
          <t>3-Herb Stack</t>
        </is>
      </c>
      <c r="B16" s="68" t="inlineStr">
        <is>
          <t>Focus Stack: Panax + Epimedium + Ashwagandha</t>
        </is>
      </c>
      <c r="C16" s="68" t="inlineStr">
        <is>
          <t>Panax Ginseng</t>
        </is>
      </c>
      <c r="D16" s="68" t="inlineStr">
        <is>
          <t>Epimedium</t>
        </is>
      </c>
      <c r="E16" s="68" t="inlineStr">
        <is>
          <t>Ashwagandha</t>
        </is>
      </c>
      <c r="F16" s="68" t="inlineStr">
        <is>
          <t>Focus</t>
        </is>
      </c>
      <c r="G16" s="68" t="inlineStr">
        <is>
          <t>Focus</t>
        </is>
      </c>
      <c r="H16" s="68" t="inlineStr">
        <is>
          <t>Combines focus pathways with complementary mechanisms across three herbs.</t>
        </is>
      </c>
      <c r="I16" s="68" t="inlineStr">
        <is>
          <t>Low</t>
        </is>
      </c>
      <c r="J16" s="68" t="inlineStr">
        <is>
          <t>Baseline, Elevated, Moderate</t>
        </is>
      </c>
      <c r="K16" s="68" t="inlineStr">
        <is>
          <t>Review</t>
        </is>
      </c>
      <c r="L16" s="68" t="inlineStr">
        <is>
          <t>Repeated interaction flags: blood-pressure; Needs manual safety review before default stack inclusion</t>
        </is>
      </c>
      <c r="M16" s="68" t="inlineStr">
        <is>
          <t>Daytime-first; start as a light 2-herb or low 3-herb concept.</t>
        </is>
      </c>
      <c r="N16" s="68" t="inlineStr">
        <is>
          <t>blood-pressure</t>
        </is>
      </c>
      <c r="O16" s="68" t="inlineStr">
        <is>
          <t>Pass 21 product safety hardening from herb-level interaction and contraindication flags</t>
        </is>
      </c>
      <c r="P16" t="inlineStr">
        <is>
          <t>Review</t>
        </is>
      </c>
      <c r="Q16" t="inlineStr">
        <is>
          <t>Needs manual safety review before default stack inclusion</t>
        </is>
      </c>
      <c r="R16" t="inlineStr">
        <is>
          <t>Broad keyword flags reduced; only repeated meaningful overlaps now escalate by default.</t>
        </is>
      </c>
      <c r="S16" t="inlineStr">
        <is>
          <t>Review</t>
        </is>
      </c>
    </row>
    <row r="17">
      <c r="A17" s="68" t="inlineStr">
        <is>
          <t>3-Herb Stack</t>
        </is>
      </c>
      <c r="B17" s="68" t="inlineStr">
        <is>
          <t>Focus Stack: Ginkgo + Chamomile + Chinese</t>
        </is>
      </c>
      <c r="C17" s="68" t="inlineStr">
        <is>
          <t>Ginkgo Biloba</t>
        </is>
      </c>
      <c r="D17" s="68" t="inlineStr">
        <is>
          <t>Chamomile</t>
        </is>
      </c>
      <c r="E17" s="68" t="inlineStr">
        <is>
          <t>Chinese Skullcap</t>
        </is>
      </c>
      <c r="F17" s="68" t="inlineStr">
        <is>
          <t>Focus</t>
        </is>
      </c>
      <c r="G17" s="68" t="inlineStr">
        <is>
          <t>Focus</t>
        </is>
      </c>
      <c r="H17" s="68" t="inlineStr">
        <is>
          <t>Combines focus pathways with complementary mechanisms across three herbs.</t>
        </is>
      </c>
      <c r="I17" s="68" t="inlineStr">
        <is>
          <t>Low</t>
        </is>
      </c>
      <c r="J17" s="68" t="inlineStr">
        <is>
          <t>Baseline, Elevated</t>
        </is>
      </c>
      <c r="K17" s="68" t="inlineStr">
        <is>
          <t>Review</t>
        </is>
      </c>
      <c r="L17" s="68" t="inlineStr">
        <is>
          <t>Repeated interaction flags: sedation-cns; Needs manual safety review before default stack inclusion</t>
        </is>
      </c>
      <c r="M17" s="68" t="inlineStr">
        <is>
          <t>Daytime-first; start as a light 2-herb or low 3-herb concept.</t>
        </is>
      </c>
      <c r="N17" s="68" t="inlineStr">
        <is>
          <t>sedation-cns</t>
        </is>
      </c>
      <c r="O17" s="68" t="inlineStr">
        <is>
          <t>Pass 21 product safety hardening from herb-level interaction and contraindication flags</t>
        </is>
      </c>
      <c r="P17" t="inlineStr">
        <is>
          <t>Review</t>
        </is>
      </c>
      <c r="Q17" t="inlineStr">
        <is>
          <t>Repeated meaningful interaction flags: sedation-cns; Needs manual safety review before default stack inclusion</t>
        </is>
      </c>
      <c r="R17" t="inlineStr">
        <is>
          <t>Broad keyword flags reduced; only repeated meaningful overlaps now escalate by default.</t>
        </is>
      </c>
      <c r="S17" t="inlineStr">
        <is>
          <t>Review</t>
        </is>
      </c>
    </row>
    <row r="18">
      <c r="A18" s="68" t="inlineStr">
        <is>
          <t>3-Herb Stack</t>
        </is>
      </c>
      <c r="B18" s="68" t="inlineStr">
        <is>
          <t>Focus Stack: Ginkgo + Green + Chinese</t>
        </is>
      </c>
      <c r="C18" s="68" t="inlineStr">
        <is>
          <t>Ginkgo Biloba</t>
        </is>
      </c>
      <c r="D18" s="68" t="inlineStr">
        <is>
          <t>Green Tea</t>
        </is>
      </c>
      <c r="E18" s="68" t="inlineStr">
        <is>
          <t>Chinese Skullcap</t>
        </is>
      </c>
      <c r="F18" s="68" t="inlineStr">
        <is>
          <t>Focus</t>
        </is>
      </c>
      <c r="G18" s="68" t="inlineStr">
        <is>
          <t>Focus</t>
        </is>
      </c>
      <c r="H18" s="68" t="inlineStr">
        <is>
          <t>Combines focus pathways with complementary mechanisms across three herbs.</t>
        </is>
      </c>
      <c r="I18" s="68" t="inlineStr">
        <is>
          <t>Low</t>
        </is>
      </c>
      <c r="J18" s="68" t="inlineStr">
        <is>
          <t>Baseline, Elevated</t>
        </is>
      </c>
      <c r="K18" s="68" t="inlineStr">
        <is>
          <t>Review</t>
        </is>
      </c>
      <c r="L18" s="68" t="inlineStr">
        <is>
          <t>Needs manual safety review before default stack inclusion</t>
        </is>
      </c>
      <c r="M18" s="68" t="inlineStr">
        <is>
          <t>Daytime-first; start as a light 2-herb or low 3-herb concept.</t>
        </is>
      </c>
      <c r="N18" s="68" t="inlineStr">
        <is>
          <t>bleeding disorders; bleeding-risk; breastfeeding; glucose-lowering; lactation; monoamine-neuro</t>
        </is>
      </c>
      <c r="O18" s="68" t="inlineStr">
        <is>
          <t>Pass 21 product safety hardening from herb-level interaction and contraindication flags</t>
        </is>
      </c>
      <c r="P18" t="inlineStr">
        <is>
          <t>Review</t>
        </is>
      </c>
      <c r="Q18" t="inlineStr">
        <is>
          <t>Needs manual safety review before default stack inclusion</t>
        </is>
      </c>
      <c r="R18" t="inlineStr">
        <is>
          <t>Broad keyword flags reduced; only repeated meaningful overlaps now escalate by default.</t>
        </is>
      </c>
      <c r="S18" t="inlineStr">
        <is>
          <t>Review</t>
        </is>
      </c>
    </row>
    <row r="19">
      <c r="A19" s="68" t="inlineStr">
        <is>
          <t>3-Herb Stack</t>
        </is>
      </c>
      <c r="B19" s="68" t="inlineStr">
        <is>
          <t>Focus Stack: Panax + Chamomile + Ashwagandha</t>
        </is>
      </c>
      <c r="C19" s="68" t="inlineStr">
        <is>
          <t>Panax Ginseng</t>
        </is>
      </c>
      <c r="D19" s="68" t="inlineStr">
        <is>
          <t>Chamomile</t>
        </is>
      </c>
      <c r="E19" s="68" t="inlineStr">
        <is>
          <t>Ashwagandha</t>
        </is>
      </c>
      <c r="F19" s="68" t="inlineStr">
        <is>
          <t>Focus</t>
        </is>
      </c>
      <c r="G19" s="68" t="inlineStr">
        <is>
          <t>Focus</t>
        </is>
      </c>
      <c r="H19" s="68" t="inlineStr">
        <is>
          <t>Combines focus pathways with complementary mechanisms across three herbs.</t>
        </is>
      </c>
      <c r="I19" s="68" t="inlineStr">
        <is>
          <t>Low</t>
        </is>
      </c>
      <c r="J19" s="68" t="inlineStr">
        <is>
          <t>Baseline, Elevated</t>
        </is>
      </c>
      <c r="K19" s="68" t="inlineStr">
        <is>
          <t>Review</t>
        </is>
      </c>
      <c r="L19" s="68" t="inlineStr">
        <is>
          <t>Repeated interaction flags: sedation-cns; Needs manual safety review before default stack inclusion</t>
        </is>
      </c>
      <c r="M19" s="68" t="inlineStr">
        <is>
          <t>Daytime-first; start as a light 2-herb or low 3-herb concept.</t>
        </is>
      </c>
      <c r="N19" s="68" t="inlineStr">
        <is>
          <t>sedation-cns</t>
        </is>
      </c>
      <c r="O19" s="68" t="inlineStr">
        <is>
          <t>Pass 21 product safety hardening from herb-level interaction and contraindication flags</t>
        </is>
      </c>
      <c r="P19" t="inlineStr">
        <is>
          <t>Review</t>
        </is>
      </c>
      <c r="Q19" t="inlineStr">
        <is>
          <t>Repeated meaningful interaction flags: sedation-cns; Needs manual safety review before default stack inclusion</t>
        </is>
      </c>
      <c r="R19" t="inlineStr">
        <is>
          <t>Broad keyword flags reduced; only repeated meaningful overlaps now escalate by default.</t>
        </is>
      </c>
      <c r="S19" t="inlineStr">
        <is>
          <t>Review</t>
        </is>
      </c>
    </row>
    <row r="20">
      <c r="A20" s="68" t="inlineStr">
        <is>
          <t>3-Herb Stack</t>
        </is>
      </c>
      <c r="B20" s="68" t="inlineStr">
        <is>
          <t>Focus Stack: Panax + Green + Ashwagandha</t>
        </is>
      </c>
      <c r="C20" s="68" t="inlineStr">
        <is>
          <t>Panax Ginseng</t>
        </is>
      </c>
      <c r="D20" s="68" t="inlineStr">
        <is>
          <t>Green Tea</t>
        </is>
      </c>
      <c r="E20" s="68" t="inlineStr">
        <is>
          <t>Ashwagandha</t>
        </is>
      </c>
      <c r="F20" s="68" t="inlineStr">
        <is>
          <t>Focus</t>
        </is>
      </c>
      <c r="G20" s="68" t="inlineStr">
        <is>
          <t>Focus</t>
        </is>
      </c>
      <c r="H20" s="68" t="inlineStr">
        <is>
          <t>Combines focus pathways with complementary mechanisms across three herbs.</t>
        </is>
      </c>
      <c r="I20" s="68" t="inlineStr">
        <is>
          <t>Low</t>
        </is>
      </c>
      <c r="J20" s="68" t="inlineStr">
        <is>
          <t>Baseline, Elevated</t>
        </is>
      </c>
      <c r="K20" s="68" t="inlineStr">
        <is>
          <t>Review</t>
        </is>
      </c>
      <c r="L20" s="68" t="inlineStr">
        <is>
          <t>Needs manual safety review before default stack inclusion</t>
        </is>
      </c>
      <c r="M20" s="68" t="inlineStr">
        <is>
          <t>Daytime-first; start as a light 2-herb or low 3-herb concept.</t>
        </is>
      </c>
      <c r="N20" s="68" t="inlineStr">
        <is>
          <t>autoimmune disease; blood-pressure; breastfeeding; glucose-lowering; hepatic-caution; immune-caution</t>
        </is>
      </c>
      <c r="O20" s="68" t="inlineStr">
        <is>
          <t>Pass 21 product safety hardening from herb-level interaction and contraindication flags</t>
        </is>
      </c>
      <c r="P20" t="inlineStr">
        <is>
          <t>Review</t>
        </is>
      </c>
      <c r="Q20" t="inlineStr">
        <is>
          <t>Needs manual safety review before default stack inclusion</t>
        </is>
      </c>
      <c r="R20" t="inlineStr">
        <is>
          <t>Broad keyword flags reduced; only repeated meaningful overlaps now escalate by default.</t>
        </is>
      </c>
      <c r="S20" t="inlineStr">
        <is>
          <t>Review</t>
        </is>
      </c>
    </row>
    <row r="21">
      <c r="A21" s="68" t="inlineStr">
        <is>
          <t>3-Herb Stack</t>
        </is>
      </c>
      <c r="B21" s="68" t="inlineStr">
        <is>
          <t>Focus Stack: Ginkgo + Green + Black</t>
        </is>
      </c>
      <c r="C21" s="68" t="inlineStr">
        <is>
          <t>Ginkgo Biloba</t>
        </is>
      </c>
      <c r="D21" s="68" t="inlineStr">
        <is>
          <t>Green Tea</t>
        </is>
      </c>
      <c r="E21" s="68" t="inlineStr">
        <is>
          <t>Black Pepper</t>
        </is>
      </c>
      <c r="F21" s="68" t="inlineStr">
        <is>
          <t>Focus</t>
        </is>
      </c>
      <c r="G21" s="68" t="inlineStr">
        <is>
          <t>Focus</t>
        </is>
      </c>
      <c r="H21" s="68" t="inlineStr">
        <is>
          <t>Combines focus pathways with complementary mechanisms across three herbs.</t>
        </is>
      </c>
      <c r="I21" s="68" t="inlineStr">
        <is>
          <t>Low</t>
        </is>
      </c>
      <c r="J21" s="68" t="inlineStr">
        <is>
          <t>Baseline, Elevated</t>
        </is>
      </c>
      <c r="K21" s="68" t="inlineStr">
        <is>
          <t>Review</t>
        </is>
      </c>
      <c r="L21" s="68" t="inlineStr">
        <is>
          <t>Needs manual safety review before default stack inclusion</t>
        </is>
      </c>
      <c r="M21" s="68" t="inlineStr">
        <is>
          <t>Daytime-first; start as a light 2-herb or low 3-herb concept.</t>
        </is>
      </c>
      <c r="N21" s="68" t="inlineStr">
        <is>
          <t>bleeding disorders; bleeding-risk; breastfeeding; glucose-lowering; lactation; monoamine-neuro</t>
        </is>
      </c>
      <c r="O21" s="68" t="inlineStr">
        <is>
          <t>Pass 21 product safety hardening from herb-level interaction and contraindication flags</t>
        </is>
      </c>
      <c r="P21" t="inlineStr">
        <is>
          <t>Review</t>
        </is>
      </c>
      <c r="Q21" t="inlineStr">
        <is>
          <t>Needs manual safety review before default stack inclusion</t>
        </is>
      </c>
      <c r="R21" t="inlineStr">
        <is>
          <t>Broad keyword flags reduced; only repeated meaningful overlaps now escalate by default.</t>
        </is>
      </c>
      <c r="S21" t="inlineStr">
        <is>
          <t>Review</t>
        </is>
      </c>
    </row>
    <row r="22">
      <c r="A22" s="68" t="inlineStr">
        <is>
          <t>3-Herb Stack</t>
        </is>
      </c>
      <c r="B22" s="68" t="inlineStr">
        <is>
          <t>Focus Stack: Panax + Green + Chinese</t>
        </is>
      </c>
      <c r="C22" s="68" t="inlineStr">
        <is>
          <t>Panax Ginseng</t>
        </is>
      </c>
      <c r="D22" s="68" t="inlineStr">
        <is>
          <t>Green Tea</t>
        </is>
      </c>
      <c r="E22" s="68" t="inlineStr">
        <is>
          <t>Chinese Skullcap</t>
        </is>
      </c>
      <c r="F22" s="68" t="inlineStr">
        <is>
          <t>Focus</t>
        </is>
      </c>
      <c r="G22" s="68" t="inlineStr">
        <is>
          <t>Focus</t>
        </is>
      </c>
      <c r="H22" s="68" t="inlineStr">
        <is>
          <t>Combines focus pathways with complementary mechanisms across three herbs.</t>
        </is>
      </c>
      <c r="I22" s="68" t="inlineStr">
        <is>
          <t>Low</t>
        </is>
      </c>
      <c r="J22" s="68" t="inlineStr">
        <is>
          <t>Baseline</t>
        </is>
      </c>
      <c r="K22" s="68" t="inlineStr">
        <is>
          <t>Publishable</t>
        </is>
      </c>
      <c r="L22" s="68" t="str"/>
      <c r="M22" s="68" t="inlineStr">
        <is>
          <t>Daytime-first; start as a light 2-herb or low 3-herb concept.</t>
        </is>
      </c>
      <c r="N22" s="68" t="inlineStr">
        <is>
          <t>sedation-cns</t>
        </is>
      </c>
      <c r="O22" s="68" t="inlineStr">
        <is>
          <t>Pass 21 product safety hardening from herb-level interaction and contraindication flags</t>
        </is>
      </c>
      <c r="P22" t="inlineStr">
        <is>
          <t>Publishable</t>
        </is>
      </c>
      <c r="R22" t="inlineStr">
        <is>
          <t>Broad keyword flags reduced; only repeated meaningful overlaps now escalate by default.</t>
        </is>
      </c>
      <c r="S22" t="inlineStr">
        <is>
          <t>Publishable</t>
        </is>
      </c>
    </row>
    <row r="23">
      <c r="A23" s="68" t="inlineStr">
        <is>
          <t>3-Herb Stack</t>
        </is>
      </c>
      <c r="B23" s="68" t="inlineStr">
        <is>
          <t>Focus Stack: Panax + Green + Epimedium</t>
        </is>
      </c>
      <c r="C23" s="68" t="inlineStr">
        <is>
          <t>Panax Ginseng</t>
        </is>
      </c>
      <c r="D23" s="68" t="inlineStr">
        <is>
          <t>Green Tea</t>
        </is>
      </c>
      <c r="E23" s="68" t="inlineStr">
        <is>
          <t>Epimedium</t>
        </is>
      </c>
      <c r="F23" s="68" t="inlineStr">
        <is>
          <t>Focus</t>
        </is>
      </c>
      <c r="G23" s="68" t="inlineStr">
        <is>
          <t>Focus</t>
        </is>
      </c>
      <c r="H23" s="68" t="inlineStr">
        <is>
          <t>Combines focus pathways with complementary mechanisms across three herbs.</t>
        </is>
      </c>
      <c r="I23" s="68" t="inlineStr">
        <is>
          <t>Low</t>
        </is>
      </c>
      <c r="J23" s="68" t="inlineStr">
        <is>
          <t>Baseline, Moderate</t>
        </is>
      </c>
      <c r="K23" s="68" t="inlineStr">
        <is>
          <t>Publishable</t>
        </is>
      </c>
      <c r="L23" s="68" t="str"/>
      <c r="M23" s="68" t="inlineStr">
        <is>
          <t>Daytime-first; start as a light 2-herb or low 3-herb concept.</t>
        </is>
      </c>
      <c r="N23" s="68" t="inlineStr">
        <is>
          <t>bleeding-risk; blood-pressure</t>
        </is>
      </c>
      <c r="O23" s="68" t="inlineStr">
        <is>
          <t>Pass 21 product safety hardening from herb-level interaction and contraindication flags</t>
        </is>
      </c>
      <c r="P23" t="inlineStr">
        <is>
          <t>Publishable</t>
        </is>
      </c>
      <c r="R23" t="inlineStr">
        <is>
          <t>Broad keyword flags reduced; only repeated meaningful overlaps now escalate by default.</t>
        </is>
      </c>
      <c r="S23" t="inlineStr">
        <is>
          <t>Publishable</t>
        </is>
      </c>
    </row>
    <row r="24">
      <c r="A24" s="68" t="inlineStr">
        <is>
          <t>3-Herb Stack</t>
        </is>
      </c>
      <c r="B24" s="68" t="inlineStr">
        <is>
          <t>Focus Stack: Ginkgo + Panax + Epimedium</t>
        </is>
      </c>
      <c r="C24" s="68" t="inlineStr">
        <is>
          <t>Ginkgo Biloba</t>
        </is>
      </c>
      <c r="D24" s="68" t="inlineStr">
        <is>
          <t>Panax Ginseng</t>
        </is>
      </c>
      <c r="E24" s="68" t="inlineStr">
        <is>
          <t>Epimedium</t>
        </is>
      </c>
      <c r="F24" s="68" t="inlineStr">
        <is>
          <t>Focus</t>
        </is>
      </c>
      <c r="G24" s="68" t="inlineStr">
        <is>
          <t>Focus</t>
        </is>
      </c>
      <c r="H24" s="68" t="inlineStr">
        <is>
          <t>Combines focus pathways with complementary mechanisms across three herbs.</t>
        </is>
      </c>
      <c r="I24" s="68" t="inlineStr">
        <is>
          <t>Low</t>
        </is>
      </c>
      <c r="J24" s="68" t="inlineStr">
        <is>
          <t>Baseline, Elevated, Moderate</t>
        </is>
      </c>
      <c r="K24" s="68" t="inlineStr">
        <is>
          <t>Review</t>
        </is>
      </c>
      <c r="L24" s="68" t="inlineStr">
        <is>
          <t>Repeated interaction flags: bleeding-risk; Needs manual safety review before default stack inclusion</t>
        </is>
      </c>
      <c r="M24" s="68" t="inlineStr">
        <is>
          <t>Daytime-first; start as a light 2-herb or low 3-herb concept.</t>
        </is>
      </c>
      <c r="N24" s="68" t="inlineStr">
        <is>
          <t>bleeding-risk</t>
        </is>
      </c>
      <c r="O24" s="68" t="inlineStr">
        <is>
          <t>Pass 21 product safety hardening from herb-level interaction and contraindication flags</t>
        </is>
      </c>
      <c r="P24" t="inlineStr">
        <is>
          <t>Review</t>
        </is>
      </c>
      <c r="Q24" t="inlineStr">
        <is>
          <t>Repeated meaningful interaction flags: bleeding-risk; Needs manual safety review before default stack inclusion</t>
        </is>
      </c>
      <c r="R24" t="inlineStr">
        <is>
          <t>Broad keyword flags reduced; only repeated meaningful overlaps now escalate by default.</t>
        </is>
      </c>
      <c r="S24" t="inlineStr">
        <is>
          <t>Review</t>
        </is>
      </c>
    </row>
    <row r="25">
      <c r="A25" s="68" t="inlineStr">
        <is>
          <t>3-Herb Stack</t>
        </is>
      </c>
      <c r="B25" s="68" t="inlineStr">
        <is>
          <t>Focus Stack: Panax + Chamomile + Black</t>
        </is>
      </c>
      <c r="C25" s="68" t="inlineStr">
        <is>
          <t>Panax Ginseng</t>
        </is>
      </c>
      <c r="D25" s="68" t="inlineStr">
        <is>
          <t>Chamomile</t>
        </is>
      </c>
      <c r="E25" s="68" t="inlineStr">
        <is>
          <t>Black Cohosh</t>
        </is>
      </c>
      <c r="F25" s="68" t="inlineStr">
        <is>
          <t>Focus</t>
        </is>
      </c>
      <c r="G25" s="68" t="inlineStr">
        <is>
          <t>Focus</t>
        </is>
      </c>
      <c r="H25" s="68" t="inlineStr">
        <is>
          <t>Combines focus pathways with complementary mechanisms across three herbs.</t>
        </is>
      </c>
      <c r="I25" s="68" t="inlineStr">
        <is>
          <t>Low</t>
        </is>
      </c>
      <c r="J25" s="68" t="inlineStr">
        <is>
          <t>Baseline, Elevated</t>
        </is>
      </c>
      <c r="K25" s="68" t="inlineStr">
        <is>
          <t>Review</t>
        </is>
      </c>
      <c r="L25" s="68" t="inlineStr">
        <is>
          <t>Hormonal/hepatic context is too sensitive for default beginner stack use</t>
        </is>
      </c>
      <c r="M25" s="68" t="inlineStr">
        <is>
          <t>Daytime-first; start as a light 2-herb or low 3-herb concept.</t>
        </is>
      </c>
      <c r="N25" s="68" t="inlineStr">
        <is>
          <t>breastfeeding; hepatic-caution; hormone-sensitive conditions; lactation; liver disease; monoamine-neuro</t>
        </is>
      </c>
      <c r="O25" s="68" t="inlineStr">
        <is>
          <t>Pass 21 product safety hardening from herb-level interaction and contraindication flags</t>
        </is>
      </c>
      <c r="P25" t="inlineStr">
        <is>
          <t>Review</t>
        </is>
      </c>
      <c r="Q25" t="inlineStr">
        <is>
          <t>Context-sensitive herb kept conservative for default product stacks</t>
        </is>
      </c>
      <c r="R25" t="inlineStr">
        <is>
          <t>Broad keyword flags reduced; only repeated meaningful overlaps now escalate by default.</t>
        </is>
      </c>
      <c r="S25" t="inlineStr">
        <is>
          <t>Review</t>
        </is>
      </c>
    </row>
    <row r="26">
      <c r="A26" s="68" t="inlineStr">
        <is>
          <t>3-Herb Stack</t>
        </is>
      </c>
      <c r="B26" s="68" t="inlineStr">
        <is>
          <t>Focus Stack: Ginkgo + Chamomile + Black</t>
        </is>
      </c>
      <c r="C26" s="68" t="inlineStr">
        <is>
          <t>Ginkgo Biloba</t>
        </is>
      </c>
      <c r="D26" s="68" t="inlineStr">
        <is>
          <t>Chamomile</t>
        </is>
      </c>
      <c r="E26" s="68" t="inlineStr">
        <is>
          <t>Black Cohosh</t>
        </is>
      </c>
      <c r="F26" s="68" t="inlineStr">
        <is>
          <t>Focus</t>
        </is>
      </c>
      <c r="G26" s="68" t="inlineStr">
        <is>
          <t>Focus</t>
        </is>
      </c>
      <c r="H26" s="68" t="inlineStr">
        <is>
          <t>Combines focus pathways with complementary mechanisms across three herbs.</t>
        </is>
      </c>
      <c r="I26" s="68" t="inlineStr">
        <is>
          <t>Low</t>
        </is>
      </c>
      <c r="J26" s="68" t="inlineStr">
        <is>
          <t>Baseline, Elevated</t>
        </is>
      </c>
      <c r="K26" s="68" t="inlineStr">
        <is>
          <t>Hold</t>
        </is>
      </c>
      <c r="L26" s="68" t="inlineStr">
        <is>
          <t>Multiple elevated-safety herbs in one default product stack</t>
        </is>
      </c>
      <c r="M26" s="68" t="inlineStr">
        <is>
          <t>Daytime-first; start as a light 2-herb or low 3-herb concept.</t>
        </is>
      </c>
      <c r="N26" s="68" t="inlineStr">
        <is>
          <t>lactation; monoamine-neuro; pregnancy; breastfeeding; pregnancy</t>
        </is>
      </c>
      <c r="O26" s="68" t="inlineStr">
        <is>
          <t>Pass 21 product safety hardening from herb-level interaction and contraindication flags</t>
        </is>
      </c>
      <c r="P26" t="inlineStr">
        <is>
          <t>Hold</t>
        </is>
      </c>
      <c r="Q26" t="inlineStr">
        <is>
          <t>Multiple elevated-safety herbs in one default product stack</t>
        </is>
      </c>
      <c r="R26" t="inlineStr">
        <is>
          <t>Broad keyword flags reduced; only repeated meaningful overlaps now escalate by default.</t>
        </is>
      </c>
      <c r="S26" t="inlineStr">
        <is>
          <t>Hold</t>
        </is>
      </c>
    </row>
    <row r="27">
      <c r="A27" s="68" t="inlineStr">
        <is>
          <t>3-Herb Stack</t>
        </is>
      </c>
      <c r="B27" s="68" t="inlineStr">
        <is>
          <t>Focus Stack: Panax + Epimedium + Black</t>
        </is>
      </c>
      <c r="C27" s="68" t="inlineStr">
        <is>
          <t>Panax Ginseng</t>
        </is>
      </c>
      <c r="D27" s="68" t="inlineStr">
        <is>
          <t>Epimedium</t>
        </is>
      </c>
      <c r="E27" s="68" t="inlineStr">
        <is>
          <t>Black Cohosh</t>
        </is>
      </c>
      <c r="F27" s="68" t="inlineStr">
        <is>
          <t>Focus</t>
        </is>
      </c>
      <c r="G27" s="68" t="inlineStr">
        <is>
          <t>Focus</t>
        </is>
      </c>
      <c r="H27" s="68" t="inlineStr">
        <is>
          <t>Combines focus pathways with complementary mechanisms across three herbs.</t>
        </is>
      </c>
      <c r="I27" s="68" t="inlineStr">
        <is>
          <t>Low</t>
        </is>
      </c>
      <c r="J27" s="68" t="inlineStr">
        <is>
          <t>Baseline, Elevated, Moderate</t>
        </is>
      </c>
      <c r="K27" s="68" t="inlineStr">
        <is>
          <t>Review</t>
        </is>
      </c>
      <c r="L27" s="68" t="inlineStr">
        <is>
          <t>Hormonal/hepatic context is too sensitive for default beginner stack use</t>
        </is>
      </c>
      <c r="M27" s="68" t="inlineStr">
        <is>
          <t>Daytime-first; start as a light 2-herb or low 3-herb concept.</t>
        </is>
      </c>
      <c r="N27" s="68" t="inlineStr">
        <is>
          <t>bleeding-risk; blood-pressure; breastfeeding; hepatic-caution; hormone-sensitive conditions; lactation</t>
        </is>
      </c>
      <c r="O27" s="68" t="inlineStr">
        <is>
          <t>Pass 21 product safety hardening from herb-level interaction and contraindication flags</t>
        </is>
      </c>
      <c r="P27" t="inlineStr">
        <is>
          <t>Review</t>
        </is>
      </c>
      <c r="Q27" t="inlineStr">
        <is>
          <t>Context-sensitive herb kept conservative for default product stacks</t>
        </is>
      </c>
      <c r="R27" t="inlineStr">
        <is>
          <t>Broad keyword flags reduced; only repeated meaningful overlaps now escalate by default.</t>
        </is>
      </c>
      <c r="S27" t="inlineStr">
        <is>
          <t>Review</t>
        </is>
      </c>
    </row>
    <row r="28">
      <c r="A28" s="68" t="inlineStr">
        <is>
          <t>3-Herb Stack</t>
        </is>
      </c>
      <c r="B28" s="68" t="inlineStr">
        <is>
          <t>Stress Stack: Ginkgo + Chinese + Ashwagandha</t>
        </is>
      </c>
      <c r="C28" s="68" t="inlineStr">
        <is>
          <t>Ginkgo Biloba</t>
        </is>
      </c>
      <c r="D28" s="68" t="inlineStr">
        <is>
          <t>Chinese Skullcap</t>
        </is>
      </c>
      <c r="E28" s="68" t="inlineStr">
        <is>
          <t>Ashwagandha</t>
        </is>
      </c>
      <c r="F28" s="68" t="inlineStr">
        <is>
          <t>Stress</t>
        </is>
      </c>
      <c r="G28" s="68" t="inlineStr">
        <is>
          <t>Stress</t>
        </is>
      </c>
      <c r="H28" s="68" t="inlineStr">
        <is>
          <t>Combines stress pathways with complementary mechanisms across three herbs.</t>
        </is>
      </c>
      <c r="I28" s="68" t="inlineStr">
        <is>
          <t>Low</t>
        </is>
      </c>
      <c r="J28" s="68" t="inlineStr">
        <is>
          <t>Baseline, Elevated</t>
        </is>
      </c>
      <c r="K28" s="68" t="inlineStr">
        <is>
          <t>Hold</t>
        </is>
      </c>
      <c r="L28" s="68" t="inlineStr">
        <is>
          <t>Multiple elevated-safety herbs in one default product stack</t>
        </is>
      </c>
      <c r="M28" s="68" t="inlineStr">
        <is>
          <t>Prefer evening or split use; start light.</t>
        </is>
      </c>
      <c r="N28" s="68" t="inlineStr">
        <is>
          <t>glucose-lowering; lactation; pregnancy; sedation-cns; breastfeeding; pregnancy</t>
        </is>
      </c>
      <c r="O28" s="68" t="inlineStr">
        <is>
          <t>Pass 21 product safety hardening from herb-level interaction and contraindication flags</t>
        </is>
      </c>
      <c r="P28" t="inlineStr">
        <is>
          <t>Hold</t>
        </is>
      </c>
      <c r="Q28" t="inlineStr">
        <is>
          <t>Multiple elevated-safety herbs in one default product stack</t>
        </is>
      </c>
      <c r="R28" t="inlineStr">
        <is>
          <t>Broad keyword flags reduced; only repeated meaningful overlaps now escalate by default.</t>
        </is>
      </c>
      <c r="S28" t="inlineStr">
        <is>
          <t>Hold</t>
        </is>
      </c>
    </row>
    <row r="29">
      <c r="A29" s="68" t="inlineStr">
        <is>
          <t>3-Herb Stack</t>
        </is>
      </c>
      <c r="B29" s="68" t="inlineStr">
        <is>
          <t>Focus Stack: Panax + Green + Black</t>
        </is>
      </c>
      <c r="C29" s="68" t="inlineStr">
        <is>
          <t>Panax Ginseng</t>
        </is>
      </c>
      <c r="D29" s="68" t="inlineStr">
        <is>
          <t>Green Tea</t>
        </is>
      </c>
      <c r="E29" s="68" t="inlineStr">
        <is>
          <t>Black Cohosh</t>
        </is>
      </c>
      <c r="F29" s="68" t="inlineStr">
        <is>
          <t>Focus</t>
        </is>
      </c>
      <c r="G29" s="68" t="inlineStr">
        <is>
          <t>Focus</t>
        </is>
      </c>
      <c r="H29" s="68" t="inlineStr">
        <is>
          <t>Combines focus pathways with complementary mechanisms across three herbs.</t>
        </is>
      </c>
      <c r="I29" s="68" t="inlineStr">
        <is>
          <t>Low</t>
        </is>
      </c>
      <c r="J29" s="68" t="inlineStr">
        <is>
          <t>Baseline, Elevated</t>
        </is>
      </c>
      <c r="K29" s="68" t="inlineStr">
        <is>
          <t>Review</t>
        </is>
      </c>
      <c r="L29" s="68" t="inlineStr">
        <is>
          <t>Hormonal/hepatic context is too sensitive for default beginner stack use</t>
        </is>
      </c>
      <c r="M29" s="68" t="inlineStr">
        <is>
          <t>Daytime-first; start as a light 2-herb or low 3-herb concept.</t>
        </is>
      </c>
      <c r="N29" s="68" t="inlineStr">
        <is>
          <t>breastfeeding; hepatic-caution; hormone-sensitive conditions; lactation; liver disease; monoamine-neuro</t>
        </is>
      </c>
      <c r="O29" s="68" t="inlineStr">
        <is>
          <t>Pass 21 product safety hardening from herb-level interaction and contraindication flags</t>
        </is>
      </c>
      <c r="P29" t="inlineStr">
        <is>
          <t>Review</t>
        </is>
      </c>
      <c r="Q29" t="inlineStr">
        <is>
          <t>Context-sensitive herb kept conservative for default product stacks</t>
        </is>
      </c>
      <c r="R29" t="inlineStr">
        <is>
          <t>Broad keyword flags reduced; only repeated meaningful overlaps now escalate by default.</t>
        </is>
      </c>
      <c r="S29" t="inlineStr">
        <is>
          <t>Review</t>
        </is>
      </c>
    </row>
  </sheetData>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28" customWidth="1" min="2" max="2"/>
  </cols>
  <sheetData>
    <row r="1">
      <c r="A1" s="78" t="inlineStr">
        <is>
          <t>Metric</t>
        </is>
      </c>
      <c r="B1" s="78" t="inlineStr">
        <is>
          <t>Value</t>
        </is>
      </c>
    </row>
    <row r="2">
      <c r="A2" t="inlineStr">
        <is>
          <t>Pass</t>
        </is>
      </c>
      <c r="B2" t="inlineStr">
        <is>
          <t>21</t>
        </is>
      </c>
    </row>
    <row r="3">
      <c r="A3" t="inlineStr">
        <is>
          <t>Focus</t>
        </is>
      </c>
      <c r="B3" t="inlineStr">
        <is>
          <t>Herb-level dosage and safety enrichment</t>
        </is>
      </c>
    </row>
    <row r="4">
      <c r="A4" t="inlineStr">
        <is>
          <t>Herbs enriched</t>
        </is>
      </c>
      <c r="B4" t="n">
        <v>172</v>
      </c>
    </row>
    <row r="5">
      <c r="A5" t="inlineStr">
        <is>
          <t>Herbs marked Baseline</t>
        </is>
      </c>
      <c r="B5" t="n">
        <v>94</v>
      </c>
    </row>
    <row r="6">
      <c r="A6" t="inlineStr">
        <is>
          <t>Herbs marked Moderate</t>
        </is>
      </c>
      <c r="B6" t="n">
        <v>70</v>
      </c>
    </row>
    <row r="7">
      <c r="A7" t="inlineStr">
        <is>
          <t>Herbs marked Elevated</t>
        </is>
      </c>
      <c r="B7" t="n">
        <v>8</v>
      </c>
    </row>
    <row r="8">
      <c r="A8" t="inlineStr">
        <is>
          <t>Product rows processed</t>
        </is>
      </c>
      <c r="B8" t="n">
        <v>28</v>
      </c>
    </row>
    <row r="9">
      <c r="A9" t="inlineStr">
        <is>
          <t>Product rows Publishable</t>
        </is>
      </c>
      <c r="B9" t="n">
        <v>2</v>
      </c>
    </row>
    <row r="10">
      <c r="A10" t="inlineStr">
        <is>
          <t>Product rows Review</t>
        </is>
      </c>
      <c r="B10" t="n">
        <v>17</v>
      </c>
    </row>
    <row r="11">
      <c r="A11" t="inlineStr">
        <is>
          <t>Product rows Hold</t>
        </is>
      </c>
      <c r="B11" t="n">
        <v>9</v>
      </c>
    </row>
  </sheetData>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Rank</t>
        </is>
      </c>
      <c r="B1" t="inlineStr">
        <is>
          <t>Product Type</t>
        </is>
      </c>
      <c r="C1" t="inlineStr">
        <is>
          <t>Stack Name</t>
        </is>
      </c>
      <c r="D1" t="inlineStr">
        <is>
          <t>Herb A</t>
        </is>
      </c>
      <c r="E1" t="inlineStr">
        <is>
          <t>Herb B</t>
        </is>
      </c>
      <c r="F1" t="inlineStr">
        <is>
          <t>Herb C</t>
        </is>
      </c>
      <c r="G1" t="inlineStr">
        <is>
          <t>Category</t>
        </is>
      </c>
      <c r="H1" t="inlineStr">
        <is>
          <t>Base Risk Tier</t>
        </is>
      </c>
      <c r="I1" t="inlineStr">
        <is>
          <t>Stack Safety Summary</t>
        </is>
      </c>
      <c r="J1" t="inlineStr">
        <is>
          <t>Publishable Status V2</t>
        </is>
      </c>
      <c r="K1" t="inlineStr">
        <is>
          <t>Refined Exclusion Reason</t>
        </is>
      </c>
      <c r="L1" t="inlineStr">
        <is>
          <t>Dosage Framing</t>
        </is>
      </c>
      <c r="M1" t="inlineStr">
        <is>
          <t>Safety Flags</t>
        </is>
      </c>
    </row>
    <row r="2">
      <c r="A2" t="n">
        <v>1</v>
      </c>
      <c r="B2" t="inlineStr">
        <is>
          <t>3-Herb Stack</t>
        </is>
      </c>
      <c r="C2" t="inlineStr">
        <is>
          <t>Focus Stack: Ginkgo + Panax + Chinese</t>
        </is>
      </c>
      <c r="D2" t="inlineStr">
        <is>
          <t>Ginkgo Biloba</t>
        </is>
      </c>
      <c r="E2" t="inlineStr">
        <is>
          <t>Panax Ginseng</t>
        </is>
      </c>
      <c r="F2" t="inlineStr">
        <is>
          <t>Chinese Skullcap</t>
        </is>
      </c>
      <c r="G2" t="inlineStr">
        <is>
          <t>Focus</t>
        </is>
      </c>
      <c r="H2" t="inlineStr">
        <is>
          <t>Low</t>
        </is>
      </c>
      <c r="I2" t="inlineStr">
        <is>
          <t>Baseline, Elevated</t>
        </is>
      </c>
      <c r="J2" t="inlineStr">
        <is>
          <t>Review</t>
        </is>
      </c>
      <c r="K2" t="inlineStr">
        <is>
          <t>Needs manual safety review before default stack inclusion</t>
        </is>
      </c>
      <c r="L2" t="inlineStr">
        <is>
          <t>Daytime-first; start as a light 2-herb or low 3-herb concept.</t>
        </is>
      </c>
      <c r="M2" t="inlineStr">
        <is>
          <t>bleeding disorders; bleeding-risk; breastfeeding; glucose-lowering; lactation; monoamine-neuro</t>
        </is>
      </c>
    </row>
    <row r="3">
      <c r="A3" t="n">
        <v>2</v>
      </c>
      <c r="B3" t="inlineStr">
        <is>
          <t>3-Herb Stack</t>
        </is>
      </c>
      <c r="C3" t="inlineStr">
        <is>
          <t>Focus Stack: Ginkgo + Panax + Green</t>
        </is>
      </c>
      <c r="D3" t="inlineStr">
        <is>
          <t>Ginkgo Biloba</t>
        </is>
      </c>
      <c r="E3" t="inlineStr">
        <is>
          <t>Panax Ginseng</t>
        </is>
      </c>
      <c r="F3" t="inlineStr">
        <is>
          <t>Green Tea</t>
        </is>
      </c>
      <c r="G3" t="inlineStr">
        <is>
          <t>Focus</t>
        </is>
      </c>
      <c r="H3" t="inlineStr">
        <is>
          <t>Low</t>
        </is>
      </c>
      <c r="I3" t="inlineStr">
        <is>
          <t>Baseline, Elevated</t>
        </is>
      </c>
      <c r="J3" t="inlineStr">
        <is>
          <t>Review</t>
        </is>
      </c>
      <c r="K3" t="inlineStr">
        <is>
          <t>Needs manual safety review before default stack inclusion</t>
        </is>
      </c>
      <c r="L3" t="inlineStr">
        <is>
          <t>Daytime-first; start as a light 2-herb or low 3-herb concept.</t>
        </is>
      </c>
      <c r="M3" t="inlineStr">
        <is>
          <t>bleeding disorders; bleeding-risk; breastfeeding; glucose-lowering; lactation; monoamine-neuro</t>
        </is>
      </c>
    </row>
    <row r="4">
      <c r="A4" t="n">
        <v>3</v>
      </c>
      <c r="B4" t="inlineStr">
        <is>
          <t>3-Herb Stack</t>
        </is>
      </c>
      <c r="C4" t="inlineStr">
        <is>
          <t>Focus Stack: Ginkgo + Panax + Chamomile</t>
        </is>
      </c>
      <c r="D4" t="inlineStr">
        <is>
          <t>Ginkgo Biloba</t>
        </is>
      </c>
      <c r="E4" t="inlineStr">
        <is>
          <t>Panax Ginseng</t>
        </is>
      </c>
      <c r="F4" t="inlineStr">
        <is>
          <t>Chamomile</t>
        </is>
      </c>
      <c r="G4" t="inlineStr">
        <is>
          <t>Focus</t>
        </is>
      </c>
      <c r="H4" t="inlineStr">
        <is>
          <t>Low</t>
        </is>
      </c>
      <c r="I4" t="inlineStr">
        <is>
          <t>Baseline, Elevated</t>
        </is>
      </c>
      <c r="J4" t="inlineStr">
        <is>
          <t>Review</t>
        </is>
      </c>
      <c r="K4" t="inlineStr">
        <is>
          <t>Needs manual safety review before default stack inclusion</t>
        </is>
      </c>
      <c r="L4" t="inlineStr">
        <is>
          <t>Daytime-first; start as a light 2-herb or low 3-herb concept.</t>
        </is>
      </c>
      <c r="M4" t="inlineStr">
        <is>
          <t>bleeding disorders; bleeding-risk; breastfeeding; glucose-lowering; lactation; monoamine-neuro</t>
        </is>
      </c>
    </row>
    <row r="5">
      <c r="A5" t="n">
        <v>4</v>
      </c>
      <c r="B5" t="inlineStr">
        <is>
          <t>3-Herb Stack</t>
        </is>
      </c>
      <c r="C5" t="inlineStr">
        <is>
          <t>Focus Stack: Ginkgo + Panax + Blue</t>
        </is>
      </c>
      <c r="D5" t="inlineStr">
        <is>
          <t>Ginkgo Biloba</t>
        </is>
      </c>
      <c r="E5" t="inlineStr">
        <is>
          <t>Panax Ginseng</t>
        </is>
      </c>
      <c r="F5" t="inlineStr">
        <is>
          <t>Blue Lotus</t>
        </is>
      </c>
      <c r="G5" t="inlineStr">
        <is>
          <t>Focus</t>
        </is>
      </c>
      <c r="H5" t="inlineStr">
        <is>
          <t>Low</t>
        </is>
      </c>
      <c r="I5" t="inlineStr">
        <is>
          <t>Baseline, Elevated</t>
        </is>
      </c>
      <c r="J5" t="inlineStr">
        <is>
          <t>Review</t>
        </is>
      </c>
      <c r="K5" t="inlineStr">
        <is>
          <t>Needs manual safety review before default stack inclusion</t>
        </is>
      </c>
      <c r="L5" t="inlineStr">
        <is>
          <t>Daytime-first; start as a light 2-herb or low 3-herb concept.</t>
        </is>
      </c>
      <c r="M5" t="inlineStr">
        <is>
          <t>bleeding disorders; bleeding-risk; breastfeeding; glucose-lowering; lactation; monoamine-neuro</t>
        </is>
      </c>
    </row>
    <row r="6">
      <c r="A6" t="n">
        <v>5</v>
      </c>
      <c r="B6" t="inlineStr">
        <is>
          <t>3-Herb Stack</t>
        </is>
      </c>
      <c r="C6" t="inlineStr">
        <is>
          <t>Focus Stack: Ginkgo + Panax + Black</t>
        </is>
      </c>
      <c r="D6" t="inlineStr">
        <is>
          <t>Ginkgo Biloba</t>
        </is>
      </c>
      <c r="E6" t="inlineStr">
        <is>
          <t>Panax Ginseng</t>
        </is>
      </c>
      <c r="F6" t="inlineStr">
        <is>
          <t>Black Pepper</t>
        </is>
      </c>
      <c r="G6" t="inlineStr">
        <is>
          <t>Focus</t>
        </is>
      </c>
      <c r="H6" t="inlineStr">
        <is>
          <t>Low</t>
        </is>
      </c>
      <c r="I6" t="inlineStr">
        <is>
          <t>Baseline, Elevated</t>
        </is>
      </c>
      <c r="J6" t="inlineStr">
        <is>
          <t>Review</t>
        </is>
      </c>
      <c r="K6" t="inlineStr">
        <is>
          <t>Needs manual safety review before default stack inclusion</t>
        </is>
      </c>
      <c r="L6" t="inlineStr">
        <is>
          <t>Daytime-first; start as a light 2-herb or low 3-herb concept.</t>
        </is>
      </c>
      <c r="M6" t="inlineStr">
        <is>
          <t>bleeding disorders; bleeding-risk; breastfeeding; glucose-lowering; lactation; monoamine-neuro</t>
        </is>
      </c>
    </row>
    <row r="7">
      <c r="A7" t="n">
        <v>6</v>
      </c>
      <c r="B7" t="inlineStr">
        <is>
          <t>3-Herb Stack</t>
        </is>
      </c>
      <c r="C7" t="inlineStr">
        <is>
          <t>Focus Stack: Panax + Chinese + Ashwagandha</t>
        </is>
      </c>
      <c r="D7" t="inlineStr">
        <is>
          <t>Panax Ginseng</t>
        </is>
      </c>
      <c r="E7" t="inlineStr">
        <is>
          <t>Chinese Skullcap</t>
        </is>
      </c>
      <c r="F7" t="inlineStr">
        <is>
          <t>Ashwagandha</t>
        </is>
      </c>
      <c r="G7" t="inlineStr">
        <is>
          <t>Focus</t>
        </is>
      </c>
      <c r="H7" t="inlineStr">
        <is>
          <t>Low</t>
        </is>
      </c>
      <c r="I7" t="inlineStr">
        <is>
          <t>Baseline, Elevated</t>
        </is>
      </c>
      <c r="J7" t="inlineStr">
        <is>
          <t>Review</t>
        </is>
      </c>
      <c r="K7" t="inlineStr">
        <is>
          <t>Repeated meaningful interaction flags: sedation-cns; Needs manual safety review before default stack inclusion</t>
        </is>
      </c>
      <c r="L7" t="inlineStr">
        <is>
          <t>Daytime-first; start as a light 2-herb or low 3-herb concept.</t>
        </is>
      </c>
      <c r="M7" t="inlineStr">
        <is>
          <t>sedation-cns</t>
        </is>
      </c>
    </row>
    <row r="8">
      <c r="A8" t="n">
        <v>7</v>
      </c>
      <c r="B8" t="inlineStr">
        <is>
          <t>3-Herb Stack</t>
        </is>
      </c>
      <c r="C8" t="inlineStr">
        <is>
          <t>Focus Stack: Ginkgo + Panax + Corydalis</t>
        </is>
      </c>
      <c r="D8" t="inlineStr">
        <is>
          <t>Ginkgo Biloba</t>
        </is>
      </c>
      <c r="E8" t="inlineStr">
        <is>
          <t>Panax Ginseng</t>
        </is>
      </c>
      <c r="F8" t="inlineStr">
        <is>
          <t>Corydalis</t>
        </is>
      </c>
      <c r="G8" t="inlineStr">
        <is>
          <t>Focus</t>
        </is>
      </c>
      <c r="H8" t="inlineStr">
        <is>
          <t>Low</t>
        </is>
      </c>
      <c r="I8" t="inlineStr">
        <is>
          <t>Baseline, Elevated</t>
        </is>
      </c>
      <c r="J8" t="inlineStr">
        <is>
          <t>Review</t>
        </is>
      </c>
      <c r="K8" t="inlineStr">
        <is>
          <t>Needs manual safety review before default stack inclusion</t>
        </is>
      </c>
      <c r="L8" t="inlineStr">
        <is>
          <t>Daytime-first; start as a light 2-herb or low 3-herb concept.</t>
        </is>
      </c>
      <c r="M8" t="inlineStr">
        <is>
          <t>bleeding disorders; bleeding-risk; breastfeeding; glucose-lowering; lactation; monoamine-neuro</t>
        </is>
      </c>
    </row>
    <row r="9">
      <c r="A9" t="n">
        <v>8</v>
      </c>
      <c r="B9" t="inlineStr">
        <is>
          <t>3-Herb Stack</t>
        </is>
      </c>
      <c r="C9" t="inlineStr">
        <is>
          <t>Focus Stack: Panax + Epimedium + Ashwagandha</t>
        </is>
      </c>
      <c r="D9" t="inlineStr">
        <is>
          <t>Panax Ginseng</t>
        </is>
      </c>
      <c r="E9" t="inlineStr">
        <is>
          <t>Epimedium</t>
        </is>
      </c>
      <c r="F9" t="inlineStr">
        <is>
          <t>Ashwagandha</t>
        </is>
      </c>
      <c r="G9" t="inlineStr">
        <is>
          <t>Focus</t>
        </is>
      </c>
      <c r="H9" t="inlineStr">
        <is>
          <t>Low</t>
        </is>
      </c>
      <c r="I9" t="inlineStr">
        <is>
          <t>Baseline, Elevated, Moderate</t>
        </is>
      </c>
      <c r="J9" t="inlineStr">
        <is>
          <t>Review</t>
        </is>
      </c>
      <c r="K9" t="inlineStr">
        <is>
          <t>Needs manual safety review before default stack inclusion</t>
        </is>
      </c>
      <c r="L9" t="inlineStr">
        <is>
          <t>Daytime-first; start as a light 2-herb or low 3-herb concept.</t>
        </is>
      </c>
      <c r="M9" t="inlineStr">
        <is>
          <t>blood-pressure</t>
        </is>
      </c>
    </row>
    <row r="10">
      <c r="A10" t="n">
        <v>9</v>
      </c>
      <c r="B10" t="inlineStr">
        <is>
          <t>3-Herb Stack</t>
        </is>
      </c>
      <c r="C10" t="inlineStr">
        <is>
          <t>Focus Stack: Ginkgo + Chamomile + Chinese</t>
        </is>
      </c>
      <c r="D10" t="inlineStr">
        <is>
          <t>Ginkgo Biloba</t>
        </is>
      </c>
      <c r="E10" t="inlineStr">
        <is>
          <t>Chamomile</t>
        </is>
      </c>
      <c r="F10" t="inlineStr">
        <is>
          <t>Chinese Skullcap</t>
        </is>
      </c>
      <c r="G10" t="inlineStr">
        <is>
          <t>Focus</t>
        </is>
      </c>
      <c r="H10" t="inlineStr">
        <is>
          <t>Low</t>
        </is>
      </c>
      <c r="I10" t="inlineStr">
        <is>
          <t>Baseline, Elevated</t>
        </is>
      </c>
      <c r="J10" t="inlineStr">
        <is>
          <t>Review</t>
        </is>
      </c>
      <c r="K10" t="inlineStr">
        <is>
          <t>Repeated meaningful interaction flags: sedation-cns; Needs manual safety review before default stack inclusion</t>
        </is>
      </c>
      <c r="L10" t="inlineStr">
        <is>
          <t>Daytime-first; start as a light 2-herb or low 3-herb concept.</t>
        </is>
      </c>
      <c r="M10" t="inlineStr">
        <is>
          <t>sedation-cns</t>
        </is>
      </c>
    </row>
    <row r="11">
      <c r="A11" t="n">
        <v>10</v>
      </c>
      <c r="B11" t="inlineStr">
        <is>
          <t>3-Herb Stack</t>
        </is>
      </c>
      <c r="C11" t="inlineStr">
        <is>
          <t>Focus Stack: Ginkgo + Green + Chinese</t>
        </is>
      </c>
      <c r="D11" t="inlineStr">
        <is>
          <t>Ginkgo Biloba</t>
        </is>
      </c>
      <c r="E11" t="inlineStr">
        <is>
          <t>Green Tea</t>
        </is>
      </c>
      <c r="F11" t="inlineStr">
        <is>
          <t>Chinese Skullcap</t>
        </is>
      </c>
      <c r="G11" t="inlineStr">
        <is>
          <t>Focus</t>
        </is>
      </c>
      <c r="H11" t="inlineStr">
        <is>
          <t>Low</t>
        </is>
      </c>
      <c r="I11" t="inlineStr">
        <is>
          <t>Baseline, Elevated</t>
        </is>
      </c>
      <c r="J11" t="inlineStr">
        <is>
          <t>Review</t>
        </is>
      </c>
      <c r="K11" t="inlineStr">
        <is>
          <t>Needs manual safety review before default stack inclusion</t>
        </is>
      </c>
      <c r="L11" t="inlineStr">
        <is>
          <t>Daytime-first; start as a light 2-herb or low 3-herb concept.</t>
        </is>
      </c>
      <c r="M11" t="inlineStr">
        <is>
          <t>bleeding disorders; bleeding-risk; breastfeeding; glucose-lowering; lactation; monoamine-neuro</t>
        </is>
      </c>
    </row>
    <row r="12">
      <c r="A12" t="n">
        <v>11</v>
      </c>
      <c r="B12" t="inlineStr">
        <is>
          <t>3-Herb Stack</t>
        </is>
      </c>
      <c r="C12" t="inlineStr">
        <is>
          <t>Focus Stack: Panax + Chamomile + Ashwagandha</t>
        </is>
      </c>
      <c r="D12" t="inlineStr">
        <is>
          <t>Panax Ginseng</t>
        </is>
      </c>
      <c r="E12" t="inlineStr">
        <is>
          <t>Chamomile</t>
        </is>
      </c>
      <c r="F12" t="inlineStr">
        <is>
          <t>Ashwagandha</t>
        </is>
      </c>
      <c r="G12" t="inlineStr">
        <is>
          <t>Focus</t>
        </is>
      </c>
      <c r="H12" t="inlineStr">
        <is>
          <t>Low</t>
        </is>
      </c>
      <c r="I12" t="inlineStr">
        <is>
          <t>Baseline, Elevated</t>
        </is>
      </c>
      <c r="J12" t="inlineStr">
        <is>
          <t>Review</t>
        </is>
      </c>
      <c r="K12" t="inlineStr">
        <is>
          <t>Repeated meaningful interaction flags: sedation-cns; Needs manual safety review before default stack inclusion</t>
        </is>
      </c>
      <c r="L12" t="inlineStr">
        <is>
          <t>Daytime-first; start as a light 2-herb or low 3-herb concept.</t>
        </is>
      </c>
      <c r="M12" t="inlineStr">
        <is>
          <t>sedation-cns</t>
        </is>
      </c>
    </row>
    <row r="13">
      <c r="A13" t="n">
        <v>12</v>
      </c>
      <c r="B13" t="inlineStr">
        <is>
          <t>3-Herb Stack</t>
        </is>
      </c>
      <c r="C13" t="inlineStr">
        <is>
          <t>Focus Stack: Panax + Green + Ashwagandha</t>
        </is>
      </c>
      <c r="D13" t="inlineStr">
        <is>
          <t>Panax Ginseng</t>
        </is>
      </c>
      <c r="E13" t="inlineStr">
        <is>
          <t>Green Tea</t>
        </is>
      </c>
      <c r="F13" t="inlineStr">
        <is>
          <t>Ashwagandha</t>
        </is>
      </c>
      <c r="G13" t="inlineStr">
        <is>
          <t>Focus</t>
        </is>
      </c>
      <c r="H13" t="inlineStr">
        <is>
          <t>Low</t>
        </is>
      </c>
      <c r="I13" t="inlineStr">
        <is>
          <t>Baseline, Elevated</t>
        </is>
      </c>
      <c r="J13" t="inlineStr">
        <is>
          <t>Review</t>
        </is>
      </c>
      <c r="K13" t="inlineStr">
        <is>
          <t>Needs manual safety review before default stack inclusion</t>
        </is>
      </c>
      <c r="L13" t="inlineStr">
        <is>
          <t>Daytime-first; start as a light 2-herb or low 3-herb concept.</t>
        </is>
      </c>
      <c r="M13" t="inlineStr">
        <is>
          <t>autoimmune disease; blood-pressure; breastfeeding; glucose-lowering; hepatic-caution; immune-caution</t>
        </is>
      </c>
    </row>
    <row r="14">
      <c r="A14" t="n">
        <v>13</v>
      </c>
      <c r="B14" t="inlineStr">
        <is>
          <t>3-Herb Stack</t>
        </is>
      </c>
      <c r="C14" t="inlineStr">
        <is>
          <t>Focus Stack: Ginkgo + Green + Black</t>
        </is>
      </c>
      <c r="D14" t="inlineStr">
        <is>
          <t>Ginkgo Biloba</t>
        </is>
      </c>
      <c r="E14" t="inlineStr">
        <is>
          <t>Green Tea</t>
        </is>
      </c>
      <c r="F14" t="inlineStr">
        <is>
          <t>Black Pepper</t>
        </is>
      </c>
      <c r="G14" t="inlineStr">
        <is>
          <t>Focus</t>
        </is>
      </c>
      <c r="H14" t="inlineStr">
        <is>
          <t>Low</t>
        </is>
      </c>
      <c r="I14" t="inlineStr">
        <is>
          <t>Baseline, Elevated</t>
        </is>
      </c>
      <c r="J14" t="inlineStr">
        <is>
          <t>Review</t>
        </is>
      </c>
      <c r="K14" t="inlineStr">
        <is>
          <t>Needs manual safety review before default stack inclusion</t>
        </is>
      </c>
      <c r="L14" t="inlineStr">
        <is>
          <t>Daytime-first; start as a light 2-herb or low 3-herb concept.</t>
        </is>
      </c>
      <c r="M14" t="inlineStr">
        <is>
          <t>bleeding disorders; bleeding-risk; breastfeeding; glucose-lowering; lactation; monoamine-neuro</t>
        </is>
      </c>
    </row>
    <row r="15">
      <c r="A15" t="n">
        <v>14</v>
      </c>
      <c r="B15" t="inlineStr">
        <is>
          <t>3-Herb Stack</t>
        </is>
      </c>
      <c r="C15" t="inlineStr">
        <is>
          <t>Focus Stack: Panax + Green + Chinese</t>
        </is>
      </c>
      <c r="D15" t="inlineStr">
        <is>
          <t>Panax Ginseng</t>
        </is>
      </c>
      <c r="E15" t="inlineStr">
        <is>
          <t>Green Tea</t>
        </is>
      </c>
      <c r="F15" t="inlineStr">
        <is>
          <t>Chinese Skullcap</t>
        </is>
      </c>
      <c r="G15" t="inlineStr">
        <is>
          <t>Focus</t>
        </is>
      </c>
      <c r="H15" t="inlineStr">
        <is>
          <t>Low</t>
        </is>
      </c>
      <c r="I15" t="inlineStr">
        <is>
          <t>Baseline</t>
        </is>
      </c>
      <c r="J15" t="inlineStr">
        <is>
          <t>Publishable</t>
        </is>
      </c>
      <c r="L15" t="inlineStr">
        <is>
          <t>Daytime-first; start as a light 2-herb or low 3-herb concept.</t>
        </is>
      </c>
      <c r="M15" t="inlineStr">
        <is>
          <t>sedation-cns</t>
        </is>
      </c>
    </row>
    <row r="16">
      <c r="A16" t="n">
        <v>15</v>
      </c>
      <c r="B16" t="inlineStr">
        <is>
          <t>3-Herb Stack</t>
        </is>
      </c>
      <c r="C16" t="inlineStr">
        <is>
          <t>Focus Stack: Panax + Green + Epimedium</t>
        </is>
      </c>
      <c r="D16" t="inlineStr">
        <is>
          <t>Panax Ginseng</t>
        </is>
      </c>
      <c r="E16" t="inlineStr">
        <is>
          <t>Green Tea</t>
        </is>
      </c>
      <c r="F16" t="inlineStr">
        <is>
          <t>Epimedium</t>
        </is>
      </c>
      <c r="G16" t="inlineStr">
        <is>
          <t>Focus</t>
        </is>
      </c>
      <c r="H16" t="inlineStr">
        <is>
          <t>Low</t>
        </is>
      </c>
      <c r="I16" t="inlineStr">
        <is>
          <t>Baseline, Moderate</t>
        </is>
      </c>
      <c r="J16" t="inlineStr">
        <is>
          <t>Publishable</t>
        </is>
      </c>
      <c r="L16" t="inlineStr">
        <is>
          <t>Daytime-first; start as a light 2-herb or low 3-herb concept.</t>
        </is>
      </c>
      <c r="M16" t="inlineStr">
        <is>
          <t>bleeding-risk; blood-pressure</t>
        </is>
      </c>
    </row>
    <row r="17">
      <c r="A17" t="n">
        <v>16</v>
      </c>
      <c r="B17" t="inlineStr">
        <is>
          <t>3-Herb Stack</t>
        </is>
      </c>
      <c r="C17" t="inlineStr">
        <is>
          <t>Focus Stack: Ginkgo + Panax + Epimedium</t>
        </is>
      </c>
      <c r="D17" t="inlineStr">
        <is>
          <t>Ginkgo Biloba</t>
        </is>
      </c>
      <c r="E17" t="inlineStr">
        <is>
          <t>Panax Ginseng</t>
        </is>
      </c>
      <c r="F17" t="inlineStr">
        <is>
          <t>Epimedium</t>
        </is>
      </c>
      <c r="G17" t="inlineStr">
        <is>
          <t>Focus</t>
        </is>
      </c>
      <c r="H17" t="inlineStr">
        <is>
          <t>Low</t>
        </is>
      </c>
      <c r="I17" t="inlineStr">
        <is>
          <t>Baseline, Elevated, Moderate</t>
        </is>
      </c>
      <c r="J17" t="inlineStr">
        <is>
          <t>Review</t>
        </is>
      </c>
      <c r="K17" t="inlineStr">
        <is>
          <t>Repeated meaningful interaction flags: bleeding-risk; Needs manual safety review before default stack inclusion</t>
        </is>
      </c>
      <c r="L17" t="inlineStr">
        <is>
          <t>Daytime-first; start as a light 2-herb or low 3-herb concept.</t>
        </is>
      </c>
      <c r="M17" t="inlineStr">
        <is>
          <t>bleeding-risk</t>
        </is>
      </c>
    </row>
    <row r="18">
      <c r="A18" t="n">
        <v>17</v>
      </c>
      <c r="B18" t="inlineStr">
        <is>
          <t>3-Herb Stack</t>
        </is>
      </c>
      <c r="C18" t="inlineStr">
        <is>
          <t>Focus Stack: Panax + Chamomile + Black</t>
        </is>
      </c>
      <c r="D18" t="inlineStr">
        <is>
          <t>Panax Ginseng</t>
        </is>
      </c>
      <c r="E18" t="inlineStr">
        <is>
          <t>Chamomile</t>
        </is>
      </c>
      <c r="F18" t="inlineStr">
        <is>
          <t>Black Cohosh</t>
        </is>
      </c>
      <c r="G18" t="inlineStr">
        <is>
          <t>Focus</t>
        </is>
      </c>
      <c r="H18" t="inlineStr">
        <is>
          <t>Low</t>
        </is>
      </c>
      <c r="I18" t="inlineStr">
        <is>
          <t>Baseline, Elevated</t>
        </is>
      </c>
      <c r="J18" t="inlineStr">
        <is>
          <t>Review</t>
        </is>
      </c>
      <c r="K18" t="inlineStr">
        <is>
          <t>Context-sensitive herb kept conservative for default product stacks</t>
        </is>
      </c>
      <c r="L18" t="inlineStr">
        <is>
          <t>Daytime-first; start as a light 2-herb or low 3-herb concept.</t>
        </is>
      </c>
      <c r="M18" t="inlineStr">
        <is>
          <t>breastfeeding; hepatic-caution; hormone-sensitive conditions; lactation; liver disease; monoamine-neuro</t>
        </is>
      </c>
    </row>
    <row r="19">
      <c r="A19" t="n">
        <v>18</v>
      </c>
      <c r="B19" t="inlineStr">
        <is>
          <t>3-Herb Stack</t>
        </is>
      </c>
      <c r="C19" t="inlineStr">
        <is>
          <t>Focus Stack: Panax + Epimedium + Black</t>
        </is>
      </c>
      <c r="D19" t="inlineStr">
        <is>
          <t>Panax Ginseng</t>
        </is>
      </c>
      <c r="E19" t="inlineStr">
        <is>
          <t>Epimedium</t>
        </is>
      </c>
      <c r="F19" t="inlineStr">
        <is>
          <t>Black Cohosh</t>
        </is>
      </c>
      <c r="G19" t="inlineStr">
        <is>
          <t>Focus</t>
        </is>
      </c>
      <c r="H19" t="inlineStr">
        <is>
          <t>Low</t>
        </is>
      </c>
      <c r="I19" t="inlineStr">
        <is>
          <t>Baseline, Elevated, Moderate</t>
        </is>
      </c>
      <c r="J19" t="inlineStr">
        <is>
          <t>Review</t>
        </is>
      </c>
      <c r="K19" t="inlineStr">
        <is>
          <t>Context-sensitive herb kept conservative for default product stacks</t>
        </is>
      </c>
      <c r="L19" t="inlineStr">
        <is>
          <t>Daytime-first; start as a light 2-herb or low 3-herb concept.</t>
        </is>
      </c>
      <c r="M19" t="inlineStr">
        <is>
          <t>bleeding-risk; blood-pressure; breastfeeding; hepatic-caution; hormone-sensitive conditions; lactation</t>
        </is>
      </c>
    </row>
    <row r="20">
      <c r="A20" t="n">
        <v>19</v>
      </c>
      <c r="B20" t="inlineStr">
        <is>
          <t>3-Herb Stack</t>
        </is>
      </c>
      <c r="C20" t="inlineStr">
        <is>
          <t>Focus Stack: Panax + Green + Black</t>
        </is>
      </c>
      <c r="D20" t="inlineStr">
        <is>
          <t>Panax Ginseng</t>
        </is>
      </c>
      <c r="E20" t="inlineStr">
        <is>
          <t>Green Tea</t>
        </is>
      </c>
      <c r="F20" t="inlineStr">
        <is>
          <t>Black Cohosh</t>
        </is>
      </c>
      <c r="G20" t="inlineStr">
        <is>
          <t>Focus</t>
        </is>
      </c>
      <c r="H20" t="inlineStr">
        <is>
          <t>Low</t>
        </is>
      </c>
      <c r="I20" t="inlineStr">
        <is>
          <t>Baseline, Elevated</t>
        </is>
      </c>
      <c r="J20" t="inlineStr">
        <is>
          <t>Review</t>
        </is>
      </c>
      <c r="K20" t="inlineStr">
        <is>
          <t>Context-sensitive herb kept conservative for default product stacks</t>
        </is>
      </c>
      <c r="L20" t="inlineStr">
        <is>
          <t>Daytime-first; start as a light 2-herb or low 3-herb concept.</t>
        </is>
      </c>
      <c r="M20" t="inlineStr">
        <is>
          <t>breastfeeding; hepatic-caution; hormone-sensitive conditions; lactation; liver disease; monoamine-neuro</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22</t>
        </is>
      </c>
    </row>
    <row r="3">
      <c r="A3" t="inlineStr">
        <is>
          <t>Focus</t>
        </is>
      </c>
      <c r="B3" t="inlineStr">
        <is>
          <t>Safety-rule refinement + false-positive cleanup</t>
        </is>
      </c>
    </row>
    <row r="4">
      <c r="A4" t="inlineStr">
        <is>
          <t>Herbs rescored</t>
        </is>
      </c>
      <c r="B4" t="n">
        <v>172</v>
      </c>
    </row>
    <row r="5">
      <c r="A5" t="inlineStr">
        <is>
          <t>Moderate -&gt; Baseline</t>
        </is>
      </c>
      <c r="B5" t="n">
        <v>47</v>
      </c>
    </row>
    <row r="6">
      <c r="A6" t="inlineStr">
        <is>
          <t>Baseline -&gt; Moderate</t>
        </is>
      </c>
      <c r="B6" t="n">
        <v>9</v>
      </c>
    </row>
    <row r="7">
      <c r="A7" t="inlineStr">
        <is>
          <t>Sensitive herbs kept conservative</t>
        </is>
      </c>
      <c r="B7" t="n">
        <v>3</v>
      </c>
    </row>
    <row r="8">
      <c r="A8" t="inlineStr">
        <is>
          <t>Product rows Publishable V2</t>
        </is>
      </c>
      <c r="B8" t="n">
        <v>2</v>
      </c>
    </row>
    <row r="9">
      <c r="A9" t="inlineStr">
        <is>
          <t>Product rows Review V2</t>
        </is>
      </c>
      <c r="B9" t="n">
        <v>17</v>
      </c>
    </row>
    <row r="10">
      <c r="A10" t="inlineStr">
        <is>
          <t>Product rows Hold V2</t>
        </is>
      </c>
      <c r="B10" t="n">
        <v>9</v>
      </c>
    </row>
    <row r="11">
      <c r="A11" t="inlineStr">
        <is>
          <t>Curated V4 rows</t>
        </is>
      </c>
      <c r="B11" t="n">
        <v>19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Rank</t>
        </is>
      </c>
      <c r="B1" t="inlineStr">
        <is>
          <t>Stack Name</t>
        </is>
      </c>
      <c r="C1" t="inlineStr">
        <is>
          <t>Herb A</t>
        </is>
      </c>
      <c r="D1" t="inlineStr">
        <is>
          <t>Herb B</t>
        </is>
      </c>
      <c r="E1" t="inlineStr">
        <is>
          <t>Herb C</t>
        </is>
      </c>
      <c r="F1" t="inlineStr">
        <is>
          <t>Category</t>
        </is>
      </c>
      <c r="G1" t="inlineStr">
        <is>
          <t>Safety Tier Summary</t>
        </is>
      </c>
      <c r="H1" t="inlineStr">
        <is>
          <t>Publishable Status</t>
        </is>
      </c>
      <c r="I1" t="inlineStr">
        <is>
          <t>Notes</t>
        </is>
      </c>
    </row>
    <row r="2">
      <c r="A2" t="n">
        <v>1</v>
      </c>
      <c r="B2" t="inlineStr">
        <is>
          <t>General Stack: Maca + Guarana + Yerba Mate</t>
        </is>
      </c>
      <c r="C2" t="inlineStr">
        <is>
          <t>Maca</t>
        </is>
      </c>
      <c r="D2" t="inlineStr">
        <is>
          <t>Guarana</t>
        </is>
      </c>
      <c r="E2" t="inlineStr">
        <is>
          <t>Yerba Mate</t>
        </is>
      </c>
      <c r="F2" t="inlineStr">
        <is>
          <t>General</t>
        </is>
      </c>
      <c r="G2" t="inlineStr">
        <is>
          <t>Baseline</t>
        </is>
      </c>
      <c r="H2" t="inlineStr">
        <is>
          <t>Publishable</t>
        </is>
      </c>
      <c r="I2" t="inlineStr">
        <is>
          <t>Pass 23 rebuilt from safer herb pool</t>
        </is>
      </c>
    </row>
    <row r="3">
      <c r="A3" t="n">
        <v>2</v>
      </c>
      <c r="B3" t="inlineStr">
        <is>
          <t>General Stack: Guarana + Yerba Mate + Damiana</t>
        </is>
      </c>
      <c r="C3" t="inlineStr">
        <is>
          <t>Guarana</t>
        </is>
      </c>
      <c r="D3" t="inlineStr">
        <is>
          <t>Yerba Mate</t>
        </is>
      </c>
      <c r="E3" t="inlineStr">
        <is>
          <t>Damiana</t>
        </is>
      </c>
      <c r="F3" t="inlineStr">
        <is>
          <t>General</t>
        </is>
      </c>
      <c r="G3" t="inlineStr">
        <is>
          <t>Baseline</t>
        </is>
      </c>
      <c r="H3" t="inlineStr">
        <is>
          <t>Publishable</t>
        </is>
      </c>
      <c r="I3" t="inlineStr">
        <is>
          <t>Pass 23 rebuilt from safer herb pool</t>
        </is>
      </c>
    </row>
    <row r="4">
      <c r="A4" t="n">
        <v>3</v>
      </c>
      <c r="B4" t="inlineStr">
        <is>
          <t>General Stack: Yerba Mate + Damiana + Blue Lotus</t>
        </is>
      </c>
      <c r="C4" t="inlineStr">
        <is>
          <t>Yerba Mate</t>
        </is>
      </c>
      <c r="D4" t="inlineStr">
        <is>
          <t>Damiana</t>
        </is>
      </c>
      <c r="E4" t="inlineStr">
        <is>
          <t>Blue Lotus</t>
        </is>
      </c>
      <c r="F4" t="inlineStr">
        <is>
          <t>General</t>
        </is>
      </c>
      <c r="G4" t="inlineStr">
        <is>
          <t>Baseline</t>
        </is>
      </c>
      <c r="H4" t="inlineStr">
        <is>
          <t>Publishable</t>
        </is>
      </c>
      <c r="I4" t="inlineStr">
        <is>
          <t>Pass 23 rebuilt from safer herb pool</t>
        </is>
      </c>
    </row>
    <row r="5">
      <c r="A5" t="n">
        <v>4</v>
      </c>
      <c r="B5" t="inlineStr">
        <is>
          <t>General Stack: Damiana + Blue Lotus + Kudzu</t>
        </is>
      </c>
      <c r="C5" t="inlineStr">
        <is>
          <t>Damiana</t>
        </is>
      </c>
      <c r="D5" t="inlineStr">
        <is>
          <t>Blue Lotus</t>
        </is>
      </c>
      <c r="E5" t="inlineStr">
        <is>
          <t>Kudzu</t>
        </is>
      </c>
      <c r="F5" t="inlineStr">
        <is>
          <t>General</t>
        </is>
      </c>
      <c r="G5" t="inlineStr">
        <is>
          <t>Baseline</t>
        </is>
      </c>
      <c r="H5" t="inlineStr">
        <is>
          <t>Publishable</t>
        </is>
      </c>
      <c r="I5" t="inlineStr">
        <is>
          <t>Pass 23 rebuilt from safer herb pool</t>
        </is>
      </c>
    </row>
    <row r="6">
      <c r="A6" t="n">
        <v>5</v>
      </c>
      <c r="B6" t="inlineStr">
        <is>
          <t>General Stack: Blue Lotus + Kudzu + Butterbur</t>
        </is>
      </c>
      <c r="C6" t="inlineStr">
        <is>
          <t>Blue Lotus</t>
        </is>
      </c>
      <c r="D6" t="inlineStr">
        <is>
          <t>Kudzu</t>
        </is>
      </c>
      <c r="E6" t="inlineStr">
        <is>
          <t>Butterbur</t>
        </is>
      </c>
      <c r="F6" t="inlineStr">
        <is>
          <t>General</t>
        </is>
      </c>
      <c r="G6" t="inlineStr">
        <is>
          <t>Baseline</t>
        </is>
      </c>
      <c r="H6" t="inlineStr">
        <is>
          <t>Publishable</t>
        </is>
      </c>
      <c r="I6" t="inlineStr">
        <is>
          <t>Pass 23 rebuilt from safer herb pool</t>
        </is>
      </c>
    </row>
    <row r="7">
      <c r="A7" t="n">
        <v>6</v>
      </c>
      <c r="B7" t="inlineStr">
        <is>
          <t>General Stack: Kudzu + Butterbur + Thyme</t>
        </is>
      </c>
      <c r="C7" t="inlineStr">
        <is>
          <t>Kudzu</t>
        </is>
      </c>
      <c r="D7" t="inlineStr">
        <is>
          <t>Butterbur</t>
        </is>
      </c>
      <c r="E7" t="inlineStr">
        <is>
          <t>Thyme</t>
        </is>
      </c>
      <c r="F7" t="inlineStr">
        <is>
          <t>General</t>
        </is>
      </c>
      <c r="G7" t="inlineStr">
        <is>
          <t>Baseline</t>
        </is>
      </c>
      <c r="H7" t="inlineStr">
        <is>
          <t>Publishable</t>
        </is>
      </c>
      <c r="I7" t="inlineStr">
        <is>
          <t>Pass 23 rebuilt from safer herb pool</t>
        </is>
      </c>
    </row>
    <row r="8">
      <c r="A8" t="n">
        <v>7</v>
      </c>
      <c r="B8" t="inlineStr">
        <is>
          <t>General Stack: Butterbur + Thyme + Oregano</t>
        </is>
      </c>
      <c r="C8" t="inlineStr">
        <is>
          <t>Butterbur</t>
        </is>
      </c>
      <c r="D8" t="inlineStr">
        <is>
          <t>Thyme</t>
        </is>
      </c>
      <c r="E8" t="inlineStr">
        <is>
          <t>Oregano</t>
        </is>
      </c>
      <c r="F8" t="inlineStr">
        <is>
          <t>General</t>
        </is>
      </c>
      <c r="G8" t="inlineStr">
        <is>
          <t>Baseline</t>
        </is>
      </c>
      <c r="H8" t="inlineStr">
        <is>
          <t>Publishable</t>
        </is>
      </c>
      <c r="I8" t="inlineStr">
        <is>
          <t>Pass 23 rebuilt from safer herb pool</t>
        </is>
      </c>
    </row>
    <row r="9">
      <c r="A9" t="n">
        <v>8</v>
      </c>
      <c r="B9" t="inlineStr">
        <is>
          <t>General Stack: Thyme + Oregano + Eucalyptus</t>
        </is>
      </c>
      <c r="C9" t="inlineStr">
        <is>
          <t>Thyme</t>
        </is>
      </c>
      <c r="D9" t="inlineStr">
        <is>
          <t>Oregano</t>
        </is>
      </c>
      <c r="E9" t="inlineStr">
        <is>
          <t>Eucalyptus</t>
        </is>
      </c>
      <c r="F9" t="inlineStr">
        <is>
          <t>General</t>
        </is>
      </c>
      <c r="G9" t="inlineStr">
        <is>
          <t>Baseline</t>
        </is>
      </c>
      <c r="H9" t="inlineStr">
        <is>
          <t>Publishable</t>
        </is>
      </c>
      <c r="I9" t="inlineStr">
        <is>
          <t>Pass 23 rebuilt from safer herb pool</t>
        </is>
      </c>
    </row>
    <row r="10">
      <c r="A10" t="n">
        <v>9</v>
      </c>
      <c r="B10" t="inlineStr">
        <is>
          <t>General Stack: Oregano + Eucalyptus + Fennel</t>
        </is>
      </c>
      <c r="C10" t="inlineStr">
        <is>
          <t>Oregano</t>
        </is>
      </c>
      <c r="D10" t="inlineStr">
        <is>
          <t>Eucalyptus</t>
        </is>
      </c>
      <c r="E10" t="inlineStr">
        <is>
          <t>Fennel</t>
        </is>
      </c>
      <c r="F10" t="inlineStr">
        <is>
          <t>General</t>
        </is>
      </c>
      <c r="G10" t="inlineStr">
        <is>
          <t>Baseline</t>
        </is>
      </c>
      <c r="H10" t="inlineStr">
        <is>
          <t>Publishable</t>
        </is>
      </c>
      <c r="I10" t="inlineStr">
        <is>
          <t>Pass 23 rebuilt from safer herb pool</t>
        </is>
      </c>
    </row>
    <row r="11">
      <c r="A11" t="n">
        <v>10</v>
      </c>
      <c r="B11" t="inlineStr">
        <is>
          <t>General Stack: Eucalyptus + Fennel + Cinnamon</t>
        </is>
      </c>
      <c r="C11" t="inlineStr">
        <is>
          <t>Eucalyptus</t>
        </is>
      </c>
      <c r="D11" t="inlineStr">
        <is>
          <t>Fennel</t>
        </is>
      </c>
      <c r="E11" t="inlineStr">
        <is>
          <t>Cinnamon</t>
        </is>
      </c>
      <c r="F11" t="inlineStr">
        <is>
          <t>General</t>
        </is>
      </c>
      <c r="G11" t="inlineStr">
        <is>
          <t>Baseline</t>
        </is>
      </c>
      <c r="H11" t="inlineStr">
        <is>
          <t>Publishable</t>
        </is>
      </c>
      <c r="I11" t="inlineStr">
        <is>
          <t>Pass 23 rebuilt from safer herb pool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23</t>
        </is>
      </c>
    </row>
    <row r="3">
      <c r="A3" t="inlineStr">
        <is>
          <t>Focus</t>
        </is>
      </c>
      <c r="B3" t="inlineStr">
        <is>
          <t>Rebuilt stacks from safe herb pool</t>
        </is>
      </c>
    </row>
    <row r="4">
      <c r="A4" t="inlineStr">
        <is>
          <t>Total stacks generated</t>
        </is>
      </c>
      <c r="B4" t="n">
        <v>10</v>
      </c>
    </row>
    <row r="5">
      <c r="A5" t="inlineStr">
        <is>
          <t>Publishable</t>
        </is>
      </c>
      <c r="B5" t="n">
        <v>10</v>
      </c>
    </row>
    <row r="6">
      <c r="A6" t="inlineStr">
        <is>
          <t>Review</t>
        </is>
      </c>
      <c r="B6" t="n">
        <v>0</v>
      </c>
    </row>
    <row r="7">
      <c r="A7" t="inlineStr">
        <is>
          <t>Hold</t>
        </is>
      </c>
      <c r="B7"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sheetData>
    <row r="1">
      <c r="A1" t="inlineStr">
        <is>
          <t>Tier</t>
        </is>
      </c>
      <c r="B1" t="inlineStr">
        <is>
          <t>Category</t>
        </is>
      </c>
      <c r="C1" t="inlineStr">
        <is>
          <t>Herb A</t>
        </is>
      </c>
      <c r="D1" t="inlineStr">
        <is>
          <t>Herb B</t>
        </is>
      </c>
      <c r="E1" t="inlineStr">
        <is>
          <t>Herb C</t>
        </is>
      </c>
      <c r="F1" t="inlineStr">
        <is>
          <t>Status</t>
        </is>
      </c>
      <c r="G1" t="inlineStr">
        <is>
          <t>Notes</t>
        </is>
      </c>
      <c r="H1" t="inlineStr">
        <is>
          <t>Stack Score V2</t>
        </is>
      </c>
      <c r="I1" t="inlineStr">
        <is>
          <t>Stack Rank V2</t>
        </is>
      </c>
      <c r="J1" t="inlineStr">
        <is>
          <t>Pass 49 Note</t>
        </is>
      </c>
      <c r="K1" t="inlineStr">
        <is>
          <t>Stack Score V3</t>
        </is>
      </c>
      <c r="L1" t="inlineStr">
        <is>
          <t>Publishable Tier V1</t>
        </is>
      </c>
      <c r="M1" t="inlineStr">
        <is>
          <t>Decision V1</t>
        </is>
      </c>
      <c r="N1" t="inlineStr">
        <is>
          <t>Decision Reason V1</t>
        </is>
      </c>
      <c r="O1" t="inlineStr">
        <is>
          <t>Pass 50 Note</t>
        </is>
      </c>
      <c r="P1" t="inlineStr">
        <is>
          <t>Stack Score V4</t>
        </is>
      </c>
      <c r="Q1" t="inlineStr">
        <is>
          <t>Publishable Tier V2</t>
        </is>
      </c>
      <c r="R1" t="inlineStr">
        <is>
          <t>Decision V2</t>
        </is>
      </c>
      <c r="S1" t="inlineStr">
        <is>
          <t>Decision Reason V2</t>
        </is>
      </c>
      <c r="T1" t="inlineStr">
        <is>
          <t>Pass 51 Note</t>
        </is>
      </c>
    </row>
    <row r="2">
      <c r="A2" t="inlineStr">
        <is>
          <t>Baseline</t>
        </is>
      </c>
      <c r="B2" t="inlineStr">
        <is>
          <t>General</t>
        </is>
      </c>
      <c r="C2" t="inlineStr">
        <is>
          <t>Maca</t>
        </is>
      </c>
      <c r="D2" t="inlineStr">
        <is>
          <t>Guarana</t>
        </is>
      </c>
      <c r="E2" t="inlineStr">
        <is>
          <t>Yerba Mate</t>
        </is>
      </c>
      <c r="F2" t="inlineStr">
        <is>
          <t>Publishable</t>
        </is>
      </c>
      <c r="G2" t="inlineStr">
        <is>
          <t>Safe-first stack</t>
        </is>
      </c>
      <c r="H2" t="n">
        <v>60</v>
      </c>
      <c r="I2" t="n">
        <v>5</v>
      </c>
      <c r="J2" t="inlineStr">
        <is>
          <t>Pass 49 re-ranked with Herb Strength V2</t>
        </is>
      </c>
      <c r="K2" t="n">
        <v>60</v>
      </c>
      <c r="L2" t="inlineStr">
        <is>
          <t>Review</t>
        </is>
      </c>
      <c r="M2" t="inlineStr">
        <is>
          <t>Review</t>
        </is>
      </c>
      <c r="N2" t="inlineStr">
        <is>
          <t>Usable chemistry, but not strong enough for default publish tier</t>
        </is>
      </c>
      <c r="O2" t="inlineStr">
        <is>
          <t>Pass 50 stack filtering + publishable tier</t>
        </is>
      </c>
      <c r="P2" t="n">
        <v>60</v>
      </c>
      <c r="Q2" t="inlineStr">
        <is>
          <t>Review</t>
        </is>
      </c>
      <c r="R2" t="inlineStr">
        <is>
          <t>Review</t>
        </is>
      </c>
      <c r="S2" t="inlineStr">
        <is>
          <t>Usable chemistry, but still needs manual review</t>
        </is>
      </c>
      <c r="T2" t="inlineStr">
        <is>
          <t>Pass 51 fixed audit logic and recalibrated publish thresholds</t>
        </is>
      </c>
    </row>
    <row r="3">
      <c r="A3" t="inlineStr">
        <is>
          <t>Baseline</t>
        </is>
      </c>
      <c r="B3" t="inlineStr">
        <is>
          <t>General</t>
        </is>
      </c>
      <c r="C3" t="inlineStr">
        <is>
          <t>Guarana</t>
        </is>
      </c>
      <c r="D3" t="inlineStr">
        <is>
          <t>Yerba Mate</t>
        </is>
      </c>
      <c r="E3" t="inlineStr">
        <is>
          <t>Damiana</t>
        </is>
      </c>
      <c r="F3" t="inlineStr">
        <is>
          <t>Publishable</t>
        </is>
      </c>
      <c r="G3" t="inlineStr">
        <is>
          <t>Safe-first stack</t>
        </is>
      </c>
      <c r="H3" t="n">
        <v>51</v>
      </c>
      <c r="I3" t="n">
        <v>7</v>
      </c>
      <c r="J3" t="inlineStr">
        <is>
          <t>Pass 49 re-ranked with Herb Strength V2</t>
        </is>
      </c>
      <c r="K3" t="n">
        <v>51</v>
      </c>
      <c r="L3" t="inlineStr">
        <is>
          <t>Review</t>
        </is>
      </c>
      <c r="M3" t="inlineStr">
        <is>
          <t>Review</t>
        </is>
      </c>
      <c r="N3" t="inlineStr">
        <is>
          <t>Usable chemistry, but not strong enough for default publish tier</t>
        </is>
      </c>
      <c r="O3" t="inlineStr">
        <is>
          <t>Pass 50 stack filtering + publishable tier</t>
        </is>
      </c>
      <c r="P3" t="n">
        <v>51</v>
      </c>
      <c r="Q3" t="inlineStr">
        <is>
          <t>Review</t>
        </is>
      </c>
      <c r="R3" t="inlineStr">
        <is>
          <t>Review</t>
        </is>
      </c>
      <c r="S3" t="inlineStr">
        <is>
          <t>Usable chemistry, but still needs manual review</t>
        </is>
      </c>
      <c r="T3" t="inlineStr">
        <is>
          <t>Pass 51 fixed audit logic and recalibrated publish thresholds</t>
        </is>
      </c>
    </row>
    <row r="4">
      <c r="A4" t="inlineStr">
        <is>
          <t>Baseline</t>
        </is>
      </c>
      <c r="B4" t="inlineStr">
        <is>
          <t>General</t>
        </is>
      </c>
      <c r="C4" t="inlineStr">
        <is>
          <t>Yerba Mate</t>
        </is>
      </c>
      <c r="D4" t="inlineStr">
        <is>
          <t>Damiana</t>
        </is>
      </c>
      <c r="E4" t="inlineStr">
        <is>
          <t>Blue Lotus</t>
        </is>
      </c>
      <c r="F4" t="inlineStr">
        <is>
          <t>Publishable</t>
        </is>
      </c>
      <c r="G4" t="inlineStr">
        <is>
          <t>Safe-first stack</t>
        </is>
      </c>
      <c r="H4" t="n">
        <v>52</v>
      </c>
      <c r="I4" t="n">
        <v>6</v>
      </c>
      <c r="J4" t="inlineStr">
        <is>
          <t>Pass 49 re-ranked with Herb Strength V2</t>
        </is>
      </c>
      <c r="K4" t="n">
        <v>52</v>
      </c>
      <c r="L4" t="inlineStr">
        <is>
          <t>Review</t>
        </is>
      </c>
      <c r="M4" t="inlineStr">
        <is>
          <t>Review</t>
        </is>
      </c>
      <c r="N4" t="inlineStr">
        <is>
          <t>Usable chemistry, but not strong enough for default publish tier</t>
        </is>
      </c>
      <c r="O4" t="inlineStr">
        <is>
          <t>Pass 50 stack filtering + publishable tier</t>
        </is>
      </c>
      <c r="P4" t="n">
        <v>52</v>
      </c>
      <c r="Q4" t="inlineStr">
        <is>
          <t>Review</t>
        </is>
      </c>
      <c r="R4" t="inlineStr">
        <is>
          <t>Review</t>
        </is>
      </c>
      <c r="S4" t="inlineStr">
        <is>
          <t>Usable chemistry, but still needs manual review</t>
        </is>
      </c>
      <c r="T4" t="inlineStr">
        <is>
          <t>Pass 51 fixed audit logic and recalibrated publish thresholds</t>
        </is>
      </c>
    </row>
    <row r="5">
      <c r="A5" t="inlineStr">
        <is>
          <t>Baseline</t>
        </is>
      </c>
      <c r="B5" t="inlineStr">
        <is>
          <t>General</t>
        </is>
      </c>
      <c r="C5" t="inlineStr">
        <is>
          <t>Damiana</t>
        </is>
      </c>
      <c r="D5" t="inlineStr">
        <is>
          <t>Blue Lotus</t>
        </is>
      </c>
      <c r="E5" t="inlineStr">
        <is>
          <t>Kudzu</t>
        </is>
      </c>
      <c r="F5" t="inlineStr">
        <is>
          <t>Publishable</t>
        </is>
      </c>
      <c r="G5" t="inlineStr">
        <is>
          <t>Safe-first stack</t>
        </is>
      </c>
      <c r="H5" t="n">
        <v>43</v>
      </c>
      <c r="I5" t="n">
        <v>8</v>
      </c>
      <c r="J5" t="inlineStr">
        <is>
          <t>Pass 49 re-ranked with Herb Strength V2</t>
        </is>
      </c>
      <c r="K5" t="n">
        <v>43</v>
      </c>
      <c r="L5" t="inlineStr">
        <is>
          <t>Reject</t>
        </is>
      </c>
      <c r="M5" t="inlineStr">
        <is>
          <t>Reject</t>
        </is>
      </c>
      <c r="N5" t="inlineStr">
        <is>
          <t>Weak chemistry-backed stack strength</t>
        </is>
      </c>
      <c r="O5" t="inlineStr">
        <is>
          <t>Pass 50 stack filtering + publishable tier</t>
        </is>
      </c>
      <c r="P5" t="n">
        <v>43</v>
      </c>
      <c r="Q5" t="inlineStr">
        <is>
          <t>Reject</t>
        </is>
      </c>
      <c r="R5" t="inlineStr">
        <is>
          <t>Reject</t>
        </is>
      </c>
      <c r="S5" t="inlineStr">
        <is>
          <t>Weak chemistry-backed stack strength</t>
        </is>
      </c>
      <c r="T5" t="inlineStr">
        <is>
          <t>Pass 51 fixed audit logic and recalibrated publish thresholds</t>
        </is>
      </c>
    </row>
    <row r="6">
      <c r="A6" t="inlineStr">
        <is>
          <t>Baseline</t>
        </is>
      </c>
      <c r="B6" t="inlineStr">
        <is>
          <t>General</t>
        </is>
      </c>
      <c r="C6" t="inlineStr">
        <is>
          <t>Blue Lotus</t>
        </is>
      </c>
      <c r="D6" t="inlineStr">
        <is>
          <t>Kudzu</t>
        </is>
      </c>
      <c r="E6" t="inlineStr">
        <is>
          <t>Butterbur</t>
        </is>
      </c>
      <c r="F6" t="inlineStr">
        <is>
          <t>Publishable</t>
        </is>
      </c>
      <c r="G6" t="inlineStr">
        <is>
          <t>Safe-first stack</t>
        </is>
      </c>
      <c r="H6" t="n">
        <v>43</v>
      </c>
      <c r="I6" t="n">
        <v>9</v>
      </c>
      <c r="J6" t="inlineStr">
        <is>
          <t>Pass 49 re-ranked with Herb Strength V2</t>
        </is>
      </c>
      <c r="K6" t="n">
        <v>43</v>
      </c>
      <c r="L6" t="inlineStr">
        <is>
          <t>Reject</t>
        </is>
      </c>
      <c r="M6" t="inlineStr">
        <is>
          <t>Reject</t>
        </is>
      </c>
      <c r="N6" t="inlineStr">
        <is>
          <t>Weak chemistry-backed stack strength</t>
        </is>
      </c>
      <c r="O6" t="inlineStr">
        <is>
          <t>Pass 50 stack filtering + publishable tier</t>
        </is>
      </c>
      <c r="P6" t="n">
        <v>43</v>
      </c>
      <c r="Q6" t="inlineStr">
        <is>
          <t>Reject</t>
        </is>
      </c>
      <c r="R6" t="inlineStr">
        <is>
          <t>Reject</t>
        </is>
      </c>
      <c r="S6" t="inlineStr">
        <is>
          <t>Weak chemistry-backed stack strength</t>
        </is>
      </c>
      <c r="T6" t="inlineStr">
        <is>
          <t>Pass 51 fixed audit logic and recalibrated publish thresholds</t>
        </is>
      </c>
    </row>
    <row r="7">
      <c r="A7" t="inlineStr">
        <is>
          <t>Advanced</t>
        </is>
      </c>
      <c r="B7" t="inlineStr">
        <is>
          <t>General</t>
        </is>
      </c>
      <c r="C7" t="inlineStr">
        <is>
          <t>Ashwagandha</t>
        </is>
      </c>
      <c r="D7" t="inlineStr">
        <is>
          <t>Black Cohosh</t>
        </is>
      </c>
      <c r="E7" t="inlineStr">
        <is>
          <t>Echinacea Purpurea</t>
        </is>
      </c>
      <c r="F7" t="inlineStr">
        <is>
          <t>Review</t>
        </is>
      </c>
      <c r="G7" t="inlineStr">
        <is>
          <t>Higher risk / stronger stack</t>
        </is>
      </c>
      <c r="H7" t="n">
        <v>114</v>
      </c>
      <c r="I7" t="n">
        <v>1</v>
      </c>
      <c r="J7" t="inlineStr">
        <is>
          <t>Pass 49 re-ranked with Herb Strength V2</t>
        </is>
      </c>
      <c r="K7" t="n">
        <v>24</v>
      </c>
      <c r="L7" t="inlineStr">
        <is>
          <t>Reject</t>
        </is>
      </c>
      <c r="M7" t="inlineStr">
        <is>
          <t>Reject</t>
        </is>
      </c>
      <c r="N7" t="inlineStr">
        <is>
          <t>Multiple elevated/review-sensitive herbs in one stack</t>
        </is>
      </c>
      <c r="O7" t="inlineStr">
        <is>
          <t>Pass 50 stack filtering + publishable tier</t>
        </is>
      </c>
      <c r="P7" t="n">
        <v>51</v>
      </c>
      <c r="Q7" t="inlineStr">
        <is>
          <t>Reject</t>
        </is>
      </c>
      <c r="R7" t="inlineStr">
        <is>
          <t>Reject</t>
        </is>
      </c>
      <c r="S7" t="inlineStr">
        <is>
          <t>Multiple elevated/review-sensitive herbs in one stack</t>
        </is>
      </c>
      <c r="T7" t="inlineStr">
        <is>
          <t>Pass 51 fixed audit logic and recalibrated publish thresholds</t>
        </is>
      </c>
    </row>
    <row r="8">
      <c r="A8" t="inlineStr">
        <is>
          <t>Advanced</t>
        </is>
      </c>
      <c r="B8" t="inlineStr">
        <is>
          <t>General</t>
        </is>
      </c>
      <c r="C8" t="inlineStr">
        <is>
          <t>Black Cohosh</t>
        </is>
      </c>
      <c r="D8" t="inlineStr">
        <is>
          <t>Echinacea Purpurea</t>
        </is>
      </c>
      <c r="E8" t="inlineStr">
        <is>
          <t>Garlic</t>
        </is>
      </c>
      <c r="F8" t="inlineStr">
        <is>
          <t>Review</t>
        </is>
      </c>
      <c r="G8" t="inlineStr">
        <is>
          <t>Higher risk / stronger stack</t>
        </is>
      </c>
      <c r="H8" t="n">
        <v>66</v>
      </c>
      <c r="I8" t="n">
        <v>4</v>
      </c>
      <c r="J8" t="inlineStr">
        <is>
          <t>Pass 49 re-ranked with Herb Strength V2</t>
        </is>
      </c>
      <c r="K8" t="n">
        <v>-24</v>
      </c>
      <c r="L8" t="inlineStr">
        <is>
          <t>Reject</t>
        </is>
      </c>
      <c r="M8" t="inlineStr">
        <is>
          <t>Reject</t>
        </is>
      </c>
      <c r="N8" t="inlineStr">
        <is>
          <t>Multiple elevated/review-sensitive herbs in one stack</t>
        </is>
      </c>
      <c r="O8" t="inlineStr">
        <is>
          <t>Pass 50 stack filtering + publishable tier</t>
        </is>
      </c>
      <c r="P8" t="n">
        <v>3</v>
      </c>
      <c r="Q8" t="inlineStr">
        <is>
          <t>Reject</t>
        </is>
      </c>
      <c r="R8" t="inlineStr">
        <is>
          <t>Reject</t>
        </is>
      </c>
      <c r="S8" t="inlineStr">
        <is>
          <t>Multiple elevated/review-sensitive herbs in one stack</t>
        </is>
      </c>
      <c r="T8" t="inlineStr">
        <is>
          <t>Pass 51 fixed audit logic and recalibrated publish thresholds</t>
        </is>
      </c>
    </row>
    <row r="9">
      <c r="A9" t="inlineStr">
        <is>
          <t>Advanced</t>
        </is>
      </c>
      <c r="B9" t="inlineStr">
        <is>
          <t>General</t>
        </is>
      </c>
      <c r="C9" t="inlineStr">
        <is>
          <t>Echinacea Purpurea</t>
        </is>
      </c>
      <c r="D9" t="inlineStr">
        <is>
          <t>Garlic</t>
        </is>
      </c>
      <c r="E9" t="inlineStr">
        <is>
          <t>Ginger</t>
        </is>
      </c>
      <c r="F9" t="inlineStr">
        <is>
          <t>Review</t>
        </is>
      </c>
      <c r="G9" t="inlineStr">
        <is>
          <t>Higher risk / stronger stack</t>
        </is>
      </c>
      <c r="H9" t="n">
        <v>28</v>
      </c>
      <c r="I9" t="n">
        <v>10</v>
      </c>
      <c r="J9" t="inlineStr">
        <is>
          <t>Pass 49 re-ranked with Herb Strength V2</t>
        </is>
      </c>
      <c r="K9" t="n">
        <v>-62</v>
      </c>
      <c r="L9" t="inlineStr">
        <is>
          <t>Reject</t>
        </is>
      </c>
      <c r="M9" t="inlineStr">
        <is>
          <t>Reject</t>
        </is>
      </c>
      <c r="N9" t="inlineStr">
        <is>
          <t>Multiple elevated/review-sensitive herbs in one stack</t>
        </is>
      </c>
      <c r="O9" t="inlineStr">
        <is>
          <t>Pass 50 stack filtering + publishable tier</t>
        </is>
      </c>
      <c r="P9" t="n">
        <v>-35</v>
      </c>
      <c r="Q9" t="inlineStr">
        <is>
          <t>Reject</t>
        </is>
      </c>
      <c r="R9" t="inlineStr">
        <is>
          <t>Reject</t>
        </is>
      </c>
      <c r="S9" t="inlineStr">
        <is>
          <t>Multiple elevated/review-sensitive herbs in one stack</t>
        </is>
      </c>
      <c r="T9" t="inlineStr">
        <is>
          <t>Pass 51 fixed audit logic and recalibrated publish thresholds</t>
        </is>
      </c>
    </row>
    <row r="10">
      <c r="A10" t="inlineStr">
        <is>
          <t>Advanced</t>
        </is>
      </c>
      <c r="B10" t="inlineStr">
        <is>
          <t>General</t>
        </is>
      </c>
      <c r="C10" t="inlineStr">
        <is>
          <t>Garlic</t>
        </is>
      </c>
      <c r="D10" t="inlineStr">
        <is>
          <t>Ginger</t>
        </is>
      </c>
      <c r="E10" t="inlineStr">
        <is>
          <t>Ginkgo Biloba</t>
        </is>
      </c>
      <c r="F10" t="inlineStr">
        <is>
          <t>Review</t>
        </is>
      </c>
      <c r="G10" t="inlineStr">
        <is>
          <t>Higher risk / stronger stack</t>
        </is>
      </c>
      <c r="H10" t="n">
        <v>96</v>
      </c>
      <c r="I10" t="n">
        <v>2</v>
      </c>
      <c r="J10" t="inlineStr">
        <is>
          <t>Pass 49 re-ranked with Herb Strength V2</t>
        </is>
      </c>
      <c r="K10" t="n">
        <v>6</v>
      </c>
      <c r="L10" t="inlineStr">
        <is>
          <t>Reject</t>
        </is>
      </c>
      <c r="M10" t="inlineStr">
        <is>
          <t>Reject</t>
        </is>
      </c>
      <c r="N10" t="inlineStr">
        <is>
          <t>Multiple elevated/review-sensitive herbs in one stack</t>
        </is>
      </c>
      <c r="O10" t="inlineStr">
        <is>
          <t>Pass 50 stack filtering + publishable tier</t>
        </is>
      </c>
      <c r="P10" t="n">
        <v>33</v>
      </c>
      <c r="Q10" t="inlineStr">
        <is>
          <t>Reject</t>
        </is>
      </c>
      <c r="R10" t="inlineStr">
        <is>
          <t>Reject</t>
        </is>
      </c>
      <c r="S10" t="inlineStr">
        <is>
          <t>Multiple elevated/review-sensitive herbs in one stack</t>
        </is>
      </c>
      <c r="T10" t="inlineStr">
        <is>
          <t>Pass 51 fixed audit logic and recalibrated publish thresholds</t>
        </is>
      </c>
    </row>
    <row r="11">
      <c r="A11" t="inlineStr">
        <is>
          <t>Advanced</t>
        </is>
      </c>
      <c r="B11" t="inlineStr">
        <is>
          <t>General</t>
        </is>
      </c>
      <c r="C11" t="inlineStr">
        <is>
          <t>Ginger</t>
        </is>
      </c>
      <c r="D11" t="inlineStr">
        <is>
          <t>Ginkgo Biloba</t>
        </is>
      </c>
      <c r="E11" t="inlineStr">
        <is>
          <t>Kava</t>
        </is>
      </c>
      <c r="F11" t="inlineStr">
        <is>
          <t>Review</t>
        </is>
      </c>
      <c r="G11" t="inlineStr">
        <is>
          <t>Higher risk / stronger stack</t>
        </is>
      </c>
      <c r="H11" t="n">
        <v>96</v>
      </c>
      <c r="I11" t="n">
        <v>3</v>
      </c>
      <c r="J11" t="inlineStr">
        <is>
          <t>Pass 49 re-ranked with Herb Strength V2</t>
        </is>
      </c>
      <c r="K11" t="n">
        <v>6</v>
      </c>
      <c r="L11" t="inlineStr">
        <is>
          <t>Reject</t>
        </is>
      </c>
      <c r="M11" t="inlineStr">
        <is>
          <t>Reject</t>
        </is>
      </c>
      <c r="N11" t="inlineStr">
        <is>
          <t>Multiple elevated/review-sensitive herbs in one stack</t>
        </is>
      </c>
      <c r="O11" t="inlineStr">
        <is>
          <t>Pass 50 stack filtering + publishable tier</t>
        </is>
      </c>
      <c r="P11" t="n">
        <v>33</v>
      </c>
      <c r="Q11" t="inlineStr">
        <is>
          <t>Reject</t>
        </is>
      </c>
      <c r="R11" t="inlineStr">
        <is>
          <t>Reject</t>
        </is>
      </c>
      <c r="S11" t="inlineStr">
        <is>
          <t>Multiple elevated/review-sensitive herbs in one stack</t>
        </is>
      </c>
      <c r="T11" t="inlineStr">
        <is>
          <t>Pass 51 fixed audit logic and recalibrated publish thresholds</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24</t>
        </is>
      </c>
    </row>
    <row r="3">
      <c r="A3" t="inlineStr">
        <is>
          <t>Focus</t>
        </is>
      </c>
      <c r="B3" t="inlineStr">
        <is>
          <t>Dual-layer product system</t>
        </is>
      </c>
    </row>
    <row r="4">
      <c r="A4" t="inlineStr">
        <is>
          <t>Baseline stacks</t>
        </is>
      </c>
      <c r="B4" t="n">
        <v>5</v>
      </c>
    </row>
    <row r="5">
      <c r="A5" t="inlineStr">
        <is>
          <t>Advanced stacks</t>
        </is>
      </c>
      <c r="B5" t="n">
        <v>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Product Name</t>
        </is>
      </c>
      <c r="B1" t="inlineStr">
        <is>
          <t>Tier</t>
        </is>
      </c>
      <c r="C1" t="inlineStr">
        <is>
          <t>Category</t>
        </is>
      </c>
      <c r="D1" t="inlineStr">
        <is>
          <t>Herb A</t>
        </is>
      </c>
      <c r="E1" t="inlineStr">
        <is>
          <t>Herb B</t>
        </is>
      </c>
      <c r="F1" t="inlineStr">
        <is>
          <t>Herb C</t>
        </is>
      </c>
      <c r="G1" t="inlineStr">
        <is>
          <t>Target User</t>
        </is>
      </c>
      <c r="H1" t="inlineStr">
        <is>
          <t>Positioning</t>
        </is>
      </c>
      <c r="I1" t="inlineStr">
        <is>
          <t>Short Description</t>
        </is>
      </c>
      <c r="J1" t="inlineStr">
        <is>
          <t>Use Case</t>
        </is>
      </c>
      <c r="K1" t="inlineStr">
        <is>
          <t>Status</t>
        </is>
      </c>
    </row>
    <row r="2">
      <c r="A2" t="inlineStr">
        <is>
          <t>General Essentials</t>
        </is>
      </c>
      <c r="B2" t="inlineStr">
        <is>
          <t>Baseline</t>
        </is>
      </c>
      <c r="C2" t="inlineStr">
        <is>
          <t>General</t>
        </is>
      </c>
      <c r="D2" t="inlineStr">
        <is>
          <t>Maca</t>
        </is>
      </c>
      <c r="E2" t="inlineStr">
        <is>
          <t>Guarana</t>
        </is>
      </c>
      <c r="F2" t="inlineStr">
        <is>
          <t>Yerba Mate</t>
        </is>
      </c>
      <c r="G2" t="inlineStr">
        <is>
          <t>Beginner / general wellness user</t>
        </is>
      </c>
      <c r="H2" t="inlineStr">
        <is>
          <t>Safe, daily general support</t>
        </is>
      </c>
      <c r="I2" t="inlineStr">
        <is>
          <t>A balanced daily blend featuring Maca, Guarana, and Yerba Mate designed for consistent support with a strong safety profile.</t>
        </is>
      </c>
      <c r="J2" t="inlineStr">
        <is>
          <t>General</t>
        </is>
      </c>
      <c r="K2" t="inlineStr">
        <is>
          <t>Publishable</t>
        </is>
      </c>
    </row>
    <row r="3">
      <c r="A3" t="inlineStr">
        <is>
          <t>General Essentials</t>
        </is>
      </c>
      <c r="B3" t="inlineStr">
        <is>
          <t>Baseline</t>
        </is>
      </c>
      <c r="C3" t="inlineStr">
        <is>
          <t>General</t>
        </is>
      </c>
      <c r="D3" t="inlineStr">
        <is>
          <t>Guarana</t>
        </is>
      </c>
      <c r="E3" t="inlineStr">
        <is>
          <t>Yerba Mate</t>
        </is>
      </c>
      <c r="F3" t="inlineStr">
        <is>
          <t>Damiana</t>
        </is>
      </c>
      <c r="G3" t="inlineStr">
        <is>
          <t>Beginner / general wellness user</t>
        </is>
      </c>
      <c r="H3" t="inlineStr">
        <is>
          <t>Safe, daily general support</t>
        </is>
      </c>
      <c r="I3" t="inlineStr">
        <is>
          <t>A balanced daily blend featuring Guarana, Yerba Mate, and Damiana designed for consistent support with a strong safety profile.</t>
        </is>
      </c>
      <c r="J3" t="inlineStr">
        <is>
          <t>General</t>
        </is>
      </c>
      <c r="K3" t="inlineStr">
        <is>
          <t>Publishable</t>
        </is>
      </c>
    </row>
    <row r="4">
      <c r="A4" t="inlineStr">
        <is>
          <t>General Essentials</t>
        </is>
      </c>
      <c r="B4" t="inlineStr">
        <is>
          <t>Baseline</t>
        </is>
      </c>
      <c r="C4" t="inlineStr">
        <is>
          <t>General</t>
        </is>
      </c>
      <c r="D4" t="inlineStr">
        <is>
          <t>Yerba Mate</t>
        </is>
      </c>
      <c r="E4" t="inlineStr">
        <is>
          <t>Damiana</t>
        </is>
      </c>
      <c r="F4" t="inlineStr">
        <is>
          <t>Blue Lotus</t>
        </is>
      </c>
      <c r="G4" t="inlineStr">
        <is>
          <t>Beginner / general wellness user</t>
        </is>
      </c>
      <c r="H4" t="inlineStr">
        <is>
          <t>Safe, daily general support</t>
        </is>
      </c>
      <c r="I4" t="inlineStr">
        <is>
          <t>A balanced daily blend featuring Yerba Mate, Damiana, and Blue Lotus designed for consistent support with a strong safety profile.</t>
        </is>
      </c>
      <c r="J4" t="inlineStr">
        <is>
          <t>General</t>
        </is>
      </c>
      <c r="K4" t="inlineStr">
        <is>
          <t>Publishable</t>
        </is>
      </c>
    </row>
    <row r="5">
      <c r="A5" t="inlineStr">
        <is>
          <t>General Essentials</t>
        </is>
      </c>
      <c r="B5" t="inlineStr">
        <is>
          <t>Baseline</t>
        </is>
      </c>
      <c r="C5" t="inlineStr">
        <is>
          <t>General</t>
        </is>
      </c>
      <c r="D5" t="inlineStr">
        <is>
          <t>Damiana</t>
        </is>
      </c>
      <c r="E5" t="inlineStr">
        <is>
          <t>Blue Lotus</t>
        </is>
      </c>
      <c r="F5" t="inlineStr">
        <is>
          <t>Kudzu</t>
        </is>
      </c>
      <c r="G5" t="inlineStr">
        <is>
          <t>Beginner / general wellness user</t>
        </is>
      </c>
      <c r="H5" t="inlineStr">
        <is>
          <t>Safe, daily general support</t>
        </is>
      </c>
      <c r="I5" t="inlineStr">
        <is>
          <t>A balanced daily blend featuring Damiana, Blue Lotus, and Kudzu designed for consistent support with a strong safety profile.</t>
        </is>
      </c>
      <c r="J5" t="inlineStr">
        <is>
          <t>General</t>
        </is>
      </c>
      <c r="K5" t="inlineStr">
        <is>
          <t>Publishable</t>
        </is>
      </c>
    </row>
    <row r="6">
      <c r="A6" t="inlineStr">
        <is>
          <t>General Essentials</t>
        </is>
      </c>
      <c r="B6" t="inlineStr">
        <is>
          <t>Baseline</t>
        </is>
      </c>
      <c r="C6" t="inlineStr">
        <is>
          <t>General</t>
        </is>
      </c>
      <c r="D6" t="inlineStr">
        <is>
          <t>Blue Lotus</t>
        </is>
      </c>
      <c r="E6" t="inlineStr">
        <is>
          <t>Kudzu</t>
        </is>
      </c>
      <c r="F6" t="inlineStr">
        <is>
          <t>Butterbur</t>
        </is>
      </c>
      <c r="G6" t="inlineStr">
        <is>
          <t>Beginner / general wellness user</t>
        </is>
      </c>
      <c r="H6" t="inlineStr">
        <is>
          <t>Safe, daily general support</t>
        </is>
      </c>
      <c r="I6" t="inlineStr">
        <is>
          <t>A balanced daily blend featuring Blue Lotus, Kudzu, and Butterbur designed for consistent support with a strong safety profile.</t>
        </is>
      </c>
      <c r="J6" t="inlineStr">
        <is>
          <t>General</t>
        </is>
      </c>
      <c r="K6" t="inlineStr">
        <is>
          <t>Publishable</t>
        </is>
      </c>
    </row>
    <row r="7">
      <c r="A7" t="inlineStr">
        <is>
          <t>General Advanced</t>
        </is>
      </c>
      <c r="B7" t="inlineStr">
        <is>
          <t>Advanced</t>
        </is>
      </c>
      <c r="C7" t="inlineStr">
        <is>
          <t>General</t>
        </is>
      </c>
      <c r="D7" t="inlineStr">
        <is>
          <t>Ashwagandha</t>
        </is>
      </c>
      <c r="E7" t="inlineStr">
        <is>
          <t>Black Cohosh</t>
        </is>
      </c>
      <c r="F7" t="inlineStr">
        <is>
          <t>Echinacea Purpurea</t>
        </is>
      </c>
      <c r="G7" t="inlineStr">
        <is>
          <t>Experienced user seeking stronger effects</t>
        </is>
      </c>
      <c r="H7" t="inlineStr">
        <is>
          <t>Stronger, targeted general support</t>
        </is>
      </c>
      <c r="I7" t="inlineStr">
        <is>
          <t>A more potent blend of Ashwagandha, Black Cohosh, and Echinacea Purpurea designed for targeted effects with higher intensity.</t>
        </is>
      </c>
      <c r="J7" t="inlineStr">
        <is>
          <t>General</t>
        </is>
      </c>
      <c r="K7" t="inlineStr">
        <is>
          <t>Review</t>
        </is>
      </c>
    </row>
    <row r="8">
      <c r="A8" t="inlineStr">
        <is>
          <t>General Advanced</t>
        </is>
      </c>
      <c r="B8" t="inlineStr">
        <is>
          <t>Advanced</t>
        </is>
      </c>
      <c r="C8" t="inlineStr">
        <is>
          <t>General</t>
        </is>
      </c>
      <c r="D8" t="inlineStr">
        <is>
          <t>Black Cohosh</t>
        </is>
      </c>
      <c r="E8" t="inlineStr">
        <is>
          <t>Echinacea Purpurea</t>
        </is>
      </c>
      <c r="F8" t="inlineStr">
        <is>
          <t>Garlic</t>
        </is>
      </c>
      <c r="G8" t="inlineStr">
        <is>
          <t>Experienced user seeking stronger effects</t>
        </is>
      </c>
      <c r="H8" t="inlineStr">
        <is>
          <t>Stronger, targeted general support</t>
        </is>
      </c>
      <c r="I8" t="inlineStr">
        <is>
          <t>A more potent blend of Black Cohosh, Echinacea Purpurea, and Garlic designed for targeted effects with higher intensity.</t>
        </is>
      </c>
      <c r="J8" t="inlineStr">
        <is>
          <t>General</t>
        </is>
      </c>
      <c r="K8" t="inlineStr">
        <is>
          <t>Review</t>
        </is>
      </c>
    </row>
    <row r="9">
      <c r="A9" t="inlineStr">
        <is>
          <t>General Advanced</t>
        </is>
      </c>
      <c r="B9" t="inlineStr">
        <is>
          <t>Advanced</t>
        </is>
      </c>
      <c r="C9" t="inlineStr">
        <is>
          <t>General</t>
        </is>
      </c>
      <c r="D9" t="inlineStr">
        <is>
          <t>Echinacea Purpurea</t>
        </is>
      </c>
      <c r="E9" t="inlineStr">
        <is>
          <t>Garlic</t>
        </is>
      </c>
      <c r="F9" t="inlineStr">
        <is>
          <t>Ginger</t>
        </is>
      </c>
      <c r="G9" t="inlineStr">
        <is>
          <t>Experienced user seeking stronger effects</t>
        </is>
      </c>
      <c r="H9" t="inlineStr">
        <is>
          <t>Stronger, targeted general support</t>
        </is>
      </c>
      <c r="I9" t="inlineStr">
        <is>
          <t>A more potent blend of Echinacea Purpurea, Garlic, and Ginger designed for targeted effects with higher intensity.</t>
        </is>
      </c>
      <c r="J9" t="inlineStr">
        <is>
          <t>General</t>
        </is>
      </c>
      <c r="K9" t="inlineStr">
        <is>
          <t>Review</t>
        </is>
      </c>
    </row>
    <row r="10">
      <c r="A10" t="inlineStr">
        <is>
          <t>General Advanced</t>
        </is>
      </c>
      <c r="B10" t="inlineStr">
        <is>
          <t>Advanced</t>
        </is>
      </c>
      <c r="C10" t="inlineStr">
        <is>
          <t>General</t>
        </is>
      </c>
      <c r="D10" t="inlineStr">
        <is>
          <t>Garlic</t>
        </is>
      </c>
      <c r="E10" t="inlineStr">
        <is>
          <t>Ginger</t>
        </is>
      </c>
      <c r="F10" t="inlineStr">
        <is>
          <t>Ginkgo Biloba</t>
        </is>
      </c>
      <c r="G10" t="inlineStr">
        <is>
          <t>Experienced user seeking stronger effects</t>
        </is>
      </c>
      <c r="H10" t="inlineStr">
        <is>
          <t>Stronger, targeted general support</t>
        </is>
      </c>
      <c r="I10" t="inlineStr">
        <is>
          <t>A more potent blend of Garlic, Ginger, and Ginkgo Biloba designed for targeted effects with higher intensity.</t>
        </is>
      </c>
      <c r="J10" t="inlineStr">
        <is>
          <t>General</t>
        </is>
      </c>
      <c r="K10" t="inlineStr">
        <is>
          <t>Review</t>
        </is>
      </c>
    </row>
    <row r="11">
      <c r="A11" t="inlineStr">
        <is>
          <t>General Advanced</t>
        </is>
      </c>
      <c r="B11" t="inlineStr">
        <is>
          <t>Advanced</t>
        </is>
      </c>
      <c r="C11" t="inlineStr">
        <is>
          <t>General</t>
        </is>
      </c>
      <c r="D11" t="inlineStr">
        <is>
          <t>Ginger</t>
        </is>
      </c>
      <c r="E11" t="inlineStr">
        <is>
          <t>Ginkgo Biloba</t>
        </is>
      </c>
      <c r="F11" t="inlineStr">
        <is>
          <t>Kava</t>
        </is>
      </c>
      <c r="G11" t="inlineStr">
        <is>
          <t>Experienced user seeking stronger effects</t>
        </is>
      </c>
      <c r="H11" t="inlineStr">
        <is>
          <t>Stronger, targeted general support</t>
        </is>
      </c>
      <c r="I11" t="inlineStr">
        <is>
          <t>A more potent blend of Ginger, Ginkgo Biloba, and Kava designed for targeted effects with higher intensity.</t>
        </is>
      </c>
      <c r="J11" t="inlineStr">
        <is>
          <t>General</t>
        </is>
      </c>
      <c r="K11" t="inlineStr">
        <is>
          <t>Review</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25</t>
        </is>
      </c>
    </row>
    <row r="3">
      <c r="A3" t="inlineStr">
        <is>
          <t>Focus</t>
        </is>
      </c>
      <c r="B3" t="inlineStr">
        <is>
          <t>Product definition layer</t>
        </is>
      </c>
    </row>
    <row r="4">
      <c r="A4" t="inlineStr">
        <is>
          <t>Products created</t>
        </is>
      </c>
      <c r="B4" t="n">
        <v>10</v>
      </c>
    </row>
    <row r="5">
      <c r="A5" t="inlineStr">
        <is>
          <t>Baseline products</t>
        </is>
      </c>
      <c r="B5" t="n">
        <v>5</v>
      </c>
    </row>
    <row r="6">
      <c r="A6" t="inlineStr">
        <is>
          <t>Advanced products</t>
        </is>
      </c>
      <c r="B6" t="n">
        <v>5</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26</t>
        </is>
      </c>
    </row>
    <row r="3">
      <c r="A3" t="inlineStr">
        <is>
          <t>Focus</t>
        </is>
      </c>
      <c r="B3" t="inlineStr">
        <is>
          <t>Data normalization + consistency</t>
        </is>
      </c>
    </row>
    <row r="4">
      <c r="A4" t="inlineStr">
        <is>
          <t>Categories normalized</t>
        </is>
      </c>
      <c r="B4" t="n">
        <v>29</v>
      </c>
    </row>
    <row r="5">
      <c r="A5" t="inlineStr">
        <is>
          <t>Mechanism tags cleaned</t>
        </is>
      </c>
      <c r="B5" t="n">
        <v>172</v>
      </c>
    </row>
    <row r="6">
      <c r="A6" t="inlineStr">
        <is>
          <t>Evidence tiers standardized</t>
        </is>
      </c>
      <c r="B6" t="n">
        <v>172</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Raw / Alias</t>
        </is>
      </c>
      <c r="B1" t="inlineStr">
        <is>
          <t>Canonical Name</t>
        </is>
      </c>
    </row>
    <row r="2">
      <c r="A2" t="inlineStr">
        <is>
          <t>5 hydroxytryptophan</t>
        </is>
      </c>
      <c r="B2" t="inlineStr">
        <is>
          <t>5-hydroxytryptophan (5-HTP)</t>
        </is>
      </c>
    </row>
    <row r="3">
      <c r="A3" t="inlineStr">
        <is>
          <t>5-htp</t>
        </is>
      </c>
      <c r="B3" t="inlineStr">
        <is>
          <t>5-hydroxytryptophan (5-HTP)</t>
        </is>
      </c>
    </row>
    <row r="4">
      <c r="A4" t="inlineStr">
        <is>
          <t>ldopa</t>
        </is>
      </c>
      <c r="B4" t="inlineStr">
        <is>
          <t>L-DOPA</t>
        </is>
      </c>
    </row>
    <row r="5">
      <c r="A5" t="inlineStr">
        <is>
          <t>rb1</t>
        </is>
      </c>
      <c r="B5" t="inlineStr">
        <is>
          <t>Ginsenoside RB1</t>
        </is>
      </c>
    </row>
    <row r="6">
      <c r="A6" t="inlineStr">
        <is>
          <t>rd</t>
        </is>
      </c>
      <c r="B6" t="inlineStr">
        <is>
          <t>Ginsenoside Rd</t>
        </is>
      </c>
    </row>
    <row r="7">
      <c r="A7" t="inlineStr">
        <is>
          <t>re</t>
        </is>
      </c>
      <c r="B7" t="inlineStr">
        <is>
          <t>Ginsenoside Re</t>
        </is>
      </c>
    </row>
    <row r="8">
      <c r="A8" t="inlineStr">
        <is>
          <t>rf</t>
        </is>
      </c>
      <c r="B8" t="inlineStr">
        <is>
          <t>Ginsenoside Rf</t>
        </is>
      </c>
    </row>
    <row r="9">
      <c r="A9" t="inlineStr">
        <is>
          <t>rg1</t>
        </is>
      </c>
      <c r="B9" t="inlineStr">
        <is>
          <t>Ginsenoside RG1</t>
        </is>
      </c>
    </row>
    <row r="10">
      <c r="A10" t="inlineStr">
        <is>
          <t>rg3</t>
        </is>
      </c>
      <c r="B10" t="inlineStr">
        <is>
          <t>Ginsenoside Rg3</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27</t>
        </is>
      </c>
    </row>
    <row r="3">
      <c r="A3" t="inlineStr">
        <is>
          <t>Focus</t>
        </is>
      </c>
      <c r="B3" t="inlineStr">
        <is>
          <t>Compound-layer alignment</t>
        </is>
      </c>
    </row>
    <row r="4">
      <c r="A4" t="inlineStr">
        <is>
          <t>Compound Master rows canonicalized</t>
        </is>
      </c>
      <c r="B4" t="n">
        <v>11</v>
      </c>
    </row>
    <row r="5">
      <c r="A5" t="inlineStr">
        <is>
          <t>Compound Master duplicates removed</t>
        </is>
      </c>
      <c r="B5" t="n">
        <v>5</v>
      </c>
    </row>
    <row r="6">
      <c r="A6" t="inlineStr">
        <is>
          <t>Herb Compound Map fields normalized</t>
        </is>
      </c>
      <c r="B6" t="n">
        <v>9</v>
      </c>
    </row>
    <row r="7">
      <c r="A7" t="inlineStr">
        <is>
          <t>Herb Compound Map duplicates removed</t>
        </is>
      </c>
      <c r="B7" t="n">
        <v>12</v>
      </c>
    </row>
    <row r="8">
      <c r="A8" t="inlineStr">
        <is>
          <t>Canonical alias pairs tracked</t>
        </is>
      </c>
      <c r="B8" t="n">
        <v>9</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28</t>
        </is>
      </c>
    </row>
    <row r="3">
      <c r="A3" t="inlineStr">
        <is>
          <t>Focus</t>
        </is>
      </c>
      <c r="B3" t="inlineStr">
        <is>
          <t>Evidence and safety text normalization</t>
        </is>
      </c>
    </row>
    <row r="4">
      <c r="A4" t="inlineStr">
        <is>
          <t>Evidence rows normalized</t>
        </is>
      </c>
      <c r="B4" t="n">
        <v>172</v>
      </c>
    </row>
    <row r="5">
      <c r="A5" t="inlineStr">
        <is>
          <t>Safety note rows normalized</t>
        </is>
      </c>
      <c r="B5" t="n">
        <v>1</v>
      </c>
    </row>
    <row r="6">
      <c r="A6" t="inlineStr">
        <is>
          <t>Interaction rows normalized</t>
        </is>
      </c>
      <c r="B6" t="n">
        <v>144</v>
      </c>
    </row>
    <row r="7">
      <c r="A7" t="inlineStr">
        <is>
          <t>Contraindication rows normalized</t>
        </is>
      </c>
      <c r="B7" t="n">
        <v>23</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29</t>
        </is>
      </c>
    </row>
    <row r="3">
      <c r="A3" t="inlineStr">
        <is>
          <t>Focus</t>
        </is>
      </c>
      <c r="B3" t="inlineStr">
        <is>
          <t>Monograph completeness repair</t>
        </is>
      </c>
    </row>
    <row r="4">
      <c r="A4" t="inlineStr">
        <is>
          <t>Dosage filled</t>
        </is>
      </c>
      <c r="B4" t="n">
        <v>165</v>
      </c>
    </row>
    <row r="5">
      <c r="A5" t="inlineStr">
        <is>
          <t>Preparation filled</t>
        </is>
      </c>
      <c r="B5" t="n">
        <v>155</v>
      </c>
    </row>
    <row r="6">
      <c r="A6" t="inlineStr">
        <is>
          <t>Quality concerns filled</t>
        </is>
      </c>
      <c r="B6" t="n">
        <v>170</v>
      </c>
    </row>
    <row r="7">
      <c r="A7" t="inlineStr">
        <is>
          <t>Confidence inferred</t>
        </is>
      </c>
      <c r="B7" t="n">
        <v>172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M1201"/>
  <sheetViews>
    <sheetView workbookViewId="0">
      <selection activeCell="A1" sqref="A1"/>
    </sheetView>
  </sheetViews>
  <sheetFormatPr baseColWidth="8" defaultRowHeight="15"/>
  <sheetData>
    <row r="1">
      <c r="A1" t="inlineStr">
        <is>
          <t>Herb A</t>
        </is>
      </c>
      <c r="B1" t="inlineStr">
        <is>
          <t>Herb B</t>
        </is>
      </c>
      <c r="C1" t="inlineStr">
        <is>
          <t>Compound Similarity</t>
        </is>
      </c>
      <c r="D1" t="inlineStr">
        <is>
          <t>Pathway Similarity</t>
        </is>
      </c>
      <c r="E1" t="inlineStr">
        <is>
          <t>Specificity Similarity</t>
        </is>
      </c>
      <c r="F1" t="inlineStr">
        <is>
          <t>Cluster A</t>
        </is>
      </c>
      <c r="G1" t="inlineStr">
        <is>
          <t>Cluster B</t>
        </is>
      </c>
      <c r="H1" t="inlineStr">
        <is>
          <t>Category A</t>
        </is>
      </c>
      <c r="I1" t="inlineStr">
        <is>
          <t>Category B</t>
        </is>
      </c>
      <c r="J1" t="inlineStr">
        <is>
          <t>Shared Compounds</t>
        </is>
      </c>
      <c r="K1" t="inlineStr">
        <is>
          <t>Shared Pathways</t>
        </is>
      </c>
      <c r="L1" t="inlineStr">
        <is>
          <t>Shared Specificity</t>
        </is>
      </c>
      <c r="M1" t="inlineStr">
        <is>
          <t>Relationship Score</t>
        </is>
      </c>
    </row>
    <row r="2">
      <c r="A2" t="inlineStr">
        <is>
          <t>Gymnema</t>
        </is>
      </c>
      <c r="B2" t="inlineStr">
        <is>
          <t>Gudmar</t>
        </is>
      </c>
      <c r="C2" t="n">
        <v>1</v>
      </c>
      <c r="D2" t="n">
        <v>1</v>
      </c>
      <c r="E2" t="n">
        <v>0</v>
      </c>
      <c r="F2" t="inlineStr">
        <is>
          <t>General</t>
        </is>
      </c>
      <c r="G2" t="inlineStr">
        <is>
          <t>General</t>
        </is>
      </c>
      <c r="H2" t="inlineStr">
        <is>
          <t>General</t>
        </is>
      </c>
      <c r="I2" t="inlineStr">
        <is>
          <t>General</t>
        </is>
      </c>
      <c r="J2" t="inlineStr">
        <is>
          <t>gymnemic acids</t>
        </is>
      </c>
      <c r="K2" t="inlineStr">
        <is>
          <t>unclassified</t>
        </is>
      </c>
      <c r="M2" t="n">
        <v>95</v>
      </c>
    </row>
    <row r="3">
      <c r="A3" t="inlineStr">
        <is>
          <t>Holy Basil</t>
        </is>
      </c>
      <c r="B3" t="inlineStr">
        <is>
          <t>Holy Basil Purple</t>
        </is>
      </c>
      <c r="C3" t="n">
        <v>1</v>
      </c>
      <c r="D3" t="n">
        <v>1</v>
      </c>
      <c r="E3" t="n">
        <v>0</v>
      </c>
      <c r="F3" t="inlineStr">
        <is>
          <t>Adaptogenic</t>
        </is>
      </c>
      <c r="G3" t="inlineStr">
        <is>
          <t>Adaptogenic</t>
        </is>
      </c>
      <c r="H3" t="inlineStr">
        <is>
          <t>Stress</t>
        </is>
      </c>
      <c r="I3" t="inlineStr">
        <is>
          <t>Stress</t>
        </is>
      </c>
      <c r="J3" t="inlineStr">
        <is>
          <t>eugenol</t>
        </is>
      </c>
      <c r="K3" t="inlineStr">
        <is>
          <t>unclassified</t>
        </is>
      </c>
      <c r="M3" t="n">
        <v>95</v>
      </c>
    </row>
    <row r="4">
      <c r="A4" t="inlineStr">
        <is>
          <t>Maitake D-Fraction</t>
        </is>
      </c>
      <c r="B4" t="inlineStr">
        <is>
          <t>Reishi</t>
        </is>
      </c>
      <c r="C4" t="n">
        <v>1</v>
      </c>
      <c r="D4" t="n">
        <v>1</v>
      </c>
      <c r="E4" t="n">
        <v>0</v>
      </c>
      <c r="F4" t="inlineStr">
        <is>
          <t>General</t>
        </is>
      </c>
      <c r="G4" t="inlineStr">
        <is>
          <t>General</t>
        </is>
      </c>
      <c r="H4" t="inlineStr">
        <is>
          <t>General</t>
        </is>
      </c>
      <c r="I4" t="inlineStr">
        <is>
          <t>General</t>
        </is>
      </c>
      <c r="J4" t="inlineStr">
        <is>
          <t>beta-glucans</t>
        </is>
      </c>
      <c r="K4" t="inlineStr">
        <is>
          <t>unclassified</t>
        </is>
      </c>
      <c r="M4" t="n">
        <v>95</v>
      </c>
    </row>
    <row r="5">
      <c r="A5" t="inlineStr">
        <is>
          <t>Muira Puama</t>
        </is>
      </c>
      <c r="B5" t="inlineStr">
        <is>
          <t>Nettle Root</t>
        </is>
      </c>
      <c r="C5" t="n">
        <v>1</v>
      </c>
      <c r="D5" t="n">
        <v>1</v>
      </c>
      <c r="E5" t="n">
        <v>0</v>
      </c>
      <c r="F5" t="inlineStr">
        <is>
          <t>General</t>
        </is>
      </c>
      <c r="G5" t="inlineStr">
        <is>
          <t>General</t>
        </is>
      </c>
      <c r="H5" t="inlineStr">
        <is>
          <t>General</t>
        </is>
      </c>
      <c r="I5" t="inlineStr">
        <is>
          <t>General</t>
        </is>
      </c>
      <c r="J5" t="inlineStr">
        <is>
          <t>beta-sitosterol</t>
        </is>
      </c>
      <c r="K5" t="inlineStr">
        <is>
          <t>unclassified</t>
        </is>
      </c>
      <c r="M5" t="n">
        <v>95</v>
      </c>
    </row>
    <row r="6">
      <c r="A6" t="inlineStr">
        <is>
          <t>Rosemary</t>
        </is>
      </c>
      <c r="B6" t="inlineStr">
        <is>
          <t>Ajwain</t>
        </is>
      </c>
      <c r="C6" t="n">
        <v>0.333</v>
      </c>
      <c r="D6" t="n">
        <v>1</v>
      </c>
      <c r="E6" t="n">
        <v>0</v>
      </c>
      <c r="F6" t="inlineStr">
        <is>
          <t>General</t>
        </is>
      </c>
      <c r="G6" t="inlineStr">
        <is>
          <t>General</t>
        </is>
      </c>
      <c r="H6" t="inlineStr">
        <is>
          <t>General</t>
        </is>
      </c>
      <c r="I6" t="inlineStr">
        <is>
          <t>General</t>
        </is>
      </c>
      <c r="J6" t="inlineStr">
        <is>
          <t>thymol</t>
        </is>
      </c>
      <c r="K6" t="inlineStr">
        <is>
          <t>unclassified</t>
        </is>
      </c>
      <c r="M6" t="n">
        <v>65</v>
      </c>
    </row>
    <row r="7">
      <c r="A7" t="inlineStr">
        <is>
          <t>Sage</t>
        </is>
      </c>
      <c r="B7" t="inlineStr">
        <is>
          <t>Ajwain</t>
        </is>
      </c>
      <c r="C7" t="n">
        <v>0.333</v>
      </c>
      <c r="D7" t="n">
        <v>1</v>
      </c>
      <c r="E7" t="n">
        <v>0</v>
      </c>
      <c r="F7" t="inlineStr">
        <is>
          <t>General</t>
        </is>
      </c>
      <c r="G7" t="inlineStr">
        <is>
          <t>General</t>
        </is>
      </c>
      <c r="H7" t="inlineStr">
        <is>
          <t>General</t>
        </is>
      </c>
      <c r="I7" t="inlineStr">
        <is>
          <t>General</t>
        </is>
      </c>
      <c r="J7" t="inlineStr">
        <is>
          <t>carvacrol</t>
        </is>
      </c>
      <c r="K7" t="inlineStr">
        <is>
          <t>unclassified</t>
        </is>
      </c>
      <c r="M7" t="n">
        <v>65</v>
      </c>
    </row>
    <row r="8">
      <c r="A8" t="inlineStr">
        <is>
          <t>Damiana</t>
        </is>
      </c>
      <c r="B8" t="inlineStr">
        <is>
          <t>Blue Lotus</t>
        </is>
      </c>
      <c r="C8" t="n">
        <v>0.2</v>
      </c>
      <c r="D8" t="n">
        <v>1</v>
      </c>
      <c r="E8" t="n">
        <v>0</v>
      </c>
      <c r="F8" t="inlineStr">
        <is>
          <t>General</t>
        </is>
      </c>
      <c r="G8" t="inlineStr">
        <is>
          <t>General</t>
        </is>
      </c>
      <c r="H8" t="inlineStr">
        <is>
          <t>General</t>
        </is>
      </c>
      <c r="I8" t="inlineStr">
        <is>
          <t>General</t>
        </is>
      </c>
      <c r="J8" t="inlineStr">
        <is>
          <t>nuciferine</t>
        </is>
      </c>
      <c r="K8" t="inlineStr">
        <is>
          <t>unclassified</t>
        </is>
      </c>
      <c r="M8" t="n">
        <v>59</v>
      </c>
    </row>
    <row r="9">
      <c r="A9" t="inlineStr">
        <is>
          <t>Turmeric</t>
        </is>
      </c>
      <c r="B9" t="inlineStr">
        <is>
          <t>Dong Quai</t>
        </is>
      </c>
      <c r="C9" t="n">
        <v>0.2</v>
      </c>
      <c r="D9" t="n">
        <v>1</v>
      </c>
      <c r="E9" t="n">
        <v>0</v>
      </c>
      <c r="F9" t="inlineStr">
        <is>
          <t>General</t>
        </is>
      </c>
      <c r="G9" t="inlineStr">
        <is>
          <t>General</t>
        </is>
      </c>
      <c r="H9" t="inlineStr">
        <is>
          <t>General</t>
        </is>
      </c>
      <c r="I9" t="inlineStr">
        <is>
          <t>General</t>
        </is>
      </c>
      <c r="J9" t="inlineStr">
        <is>
          <t>curcumin</t>
        </is>
      </c>
      <c r="K9" t="inlineStr">
        <is>
          <t>unclassified</t>
        </is>
      </c>
      <c r="M9" t="n">
        <v>59</v>
      </c>
    </row>
    <row r="10">
      <c r="A10" t="inlineStr">
        <is>
          <t>Agarikon</t>
        </is>
      </c>
      <c r="B10" t="inlineStr">
        <is>
          <t>Ajwain</t>
        </is>
      </c>
      <c r="C10" t="n">
        <v>0</v>
      </c>
      <c r="D10" t="n">
        <v>1</v>
      </c>
      <c r="E10" t="n">
        <v>0</v>
      </c>
      <c r="F10" t="inlineStr">
        <is>
          <t>General</t>
        </is>
      </c>
      <c r="G10" t="inlineStr">
        <is>
          <t>General</t>
        </is>
      </c>
      <c r="H10" t="inlineStr">
        <is>
          <t>General</t>
        </is>
      </c>
      <c r="I10" t="inlineStr">
        <is>
          <t>General</t>
        </is>
      </c>
      <c r="K10" t="inlineStr">
        <is>
          <t>unclassified</t>
        </is>
      </c>
      <c r="M10" t="n">
        <v>50</v>
      </c>
    </row>
    <row r="11">
      <c r="A11" t="inlineStr">
        <is>
          <t>Agarikon</t>
        </is>
      </c>
      <c r="B11" t="inlineStr">
        <is>
          <t>Angelica Root</t>
        </is>
      </c>
      <c r="C11" t="n">
        <v>0</v>
      </c>
      <c r="D11" t="n">
        <v>1</v>
      </c>
      <c r="E11" t="n">
        <v>0</v>
      </c>
      <c r="F11" t="inlineStr">
        <is>
          <t>General</t>
        </is>
      </c>
      <c r="G11" t="inlineStr">
        <is>
          <t>General</t>
        </is>
      </c>
      <c r="H11" t="inlineStr">
        <is>
          <t>General</t>
        </is>
      </c>
      <c r="I11" t="inlineStr">
        <is>
          <t>General</t>
        </is>
      </c>
      <c r="K11" t="inlineStr">
        <is>
          <t>unclassified</t>
        </is>
      </c>
      <c r="M11" t="n">
        <v>50</v>
      </c>
    </row>
    <row r="12">
      <c r="A12" t="inlineStr">
        <is>
          <t>Agarikon</t>
        </is>
      </c>
      <c r="B12" t="inlineStr">
        <is>
          <t>Caraway</t>
        </is>
      </c>
      <c r="C12" t="n">
        <v>0</v>
      </c>
      <c r="D12" t="n">
        <v>1</v>
      </c>
      <c r="E12" t="n">
        <v>0</v>
      </c>
      <c r="F12" t="inlineStr">
        <is>
          <t>General</t>
        </is>
      </c>
      <c r="G12" t="inlineStr">
        <is>
          <t>General</t>
        </is>
      </c>
      <c r="H12" t="inlineStr">
        <is>
          <t>General</t>
        </is>
      </c>
      <c r="I12" t="inlineStr">
        <is>
          <t>General</t>
        </is>
      </c>
      <c r="K12" t="inlineStr">
        <is>
          <t>unclassified</t>
        </is>
      </c>
      <c r="M12" t="n">
        <v>50</v>
      </c>
    </row>
    <row r="13">
      <c r="A13" t="inlineStr">
        <is>
          <t>Agarikon</t>
        </is>
      </c>
      <c r="B13" t="inlineStr">
        <is>
          <t>Cardamom</t>
        </is>
      </c>
      <c r="C13" t="n">
        <v>0</v>
      </c>
      <c r="D13" t="n">
        <v>1</v>
      </c>
      <c r="E13" t="n">
        <v>0</v>
      </c>
      <c r="F13" t="inlineStr">
        <is>
          <t>General</t>
        </is>
      </c>
      <c r="G13" t="inlineStr">
        <is>
          <t>General</t>
        </is>
      </c>
      <c r="H13" t="inlineStr">
        <is>
          <t>General</t>
        </is>
      </c>
      <c r="I13" t="inlineStr">
        <is>
          <t>General</t>
        </is>
      </c>
      <c r="K13" t="inlineStr">
        <is>
          <t>unclassified</t>
        </is>
      </c>
      <c r="M13" t="n">
        <v>50</v>
      </c>
    </row>
    <row r="14">
      <c r="A14" t="inlineStr">
        <is>
          <t>Agarikon</t>
        </is>
      </c>
      <c r="B14" t="inlineStr">
        <is>
          <t>Celastrus Paniculatus</t>
        </is>
      </c>
      <c r="C14" t="n">
        <v>0</v>
      </c>
      <c r="D14" t="n">
        <v>1</v>
      </c>
      <c r="E14" t="n">
        <v>0</v>
      </c>
      <c r="F14" t="inlineStr">
        <is>
          <t>General</t>
        </is>
      </c>
      <c r="G14" t="inlineStr">
        <is>
          <t>General</t>
        </is>
      </c>
      <c r="H14" t="inlineStr">
        <is>
          <t>General</t>
        </is>
      </c>
      <c r="I14" t="inlineStr">
        <is>
          <t>General</t>
        </is>
      </c>
      <c r="K14" t="inlineStr">
        <is>
          <t>unclassified</t>
        </is>
      </c>
      <c r="M14" t="n">
        <v>50</v>
      </c>
    </row>
    <row r="15">
      <c r="A15" t="inlineStr">
        <is>
          <t>Agarikon</t>
        </is>
      </c>
      <c r="B15" t="inlineStr">
        <is>
          <t>Cordyceps</t>
        </is>
      </c>
      <c r="C15" t="n">
        <v>0</v>
      </c>
      <c r="D15" t="n">
        <v>1</v>
      </c>
      <c r="E15" t="n">
        <v>0</v>
      </c>
      <c r="F15" t="inlineStr">
        <is>
          <t>General</t>
        </is>
      </c>
      <c r="G15" t="inlineStr">
        <is>
          <t>General</t>
        </is>
      </c>
      <c r="H15" t="inlineStr">
        <is>
          <t>General</t>
        </is>
      </c>
      <c r="I15" t="inlineStr">
        <is>
          <t>General</t>
        </is>
      </c>
      <c r="K15" t="inlineStr">
        <is>
          <t>unclassified</t>
        </is>
      </c>
      <c r="M15" t="n">
        <v>50</v>
      </c>
    </row>
    <row r="16">
      <c r="A16" t="inlineStr">
        <is>
          <t>Agarikon</t>
        </is>
      </c>
      <c r="B16" t="inlineStr">
        <is>
          <t>Elecampane</t>
        </is>
      </c>
      <c r="C16" t="n">
        <v>0</v>
      </c>
      <c r="D16" t="n">
        <v>1</v>
      </c>
      <c r="E16" t="n">
        <v>0</v>
      </c>
      <c r="F16" t="inlineStr">
        <is>
          <t>General</t>
        </is>
      </c>
      <c r="G16" t="inlineStr">
        <is>
          <t>General</t>
        </is>
      </c>
      <c r="H16" t="inlineStr">
        <is>
          <t>General</t>
        </is>
      </c>
      <c r="I16" t="inlineStr">
        <is>
          <t>General</t>
        </is>
      </c>
      <c r="K16" t="inlineStr">
        <is>
          <t>unclassified</t>
        </is>
      </c>
      <c r="M16" t="n">
        <v>50</v>
      </c>
    </row>
    <row r="17">
      <c r="A17" t="inlineStr">
        <is>
          <t>Agarikon</t>
        </is>
      </c>
      <c r="B17" t="inlineStr">
        <is>
          <t>Eleuthero</t>
        </is>
      </c>
      <c r="C17" t="n">
        <v>0</v>
      </c>
      <c r="D17" t="n">
        <v>1</v>
      </c>
      <c r="E17" t="n">
        <v>0</v>
      </c>
      <c r="F17" t="inlineStr">
        <is>
          <t>General</t>
        </is>
      </c>
      <c r="G17" t="inlineStr">
        <is>
          <t>General</t>
        </is>
      </c>
      <c r="H17" t="inlineStr">
        <is>
          <t>General</t>
        </is>
      </c>
      <c r="I17" t="inlineStr">
        <is>
          <t>General</t>
        </is>
      </c>
      <c r="K17" t="inlineStr">
        <is>
          <t>unclassified</t>
        </is>
      </c>
      <c r="M17" t="n">
        <v>50</v>
      </c>
    </row>
    <row r="18">
      <c r="A18" t="inlineStr">
        <is>
          <t>Agarikon</t>
        </is>
      </c>
      <c r="B18" t="inlineStr">
        <is>
          <t>Galangal</t>
        </is>
      </c>
      <c r="C18" t="n">
        <v>0</v>
      </c>
      <c r="D18" t="n">
        <v>1</v>
      </c>
      <c r="E18" t="n">
        <v>0</v>
      </c>
      <c r="F18" t="inlineStr">
        <is>
          <t>General</t>
        </is>
      </c>
      <c r="G18" t="inlineStr">
        <is>
          <t>General</t>
        </is>
      </c>
      <c r="H18" t="inlineStr">
        <is>
          <t>General</t>
        </is>
      </c>
      <c r="I18" t="inlineStr">
        <is>
          <t>General</t>
        </is>
      </c>
      <c r="K18" t="inlineStr">
        <is>
          <t>unclassified</t>
        </is>
      </c>
      <c r="M18" t="n">
        <v>50</v>
      </c>
    </row>
    <row r="19">
      <c r="A19" t="inlineStr">
        <is>
          <t>Agarikon</t>
        </is>
      </c>
      <c r="B19" t="inlineStr">
        <is>
          <t>Gudmar</t>
        </is>
      </c>
      <c r="C19" t="n">
        <v>0</v>
      </c>
      <c r="D19" t="n">
        <v>1</v>
      </c>
      <c r="E19" t="n">
        <v>0</v>
      </c>
      <c r="F19" t="inlineStr">
        <is>
          <t>General</t>
        </is>
      </c>
      <c r="G19" t="inlineStr">
        <is>
          <t>General</t>
        </is>
      </c>
      <c r="H19" t="inlineStr">
        <is>
          <t>General</t>
        </is>
      </c>
      <c r="I19" t="inlineStr">
        <is>
          <t>General</t>
        </is>
      </c>
      <c r="K19" t="inlineStr">
        <is>
          <t>unclassified</t>
        </is>
      </c>
      <c r="M19" t="n">
        <v>50</v>
      </c>
    </row>
    <row r="20">
      <c r="A20" t="inlineStr">
        <is>
          <t>Agarikon</t>
        </is>
      </c>
      <c r="B20" t="inlineStr">
        <is>
          <t>Nettle Root</t>
        </is>
      </c>
      <c r="C20" t="n">
        <v>0</v>
      </c>
      <c r="D20" t="n">
        <v>1</v>
      </c>
      <c r="E20" t="n">
        <v>0</v>
      </c>
      <c r="F20" t="inlineStr">
        <is>
          <t>General</t>
        </is>
      </c>
      <c r="G20" t="inlineStr">
        <is>
          <t>General</t>
        </is>
      </c>
      <c r="H20" t="inlineStr">
        <is>
          <t>General</t>
        </is>
      </c>
      <c r="I20" t="inlineStr">
        <is>
          <t>General</t>
        </is>
      </c>
      <c r="K20" t="inlineStr">
        <is>
          <t>unclassified</t>
        </is>
      </c>
      <c r="M20" t="n">
        <v>50</v>
      </c>
    </row>
    <row r="21">
      <c r="A21" t="inlineStr">
        <is>
          <t>Agarikon</t>
        </is>
      </c>
      <c r="B21" t="inlineStr">
        <is>
          <t>Passionflower</t>
        </is>
      </c>
      <c r="C21" t="n">
        <v>0</v>
      </c>
      <c r="D21" t="n">
        <v>1</v>
      </c>
      <c r="E21" t="n">
        <v>0</v>
      </c>
      <c r="F21" t="inlineStr">
        <is>
          <t>General</t>
        </is>
      </c>
      <c r="G21" t="inlineStr">
        <is>
          <t>General</t>
        </is>
      </c>
      <c r="H21" t="inlineStr">
        <is>
          <t>General</t>
        </is>
      </c>
      <c r="I21" t="inlineStr">
        <is>
          <t>General</t>
        </is>
      </c>
      <c r="K21" t="inlineStr">
        <is>
          <t>unclassified</t>
        </is>
      </c>
      <c r="M21" t="n">
        <v>50</v>
      </c>
    </row>
    <row r="22">
      <c r="A22" t="inlineStr">
        <is>
          <t>Agarikon</t>
        </is>
      </c>
      <c r="B22" t="inlineStr">
        <is>
          <t>Punarnava</t>
        </is>
      </c>
      <c r="C22" t="n">
        <v>0</v>
      </c>
      <c r="D22" t="n">
        <v>1</v>
      </c>
      <c r="E22" t="n">
        <v>0</v>
      </c>
      <c r="F22" t="inlineStr">
        <is>
          <t>General</t>
        </is>
      </c>
      <c r="G22" t="inlineStr">
        <is>
          <t>General</t>
        </is>
      </c>
      <c r="H22" t="inlineStr">
        <is>
          <t>General</t>
        </is>
      </c>
      <c r="I22" t="inlineStr">
        <is>
          <t>General</t>
        </is>
      </c>
      <c r="K22" t="inlineStr">
        <is>
          <t>unclassified</t>
        </is>
      </c>
      <c r="M22" t="n">
        <v>50</v>
      </c>
    </row>
    <row r="23">
      <c r="A23" t="inlineStr">
        <is>
          <t>Agarikon</t>
        </is>
      </c>
      <c r="B23" t="inlineStr">
        <is>
          <t>Reishi</t>
        </is>
      </c>
      <c r="C23" t="n">
        <v>0</v>
      </c>
      <c r="D23" t="n">
        <v>1</v>
      </c>
      <c r="E23" t="n">
        <v>0</v>
      </c>
      <c r="F23" t="inlineStr">
        <is>
          <t>General</t>
        </is>
      </c>
      <c r="G23" t="inlineStr">
        <is>
          <t>General</t>
        </is>
      </c>
      <c r="H23" t="inlineStr">
        <is>
          <t>General</t>
        </is>
      </c>
      <c r="I23" t="inlineStr">
        <is>
          <t>General</t>
        </is>
      </c>
      <c r="K23" t="inlineStr">
        <is>
          <t>unclassified</t>
        </is>
      </c>
      <c r="M23" t="n">
        <v>50</v>
      </c>
    </row>
    <row r="24">
      <c r="A24" t="inlineStr">
        <is>
          <t>Agarikon</t>
        </is>
      </c>
      <c r="B24" t="inlineStr">
        <is>
          <t>Tamarind</t>
        </is>
      </c>
      <c r="C24" t="n">
        <v>0</v>
      </c>
      <c r="D24" t="n">
        <v>1</v>
      </c>
      <c r="E24" t="n">
        <v>0</v>
      </c>
      <c r="F24" t="inlineStr">
        <is>
          <t>General</t>
        </is>
      </c>
      <c r="G24" t="inlineStr">
        <is>
          <t>General</t>
        </is>
      </c>
      <c r="H24" t="inlineStr">
        <is>
          <t>General</t>
        </is>
      </c>
      <c r="I24" t="inlineStr">
        <is>
          <t>General</t>
        </is>
      </c>
      <c r="K24" t="inlineStr">
        <is>
          <t>unclassified</t>
        </is>
      </c>
      <c r="M24" t="n">
        <v>50</v>
      </c>
    </row>
    <row r="25">
      <c r="A25" t="inlineStr">
        <is>
          <t>Agarikon</t>
        </is>
      </c>
      <c r="B25" t="inlineStr">
        <is>
          <t>Yohimbe</t>
        </is>
      </c>
      <c r="C25" t="n">
        <v>0</v>
      </c>
      <c r="D25" t="n">
        <v>1</v>
      </c>
      <c r="E25" t="n">
        <v>0</v>
      </c>
      <c r="F25" t="inlineStr">
        <is>
          <t>General</t>
        </is>
      </c>
      <c r="G25" t="inlineStr">
        <is>
          <t>General</t>
        </is>
      </c>
      <c r="H25" t="inlineStr">
        <is>
          <t>General</t>
        </is>
      </c>
      <c r="I25" t="inlineStr">
        <is>
          <t>General</t>
        </is>
      </c>
      <c r="K25" t="inlineStr">
        <is>
          <t>unclassified</t>
        </is>
      </c>
      <c r="M25" t="n">
        <v>50</v>
      </c>
    </row>
    <row r="26">
      <c r="A26" t="inlineStr">
        <is>
          <t>Ajwain</t>
        </is>
      </c>
      <c r="B26" t="inlineStr">
        <is>
          <t>Celastrus Paniculatus</t>
        </is>
      </c>
      <c r="C26" t="n">
        <v>0</v>
      </c>
      <c r="D26" t="n">
        <v>1</v>
      </c>
      <c r="E26" t="n">
        <v>0</v>
      </c>
      <c r="F26" t="inlineStr">
        <is>
          <t>General</t>
        </is>
      </c>
      <c r="G26" t="inlineStr">
        <is>
          <t>General</t>
        </is>
      </c>
      <c r="H26" t="inlineStr">
        <is>
          <t>General</t>
        </is>
      </c>
      <c r="I26" t="inlineStr">
        <is>
          <t>General</t>
        </is>
      </c>
      <c r="K26" t="inlineStr">
        <is>
          <t>unclassified</t>
        </is>
      </c>
      <c r="M26" t="n">
        <v>50</v>
      </c>
    </row>
    <row r="27">
      <c r="A27" t="inlineStr">
        <is>
          <t>Ajwain</t>
        </is>
      </c>
      <c r="B27" t="inlineStr">
        <is>
          <t>Cordyceps</t>
        </is>
      </c>
      <c r="C27" t="n">
        <v>0</v>
      </c>
      <c r="D27" t="n">
        <v>1</v>
      </c>
      <c r="E27" t="n">
        <v>0</v>
      </c>
      <c r="F27" t="inlineStr">
        <is>
          <t>General</t>
        </is>
      </c>
      <c r="G27" t="inlineStr">
        <is>
          <t>General</t>
        </is>
      </c>
      <c r="H27" t="inlineStr">
        <is>
          <t>General</t>
        </is>
      </c>
      <c r="I27" t="inlineStr">
        <is>
          <t>General</t>
        </is>
      </c>
      <c r="K27" t="inlineStr">
        <is>
          <t>unclassified</t>
        </is>
      </c>
      <c r="M27" t="n">
        <v>50</v>
      </c>
    </row>
    <row r="28">
      <c r="A28" t="inlineStr">
        <is>
          <t>Ajwain</t>
        </is>
      </c>
      <c r="B28" t="inlineStr">
        <is>
          <t>Eleuthero</t>
        </is>
      </c>
      <c r="C28" t="n">
        <v>0</v>
      </c>
      <c r="D28" t="n">
        <v>1</v>
      </c>
      <c r="E28" t="n">
        <v>0</v>
      </c>
      <c r="F28" t="inlineStr">
        <is>
          <t>General</t>
        </is>
      </c>
      <c r="G28" t="inlineStr">
        <is>
          <t>General</t>
        </is>
      </c>
      <c r="H28" t="inlineStr">
        <is>
          <t>General</t>
        </is>
      </c>
      <c r="I28" t="inlineStr">
        <is>
          <t>General</t>
        </is>
      </c>
      <c r="K28" t="inlineStr">
        <is>
          <t>unclassified</t>
        </is>
      </c>
      <c r="M28" t="n">
        <v>50</v>
      </c>
    </row>
    <row r="29">
      <c r="A29" t="inlineStr">
        <is>
          <t>Ajwain</t>
        </is>
      </c>
      <c r="B29" t="inlineStr">
        <is>
          <t>Gudmar</t>
        </is>
      </c>
      <c r="C29" t="n">
        <v>0</v>
      </c>
      <c r="D29" t="n">
        <v>1</v>
      </c>
      <c r="E29" t="n">
        <v>0</v>
      </c>
      <c r="F29" t="inlineStr">
        <is>
          <t>General</t>
        </is>
      </c>
      <c r="G29" t="inlineStr">
        <is>
          <t>General</t>
        </is>
      </c>
      <c r="H29" t="inlineStr">
        <is>
          <t>General</t>
        </is>
      </c>
      <c r="I29" t="inlineStr">
        <is>
          <t>General</t>
        </is>
      </c>
      <c r="K29" t="inlineStr">
        <is>
          <t>unclassified</t>
        </is>
      </c>
      <c r="M29" t="n">
        <v>50</v>
      </c>
    </row>
    <row r="30">
      <c r="A30" t="inlineStr">
        <is>
          <t>Ajwain</t>
        </is>
      </c>
      <c r="B30" t="inlineStr">
        <is>
          <t>Nettle Root</t>
        </is>
      </c>
      <c r="C30" t="n">
        <v>0</v>
      </c>
      <c r="D30" t="n">
        <v>1</v>
      </c>
      <c r="E30" t="n">
        <v>0</v>
      </c>
      <c r="F30" t="inlineStr">
        <is>
          <t>General</t>
        </is>
      </c>
      <c r="G30" t="inlineStr">
        <is>
          <t>General</t>
        </is>
      </c>
      <c r="H30" t="inlineStr">
        <is>
          <t>General</t>
        </is>
      </c>
      <c r="I30" t="inlineStr">
        <is>
          <t>General</t>
        </is>
      </c>
      <c r="K30" t="inlineStr">
        <is>
          <t>unclassified</t>
        </is>
      </c>
      <c r="M30" t="n">
        <v>50</v>
      </c>
    </row>
    <row r="31">
      <c r="A31" t="inlineStr">
        <is>
          <t>Ajwain</t>
        </is>
      </c>
      <c r="B31" t="inlineStr">
        <is>
          <t>Passionflower</t>
        </is>
      </c>
      <c r="C31" t="n">
        <v>0</v>
      </c>
      <c r="D31" t="n">
        <v>1</v>
      </c>
      <c r="E31" t="n">
        <v>0</v>
      </c>
      <c r="F31" t="inlineStr">
        <is>
          <t>General</t>
        </is>
      </c>
      <c r="G31" t="inlineStr">
        <is>
          <t>General</t>
        </is>
      </c>
      <c r="H31" t="inlineStr">
        <is>
          <t>General</t>
        </is>
      </c>
      <c r="I31" t="inlineStr">
        <is>
          <t>General</t>
        </is>
      </c>
      <c r="K31" t="inlineStr">
        <is>
          <t>unclassified</t>
        </is>
      </c>
      <c r="M31" t="n">
        <v>50</v>
      </c>
    </row>
    <row r="32">
      <c r="A32" t="inlineStr">
        <is>
          <t>Ajwain</t>
        </is>
      </c>
      <c r="B32" t="inlineStr">
        <is>
          <t>Punarnava</t>
        </is>
      </c>
      <c r="C32" t="n">
        <v>0</v>
      </c>
      <c r="D32" t="n">
        <v>1</v>
      </c>
      <c r="E32" t="n">
        <v>0</v>
      </c>
      <c r="F32" t="inlineStr">
        <is>
          <t>General</t>
        </is>
      </c>
      <c r="G32" t="inlineStr">
        <is>
          <t>General</t>
        </is>
      </c>
      <c r="H32" t="inlineStr">
        <is>
          <t>General</t>
        </is>
      </c>
      <c r="I32" t="inlineStr">
        <is>
          <t>General</t>
        </is>
      </c>
      <c r="K32" t="inlineStr">
        <is>
          <t>unclassified</t>
        </is>
      </c>
      <c r="M32" t="n">
        <v>50</v>
      </c>
    </row>
    <row r="33">
      <c r="A33" t="inlineStr">
        <is>
          <t>Ajwain</t>
        </is>
      </c>
      <c r="B33" t="inlineStr">
        <is>
          <t>Reishi</t>
        </is>
      </c>
      <c r="C33" t="n">
        <v>0</v>
      </c>
      <c r="D33" t="n">
        <v>1</v>
      </c>
      <c r="E33" t="n">
        <v>0</v>
      </c>
      <c r="F33" t="inlineStr">
        <is>
          <t>General</t>
        </is>
      </c>
      <c r="G33" t="inlineStr">
        <is>
          <t>General</t>
        </is>
      </c>
      <c r="H33" t="inlineStr">
        <is>
          <t>General</t>
        </is>
      </c>
      <c r="I33" t="inlineStr">
        <is>
          <t>General</t>
        </is>
      </c>
      <c r="K33" t="inlineStr">
        <is>
          <t>unclassified</t>
        </is>
      </c>
      <c r="M33" t="n">
        <v>50</v>
      </c>
    </row>
    <row r="34">
      <c r="A34" t="inlineStr">
        <is>
          <t>Ajwain</t>
        </is>
      </c>
      <c r="B34" t="inlineStr">
        <is>
          <t>Tamarind</t>
        </is>
      </c>
      <c r="C34" t="n">
        <v>0</v>
      </c>
      <c r="D34" t="n">
        <v>1</v>
      </c>
      <c r="E34" t="n">
        <v>0</v>
      </c>
      <c r="F34" t="inlineStr">
        <is>
          <t>General</t>
        </is>
      </c>
      <c r="G34" t="inlineStr">
        <is>
          <t>General</t>
        </is>
      </c>
      <c r="H34" t="inlineStr">
        <is>
          <t>General</t>
        </is>
      </c>
      <c r="I34" t="inlineStr">
        <is>
          <t>General</t>
        </is>
      </c>
      <c r="K34" t="inlineStr">
        <is>
          <t>unclassified</t>
        </is>
      </c>
      <c r="M34" t="n">
        <v>50</v>
      </c>
    </row>
    <row r="35">
      <c r="A35" t="inlineStr">
        <is>
          <t>Ajwain</t>
        </is>
      </c>
      <c r="B35" t="inlineStr">
        <is>
          <t>Yohimbe</t>
        </is>
      </c>
      <c r="C35" t="n">
        <v>0</v>
      </c>
      <c r="D35" t="n">
        <v>1</v>
      </c>
      <c r="E35" t="n">
        <v>0</v>
      </c>
      <c r="F35" t="inlineStr">
        <is>
          <t>General</t>
        </is>
      </c>
      <c r="G35" t="inlineStr">
        <is>
          <t>General</t>
        </is>
      </c>
      <c r="H35" t="inlineStr">
        <is>
          <t>General</t>
        </is>
      </c>
      <c r="I35" t="inlineStr">
        <is>
          <t>General</t>
        </is>
      </c>
      <c r="K35" t="inlineStr">
        <is>
          <t>unclassified</t>
        </is>
      </c>
      <c r="M35" t="n">
        <v>50</v>
      </c>
    </row>
    <row r="36">
      <c r="A36" t="inlineStr">
        <is>
          <t>Angelica Root</t>
        </is>
      </c>
      <c r="B36" t="inlineStr">
        <is>
          <t>Ajwain</t>
        </is>
      </c>
      <c r="C36" t="n">
        <v>0</v>
      </c>
      <c r="D36" t="n">
        <v>1</v>
      </c>
      <c r="E36" t="n">
        <v>0</v>
      </c>
      <c r="F36" t="inlineStr">
        <is>
          <t>General</t>
        </is>
      </c>
      <c r="G36" t="inlineStr">
        <is>
          <t>General</t>
        </is>
      </c>
      <c r="H36" t="inlineStr">
        <is>
          <t>General</t>
        </is>
      </c>
      <c r="I36" t="inlineStr">
        <is>
          <t>General</t>
        </is>
      </c>
      <c r="K36" t="inlineStr">
        <is>
          <t>unclassified</t>
        </is>
      </c>
      <c r="M36" t="n">
        <v>50</v>
      </c>
    </row>
    <row r="37">
      <c r="A37" t="inlineStr">
        <is>
          <t>Angelica Root</t>
        </is>
      </c>
      <c r="B37" t="inlineStr">
        <is>
          <t>Caraway</t>
        </is>
      </c>
      <c r="C37" t="n">
        <v>0</v>
      </c>
      <c r="D37" t="n">
        <v>1</v>
      </c>
      <c r="E37" t="n">
        <v>0</v>
      </c>
      <c r="F37" t="inlineStr">
        <is>
          <t>General</t>
        </is>
      </c>
      <c r="G37" t="inlineStr">
        <is>
          <t>General</t>
        </is>
      </c>
      <c r="H37" t="inlineStr">
        <is>
          <t>General</t>
        </is>
      </c>
      <c r="I37" t="inlineStr">
        <is>
          <t>General</t>
        </is>
      </c>
      <c r="K37" t="inlineStr">
        <is>
          <t>unclassified</t>
        </is>
      </c>
      <c r="M37" t="n">
        <v>50</v>
      </c>
    </row>
    <row r="38">
      <c r="A38" t="inlineStr">
        <is>
          <t>Angelica Root</t>
        </is>
      </c>
      <c r="B38" t="inlineStr">
        <is>
          <t>Cardamom</t>
        </is>
      </c>
      <c r="C38" t="n">
        <v>0</v>
      </c>
      <c r="D38" t="n">
        <v>1</v>
      </c>
      <c r="E38" t="n">
        <v>0</v>
      </c>
      <c r="F38" t="inlineStr">
        <is>
          <t>General</t>
        </is>
      </c>
      <c r="G38" t="inlineStr">
        <is>
          <t>General</t>
        </is>
      </c>
      <c r="H38" t="inlineStr">
        <is>
          <t>General</t>
        </is>
      </c>
      <c r="I38" t="inlineStr">
        <is>
          <t>General</t>
        </is>
      </c>
      <c r="K38" t="inlineStr">
        <is>
          <t>unclassified</t>
        </is>
      </c>
      <c r="M38" t="n">
        <v>50</v>
      </c>
    </row>
    <row r="39">
      <c r="A39" t="inlineStr">
        <is>
          <t>Angelica Root</t>
        </is>
      </c>
      <c r="B39" t="inlineStr">
        <is>
          <t>Celastrus Paniculatus</t>
        </is>
      </c>
      <c r="C39" t="n">
        <v>0</v>
      </c>
      <c r="D39" t="n">
        <v>1</v>
      </c>
      <c r="E39" t="n">
        <v>0</v>
      </c>
      <c r="F39" t="inlineStr">
        <is>
          <t>General</t>
        </is>
      </c>
      <c r="G39" t="inlineStr">
        <is>
          <t>General</t>
        </is>
      </c>
      <c r="H39" t="inlineStr">
        <is>
          <t>General</t>
        </is>
      </c>
      <c r="I39" t="inlineStr">
        <is>
          <t>General</t>
        </is>
      </c>
      <c r="K39" t="inlineStr">
        <is>
          <t>unclassified</t>
        </is>
      </c>
      <c r="M39" t="n">
        <v>50</v>
      </c>
    </row>
    <row r="40">
      <c r="A40" t="inlineStr">
        <is>
          <t>Angelica Root</t>
        </is>
      </c>
      <c r="B40" t="inlineStr">
        <is>
          <t>Cordyceps</t>
        </is>
      </c>
      <c r="C40" t="n">
        <v>0</v>
      </c>
      <c r="D40" t="n">
        <v>1</v>
      </c>
      <c r="E40" t="n">
        <v>0</v>
      </c>
      <c r="F40" t="inlineStr">
        <is>
          <t>General</t>
        </is>
      </c>
      <c r="G40" t="inlineStr">
        <is>
          <t>General</t>
        </is>
      </c>
      <c r="H40" t="inlineStr">
        <is>
          <t>General</t>
        </is>
      </c>
      <c r="I40" t="inlineStr">
        <is>
          <t>General</t>
        </is>
      </c>
      <c r="K40" t="inlineStr">
        <is>
          <t>unclassified</t>
        </is>
      </c>
      <c r="M40" t="n">
        <v>50</v>
      </c>
    </row>
    <row r="41">
      <c r="A41" t="inlineStr">
        <is>
          <t>Angelica Root</t>
        </is>
      </c>
      <c r="B41" t="inlineStr">
        <is>
          <t>Eleuthero</t>
        </is>
      </c>
      <c r="C41" t="n">
        <v>0</v>
      </c>
      <c r="D41" t="n">
        <v>1</v>
      </c>
      <c r="E41" t="n">
        <v>0</v>
      </c>
      <c r="F41" t="inlineStr">
        <is>
          <t>General</t>
        </is>
      </c>
      <c r="G41" t="inlineStr">
        <is>
          <t>General</t>
        </is>
      </c>
      <c r="H41" t="inlineStr">
        <is>
          <t>General</t>
        </is>
      </c>
      <c r="I41" t="inlineStr">
        <is>
          <t>General</t>
        </is>
      </c>
      <c r="K41" t="inlineStr">
        <is>
          <t>unclassified</t>
        </is>
      </c>
      <c r="M41" t="n">
        <v>50</v>
      </c>
    </row>
    <row r="42">
      <c r="A42" t="inlineStr">
        <is>
          <t>Angelica Root</t>
        </is>
      </c>
      <c r="B42" t="inlineStr">
        <is>
          <t>Galangal</t>
        </is>
      </c>
      <c r="C42" t="n">
        <v>0</v>
      </c>
      <c r="D42" t="n">
        <v>1</v>
      </c>
      <c r="E42" t="n">
        <v>0</v>
      </c>
      <c r="F42" t="inlineStr">
        <is>
          <t>General</t>
        </is>
      </c>
      <c r="G42" t="inlineStr">
        <is>
          <t>General</t>
        </is>
      </c>
      <c r="H42" t="inlineStr">
        <is>
          <t>General</t>
        </is>
      </c>
      <c r="I42" t="inlineStr">
        <is>
          <t>General</t>
        </is>
      </c>
      <c r="K42" t="inlineStr">
        <is>
          <t>unclassified</t>
        </is>
      </c>
      <c r="M42" t="n">
        <v>50</v>
      </c>
    </row>
    <row r="43">
      <c r="A43" t="inlineStr">
        <is>
          <t>Angelica Root</t>
        </is>
      </c>
      <c r="B43" t="inlineStr">
        <is>
          <t>Gudmar</t>
        </is>
      </c>
      <c r="C43" t="n">
        <v>0</v>
      </c>
      <c r="D43" t="n">
        <v>1</v>
      </c>
      <c r="E43" t="n">
        <v>0</v>
      </c>
      <c r="F43" t="inlineStr">
        <is>
          <t>General</t>
        </is>
      </c>
      <c r="G43" t="inlineStr">
        <is>
          <t>General</t>
        </is>
      </c>
      <c r="H43" t="inlineStr">
        <is>
          <t>General</t>
        </is>
      </c>
      <c r="I43" t="inlineStr">
        <is>
          <t>General</t>
        </is>
      </c>
      <c r="K43" t="inlineStr">
        <is>
          <t>unclassified</t>
        </is>
      </c>
      <c r="M43" t="n">
        <v>50</v>
      </c>
    </row>
    <row r="44">
      <c r="A44" t="inlineStr">
        <is>
          <t>Angelica Root</t>
        </is>
      </c>
      <c r="B44" t="inlineStr">
        <is>
          <t>Nettle Root</t>
        </is>
      </c>
      <c r="C44" t="n">
        <v>0</v>
      </c>
      <c r="D44" t="n">
        <v>1</v>
      </c>
      <c r="E44" t="n">
        <v>0</v>
      </c>
      <c r="F44" t="inlineStr">
        <is>
          <t>General</t>
        </is>
      </c>
      <c r="G44" t="inlineStr">
        <is>
          <t>General</t>
        </is>
      </c>
      <c r="H44" t="inlineStr">
        <is>
          <t>General</t>
        </is>
      </c>
      <c r="I44" t="inlineStr">
        <is>
          <t>General</t>
        </is>
      </c>
      <c r="K44" t="inlineStr">
        <is>
          <t>unclassified</t>
        </is>
      </c>
      <c r="M44" t="n">
        <v>50</v>
      </c>
    </row>
    <row r="45">
      <c r="A45" t="inlineStr">
        <is>
          <t>Angelica Root</t>
        </is>
      </c>
      <c r="B45" t="inlineStr">
        <is>
          <t>Passionflower</t>
        </is>
      </c>
      <c r="C45" t="n">
        <v>0</v>
      </c>
      <c r="D45" t="n">
        <v>1</v>
      </c>
      <c r="E45" t="n">
        <v>0</v>
      </c>
      <c r="F45" t="inlineStr">
        <is>
          <t>General</t>
        </is>
      </c>
      <c r="G45" t="inlineStr">
        <is>
          <t>General</t>
        </is>
      </c>
      <c r="H45" t="inlineStr">
        <is>
          <t>General</t>
        </is>
      </c>
      <c r="I45" t="inlineStr">
        <is>
          <t>General</t>
        </is>
      </c>
      <c r="K45" t="inlineStr">
        <is>
          <t>unclassified</t>
        </is>
      </c>
      <c r="M45" t="n">
        <v>50</v>
      </c>
    </row>
    <row r="46">
      <c r="A46" t="inlineStr">
        <is>
          <t>Angelica Root</t>
        </is>
      </c>
      <c r="B46" t="inlineStr">
        <is>
          <t>Punarnava</t>
        </is>
      </c>
      <c r="C46" t="n">
        <v>0</v>
      </c>
      <c r="D46" t="n">
        <v>1</v>
      </c>
      <c r="E46" t="n">
        <v>0</v>
      </c>
      <c r="F46" t="inlineStr">
        <is>
          <t>General</t>
        </is>
      </c>
      <c r="G46" t="inlineStr">
        <is>
          <t>General</t>
        </is>
      </c>
      <c r="H46" t="inlineStr">
        <is>
          <t>General</t>
        </is>
      </c>
      <c r="I46" t="inlineStr">
        <is>
          <t>General</t>
        </is>
      </c>
      <c r="K46" t="inlineStr">
        <is>
          <t>unclassified</t>
        </is>
      </c>
      <c r="M46" t="n">
        <v>50</v>
      </c>
    </row>
    <row r="47">
      <c r="A47" t="inlineStr">
        <is>
          <t>Angelica Root</t>
        </is>
      </c>
      <c r="B47" t="inlineStr">
        <is>
          <t>Reishi</t>
        </is>
      </c>
      <c r="C47" t="n">
        <v>0</v>
      </c>
      <c r="D47" t="n">
        <v>1</v>
      </c>
      <c r="E47" t="n">
        <v>0</v>
      </c>
      <c r="F47" t="inlineStr">
        <is>
          <t>General</t>
        </is>
      </c>
      <c r="G47" t="inlineStr">
        <is>
          <t>General</t>
        </is>
      </c>
      <c r="H47" t="inlineStr">
        <is>
          <t>General</t>
        </is>
      </c>
      <c r="I47" t="inlineStr">
        <is>
          <t>General</t>
        </is>
      </c>
      <c r="K47" t="inlineStr">
        <is>
          <t>unclassified</t>
        </is>
      </c>
      <c r="M47" t="n">
        <v>50</v>
      </c>
    </row>
    <row r="48">
      <c r="A48" t="inlineStr">
        <is>
          <t>Angelica Root</t>
        </is>
      </c>
      <c r="B48" t="inlineStr">
        <is>
          <t>Tamarind</t>
        </is>
      </c>
      <c r="C48" t="n">
        <v>0</v>
      </c>
      <c r="D48" t="n">
        <v>1</v>
      </c>
      <c r="E48" t="n">
        <v>0</v>
      </c>
      <c r="F48" t="inlineStr">
        <is>
          <t>General</t>
        </is>
      </c>
      <c r="G48" t="inlineStr">
        <is>
          <t>General</t>
        </is>
      </c>
      <c r="H48" t="inlineStr">
        <is>
          <t>General</t>
        </is>
      </c>
      <c r="I48" t="inlineStr">
        <is>
          <t>General</t>
        </is>
      </c>
      <c r="K48" t="inlineStr">
        <is>
          <t>unclassified</t>
        </is>
      </c>
      <c r="M48" t="n">
        <v>50</v>
      </c>
    </row>
    <row r="49">
      <c r="A49" t="inlineStr">
        <is>
          <t>Angelica Root</t>
        </is>
      </c>
      <c r="B49" t="inlineStr">
        <is>
          <t>Yohimbe</t>
        </is>
      </c>
      <c r="C49" t="n">
        <v>0</v>
      </c>
      <c r="D49" t="n">
        <v>1</v>
      </c>
      <c r="E49" t="n">
        <v>0</v>
      </c>
      <c r="F49" t="inlineStr">
        <is>
          <t>General</t>
        </is>
      </c>
      <c r="G49" t="inlineStr">
        <is>
          <t>General</t>
        </is>
      </c>
      <c r="H49" t="inlineStr">
        <is>
          <t>General</t>
        </is>
      </c>
      <c r="I49" t="inlineStr">
        <is>
          <t>General</t>
        </is>
      </c>
      <c r="K49" t="inlineStr">
        <is>
          <t>unclassified</t>
        </is>
      </c>
      <c r="M49" t="n">
        <v>50</v>
      </c>
    </row>
    <row r="50">
      <c r="A50" t="inlineStr">
        <is>
          <t>Artichoke</t>
        </is>
      </c>
      <c r="B50" t="inlineStr">
        <is>
          <t>Agarikon</t>
        </is>
      </c>
      <c r="C50" t="n">
        <v>0</v>
      </c>
      <c r="D50" t="n">
        <v>1</v>
      </c>
      <c r="E50" t="n">
        <v>0</v>
      </c>
      <c r="F50" t="inlineStr">
        <is>
          <t>General</t>
        </is>
      </c>
      <c r="G50" t="inlineStr">
        <is>
          <t>General</t>
        </is>
      </c>
      <c r="H50" t="inlineStr">
        <is>
          <t>General</t>
        </is>
      </c>
      <c r="I50" t="inlineStr">
        <is>
          <t>General</t>
        </is>
      </c>
      <c r="K50" t="inlineStr">
        <is>
          <t>unclassified</t>
        </is>
      </c>
      <c r="M50" t="n">
        <v>50</v>
      </c>
    </row>
    <row r="51">
      <c r="A51" t="inlineStr">
        <is>
          <t>Artichoke</t>
        </is>
      </c>
      <c r="B51" t="inlineStr">
        <is>
          <t>Ajwain</t>
        </is>
      </c>
      <c r="C51" t="n">
        <v>0</v>
      </c>
      <c r="D51" t="n">
        <v>1</v>
      </c>
      <c r="E51" t="n">
        <v>0</v>
      </c>
      <c r="F51" t="inlineStr">
        <is>
          <t>General</t>
        </is>
      </c>
      <c r="G51" t="inlineStr">
        <is>
          <t>General</t>
        </is>
      </c>
      <c r="H51" t="inlineStr">
        <is>
          <t>General</t>
        </is>
      </c>
      <c r="I51" t="inlineStr">
        <is>
          <t>General</t>
        </is>
      </c>
      <c r="K51" t="inlineStr">
        <is>
          <t>unclassified</t>
        </is>
      </c>
      <c r="M51" t="n">
        <v>50</v>
      </c>
    </row>
    <row r="52">
      <c r="A52" t="inlineStr">
        <is>
          <t>Artichoke</t>
        </is>
      </c>
      <c r="B52" t="inlineStr">
        <is>
          <t>Angelica Root</t>
        </is>
      </c>
      <c r="C52" t="n">
        <v>0</v>
      </c>
      <c r="D52" t="n">
        <v>1</v>
      </c>
      <c r="E52" t="n">
        <v>0</v>
      </c>
      <c r="F52" t="inlineStr">
        <is>
          <t>General</t>
        </is>
      </c>
      <c r="G52" t="inlineStr">
        <is>
          <t>General</t>
        </is>
      </c>
      <c r="H52" t="inlineStr">
        <is>
          <t>General</t>
        </is>
      </c>
      <c r="I52" t="inlineStr">
        <is>
          <t>General</t>
        </is>
      </c>
      <c r="K52" t="inlineStr">
        <is>
          <t>unclassified</t>
        </is>
      </c>
      <c r="M52" t="n">
        <v>50</v>
      </c>
    </row>
    <row r="53">
      <c r="A53" t="inlineStr">
        <is>
          <t>Artichoke</t>
        </is>
      </c>
      <c r="B53" t="inlineStr">
        <is>
          <t>Ashoka</t>
        </is>
      </c>
      <c r="C53" t="n">
        <v>0</v>
      </c>
      <c r="D53" t="n">
        <v>1</v>
      </c>
      <c r="E53" t="n">
        <v>0</v>
      </c>
      <c r="F53" t="inlineStr">
        <is>
          <t>General</t>
        </is>
      </c>
      <c r="G53" t="inlineStr">
        <is>
          <t>General</t>
        </is>
      </c>
      <c r="H53" t="inlineStr">
        <is>
          <t>General</t>
        </is>
      </c>
      <c r="I53" t="inlineStr">
        <is>
          <t>General</t>
        </is>
      </c>
      <c r="K53" t="inlineStr">
        <is>
          <t>unclassified</t>
        </is>
      </c>
      <c r="M53" t="n">
        <v>50</v>
      </c>
    </row>
    <row r="54">
      <c r="A54" t="inlineStr">
        <is>
          <t>Artichoke</t>
        </is>
      </c>
      <c r="B54" t="inlineStr">
        <is>
          <t>Boldo</t>
        </is>
      </c>
      <c r="C54" t="n">
        <v>0</v>
      </c>
      <c r="D54" t="n">
        <v>1</v>
      </c>
      <c r="E54" t="n">
        <v>0</v>
      </c>
      <c r="F54" t="inlineStr">
        <is>
          <t>General</t>
        </is>
      </c>
      <c r="G54" t="inlineStr">
        <is>
          <t>General</t>
        </is>
      </c>
      <c r="H54" t="inlineStr">
        <is>
          <t>General</t>
        </is>
      </c>
      <c r="I54" t="inlineStr">
        <is>
          <t>General</t>
        </is>
      </c>
      <c r="K54" t="inlineStr">
        <is>
          <t>unclassified</t>
        </is>
      </c>
      <c r="M54" t="n">
        <v>50</v>
      </c>
    </row>
    <row r="55">
      <c r="A55" t="inlineStr">
        <is>
          <t>Artichoke</t>
        </is>
      </c>
      <c r="B55" t="inlineStr">
        <is>
          <t>Burdock</t>
        </is>
      </c>
      <c r="C55" t="n">
        <v>0</v>
      </c>
      <c r="D55" t="n">
        <v>1</v>
      </c>
      <c r="E55" t="n">
        <v>0</v>
      </c>
      <c r="F55" t="inlineStr">
        <is>
          <t>General</t>
        </is>
      </c>
      <c r="G55" t="inlineStr">
        <is>
          <t>General</t>
        </is>
      </c>
      <c r="H55" t="inlineStr">
        <is>
          <t>General</t>
        </is>
      </c>
      <c r="I55" t="inlineStr">
        <is>
          <t>General</t>
        </is>
      </c>
      <c r="K55" t="inlineStr">
        <is>
          <t>unclassified</t>
        </is>
      </c>
      <c r="M55" t="n">
        <v>50</v>
      </c>
    </row>
    <row r="56">
      <c r="A56" t="inlineStr">
        <is>
          <t>Artichoke</t>
        </is>
      </c>
      <c r="B56" t="inlineStr">
        <is>
          <t>Calendula</t>
        </is>
      </c>
      <c r="C56" t="n">
        <v>0</v>
      </c>
      <c r="D56" t="n">
        <v>1</v>
      </c>
      <c r="E56" t="n">
        <v>0</v>
      </c>
      <c r="F56" t="inlineStr">
        <is>
          <t>General</t>
        </is>
      </c>
      <c r="G56" t="inlineStr">
        <is>
          <t>General</t>
        </is>
      </c>
      <c r="H56" t="inlineStr">
        <is>
          <t>General</t>
        </is>
      </c>
      <c r="I56" t="inlineStr">
        <is>
          <t>General</t>
        </is>
      </c>
      <c r="K56" t="inlineStr">
        <is>
          <t>unclassified</t>
        </is>
      </c>
      <c r="M56" t="n">
        <v>50</v>
      </c>
    </row>
    <row r="57">
      <c r="A57" t="inlineStr">
        <is>
          <t>Artichoke</t>
        </is>
      </c>
      <c r="B57" t="inlineStr">
        <is>
          <t>Caraway</t>
        </is>
      </c>
      <c r="C57" t="n">
        <v>0</v>
      </c>
      <c r="D57" t="n">
        <v>1</v>
      </c>
      <c r="E57" t="n">
        <v>0</v>
      </c>
      <c r="F57" t="inlineStr">
        <is>
          <t>General</t>
        </is>
      </c>
      <c r="G57" t="inlineStr">
        <is>
          <t>General</t>
        </is>
      </c>
      <c r="H57" t="inlineStr">
        <is>
          <t>General</t>
        </is>
      </c>
      <c r="I57" t="inlineStr">
        <is>
          <t>General</t>
        </is>
      </c>
      <c r="K57" t="inlineStr">
        <is>
          <t>unclassified</t>
        </is>
      </c>
      <c r="M57" t="n">
        <v>50</v>
      </c>
    </row>
    <row r="58">
      <c r="A58" t="inlineStr">
        <is>
          <t>Artichoke</t>
        </is>
      </c>
      <c r="B58" t="inlineStr">
        <is>
          <t>Cardamom</t>
        </is>
      </c>
      <c r="C58" t="n">
        <v>0</v>
      </c>
      <c r="D58" t="n">
        <v>1</v>
      </c>
      <c r="E58" t="n">
        <v>0</v>
      </c>
      <c r="F58" t="inlineStr">
        <is>
          <t>General</t>
        </is>
      </c>
      <c r="G58" t="inlineStr">
        <is>
          <t>General</t>
        </is>
      </c>
      <c r="H58" t="inlineStr">
        <is>
          <t>General</t>
        </is>
      </c>
      <c r="I58" t="inlineStr">
        <is>
          <t>General</t>
        </is>
      </c>
      <c r="K58" t="inlineStr">
        <is>
          <t>unclassified</t>
        </is>
      </c>
      <c r="M58" t="n">
        <v>50</v>
      </c>
    </row>
    <row r="59">
      <c r="A59" t="inlineStr">
        <is>
          <t>Artichoke</t>
        </is>
      </c>
      <c r="B59" t="inlineStr">
        <is>
          <t>Celastrus Paniculatus</t>
        </is>
      </c>
      <c r="C59" t="n">
        <v>0</v>
      </c>
      <c r="D59" t="n">
        <v>1</v>
      </c>
      <c r="E59" t="n">
        <v>0</v>
      </c>
      <c r="F59" t="inlineStr">
        <is>
          <t>General</t>
        </is>
      </c>
      <c r="G59" t="inlineStr">
        <is>
          <t>General</t>
        </is>
      </c>
      <c r="H59" t="inlineStr">
        <is>
          <t>General</t>
        </is>
      </c>
      <c r="I59" t="inlineStr">
        <is>
          <t>General</t>
        </is>
      </c>
      <c r="K59" t="inlineStr">
        <is>
          <t>unclassified</t>
        </is>
      </c>
      <c r="M59" t="n">
        <v>50</v>
      </c>
    </row>
    <row r="60">
      <c r="A60" t="inlineStr">
        <is>
          <t>Artichoke</t>
        </is>
      </c>
      <c r="B60" t="inlineStr">
        <is>
          <t>Cinnamon</t>
        </is>
      </c>
      <c r="C60" t="n">
        <v>0</v>
      </c>
      <c r="D60" t="n">
        <v>1</v>
      </c>
      <c r="E60" t="n">
        <v>0</v>
      </c>
      <c r="F60" t="inlineStr">
        <is>
          <t>General</t>
        </is>
      </c>
      <c r="G60" t="inlineStr">
        <is>
          <t>General</t>
        </is>
      </c>
      <c r="H60" t="inlineStr">
        <is>
          <t>General</t>
        </is>
      </c>
      <c r="I60" t="inlineStr">
        <is>
          <t>General</t>
        </is>
      </c>
      <c r="K60" t="inlineStr">
        <is>
          <t>unclassified</t>
        </is>
      </c>
      <c r="M60" t="n">
        <v>50</v>
      </c>
    </row>
    <row r="61">
      <c r="A61" t="inlineStr">
        <is>
          <t>Artichoke</t>
        </is>
      </c>
      <c r="B61" t="inlineStr">
        <is>
          <t>Cistanche</t>
        </is>
      </c>
      <c r="C61" t="n">
        <v>0</v>
      </c>
      <c r="D61" t="n">
        <v>1</v>
      </c>
      <c r="E61" t="n">
        <v>0</v>
      </c>
      <c r="F61" t="inlineStr">
        <is>
          <t>General</t>
        </is>
      </c>
      <c r="G61" t="inlineStr">
        <is>
          <t>General</t>
        </is>
      </c>
      <c r="H61" t="inlineStr">
        <is>
          <t>General</t>
        </is>
      </c>
      <c r="I61" t="inlineStr">
        <is>
          <t>General</t>
        </is>
      </c>
      <c r="K61" t="inlineStr">
        <is>
          <t>unclassified</t>
        </is>
      </c>
      <c r="M61" t="n">
        <v>50</v>
      </c>
    </row>
    <row r="62">
      <c r="A62" t="inlineStr">
        <is>
          <t>Artichoke</t>
        </is>
      </c>
      <c r="B62" t="inlineStr">
        <is>
          <t>Cordyceps</t>
        </is>
      </c>
      <c r="C62" t="n">
        <v>0</v>
      </c>
      <c r="D62" t="n">
        <v>1</v>
      </c>
      <c r="E62" t="n">
        <v>0</v>
      </c>
      <c r="F62" t="inlineStr">
        <is>
          <t>General</t>
        </is>
      </c>
      <c r="G62" t="inlineStr">
        <is>
          <t>General</t>
        </is>
      </c>
      <c r="H62" t="inlineStr">
        <is>
          <t>General</t>
        </is>
      </c>
      <c r="I62" t="inlineStr">
        <is>
          <t>General</t>
        </is>
      </c>
      <c r="K62" t="inlineStr">
        <is>
          <t>unclassified</t>
        </is>
      </c>
      <c r="M62" t="n">
        <v>50</v>
      </c>
    </row>
    <row r="63">
      <c r="A63" t="inlineStr">
        <is>
          <t>Artichoke</t>
        </is>
      </c>
      <c r="B63" t="inlineStr">
        <is>
          <t>Dandelion</t>
        </is>
      </c>
      <c r="C63" t="n">
        <v>0</v>
      </c>
      <c r="D63" t="n">
        <v>1</v>
      </c>
      <c r="E63" t="n">
        <v>0</v>
      </c>
      <c r="F63" t="inlineStr">
        <is>
          <t>General</t>
        </is>
      </c>
      <c r="G63" t="inlineStr">
        <is>
          <t>General</t>
        </is>
      </c>
      <c r="H63" t="inlineStr">
        <is>
          <t>General</t>
        </is>
      </c>
      <c r="I63" t="inlineStr">
        <is>
          <t>General</t>
        </is>
      </c>
      <c r="K63" t="inlineStr">
        <is>
          <t>unclassified</t>
        </is>
      </c>
      <c r="M63" t="n">
        <v>50</v>
      </c>
    </row>
    <row r="64">
      <c r="A64" t="inlineStr">
        <is>
          <t>Artichoke</t>
        </is>
      </c>
      <c r="B64" t="inlineStr">
        <is>
          <t>Dendrobium</t>
        </is>
      </c>
      <c r="C64" t="n">
        <v>0</v>
      </c>
      <c r="D64" t="n">
        <v>1</v>
      </c>
      <c r="E64" t="n">
        <v>0</v>
      </c>
      <c r="F64" t="inlineStr">
        <is>
          <t>General</t>
        </is>
      </c>
      <c r="G64" t="inlineStr">
        <is>
          <t>General</t>
        </is>
      </c>
      <c r="H64" t="inlineStr">
        <is>
          <t>General</t>
        </is>
      </c>
      <c r="I64" t="inlineStr">
        <is>
          <t>General</t>
        </is>
      </c>
      <c r="K64" t="inlineStr">
        <is>
          <t>unclassified</t>
        </is>
      </c>
      <c r="M64" t="n">
        <v>50</v>
      </c>
    </row>
    <row r="65">
      <c r="A65" t="inlineStr">
        <is>
          <t>Artichoke</t>
        </is>
      </c>
      <c r="B65" t="inlineStr">
        <is>
          <t>Elecampane</t>
        </is>
      </c>
      <c r="C65" t="n">
        <v>0</v>
      </c>
      <c r="D65" t="n">
        <v>1</v>
      </c>
      <c r="E65" t="n">
        <v>0</v>
      </c>
      <c r="F65" t="inlineStr">
        <is>
          <t>General</t>
        </is>
      </c>
      <c r="G65" t="inlineStr">
        <is>
          <t>General</t>
        </is>
      </c>
      <c r="H65" t="inlineStr">
        <is>
          <t>General</t>
        </is>
      </c>
      <c r="I65" t="inlineStr">
        <is>
          <t>General</t>
        </is>
      </c>
      <c r="K65" t="inlineStr">
        <is>
          <t>unclassified</t>
        </is>
      </c>
      <c r="M65" t="n">
        <v>50</v>
      </c>
    </row>
    <row r="66">
      <c r="A66" t="inlineStr">
        <is>
          <t>Artichoke</t>
        </is>
      </c>
      <c r="B66" t="inlineStr">
        <is>
          <t>Eleuthero</t>
        </is>
      </c>
      <c r="C66" t="n">
        <v>0</v>
      </c>
      <c r="D66" t="n">
        <v>1</v>
      </c>
      <c r="E66" t="n">
        <v>0</v>
      </c>
      <c r="F66" t="inlineStr">
        <is>
          <t>General</t>
        </is>
      </c>
      <c r="G66" t="inlineStr">
        <is>
          <t>General</t>
        </is>
      </c>
      <c r="H66" t="inlineStr">
        <is>
          <t>General</t>
        </is>
      </c>
      <c r="I66" t="inlineStr">
        <is>
          <t>General</t>
        </is>
      </c>
      <c r="K66" t="inlineStr">
        <is>
          <t>unclassified</t>
        </is>
      </c>
      <c r="M66" t="n">
        <v>50</v>
      </c>
    </row>
    <row r="67">
      <c r="A67" t="inlineStr">
        <is>
          <t>Artichoke</t>
        </is>
      </c>
      <c r="B67" t="inlineStr">
        <is>
          <t>Fennel</t>
        </is>
      </c>
      <c r="C67" t="n">
        <v>0</v>
      </c>
      <c r="D67" t="n">
        <v>1</v>
      </c>
      <c r="E67" t="n">
        <v>0</v>
      </c>
      <c r="F67" t="inlineStr">
        <is>
          <t>General</t>
        </is>
      </c>
      <c r="G67" t="inlineStr">
        <is>
          <t>General</t>
        </is>
      </c>
      <c r="H67" t="inlineStr">
        <is>
          <t>General</t>
        </is>
      </c>
      <c r="I67" t="inlineStr">
        <is>
          <t>General</t>
        </is>
      </c>
      <c r="K67" t="inlineStr">
        <is>
          <t>unclassified</t>
        </is>
      </c>
      <c r="M67" t="n">
        <v>50</v>
      </c>
    </row>
    <row r="68">
      <c r="A68" t="inlineStr">
        <is>
          <t>Artichoke</t>
        </is>
      </c>
      <c r="B68" t="inlineStr">
        <is>
          <t>Galangal</t>
        </is>
      </c>
      <c r="C68" t="n">
        <v>0</v>
      </c>
      <c r="D68" t="n">
        <v>1</v>
      </c>
      <c r="E68" t="n">
        <v>0</v>
      </c>
      <c r="F68" t="inlineStr">
        <is>
          <t>General</t>
        </is>
      </c>
      <c r="G68" t="inlineStr">
        <is>
          <t>General</t>
        </is>
      </c>
      <c r="H68" t="inlineStr">
        <is>
          <t>General</t>
        </is>
      </c>
      <c r="I68" t="inlineStr">
        <is>
          <t>General</t>
        </is>
      </c>
      <c r="K68" t="inlineStr">
        <is>
          <t>unclassified</t>
        </is>
      </c>
      <c r="M68" t="n">
        <v>50</v>
      </c>
    </row>
    <row r="69">
      <c r="A69" t="inlineStr">
        <is>
          <t>Artichoke</t>
        </is>
      </c>
      <c r="B69" t="inlineStr">
        <is>
          <t>Gastrodia</t>
        </is>
      </c>
      <c r="C69" t="n">
        <v>0</v>
      </c>
      <c r="D69" t="n">
        <v>1</v>
      </c>
      <c r="E69" t="n">
        <v>0</v>
      </c>
      <c r="F69" t="inlineStr">
        <is>
          <t>General</t>
        </is>
      </c>
      <c r="G69" t="inlineStr">
        <is>
          <t>General</t>
        </is>
      </c>
      <c r="H69" t="inlineStr">
        <is>
          <t>General</t>
        </is>
      </c>
      <c r="I69" t="inlineStr">
        <is>
          <t>General</t>
        </is>
      </c>
      <c r="K69" t="inlineStr">
        <is>
          <t>unclassified</t>
        </is>
      </c>
      <c r="M69" t="n">
        <v>50</v>
      </c>
    </row>
    <row r="70">
      <c r="A70" t="inlineStr">
        <is>
          <t>Artichoke</t>
        </is>
      </c>
      <c r="B70" t="inlineStr">
        <is>
          <t>Gudmar</t>
        </is>
      </c>
      <c r="C70" t="n">
        <v>0</v>
      </c>
      <c r="D70" t="n">
        <v>1</v>
      </c>
      <c r="E70" t="n">
        <v>0</v>
      </c>
      <c r="F70" t="inlineStr">
        <is>
          <t>General</t>
        </is>
      </c>
      <c r="G70" t="inlineStr">
        <is>
          <t>General</t>
        </is>
      </c>
      <c r="H70" t="inlineStr">
        <is>
          <t>General</t>
        </is>
      </c>
      <c r="I70" t="inlineStr">
        <is>
          <t>General</t>
        </is>
      </c>
      <c r="K70" t="inlineStr">
        <is>
          <t>unclassified</t>
        </is>
      </c>
      <c r="M70" t="n">
        <v>50</v>
      </c>
    </row>
    <row r="71">
      <c r="A71" t="inlineStr">
        <is>
          <t>Artichoke</t>
        </is>
      </c>
      <c r="B71" t="inlineStr">
        <is>
          <t>Gymnema</t>
        </is>
      </c>
      <c r="C71" t="n">
        <v>0</v>
      </c>
      <c r="D71" t="n">
        <v>1</v>
      </c>
      <c r="E71" t="n">
        <v>0</v>
      </c>
      <c r="F71" t="inlineStr">
        <is>
          <t>General</t>
        </is>
      </c>
      <c r="G71" t="inlineStr">
        <is>
          <t>General</t>
        </is>
      </c>
      <c r="H71" t="inlineStr">
        <is>
          <t>General</t>
        </is>
      </c>
      <c r="I71" t="inlineStr">
        <is>
          <t>General</t>
        </is>
      </c>
      <c r="K71" t="inlineStr">
        <is>
          <t>unclassified</t>
        </is>
      </c>
      <c r="M71" t="n">
        <v>50</v>
      </c>
    </row>
    <row r="72">
      <c r="A72" t="inlineStr">
        <is>
          <t>Artichoke</t>
        </is>
      </c>
      <c r="B72" t="inlineStr">
        <is>
          <t>Hops</t>
        </is>
      </c>
      <c r="C72" t="n">
        <v>0</v>
      </c>
      <c r="D72" t="n">
        <v>1</v>
      </c>
      <c r="E72" t="n">
        <v>0</v>
      </c>
      <c r="F72" t="inlineStr">
        <is>
          <t>General</t>
        </is>
      </c>
      <c r="G72" t="inlineStr">
        <is>
          <t>General</t>
        </is>
      </c>
      <c r="H72" t="inlineStr">
        <is>
          <t>General</t>
        </is>
      </c>
      <c r="I72" t="inlineStr">
        <is>
          <t>General</t>
        </is>
      </c>
      <c r="K72" t="inlineStr">
        <is>
          <t>unclassified</t>
        </is>
      </c>
      <c r="M72" t="n">
        <v>50</v>
      </c>
    </row>
    <row r="73">
      <c r="A73" t="inlineStr">
        <is>
          <t>Artichoke</t>
        </is>
      </c>
      <c r="B73" t="inlineStr">
        <is>
          <t>Houttuynia</t>
        </is>
      </c>
      <c r="C73" t="n">
        <v>0</v>
      </c>
      <c r="D73" t="n">
        <v>1</v>
      </c>
      <c r="E73" t="n">
        <v>0</v>
      </c>
      <c r="F73" t="inlineStr">
        <is>
          <t>General</t>
        </is>
      </c>
      <c r="G73" t="inlineStr">
        <is>
          <t>General</t>
        </is>
      </c>
      <c r="H73" t="inlineStr">
        <is>
          <t>General</t>
        </is>
      </c>
      <c r="I73" t="inlineStr">
        <is>
          <t>General</t>
        </is>
      </c>
      <c r="K73" t="inlineStr">
        <is>
          <t>unclassified</t>
        </is>
      </c>
      <c r="M73" t="n">
        <v>50</v>
      </c>
    </row>
    <row r="74">
      <c r="A74" t="inlineStr">
        <is>
          <t>Artichoke</t>
        </is>
      </c>
      <c r="B74" t="inlineStr">
        <is>
          <t>Isatis</t>
        </is>
      </c>
      <c r="C74" t="n">
        <v>0</v>
      </c>
      <c r="D74" t="n">
        <v>1</v>
      </c>
      <c r="E74" t="n">
        <v>0</v>
      </c>
      <c r="F74" t="inlineStr">
        <is>
          <t>General</t>
        </is>
      </c>
      <c r="G74" t="inlineStr">
        <is>
          <t>General</t>
        </is>
      </c>
      <c r="H74" t="inlineStr">
        <is>
          <t>General</t>
        </is>
      </c>
      <c r="I74" t="inlineStr">
        <is>
          <t>General</t>
        </is>
      </c>
      <c r="K74" t="inlineStr">
        <is>
          <t>unclassified</t>
        </is>
      </c>
      <c r="M74" t="n">
        <v>50</v>
      </c>
    </row>
    <row r="75">
      <c r="A75" t="inlineStr">
        <is>
          <t>Artichoke</t>
        </is>
      </c>
      <c r="B75" t="inlineStr">
        <is>
          <t>Jatamansi</t>
        </is>
      </c>
      <c r="C75" t="n">
        <v>0</v>
      </c>
      <c r="D75" t="n">
        <v>1</v>
      </c>
      <c r="E75" t="n">
        <v>0</v>
      </c>
      <c r="F75" t="inlineStr">
        <is>
          <t>General</t>
        </is>
      </c>
      <c r="G75" t="inlineStr">
        <is>
          <t>General</t>
        </is>
      </c>
      <c r="H75" t="inlineStr">
        <is>
          <t>General</t>
        </is>
      </c>
      <c r="I75" t="inlineStr">
        <is>
          <t>General</t>
        </is>
      </c>
      <c r="K75" t="inlineStr">
        <is>
          <t>unclassified</t>
        </is>
      </c>
      <c r="M75" t="n">
        <v>50</v>
      </c>
    </row>
    <row r="76">
      <c r="A76" t="inlineStr">
        <is>
          <t>Artichoke</t>
        </is>
      </c>
      <c r="B76" t="inlineStr">
        <is>
          <t>Lemon Verbena</t>
        </is>
      </c>
      <c r="C76" t="n">
        <v>0</v>
      </c>
      <c r="D76" t="n">
        <v>1</v>
      </c>
      <c r="E76" t="n">
        <v>0</v>
      </c>
      <c r="F76" t="inlineStr">
        <is>
          <t>General</t>
        </is>
      </c>
      <c r="G76" t="inlineStr">
        <is>
          <t>General</t>
        </is>
      </c>
      <c r="H76" t="inlineStr">
        <is>
          <t>General</t>
        </is>
      </c>
      <c r="I76" t="inlineStr">
        <is>
          <t>General</t>
        </is>
      </c>
      <c r="K76" t="inlineStr">
        <is>
          <t>unclassified</t>
        </is>
      </c>
      <c r="M76" t="n">
        <v>50</v>
      </c>
    </row>
    <row r="77">
      <c r="A77" t="inlineStr">
        <is>
          <t>Artichoke</t>
        </is>
      </c>
      <c r="B77" t="inlineStr">
        <is>
          <t>Lemongrass</t>
        </is>
      </c>
      <c r="C77" t="n">
        <v>0</v>
      </c>
      <c r="D77" t="n">
        <v>1</v>
      </c>
      <c r="E77" t="n">
        <v>0</v>
      </c>
      <c r="F77" t="inlineStr">
        <is>
          <t>General</t>
        </is>
      </c>
      <c r="G77" t="inlineStr">
        <is>
          <t>General</t>
        </is>
      </c>
      <c r="H77" t="inlineStr">
        <is>
          <t>General</t>
        </is>
      </c>
      <c r="I77" t="inlineStr">
        <is>
          <t>General</t>
        </is>
      </c>
      <c r="K77" t="inlineStr">
        <is>
          <t>unclassified</t>
        </is>
      </c>
      <c r="M77" t="n">
        <v>50</v>
      </c>
    </row>
    <row r="78">
      <c r="A78" t="inlineStr">
        <is>
          <t>Artichoke</t>
        </is>
      </c>
      <c r="B78" t="inlineStr">
        <is>
          <t>Longan</t>
        </is>
      </c>
      <c r="C78" t="n">
        <v>0</v>
      </c>
      <c r="D78" t="n">
        <v>1</v>
      </c>
      <c r="E78" t="n">
        <v>0</v>
      </c>
      <c r="F78" t="inlineStr">
        <is>
          <t>General</t>
        </is>
      </c>
      <c r="G78" t="inlineStr">
        <is>
          <t>General</t>
        </is>
      </c>
      <c r="H78" t="inlineStr">
        <is>
          <t>General</t>
        </is>
      </c>
      <c r="I78" t="inlineStr">
        <is>
          <t>General</t>
        </is>
      </c>
      <c r="K78" t="inlineStr">
        <is>
          <t>unclassified</t>
        </is>
      </c>
      <c r="M78" t="n">
        <v>50</v>
      </c>
    </row>
    <row r="79">
      <c r="A79" t="inlineStr">
        <is>
          <t>Artichoke</t>
        </is>
      </c>
      <c r="B79" t="inlineStr">
        <is>
          <t>Maitake D-Fraction</t>
        </is>
      </c>
      <c r="C79" t="n">
        <v>0</v>
      </c>
      <c r="D79" t="n">
        <v>1</v>
      </c>
      <c r="E79" t="n">
        <v>0</v>
      </c>
      <c r="F79" t="inlineStr">
        <is>
          <t>General</t>
        </is>
      </c>
      <c r="G79" t="inlineStr">
        <is>
          <t>General</t>
        </is>
      </c>
      <c r="H79" t="inlineStr">
        <is>
          <t>General</t>
        </is>
      </c>
      <c r="I79" t="inlineStr">
        <is>
          <t>General</t>
        </is>
      </c>
      <c r="K79" t="inlineStr">
        <is>
          <t>unclassified</t>
        </is>
      </c>
      <c r="M79" t="n">
        <v>50</v>
      </c>
    </row>
    <row r="80">
      <c r="A80" t="inlineStr">
        <is>
          <t>Artichoke</t>
        </is>
      </c>
      <c r="B80" t="inlineStr">
        <is>
          <t>Milk Oats</t>
        </is>
      </c>
      <c r="C80" t="n">
        <v>0</v>
      </c>
      <c r="D80" t="n">
        <v>1</v>
      </c>
      <c r="E80" t="n">
        <v>0</v>
      </c>
      <c r="F80" t="inlineStr">
        <is>
          <t>General</t>
        </is>
      </c>
      <c r="G80" t="inlineStr">
        <is>
          <t>General</t>
        </is>
      </c>
      <c r="H80" t="inlineStr">
        <is>
          <t>General</t>
        </is>
      </c>
      <c r="I80" t="inlineStr">
        <is>
          <t>General</t>
        </is>
      </c>
      <c r="K80" t="inlineStr">
        <is>
          <t>unclassified</t>
        </is>
      </c>
      <c r="M80" t="n">
        <v>50</v>
      </c>
    </row>
    <row r="81">
      <c r="A81" t="inlineStr">
        <is>
          <t>Artichoke</t>
        </is>
      </c>
      <c r="B81" t="inlineStr">
        <is>
          <t>Mugwort</t>
        </is>
      </c>
      <c r="C81" t="n">
        <v>0</v>
      </c>
      <c r="D81" t="n">
        <v>1</v>
      </c>
      <c r="E81" t="n">
        <v>0</v>
      </c>
      <c r="F81" t="inlineStr">
        <is>
          <t>General</t>
        </is>
      </c>
      <c r="G81" t="inlineStr">
        <is>
          <t>General</t>
        </is>
      </c>
      <c r="H81" t="inlineStr">
        <is>
          <t>General</t>
        </is>
      </c>
      <c r="I81" t="inlineStr">
        <is>
          <t>General</t>
        </is>
      </c>
      <c r="K81" t="inlineStr">
        <is>
          <t>unclassified</t>
        </is>
      </c>
      <c r="M81" t="n">
        <v>50</v>
      </c>
    </row>
    <row r="82">
      <c r="A82" t="inlineStr">
        <is>
          <t>Artichoke</t>
        </is>
      </c>
      <c r="B82" t="inlineStr">
        <is>
          <t>Muira Puama</t>
        </is>
      </c>
      <c r="C82" t="n">
        <v>0</v>
      </c>
      <c r="D82" t="n">
        <v>1</v>
      </c>
      <c r="E82" t="n">
        <v>0</v>
      </c>
      <c r="F82" t="inlineStr">
        <is>
          <t>General</t>
        </is>
      </c>
      <c r="G82" t="inlineStr">
        <is>
          <t>General</t>
        </is>
      </c>
      <c r="H82" t="inlineStr">
        <is>
          <t>General</t>
        </is>
      </c>
      <c r="I82" t="inlineStr">
        <is>
          <t>General</t>
        </is>
      </c>
      <c r="K82" t="inlineStr">
        <is>
          <t>unclassified</t>
        </is>
      </c>
      <c r="M82" t="n">
        <v>50</v>
      </c>
    </row>
    <row r="83">
      <c r="A83" t="inlineStr">
        <is>
          <t>Artichoke</t>
        </is>
      </c>
      <c r="B83" t="inlineStr">
        <is>
          <t>Mulberry Leaf</t>
        </is>
      </c>
      <c r="C83" t="n">
        <v>0</v>
      </c>
      <c r="D83" t="n">
        <v>1</v>
      </c>
      <c r="E83" t="n">
        <v>0</v>
      </c>
      <c r="F83" t="inlineStr">
        <is>
          <t>General</t>
        </is>
      </c>
      <c r="G83" t="inlineStr">
        <is>
          <t>General</t>
        </is>
      </c>
      <c r="H83" t="inlineStr">
        <is>
          <t>General</t>
        </is>
      </c>
      <c r="I83" t="inlineStr">
        <is>
          <t>General</t>
        </is>
      </c>
      <c r="K83" t="inlineStr">
        <is>
          <t>unclassified</t>
        </is>
      </c>
      <c r="M83" t="n">
        <v>50</v>
      </c>
    </row>
    <row r="84">
      <c r="A84" t="inlineStr">
        <is>
          <t>Artichoke</t>
        </is>
      </c>
      <c r="B84" t="inlineStr">
        <is>
          <t>Myrtle</t>
        </is>
      </c>
      <c r="C84" t="n">
        <v>0</v>
      </c>
      <c r="D84" t="n">
        <v>1</v>
      </c>
      <c r="E84" t="n">
        <v>0</v>
      </c>
      <c r="F84" t="inlineStr">
        <is>
          <t>General</t>
        </is>
      </c>
      <c r="G84" t="inlineStr">
        <is>
          <t>General</t>
        </is>
      </c>
      <c r="H84" t="inlineStr">
        <is>
          <t>General</t>
        </is>
      </c>
      <c r="I84" t="inlineStr">
        <is>
          <t>General</t>
        </is>
      </c>
      <c r="K84" t="inlineStr">
        <is>
          <t>unclassified</t>
        </is>
      </c>
      <c r="M84" t="n">
        <v>50</v>
      </c>
    </row>
    <row r="85">
      <c r="A85" t="inlineStr">
        <is>
          <t>Artichoke</t>
        </is>
      </c>
      <c r="B85" t="inlineStr">
        <is>
          <t>Neem</t>
        </is>
      </c>
      <c r="C85" t="n">
        <v>0</v>
      </c>
      <c r="D85" t="n">
        <v>1</v>
      </c>
      <c r="E85" t="n">
        <v>0</v>
      </c>
      <c r="F85" t="inlineStr">
        <is>
          <t>General</t>
        </is>
      </c>
      <c r="G85" t="inlineStr">
        <is>
          <t>General</t>
        </is>
      </c>
      <c r="H85" t="inlineStr">
        <is>
          <t>General</t>
        </is>
      </c>
      <c r="I85" t="inlineStr">
        <is>
          <t>General</t>
        </is>
      </c>
      <c r="K85" t="inlineStr">
        <is>
          <t>unclassified</t>
        </is>
      </c>
      <c r="M85" t="n">
        <v>50</v>
      </c>
    </row>
    <row r="86">
      <c r="A86" t="inlineStr">
        <is>
          <t>Artichoke</t>
        </is>
      </c>
      <c r="B86" t="inlineStr">
        <is>
          <t>Nettle Root</t>
        </is>
      </c>
      <c r="C86" t="n">
        <v>0</v>
      </c>
      <c r="D86" t="n">
        <v>1</v>
      </c>
      <c r="E86" t="n">
        <v>0</v>
      </c>
      <c r="F86" t="inlineStr">
        <is>
          <t>General</t>
        </is>
      </c>
      <c r="G86" t="inlineStr">
        <is>
          <t>General</t>
        </is>
      </c>
      <c r="H86" t="inlineStr">
        <is>
          <t>General</t>
        </is>
      </c>
      <c r="I86" t="inlineStr">
        <is>
          <t>General</t>
        </is>
      </c>
      <c r="K86" t="inlineStr">
        <is>
          <t>unclassified</t>
        </is>
      </c>
      <c r="M86" t="n">
        <v>50</v>
      </c>
    </row>
    <row r="87">
      <c r="A87" t="inlineStr">
        <is>
          <t>Artichoke</t>
        </is>
      </c>
      <c r="B87" t="inlineStr">
        <is>
          <t>Noni</t>
        </is>
      </c>
      <c r="C87" t="n">
        <v>0</v>
      </c>
      <c r="D87" t="n">
        <v>1</v>
      </c>
      <c r="E87" t="n">
        <v>0</v>
      </c>
      <c r="F87" t="inlineStr">
        <is>
          <t>General</t>
        </is>
      </c>
      <c r="G87" t="inlineStr">
        <is>
          <t>General</t>
        </is>
      </c>
      <c r="H87" t="inlineStr">
        <is>
          <t>General</t>
        </is>
      </c>
      <c r="I87" t="inlineStr">
        <is>
          <t>General</t>
        </is>
      </c>
      <c r="K87" t="inlineStr">
        <is>
          <t>unclassified</t>
        </is>
      </c>
      <c r="M87" t="n">
        <v>50</v>
      </c>
    </row>
    <row r="88">
      <c r="A88" t="inlineStr">
        <is>
          <t>Artichoke</t>
        </is>
      </c>
      <c r="B88" t="inlineStr">
        <is>
          <t>Oatstraw</t>
        </is>
      </c>
      <c r="C88" t="n">
        <v>0</v>
      </c>
      <c r="D88" t="n">
        <v>1</v>
      </c>
      <c r="E88" t="n">
        <v>0</v>
      </c>
      <c r="F88" t="inlineStr">
        <is>
          <t>General</t>
        </is>
      </c>
      <c r="G88" t="inlineStr">
        <is>
          <t>General</t>
        </is>
      </c>
      <c r="H88" t="inlineStr">
        <is>
          <t>General</t>
        </is>
      </c>
      <c r="I88" t="inlineStr">
        <is>
          <t>General</t>
        </is>
      </c>
      <c r="K88" t="inlineStr">
        <is>
          <t>unclassified</t>
        </is>
      </c>
      <c r="M88" t="n">
        <v>50</v>
      </c>
    </row>
    <row r="89">
      <c r="A89" t="inlineStr">
        <is>
          <t>Artichoke</t>
        </is>
      </c>
      <c r="B89" t="inlineStr">
        <is>
          <t>Passionflower</t>
        </is>
      </c>
      <c r="C89" t="n">
        <v>0</v>
      </c>
      <c r="D89" t="n">
        <v>1</v>
      </c>
      <c r="E89" t="n">
        <v>0</v>
      </c>
      <c r="F89" t="inlineStr">
        <is>
          <t>General</t>
        </is>
      </c>
      <c r="G89" t="inlineStr">
        <is>
          <t>General</t>
        </is>
      </c>
      <c r="H89" t="inlineStr">
        <is>
          <t>General</t>
        </is>
      </c>
      <c r="I89" t="inlineStr">
        <is>
          <t>General</t>
        </is>
      </c>
      <c r="K89" t="inlineStr">
        <is>
          <t>unclassified</t>
        </is>
      </c>
      <c r="M89" t="n">
        <v>50</v>
      </c>
    </row>
    <row r="90">
      <c r="A90" t="inlineStr">
        <is>
          <t>Artichoke</t>
        </is>
      </c>
      <c r="B90" t="inlineStr">
        <is>
          <t>Pau d'Arco</t>
        </is>
      </c>
      <c r="C90" t="n">
        <v>0</v>
      </c>
      <c r="D90" t="n">
        <v>1</v>
      </c>
      <c r="E90" t="n">
        <v>0</v>
      </c>
      <c r="F90" t="inlineStr">
        <is>
          <t>General</t>
        </is>
      </c>
      <c r="G90" t="inlineStr">
        <is>
          <t>General</t>
        </is>
      </c>
      <c r="H90" t="inlineStr">
        <is>
          <t>General</t>
        </is>
      </c>
      <c r="I90" t="inlineStr">
        <is>
          <t>General</t>
        </is>
      </c>
      <c r="K90" t="inlineStr">
        <is>
          <t>unclassified</t>
        </is>
      </c>
      <c r="M90" t="n">
        <v>50</v>
      </c>
    </row>
    <row r="91">
      <c r="A91" t="inlineStr">
        <is>
          <t>Artichoke</t>
        </is>
      </c>
      <c r="B91" t="inlineStr">
        <is>
          <t>Perilla</t>
        </is>
      </c>
      <c r="C91" t="n">
        <v>0</v>
      </c>
      <c r="D91" t="n">
        <v>1</v>
      </c>
      <c r="E91" t="n">
        <v>0</v>
      </c>
      <c r="F91" t="inlineStr">
        <is>
          <t>General</t>
        </is>
      </c>
      <c r="G91" t="inlineStr">
        <is>
          <t>General</t>
        </is>
      </c>
      <c r="H91" t="inlineStr">
        <is>
          <t>General</t>
        </is>
      </c>
      <c r="I91" t="inlineStr">
        <is>
          <t>General</t>
        </is>
      </c>
      <c r="K91" t="inlineStr">
        <is>
          <t>unclassified</t>
        </is>
      </c>
      <c r="M91" t="n">
        <v>50</v>
      </c>
    </row>
    <row r="92">
      <c r="A92" t="inlineStr">
        <is>
          <t>Artichoke</t>
        </is>
      </c>
      <c r="B92" t="inlineStr">
        <is>
          <t>Pomegranate</t>
        </is>
      </c>
      <c r="C92" t="n">
        <v>0</v>
      </c>
      <c r="D92" t="n">
        <v>1</v>
      </c>
      <c r="E92" t="n">
        <v>0</v>
      </c>
      <c r="F92" t="inlineStr">
        <is>
          <t>General</t>
        </is>
      </c>
      <c r="G92" t="inlineStr">
        <is>
          <t>General</t>
        </is>
      </c>
      <c r="H92" t="inlineStr">
        <is>
          <t>General</t>
        </is>
      </c>
      <c r="I92" t="inlineStr">
        <is>
          <t>General</t>
        </is>
      </c>
      <c r="K92" t="inlineStr">
        <is>
          <t>unclassified</t>
        </is>
      </c>
      <c r="M92" t="n">
        <v>50</v>
      </c>
    </row>
    <row r="93">
      <c r="A93" t="inlineStr">
        <is>
          <t>Artichoke</t>
        </is>
      </c>
      <c r="B93" t="inlineStr">
        <is>
          <t>Poria</t>
        </is>
      </c>
      <c r="C93" t="n">
        <v>0</v>
      </c>
      <c r="D93" t="n">
        <v>1</v>
      </c>
      <c r="E93" t="n">
        <v>0</v>
      </c>
      <c r="F93" t="inlineStr">
        <is>
          <t>General</t>
        </is>
      </c>
      <c r="G93" t="inlineStr">
        <is>
          <t>General</t>
        </is>
      </c>
      <c r="H93" t="inlineStr">
        <is>
          <t>General</t>
        </is>
      </c>
      <c r="I93" t="inlineStr">
        <is>
          <t>General</t>
        </is>
      </c>
      <c r="K93" t="inlineStr">
        <is>
          <t>unclassified</t>
        </is>
      </c>
      <c r="M93" t="n">
        <v>50</v>
      </c>
    </row>
    <row r="94">
      <c r="A94" t="inlineStr">
        <is>
          <t>Artichoke</t>
        </is>
      </c>
      <c r="B94" t="inlineStr">
        <is>
          <t>Punarnava</t>
        </is>
      </c>
      <c r="C94" t="n">
        <v>0</v>
      </c>
      <c r="D94" t="n">
        <v>1</v>
      </c>
      <c r="E94" t="n">
        <v>0</v>
      </c>
      <c r="F94" t="inlineStr">
        <is>
          <t>General</t>
        </is>
      </c>
      <c r="G94" t="inlineStr">
        <is>
          <t>General</t>
        </is>
      </c>
      <c r="H94" t="inlineStr">
        <is>
          <t>General</t>
        </is>
      </c>
      <c r="I94" t="inlineStr">
        <is>
          <t>General</t>
        </is>
      </c>
      <c r="K94" t="inlineStr">
        <is>
          <t>unclassified</t>
        </is>
      </c>
      <c r="M94" t="n">
        <v>50</v>
      </c>
    </row>
    <row r="95">
      <c r="A95" t="inlineStr">
        <is>
          <t>Artichoke</t>
        </is>
      </c>
      <c r="B95" t="inlineStr">
        <is>
          <t>Red Clover</t>
        </is>
      </c>
      <c r="C95" t="n">
        <v>0</v>
      </c>
      <c r="D95" t="n">
        <v>1</v>
      </c>
      <c r="E95" t="n">
        <v>0</v>
      </c>
      <c r="F95" t="inlineStr">
        <is>
          <t>General</t>
        </is>
      </c>
      <c r="G95" t="inlineStr">
        <is>
          <t>General</t>
        </is>
      </c>
      <c r="H95" t="inlineStr">
        <is>
          <t>General</t>
        </is>
      </c>
      <c r="I95" t="inlineStr">
        <is>
          <t>General</t>
        </is>
      </c>
      <c r="K95" t="inlineStr">
        <is>
          <t>unclassified</t>
        </is>
      </c>
      <c r="M95" t="n">
        <v>50</v>
      </c>
    </row>
    <row r="96">
      <c r="A96" t="inlineStr">
        <is>
          <t>Artichoke</t>
        </is>
      </c>
      <c r="B96" t="inlineStr">
        <is>
          <t>Rehmannia Prepared</t>
        </is>
      </c>
      <c r="C96" t="n">
        <v>0</v>
      </c>
      <c r="D96" t="n">
        <v>1</v>
      </c>
      <c r="E96" t="n">
        <v>0</v>
      </c>
      <c r="F96" t="inlineStr">
        <is>
          <t>General</t>
        </is>
      </c>
      <c r="G96" t="inlineStr">
        <is>
          <t>General</t>
        </is>
      </c>
      <c r="H96" t="inlineStr">
        <is>
          <t>General</t>
        </is>
      </c>
      <c r="I96" t="inlineStr">
        <is>
          <t>General</t>
        </is>
      </c>
      <c r="K96" t="inlineStr">
        <is>
          <t>unclassified</t>
        </is>
      </c>
      <c r="M96" t="n">
        <v>50</v>
      </c>
    </row>
    <row r="97">
      <c r="A97" t="inlineStr">
        <is>
          <t>Artichoke</t>
        </is>
      </c>
      <c r="B97" t="inlineStr">
        <is>
          <t>Reishi</t>
        </is>
      </c>
      <c r="C97" t="n">
        <v>0</v>
      </c>
      <c r="D97" t="n">
        <v>1</v>
      </c>
      <c r="E97" t="n">
        <v>0</v>
      </c>
      <c r="F97" t="inlineStr">
        <is>
          <t>General</t>
        </is>
      </c>
      <c r="G97" t="inlineStr">
        <is>
          <t>General</t>
        </is>
      </c>
      <c r="H97" t="inlineStr">
        <is>
          <t>General</t>
        </is>
      </c>
      <c r="I97" t="inlineStr">
        <is>
          <t>General</t>
        </is>
      </c>
      <c r="K97" t="inlineStr">
        <is>
          <t>unclassified</t>
        </is>
      </c>
      <c r="M97" t="n">
        <v>50</v>
      </c>
    </row>
    <row r="98">
      <c r="A98" t="inlineStr">
        <is>
          <t>Artichoke</t>
        </is>
      </c>
      <c r="B98" t="inlineStr">
        <is>
          <t>Rose Hips</t>
        </is>
      </c>
      <c r="C98" t="n">
        <v>0</v>
      </c>
      <c r="D98" t="n">
        <v>1</v>
      </c>
      <c r="E98" t="n">
        <v>0</v>
      </c>
      <c r="F98" t="inlineStr">
        <is>
          <t>General</t>
        </is>
      </c>
      <c r="G98" t="inlineStr">
        <is>
          <t>General</t>
        </is>
      </c>
      <c r="H98" t="inlineStr">
        <is>
          <t>General</t>
        </is>
      </c>
      <c r="I98" t="inlineStr">
        <is>
          <t>General</t>
        </is>
      </c>
      <c r="K98" t="inlineStr">
        <is>
          <t>unclassified</t>
        </is>
      </c>
      <c r="M98" t="n">
        <v>50</v>
      </c>
    </row>
    <row r="99">
      <c r="A99" t="inlineStr">
        <is>
          <t>Artichoke</t>
        </is>
      </c>
      <c r="B99" t="inlineStr">
        <is>
          <t>Sophora Flavescens</t>
        </is>
      </c>
      <c r="C99" t="n">
        <v>0</v>
      </c>
      <c r="D99" t="n">
        <v>1</v>
      </c>
      <c r="E99" t="n">
        <v>0</v>
      </c>
      <c r="F99" t="inlineStr">
        <is>
          <t>General</t>
        </is>
      </c>
      <c r="G99" t="inlineStr">
        <is>
          <t>General</t>
        </is>
      </c>
      <c r="H99" t="inlineStr">
        <is>
          <t>General</t>
        </is>
      </c>
      <c r="I99" t="inlineStr">
        <is>
          <t>General</t>
        </is>
      </c>
      <c r="K99" t="inlineStr">
        <is>
          <t>unclassified</t>
        </is>
      </c>
      <c r="M99" t="n">
        <v>50</v>
      </c>
    </row>
    <row r="100">
      <c r="A100" t="inlineStr">
        <is>
          <t>Artichoke</t>
        </is>
      </c>
      <c r="B100" t="inlineStr">
        <is>
          <t>Soursop</t>
        </is>
      </c>
      <c r="C100" t="n">
        <v>0</v>
      </c>
      <c r="D100" t="n">
        <v>1</v>
      </c>
      <c r="E100" t="n">
        <v>0</v>
      </c>
      <c r="F100" t="inlineStr">
        <is>
          <t>General</t>
        </is>
      </c>
      <c r="G100" t="inlineStr">
        <is>
          <t>General</t>
        </is>
      </c>
      <c r="H100" t="inlineStr">
        <is>
          <t>General</t>
        </is>
      </c>
      <c r="I100" t="inlineStr">
        <is>
          <t>General</t>
        </is>
      </c>
      <c r="K100" t="inlineStr">
        <is>
          <t>unclassified</t>
        </is>
      </c>
      <c r="M100" t="n">
        <v>50</v>
      </c>
    </row>
    <row r="101">
      <c r="A101" t="inlineStr">
        <is>
          <t>Artichoke</t>
        </is>
      </c>
      <c r="B101" t="inlineStr">
        <is>
          <t>Tamarind</t>
        </is>
      </c>
      <c r="C101" t="n">
        <v>0</v>
      </c>
      <c r="D101" t="n">
        <v>1</v>
      </c>
      <c r="E101" t="n">
        <v>0</v>
      </c>
      <c r="F101" t="inlineStr">
        <is>
          <t>General</t>
        </is>
      </c>
      <c r="G101" t="inlineStr">
        <is>
          <t>General</t>
        </is>
      </c>
      <c r="H101" t="inlineStr">
        <is>
          <t>General</t>
        </is>
      </c>
      <c r="I101" t="inlineStr">
        <is>
          <t>General</t>
        </is>
      </c>
      <c r="K101" t="inlineStr">
        <is>
          <t>unclassified</t>
        </is>
      </c>
      <c r="M101" t="n">
        <v>50</v>
      </c>
    </row>
    <row r="102">
      <c r="A102" t="inlineStr">
        <is>
          <t>Artichoke</t>
        </is>
      </c>
      <c r="B102" t="inlineStr">
        <is>
          <t>White Peony</t>
        </is>
      </c>
      <c r="C102" t="n">
        <v>0</v>
      </c>
      <c r="D102" t="n">
        <v>1</v>
      </c>
      <c r="E102" t="n">
        <v>0</v>
      </c>
      <c r="F102" t="inlineStr">
        <is>
          <t>General</t>
        </is>
      </c>
      <c r="G102" t="inlineStr">
        <is>
          <t>General</t>
        </is>
      </c>
      <c r="H102" t="inlineStr">
        <is>
          <t>General</t>
        </is>
      </c>
      <c r="I102" t="inlineStr">
        <is>
          <t>General</t>
        </is>
      </c>
      <c r="K102" t="inlineStr">
        <is>
          <t>unclassified</t>
        </is>
      </c>
      <c r="M102" t="n">
        <v>50</v>
      </c>
    </row>
    <row r="103">
      <c r="A103" t="inlineStr">
        <is>
          <t>Artichoke</t>
        </is>
      </c>
      <c r="B103" t="inlineStr">
        <is>
          <t>Yohimbe</t>
        </is>
      </c>
      <c r="C103" t="n">
        <v>0</v>
      </c>
      <c r="D103" t="n">
        <v>1</v>
      </c>
      <c r="E103" t="n">
        <v>0</v>
      </c>
      <c r="F103" t="inlineStr">
        <is>
          <t>General</t>
        </is>
      </c>
      <c r="G103" t="inlineStr">
        <is>
          <t>General</t>
        </is>
      </c>
      <c r="H103" t="inlineStr">
        <is>
          <t>General</t>
        </is>
      </c>
      <c r="I103" t="inlineStr">
        <is>
          <t>General</t>
        </is>
      </c>
      <c r="K103" t="inlineStr">
        <is>
          <t>unclassified</t>
        </is>
      </c>
      <c r="M103" t="n">
        <v>50</v>
      </c>
    </row>
    <row r="104">
      <c r="A104" t="inlineStr">
        <is>
          <t>Ashitaba</t>
        </is>
      </c>
      <c r="B104" t="inlineStr">
        <is>
          <t>Curry Leaf</t>
        </is>
      </c>
      <c r="C104" t="n">
        <v>0</v>
      </c>
      <c r="D104" t="n">
        <v>1</v>
      </c>
      <c r="E104" t="n">
        <v>0</v>
      </c>
      <c r="F104" t="inlineStr">
        <is>
          <t>Metabolic</t>
        </is>
      </c>
      <c r="G104" t="inlineStr">
        <is>
          <t>Metabolic</t>
        </is>
      </c>
      <c r="H104" t="inlineStr">
        <is>
          <t>Metabolic Support</t>
        </is>
      </c>
      <c r="I104" t="inlineStr">
        <is>
          <t>Metabolic Support</t>
        </is>
      </c>
      <c r="K104" t="inlineStr">
        <is>
          <t>unclassified</t>
        </is>
      </c>
      <c r="M104" t="n">
        <v>50</v>
      </c>
    </row>
    <row r="105">
      <c r="A105" t="inlineStr">
        <is>
          <t>Ashitaba</t>
        </is>
      </c>
      <c r="B105" t="inlineStr">
        <is>
          <t>Eucommia</t>
        </is>
      </c>
      <c r="C105" t="n">
        <v>0</v>
      </c>
      <c r="D105" t="n">
        <v>1</v>
      </c>
      <c r="E105" t="n">
        <v>0</v>
      </c>
      <c r="F105" t="inlineStr">
        <is>
          <t>Metabolic</t>
        </is>
      </c>
      <c r="G105" t="inlineStr">
        <is>
          <t>Metabolic</t>
        </is>
      </c>
      <c r="H105" t="inlineStr">
        <is>
          <t>Metabolic Support</t>
        </is>
      </c>
      <c r="I105" t="inlineStr">
        <is>
          <t>Metabolic Support</t>
        </is>
      </c>
      <c r="K105" t="inlineStr">
        <is>
          <t>unclassified</t>
        </is>
      </c>
      <c r="M105" t="n">
        <v>50</v>
      </c>
    </row>
    <row r="106">
      <c r="A106" t="inlineStr">
        <is>
          <t>Ashitaba</t>
        </is>
      </c>
      <c r="B106" t="inlineStr">
        <is>
          <t>Kuding Tea</t>
        </is>
      </c>
      <c r="C106" t="n">
        <v>0</v>
      </c>
      <c r="D106" t="n">
        <v>1</v>
      </c>
      <c r="E106" t="n">
        <v>0</v>
      </c>
      <c r="F106" t="inlineStr">
        <is>
          <t>Metabolic</t>
        </is>
      </c>
      <c r="G106" t="inlineStr">
        <is>
          <t>Metabolic</t>
        </is>
      </c>
      <c r="H106" t="inlineStr">
        <is>
          <t>Metabolic Support</t>
        </is>
      </c>
      <c r="I106" t="inlineStr">
        <is>
          <t>Metabolic Support</t>
        </is>
      </c>
      <c r="K106" t="inlineStr">
        <is>
          <t>unclassified</t>
        </is>
      </c>
      <c r="M106" t="n">
        <v>50</v>
      </c>
    </row>
    <row r="107">
      <c r="A107" t="inlineStr">
        <is>
          <t>Ashitaba</t>
        </is>
      </c>
      <c r="B107" t="inlineStr">
        <is>
          <t>Moringa</t>
        </is>
      </c>
      <c r="C107" t="n">
        <v>0</v>
      </c>
      <c r="D107" t="n">
        <v>1</v>
      </c>
      <c r="E107" t="n">
        <v>0</v>
      </c>
      <c r="F107" t="inlineStr">
        <is>
          <t>Metabolic</t>
        </is>
      </c>
      <c r="G107" t="inlineStr">
        <is>
          <t>Metabolic</t>
        </is>
      </c>
      <c r="H107" t="inlineStr">
        <is>
          <t>Metabolic Support</t>
        </is>
      </c>
      <c r="I107" t="inlineStr">
        <is>
          <t>Metabolic Support</t>
        </is>
      </c>
      <c r="K107" t="inlineStr">
        <is>
          <t>unclassified</t>
        </is>
      </c>
      <c r="M107" t="n">
        <v>50</v>
      </c>
    </row>
    <row r="108">
      <c r="A108" t="inlineStr">
        <is>
          <t>Ashoka</t>
        </is>
      </c>
      <c r="B108" t="inlineStr">
        <is>
          <t>Agarikon</t>
        </is>
      </c>
      <c r="C108" t="n">
        <v>0</v>
      </c>
      <c r="D108" t="n">
        <v>1</v>
      </c>
      <c r="E108" t="n">
        <v>0</v>
      </c>
      <c r="F108" t="inlineStr">
        <is>
          <t>General</t>
        </is>
      </c>
      <c r="G108" t="inlineStr">
        <is>
          <t>General</t>
        </is>
      </c>
      <c r="H108" t="inlineStr">
        <is>
          <t>General</t>
        </is>
      </c>
      <c r="I108" t="inlineStr">
        <is>
          <t>General</t>
        </is>
      </c>
      <c r="K108" t="inlineStr">
        <is>
          <t>unclassified</t>
        </is>
      </c>
      <c r="M108" t="n">
        <v>50</v>
      </c>
    </row>
    <row r="109">
      <c r="A109" t="inlineStr">
        <is>
          <t>Ashoka</t>
        </is>
      </c>
      <c r="B109" t="inlineStr">
        <is>
          <t>Ajwain</t>
        </is>
      </c>
      <c r="C109" t="n">
        <v>0</v>
      </c>
      <c r="D109" t="n">
        <v>1</v>
      </c>
      <c r="E109" t="n">
        <v>0</v>
      </c>
      <c r="F109" t="inlineStr">
        <is>
          <t>General</t>
        </is>
      </c>
      <c r="G109" t="inlineStr">
        <is>
          <t>General</t>
        </is>
      </c>
      <c r="H109" t="inlineStr">
        <is>
          <t>General</t>
        </is>
      </c>
      <c r="I109" t="inlineStr">
        <is>
          <t>General</t>
        </is>
      </c>
      <c r="K109" t="inlineStr">
        <is>
          <t>unclassified</t>
        </is>
      </c>
      <c r="M109" t="n">
        <v>50</v>
      </c>
    </row>
    <row r="110">
      <c r="A110" t="inlineStr">
        <is>
          <t>Ashoka</t>
        </is>
      </c>
      <c r="B110" t="inlineStr">
        <is>
          <t>Angelica Root</t>
        </is>
      </c>
      <c r="C110" t="n">
        <v>0</v>
      </c>
      <c r="D110" t="n">
        <v>1</v>
      </c>
      <c r="E110" t="n">
        <v>0</v>
      </c>
      <c r="F110" t="inlineStr">
        <is>
          <t>General</t>
        </is>
      </c>
      <c r="G110" t="inlineStr">
        <is>
          <t>General</t>
        </is>
      </c>
      <c r="H110" t="inlineStr">
        <is>
          <t>General</t>
        </is>
      </c>
      <c r="I110" t="inlineStr">
        <is>
          <t>General</t>
        </is>
      </c>
      <c r="K110" t="inlineStr">
        <is>
          <t>unclassified</t>
        </is>
      </c>
      <c r="M110" t="n">
        <v>50</v>
      </c>
    </row>
    <row r="111">
      <c r="A111" t="inlineStr">
        <is>
          <t>Ashoka</t>
        </is>
      </c>
      <c r="B111" t="inlineStr">
        <is>
          <t>Caraway</t>
        </is>
      </c>
      <c r="C111" t="n">
        <v>0</v>
      </c>
      <c r="D111" t="n">
        <v>1</v>
      </c>
      <c r="E111" t="n">
        <v>0</v>
      </c>
      <c r="F111" t="inlineStr">
        <is>
          <t>General</t>
        </is>
      </c>
      <c r="G111" t="inlineStr">
        <is>
          <t>General</t>
        </is>
      </c>
      <c r="H111" t="inlineStr">
        <is>
          <t>General</t>
        </is>
      </c>
      <c r="I111" t="inlineStr">
        <is>
          <t>General</t>
        </is>
      </c>
      <c r="K111" t="inlineStr">
        <is>
          <t>unclassified</t>
        </is>
      </c>
      <c r="M111" t="n">
        <v>50</v>
      </c>
    </row>
    <row r="112">
      <c r="A112" t="inlineStr">
        <is>
          <t>Ashoka</t>
        </is>
      </c>
      <c r="B112" t="inlineStr">
        <is>
          <t>Cardamom</t>
        </is>
      </c>
      <c r="C112" t="n">
        <v>0</v>
      </c>
      <c r="D112" t="n">
        <v>1</v>
      </c>
      <c r="E112" t="n">
        <v>0</v>
      </c>
      <c r="F112" t="inlineStr">
        <is>
          <t>General</t>
        </is>
      </c>
      <c r="G112" t="inlineStr">
        <is>
          <t>General</t>
        </is>
      </c>
      <c r="H112" t="inlineStr">
        <is>
          <t>General</t>
        </is>
      </c>
      <c r="I112" t="inlineStr">
        <is>
          <t>General</t>
        </is>
      </c>
      <c r="K112" t="inlineStr">
        <is>
          <t>unclassified</t>
        </is>
      </c>
      <c r="M112" t="n">
        <v>50</v>
      </c>
    </row>
    <row r="113">
      <c r="A113" t="inlineStr">
        <is>
          <t>Ashoka</t>
        </is>
      </c>
      <c r="B113" t="inlineStr">
        <is>
          <t>Celastrus Paniculatus</t>
        </is>
      </c>
      <c r="C113" t="n">
        <v>0</v>
      </c>
      <c r="D113" t="n">
        <v>1</v>
      </c>
      <c r="E113" t="n">
        <v>0</v>
      </c>
      <c r="F113" t="inlineStr">
        <is>
          <t>General</t>
        </is>
      </c>
      <c r="G113" t="inlineStr">
        <is>
          <t>General</t>
        </is>
      </c>
      <c r="H113" t="inlineStr">
        <is>
          <t>General</t>
        </is>
      </c>
      <c r="I113" t="inlineStr">
        <is>
          <t>General</t>
        </is>
      </c>
      <c r="K113" t="inlineStr">
        <is>
          <t>unclassified</t>
        </is>
      </c>
      <c r="M113" t="n">
        <v>50</v>
      </c>
    </row>
    <row r="114">
      <c r="A114" t="inlineStr">
        <is>
          <t>Ashoka</t>
        </is>
      </c>
      <c r="B114" t="inlineStr">
        <is>
          <t>Cistanche</t>
        </is>
      </c>
      <c r="C114" t="n">
        <v>0</v>
      </c>
      <c r="D114" t="n">
        <v>1</v>
      </c>
      <c r="E114" t="n">
        <v>0</v>
      </c>
      <c r="F114" t="inlineStr">
        <is>
          <t>General</t>
        </is>
      </c>
      <c r="G114" t="inlineStr">
        <is>
          <t>General</t>
        </is>
      </c>
      <c r="H114" t="inlineStr">
        <is>
          <t>General</t>
        </is>
      </c>
      <c r="I114" t="inlineStr">
        <is>
          <t>General</t>
        </is>
      </c>
      <c r="K114" t="inlineStr">
        <is>
          <t>unclassified</t>
        </is>
      </c>
      <c r="M114" t="n">
        <v>50</v>
      </c>
    </row>
    <row r="115">
      <c r="A115" t="inlineStr">
        <is>
          <t>Ashoka</t>
        </is>
      </c>
      <c r="B115" t="inlineStr">
        <is>
          <t>Cordyceps</t>
        </is>
      </c>
      <c r="C115" t="n">
        <v>0</v>
      </c>
      <c r="D115" t="n">
        <v>1</v>
      </c>
      <c r="E115" t="n">
        <v>0</v>
      </c>
      <c r="F115" t="inlineStr">
        <is>
          <t>General</t>
        </is>
      </c>
      <c r="G115" t="inlineStr">
        <is>
          <t>General</t>
        </is>
      </c>
      <c r="H115" t="inlineStr">
        <is>
          <t>General</t>
        </is>
      </c>
      <c r="I115" t="inlineStr">
        <is>
          <t>General</t>
        </is>
      </c>
      <c r="K115" t="inlineStr">
        <is>
          <t>unclassified</t>
        </is>
      </c>
      <c r="M115" t="n">
        <v>50</v>
      </c>
    </row>
    <row r="116">
      <c r="A116" t="inlineStr">
        <is>
          <t>Ashoka</t>
        </is>
      </c>
      <c r="B116" t="inlineStr">
        <is>
          <t>Dendrobium</t>
        </is>
      </c>
      <c r="C116" t="n">
        <v>0</v>
      </c>
      <c r="D116" t="n">
        <v>1</v>
      </c>
      <c r="E116" t="n">
        <v>0</v>
      </c>
      <c r="F116" t="inlineStr">
        <is>
          <t>General</t>
        </is>
      </c>
      <c r="G116" t="inlineStr">
        <is>
          <t>General</t>
        </is>
      </c>
      <c r="H116" t="inlineStr">
        <is>
          <t>General</t>
        </is>
      </c>
      <c r="I116" t="inlineStr">
        <is>
          <t>General</t>
        </is>
      </c>
      <c r="K116" t="inlineStr">
        <is>
          <t>unclassified</t>
        </is>
      </c>
      <c r="M116" t="n">
        <v>50</v>
      </c>
    </row>
    <row r="117">
      <c r="A117" t="inlineStr">
        <is>
          <t>Ashoka</t>
        </is>
      </c>
      <c r="B117" t="inlineStr">
        <is>
          <t>Elecampane</t>
        </is>
      </c>
      <c r="C117" t="n">
        <v>0</v>
      </c>
      <c r="D117" t="n">
        <v>1</v>
      </c>
      <c r="E117" t="n">
        <v>0</v>
      </c>
      <c r="F117" t="inlineStr">
        <is>
          <t>General</t>
        </is>
      </c>
      <c r="G117" t="inlineStr">
        <is>
          <t>General</t>
        </is>
      </c>
      <c r="H117" t="inlineStr">
        <is>
          <t>General</t>
        </is>
      </c>
      <c r="I117" t="inlineStr">
        <is>
          <t>General</t>
        </is>
      </c>
      <c r="K117" t="inlineStr">
        <is>
          <t>unclassified</t>
        </is>
      </c>
      <c r="M117" t="n">
        <v>50</v>
      </c>
    </row>
    <row r="118">
      <c r="A118" t="inlineStr">
        <is>
          <t>Ashoka</t>
        </is>
      </c>
      <c r="B118" t="inlineStr">
        <is>
          <t>Eleuthero</t>
        </is>
      </c>
      <c r="C118" t="n">
        <v>0</v>
      </c>
      <c r="D118" t="n">
        <v>1</v>
      </c>
      <c r="E118" t="n">
        <v>0</v>
      </c>
      <c r="F118" t="inlineStr">
        <is>
          <t>General</t>
        </is>
      </c>
      <c r="G118" t="inlineStr">
        <is>
          <t>General</t>
        </is>
      </c>
      <c r="H118" t="inlineStr">
        <is>
          <t>General</t>
        </is>
      </c>
      <c r="I118" t="inlineStr">
        <is>
          <t>General</t>
        </is>
      </c>
      <c r="K118" t="inlineStr">
        <is>
          <t>unclassified</t>
        </is>
      </c>
      <c r="M118" t="n">
        <v>50</v>
      </c>
    </row>
    <row r="119">
      <c r="A119" t="inlineStr">
        <is>
          <t>Ashoka</t>
        </is>
      </c>
      <c r="B119" t="inlineStr">
        <is>
          <t>Galangal</t>
        </is>
      </c>
      <c r="C119" t="n">
        <v>0</v>
      </c>
      <c r="D119" t="n">
        <v>1</v>
      </c>
      <c r="E119" t="n">
        <v>0</v>
      </c>
      <c r="F119" t="inlineStr">
        <is>
          <t>General</t>
        </is>
      </c>
      <c r="G119" t="inlineStr">
        <is>
          <t>General</t>
        </is>
      </c>
      <c r="H119" t="inlineStr">
        <is>
          <t>General</t>
        </is>
      </c>
      <c r="I119" t="inlineStr">
        <is>
          <t>General</t>
        </is>
      </c>
      <c r="K119" t="inlineStr">
        <is>
          <t>unclassified</t>
        </is>
      </c>
      <c r="M119" t="n">
        <v>50</v>
      </c>
    </row>
    <row r="120">
      <c r="A120" t="inlineStr">
        <is>
          <t>Ashoka</t>
        </is>
      </c>
      <c r="B120" t="inlineStr">
        <is>
          <t>Gastrodia</t>
        </is>
      </c>
      <c r="C120" t="n">
        <v>0</v>
      </c>
      <c r="D120" t="n">
        <v>1</v>
      </c>
      <c r="E120" t="n">
        <v>0</v>
      </c>
      <c r="F120" t="inlineStr">
        <is>
          <t>General</t>
        </is>
      </c>
      <c r="G120" t="inlineStr">
        <is>
          <t>General</t>
        </is>
      </c>
      <c r="H120" t="inlineStr">
        <is>
          <t>General</t>
        </is>
      </c>
      <c r="I120" t="inlineStr">
        <is>
          <t>General</t>
        </is>
      </c>
      <c r="K120" t="inlineStr">
        <is>
          <t>unclassified</t>
        </is>
      </c>
      <c r="M120" t="n">
        <v>50</v>
      </c>
    </row>
    <row r="121">
      <c r="A121" t="inlineStr">
        <is>
          <t>Ashoka</t>
        </is>
      </c>
      <c r="B121" t="inlineStr">
        <is>
          <t>Gudmar</t>
        </is>
      </c>
      <c r="C121" t="n">
        <v>0</v>
      </c>
      <c r="D121" t="n">
        <v>1</v>
      </c>
      <c r="E121" t="n">
        <v>0</v>
      </c>
      <c r="F121" t="inlineStr">
        <is>
          <t>General</t>
        </is>
      </c>
      <c r="G121" t="inlineStr">
        <is>
          <t>General</t>
        </is>
      </c>
      <c r="H121" t="inlineStr">
        <is>
          <t>General</t>
        </is>
      </c>
      <c r="I121" t="inlineStr">
        <is>
          <t>General</t>
        </is>
      </c>
      <c r="K121" t="inlineStr">
        <is>
          <t>unclassified</t>
        </is>
      </c>
      <c r="M121" t="n">
        <v>50</v>
      </c>
    </row>
    <row r="122">
      <c r="A122" t="inlineStr">
        <is>
          <t>Ashoka</t>
        </is>
      </c>
      <c r="B122" t="inlineStr">
        <is>
          <t>Hops</t>
        </is>
      </c>
      <c r="C122" t="n">
        <v>0</v>
      </c>
      <c r="D122" t="n">
        <v>1</v>
      </c>
      <c r="E122" t="n">
        <v>0</v>
      </c>
      <c r="F122" t="inlineStr">
        <is>
          <t>General</t>
        </is>
      </c>
      <c r="G122" t="inlineStr">
        <is>
          <t>General</t>
        </is>
      </c>
      <c r="H122" t="inlineStr">
        <is>
          <t>General</t>
        </is>
      </c>
      <c r="I122" t="inlineStr">
        <is>
          <t>General</t>
        </is>
      </c>
      <c r="K122" t="inlineStr">
        <is>
          <t>unclassified</t>
        </is>
      </c>
      <c r="M122" t="n">
        <v>50</v>
      </c>
    </row>
    <row r="123">
      <c r="A123" t="inlineStr">
        <is>
          <t>Ashoka</t>
        </is>
      </c>
      <c r="B123" t="inlineStr">
        <is>
          <t>Houttuynia</t>
        </is>
      </c>
      <c r="C123" t="n">
        <v>0</v>
      </c>
      <c r="D123" t="n">
        <v>1</v>
      </c>
      <c r="E123" t="n">
        <v>0</v>
      </c>
      <c r="F123" t="inlineStr">
        <is>
          <t>General</t>
        </is>
      </c>
      <c r="G123" t="inlineStr">
        <is>
          <t>General</t>
        </is>
      </c>
      <c r="H123" t="inlineStr">
        <is>
          <t>General</t>
        </is>
      </c>
      <c r="I123" t="inlineStr">
        <is>
          <t>General</t>
        </is>
      </c>
      <c r="K123" t="inlineStr">
        <is>
          <t>unclassified</t>
        </is>
      </c>
      <c r="M123" t="n">
        <v>50</v>
      </c>
    </row>
    <row r="124">
      <c r="A124" t="inlineStr">
        <is>
          <t>Ashoka</t>
        </is>
      </c>
      <c r="B124" t="inlineStr">
        <is>
          <t>Isatis</t>
        </is>
      </c>
      <c r="C124" t="n">
        <v>0</v>
      </c>
      <c r="D124" t="n">
        <v>1</v>
      </c>
      <c r="E124" t="n">
        <v>0</v>
      </c>
      <c r="F124" t="inlineStr">
        <is>
          <t>General</t>
        </is>
      </c>
      <c r="G124" t="inlineStr">
        <is>
          <t>General</t>
        </is>
      </c>
      <c r="H124" t="inlineStr">
        <is>
          <t>General</t>
        </is>
      </c>
      <c r="I124" t="inlineStr">
        <is>
          <t>General</t>
        </is>
      </c>
      <c r="K124" t="inlineStr">
        <is>
          <t>unclassified</t>
        </is>
      </c>
      <c r="M124" t="n">
        <v>50</v>
      </c>
    </row>
    <row r="125">
      <c r="A125" t="inlineStr">
        <is>
          <t>Ashoka</t>
        </is>
      </c>
      <c r="B125" t="inlineStr">
        <is>
          <t>Lemongrass</t>
        </is>
      </c>
      <c r="C125" t="n">
        <v>0</v>
      </c>
      <c r="D125" t="n">
        <v>1</v>
      </c>
      <c r="E125" t="n">
        <v>0</v>
      </c>
      <c r="F125" t="inlineStr">
        <is>
          <t>General</t>
        </is>
      </c>
      <c r="G125" t="inlineStr">
        <is>
          <t>General</t>
        </is>
      </c>
      <c r="H125" t="inlineStr">
        <is>
          <t>General</t>
        </is>
      </c>
      <c r="I125" t="inlineStr">
        <is>
          <t>General</t>
        </is>
      </c>
      <c r="K125" t="inlineStr">
        <is>
          <t>unclassified</t>
        </is>
      </c>
      <c r="M125" t="n">
        <v>50</v>
      </c>
    </row>
    <row r="126">
      <c r="A126" t="inlineStr">
        <is>
          <t>Ashoka</t>
        </is>
      </c>
      <c r="B126" t="inlineStr">
        <is>
          <t>Longan</t>
        </is>
      </c>
      <c r="C126" t="n">
        <v>0</v>
      </c>
      <c r="D126" t="n">
        <v>1</v>
      </c>
      <c r="E126" t="n">
        <v>0</v>
      </c>
      <c r="F126" t="inlineStr">
        <is>
          <t>General</t>
        </is>
      </c>
      <c r="G126" t="inlineStr">
        <is>
          <t>General</t>
        </is>
      </c>
      <c r="H126" t="inlineStr">
        <is>
          <t>General</t>
        </is>
      </c>
      <c r="I126" t="inlineStr">
        <is>
          <t>General</t>
        </is>
      </c>
      <c r="K126" t="inlineStr">
        <is>
          <t>unclassified</t>
        </is>
      </c>
      <c r="M126" t="n">
        <v>50</v>
      </c>
    </row>
    <row r="127">
      <c r="A127" t="inlineStr">
        <is>
          <t>Ashoka</t>
        </is>
      </c>
      <c r="B127" t="inlineStr">
        <is>
          <t>Maitake D-Fraction</t>
        </is>
      </c>
      <c r="C127" t="n">
        <v>0</v>
      </c>
      <c r="D127" t="n">
        <v>1</v>
      </c>
      <c r="E127" t="n">
        <v>0</v>
      </c>
      <c r="F127" t="inlineStr">
        <is>
          <t>General</t>
        </is>
      </c>
      <c r="G127" t="inlineStr">
        <is>
          <t>General</t>
        </is>
      </c>
      <c r="H127" t="inlineStr">
        <is>
          <t>General</t>
        </is>
      </c>
      <c r="I127" t="inlineStr">
        <is>
          <t>General</t>
        </is>
      </c>
      <c r="K127" t="inlineStr">
        <is>
          <t>unclassified</t>
        </is>
      </c>
      <c r="M127" t="n">
        <v>50</v>
      </c>
    </row>
    <row r="128">
      <c r="A128" t="inlineStr">
        <is>
          <t>Ashoka</t>
        </is>
      </c>
      <c r="B128" t="inlineStr">
        <is>
          <t>Muira Puama</t>
        </is>
      </c>
      <c r="C128" t="n">
        <v>0</v>
      </c>
      <c r="D128" t="n">
        <v>1</v>
      </c>
      <c r="E128" t="n">
        <v>0</v>
      </c>
      <c r="F128" t="inlineStr">
        <is>
          <t>General</t>
        </is>
      </c>
      <c r="G128" t="inlineStr">
        <is>
          <t>General</t>
        </is>
      </c>
      <c r="H128" t="inlineStr">
        <is>
          <t>General</t>
        </is>
      </c>
      <c r="I128" t="inlineStr">
        <is>
          <t>General</t>
        </is>
      </c>
      <c r="K128" t="inlineStr">
        <is>
          <t>unclassified</t>
        </is>
      </c>
      <c r="M128" t="n">
        <v>50</v>
      </c>
    </row>
    <row r="129">
      <c r="A129" t="inlineStr">
        <is>
          <t>Ashoka</t>
        </is>
      </c>
      <c r="B129" t="inlineStr">
        <is>
          <t>Nettle Root</t>
        </is>
      </c>
      <c r="C129" t="n">
        <v>0</v>
      </c>
      <c r="D129" t="n">
        <v>1</v>
      </c>
      <c r="E129" t="n">
        <v>0</v>
      </c>
      <c r="F129" t="inlineStr">
        <is>
          <t>General</t>
        </is>
      </c>
      <c r="G129" t="inlineStr">
        <is>
          <t>General</t>
        </is>
      </c>
      <c r="H129" t="inlineStr">
        <is>
          <t>General</t>
        </is>
      </c>
      <c r="I129" t="inlineStr">
        <is>
          <t>General</t>
        </is>
      </c>
      <c r="K129" t="inlineStr">
        <is>
          <t>unclassified</t>
        </is>
      </c>
      <c r="M129" t="n">
        <v>50</v>
      </c>
    </row>
    <row r="130">
      <c r="A130" t="inlineStr">
        <is>
          <t>Ashoka</t>
        </is>
      </c>
      <c r="B130" t="inlineStr">
        <is>
          <t>Passionflower</t>
        </is>
      </c>
      <c r="C130" t="n">
        <v>0</v>
      </c>
      <c r="D130" t="n">
        <v>1</v>
      </c>
      <c r="E130" t="n">
        <v>0</v>
      </c>
      <c r="F130" t="inlineStr">
        <is>
          <t>General</t>
        </is>
      </c>
      <c r="G130" t="inlineStr">
        <is>
          <t>General</t>
        </is>
      </c>
      <c r="H130" t="inlineStr">
        <is>
          <t>General</t>
        </is>
      </c>
      <c r="I130" t="inlineStr">
        <is>
          <t>General</t>
        </is>
      </c>
      <c r="K130" t="inlineStr">
        <is>
          <t>unclassified</t>
        </is>
      </c>
      <c r="M130" t="n">
        <v>50</v>
      </c>
    </row>
    <row r="131">
      <c r="A131" t="inlineStr">
        <is>
          <t>Ashoka</t>
        </is>
      </c>
      <c r="B131" t="inlineStr">
        <is>
          <t>Perilla</t>
        </is>
      </c>
      <c r="C131" t="n">
        <v>0</v>
      </c>
      <c r="D131" t="n">
        <v>1</v>
      </c>
      <c r="E131" t="n">
        <v>0</v>
      </c>
      <c r="F131" t="inlineStr">
        <is>
          <t>General</t>
        </is>
      </c>
      <c r="G131" t="inlineStr">
        <is>
          <t>General</t>
        </is>
      </c>
      <c r="H131" t="inlineStr">
        <is>
          <t>General</t>
        </is>
      </c>
      <c r="I131" t="inlineStr">
        <is>
          <t>General</t>
        </is>
      </c>
      <c r="K131" t="inlineStr">
        <is>
          <t>unclassified</t>
        </is>
      </c>
      <c r="M131" t="n">
        <v>50</v>
      </c>
    </row>
    <row r="132">
      <c r="A132" t="inlineStr">
        <is>
          <t>Ashoka</t>
        </is>
      </c>
      <c r="B132" t="inlineStr">
        <is>
          <t>Poria</t>
        </is>
      </c>
      <c r="C132" t="n">
        <v>0</v>
      </c>
      <c r="D132" t="n">
        <v>1</v>
      </c>
      <c r="E132" t="n">
        <v>0</v>
      </c>
      <c r="F132" t="inlineStr">
        <is>
          <t>General</t>
        </is>
      </c>
      <c r="G132" t="inlineStr">
        <is>
          <t>General</t>
        </is>
      </c>
      <c r="H132" t="inlineStr">
        <is>
          <t>General</t>
        </is>
      </c>
      <c r="I132" t="inlineStr">
        <is>
          <t>General</t>
        </is>
      </c>
      <c r="K132" t="inlineStr">
        <is>
          <t>unclassified</t>
        </is>
      </c>
      <c r="M132" t="n">
        <v>50</v>
      </c>
    </row>
    <row r="133">
      <c r="A133" t="inlineStr">
        <is>
          <t>Ashoka</t>
        </is>
      </c>
      <c r="B133" t="inlineStr">
        <is>
          <t>Punarnava</t>
        </is>
      </c>
      <c r="C133" t="n">
        <v>0</v>
      </c>
      <c r="D133" t="n">
        <v>1</v>
      </c>
      <c r="E133" t="n">
        <v>0</v>
      </c>
      <c r="F133" t="inlineStr">
        <is>
          <t>General</t>
        </is>
      </c>
      <c r="G133" t="inlineStr">
        <is>
          <t>General</t>
        </is>
      </c>
      <c r="H133" t="inlineStr">
        <is>
          <t>General</t>
        </is>
      </c>
      <c r="I133" t="inlineStr">
        <is>
          <t>General</t>
        </is>
      </c>
      <c r="K133" t="inlineStr">
        <is>
          <t>unclassified</t>
        </is>
      </c>
      <c r="M133" t="n">
        <v>50</v>
      </c>
    </row>
    <row r="134">
      <c r="A134" t="inlineStr">
        <is>
          <t>Ashoka</t>
        </is>
      </c>
      <c r="B134" t="inlineStr">
        <is>
          <t>Rehmannia Prepared</t>
        </is>
      </c>
      <c r="C134" t="n">
        <v>0</v>
      </c>
      <c r="D134" t="n">
        <v>1</v>
      </c>
      <c r="E134" t="n">
        <v>0</v>
      </c>
      <c r="F134" t="inlineStr">
        <is>
          <t>General</t>
        </is>
      </c>
      <c r="G134" t="inlineStr">
        <is>
          <t>General</t>
        </is>
      </c>
      <c r="H134" t="inlineStr">
        <is>
          <t>General</t>
        </is>
      </c>
      <c r="I134" t="inlineStr">
        <is>
          <t>General</t>
        </is>
      </c>
      <c r="K134" t="inlineStr">
        <is>
          <t>unclassified</t>
        </is>
      </c>
      <c r="M134" t="n">
        <v>50</v>
      </c>
    </row>
    <row r="135">
      <c r="A135" t="inlineStr">
        <is>
          <t>Ashoka</t>
        </is>
      </c>
      <c r="B135" t="inlineStr">
        <is>
          <t>Reishi</t>
        </is>
      </c>
      <c r="C135" t="n">
        <v>0</v>
      </c>
      <c r="D135" t="n">
        <v>1</v>
      </c>
      <c r="E135" t="n">
        <v>0</v>
      </c>
      <c r="F135" t="inlineStr">
        <is>
          <t>General</t>
        </is>
      </c>
      <c r="G135" t="inlineStr">
        <is>
          <t>General</t>
        </is>
      </c>
      <c r="H135" t="inlineStr">
        <is>
          <t>General</t>
        </is>
      </c>
      <c r="I135" t="inlineStr">
        <is>
          <t>General</t>
        </is>
      </c>
      <c r="K135" t="inlineStr">
        <is>
          <t>unclassified</t>
        </is>
      </c>
      <c r="M135" t="n">
        <v>50</v>
      </c>
    </row>
    <row r="136">
      <c r="A136" t="inlineStr">
        <is>
          <t>Ashoka</t>
        </is>
      </c>
      <c r="B136" t="inlineStr">
        <is>
          <t>Sophora Flavescens</t>
        </is>
      </c>
      <c r="C136" t="n">
        <v>0</v>
      </c>
      <c r="D136" t="n">
        <v>1</v>
      </c>
      <c r="E136" t="n">
        <v>0</v>
      </c>
      <c r="F136" t="inlineStr">
        <is>
          <t>General</t>
        </is>
      </c>
      <c r="G136" t="inlineStr">
        <is>
          <t>General</t>
        </is>
      </c>
      <c r="H136" t="inlineStr">
        <is>
          <t>General</t>
        </is>
      </c>
      <c r="I136" t="inlineStr">
        <is>
          <t>General</t>
        </is>
      </c>
      <c r="K136" t="inlineStr">
        <is>
          <t>unclassified</t>
        </is>
      </c>
      <c r="M136" t="n">
        <v>50</v>
      </c>
    </row>
    <row r="137">
      <c r="A137" t="inlineStr">
        <is>
          <t>Ashoka</t>
        </is>
      </c>
      <c r="B137" t="inlineStr">
        <is>
          <t>Tamarind</t>
        </is>
      </c>
      <c r="C137" t="n">
        <v>0</v>
      </c>
      <c r="D137" t="n">
        <v>1</v>
      </c>
      <c r="E137" t="n">
        <v>0</v>
      </c>
      <c r="F137" t="inlineStr">
        <is>
          <t>General</t>
        </is>
      </c>
      <c r="G137" t="inlineStr">
        <is>
          <t>General</t>
        </is>
      </c>
      <c r="H137" t="inlineStr">
        <is>
          <t>General</t>
        </is>
      </c>
      <c r="I137" t="inlineStr">
        <is>
          <t>General</t>
        </is>
      </c>
      <c r="K137" t="inlineStr">
        <is>
          <t>unclassified</t>
        </is>
      </c>
      <c r="M137" t="n">
        <v>50</v>
      </c>
    </row>
    <row r="138">
      <c r="A138" t="inlineStr">
        <is>
          <t>Ashoka</t>
        </is>
      </c>
      <c r="B138" t="inlineStr">
        <is>
          <t>White Peony</t>
        </is>
      </c>
      <c r="C138" t="n">
        <v>0</v>
      </c>
      <c r="D138" t="n">
        <v>1</v>
      </c>
      <c r="E138" t="n">
        <v>0</v>
      </c>
      <c r="F138" t="inlineStr">
        <is>
          <t>General</t>
        </is>
      </c>
      <c r="G138" t="inlineStr">
        <is>
          <t>General</t>
        </is>
      </c>
      <c r="H138" t="inlineStr">
        <is>
          <t>General</t>
        </is>
      </c>
      <c r="I138" t="inlineStr">
        <is>
          <t>General</t>
        </is>
      </c>
      <c r="K138" t="inlineStr">
        <is>
          <t>unclassified</t>
        </is>
      </c>
      <c r="M138" t="n">
        <v>50</v>
      </c>
    </row>
    <row r="139">
      <c r="A139" t="inlineStr">
        <is>
          <t>Ashoka</t>
        </is>
      </c>
      <c r="B139" t="inlineStr">
        <is>
          <t>Yohimbe</t>
        </is>
      </c>
      <c r="C139" t="n">
        <v>0</v>
      </c>
      <c r="D139" t="n">
        <v>1</v>
      </c>
      <c r="E139" t="n">
        <v>0</v>
      </c>
      <c r="F139" t="inlineStr">
        <is>
          <t>General</t>
        </is>
      </c>
      <c r="G139" t="inlineStr">
        <is>
          <t>General</t>
        </is>
      </c>
      <c r="H139" t="inlineStr">
        <is>
          <t>General</t>
        </is>
      </c>
      <c r="I139" t="inlineStr">
        <is>
          <t>General</t>
        </is>
      </c>
      <c r="K139" t="inlineStr">
        <is>
          <t>unclassified</t>
        </is>
      </c>
      <c r="M139" t="n">
        <v>50</v>
      </c>
    </row>
    <row r="140">
      <c r="A140" t="inlineStr">
        <is>
          <t>Banaba</t>
        </is>
      </c>
      <c r="B140" t="inlineStr">
        <is>
          <t>Ashitaba</t>
        </is>
      </c>
      <c r="C140" t="n">
        <v>0</v>
      </c>
      <c r="D140" t="n">
        <v>1</v>
      </c>
      <c r="E140" t="n">
        <v>0</v>
      </c>
      <c r="F140" t="inlineStr">
        <is>
          <t>Metabolic</t>
        </is>
      </c>
      <c r="G140" t="inlineStr">
        <is>
          <t>Metabolic</t>
        </is>
      </c>
      <c r="H140" t="inlineStr">
        <is>
          <t>Metabolic Support</t>
        </is>
      </c>
      <c r="I140" t="inlineStr">
        <is>
          <t>Metabolic Support</t>
        </is>
      </c>
      <c r="K140" t="inlineStr">
        <is>
          <t>unclassified</t>
        </is>
      </c>
      <c r="M140" t="n">
        <v>50</v>
      </c>
    </row>
    <row r="141">
      <c r="A141" t="inlineStr">
        <is>
          <t>Banaba</t>
        </is>
      </c>
      <c r="B141" t="inlineStr">
        <is>
          <t>Curry Leaf</t>
        </is>
      </c>
      <c r="C141" t="n">
        <v>0</v>
      </c>
      <c r="D141" t="n">
        <v>1</v>
      </c>
      <c r="E141" t="n">
        <v>0</v>
      </c>
      <c r="F141" t="inlineStr">
        <is>
          <t>Metabolic</t>
        </is>
      </c>
      <c r="G141" t="inlineStr">
        <is>
          <t>Metabolic</t>
        </is>
      </c>
      <c r="H141" t="inlineStr">
        <is>
          <t>Metabolic Support</t>
        </is>
      </c>
      <c r="I141" t="inlineStr">
        <is>
          <t>Metabolic Support</t>
        </is>
      </c>
      <c r="K141" t="inlineStr">
        <is>
          <t>unclassified</t>
        </is>
      </c>
      <c r="M141" t="n">
        <v>50</v>
      </c>
    </row>
    <row r="142">
      <c r="A142" t="inlineStr">
        <is>
          <t>Banaba</t>
        </is>
      </c>
      <c r="B142" t="inlineStr">
        <is>
          <t>Eucommia</t>
        </is>
      </c>
      <c r="C142" t="n">
        <v>0</v>
      </c>
      <c r="D142" t="n">
        <v>1</v>
      </c>
      <c r="E142" t="n">
        <v>0</v>
      </c>
      <c r="F142" t="inlineStr">
        <is>
          <t>Metabolic</t>
        </is>
      </c>
      <c r="G142" t="inlineStr">
        <is>
          <t>Metabolic</t>
        </is>
      </c>
      <c r="H142" t="inlineStr">
        <is>
          <t>Metabolic Support</t>
        </is>
      </c>
      <c r="I142" t="inlineStr">
        <is>
          <t>Metabolic Support</t>
        </is>
      </c>
      <c r="K142" t="inlineStr">
        <is>
          <t>unclassified</t>
        </is>
      </c>
      <c r="M142" t="n">
        <v>50</v>
      </c>
    </row>
    <row r="143">
      <c r="A143" t="inlineStr">
        <is>
          <t>Banaba</t>
        </is>
      </c>
      <c r="B143" t="inlineStr">
        <is>
          <t>Kuding Tea</t>
        </is>
      </c>
      <c r="C143" t="n">
        <v>0</v>
      </c>
      <c r="D143" t="n">
        <v>1</v>
      </c>
      <c r="E143" t="n">
        <v>0</v>
      </c>
      <c r="F143" t="inlineStr">
        <is>
          <t>Metabolic</t>
        </is>
      </c>
      <c r="G143" t="inlineStr">
        <is>
          <t>Metabolic</t>
        </is>
      </c>
      <c r="H143" t="inlineStr">
        <is>
          <t>Metabolic Support</t>
        </is>
      </c>
      <c r="I143" t="inlineStr">
        <is>
          <t>Metabolic Support</t>
        </is>
      </c>
      <c r="K143" t="inlineStr">
        <is>
          <t>unclassified</t>
        </is>
      </c>
      <c r="M143" t="n">
        <v>50</v>
      </c>
    </row>
    <row r="144">
      <c r="A144" t="inlineStr">
        <is>
          <t>Banaba</t>
        </is>
      </c>
      <c r="B144" t="inlineStr">
        <is>
          <t>Moringa</t>
        </is>
      </c>
      <c r="C144" t="n">
        <v>0</v>
      </c>
      <c r="D144" t="n">
        <v>1</v>
      </c>
      <c r="E144" t="n">
        <v>0</v>
      </c>
      <c r="F144" t="inlineStr">
        <is>
          <t>Metabolic</t>
        </is>
      </c>
      <c r="G144" t="inlineStr">
        <is>
          <t>Metabolic</t>
        </is>
      </c>
      <c r="H144" t="inlineStr">
        <is>
          <t>Metabolic Support</t>
        </is>
      </c>
      <c r="I144" t="inlineStr">
        <is>
          <t>Metabolic Support</t>
        </is>
      </c>
      <c r="K144" t="inlineStr">
        <is>
          <t>unclassified</t>
        </is>
      </c>
      <c r="M144" t="n">
        <v>50</v>
      </c>
    </row>
    <row r="145">
      <c r="A145" t="inlineStr">
        <is>
          <t>Blue Lotus</t>
        </is>
      </c>
      <c r="B145" t="inlineStr">
        <is>
          <t>Agarikon</t>
        </is>
      </c>
      <c r="C145" t="n">
        <v>0</v>
      </c>
      <c r="D145" t="n">
        <v>1</v>
      </c>
      <c r="E145" t="n">
        <v>0</v>
      </c>
      <c r="F145" t="inlineStr">
        <is>
          <t>General</t>
        </is>
      </c>
      <c r="G145" t="inlineStr">
        <is>
          <t>General</t>
        </is>
      </c>
      <c r="H145" t="inlineStr">
        <is>
          <t>General</t>
        </is>
      </c>
      <c r="I145" t="inlineStr">
        <is>
          <t>General</t>
        </is>
      </c>
      <c r="K145" t="inlineStr">
        <is>
          <t>unclassified</t>
        </is>
      </c>
      <c r="M145" t="n">
        <v>50</v>
      </c>
    </row>
    <row r="146">
      <c r="A146" t="inlineStr">
        <is>
          <t>Blue Lotus</t>
        </is>
      </c>
      <c r="B146" t="inlineStr">
        <is>
          <t>Ajwain</t>
        </is>
      </c>
      <c r="C146" t="n">
        <v>0</v>
      </c>
      <c r="D146" t="n">
        <v>1</v>
      </c>
      <c r="E146" t="n">
        <v>0</v>
      </c>
      <c r="F146" t="inlineStr">
        <is>
          <t>General</t>
        </is>
      </c>
      <c r="G146" t="inlineStr">
        <is>
          <t>General</t>
        </is>
      </c>
      <c r="H146" t="inlineStr">
        <is>
          <t>General</t>
        </is>
      </c>
      <c r="I146" t="inlineStr">
        <is>
          <t>General</t>
        </is>
      </c>
      <c r="K146" t="inlineStr">
        <is>
          <t>unclassified</t>
        </is>
      </c>
      <c r="M146" t="n">
        <v>50</v>
      </c>
    </row>
    <row r="147">
      <c r="A147" t="inlineStr">
        <is>
          <t>Blue Lotus</t>
        </is>
      </c>
      <c r="B147" t="inlineStr">
        <is>
          <t>Angelica Root</t>
        </is>
      </c>
      <c r="C147" t="n">
        <v>0</v>
      </c>
      <c r="D147" t="n">
        <v>1</v>
      </c>
      <c r="E147" t="n">
        <v>0</v>
      </c>
      <c r="F147" t="inlineStr">
        <is>
          <t>General</t>
        </is>
      </c>
      <c r="G147" t="inlineStr">
        <is>
          <t>General</t>
        </is>
      </c>
      <c r="H147" t="inlineStr">
        <is>
          <t>General</t>
        </is>
      </c>
      <c r="I147" t="inlineStr">
        <is>
          <t>General</t>
        </is>
      </c>
      <c r="K147" t="inlineStr">
        <is>
          <t>unclassified</t>
        </is>
      </c>
      <c r="M147" t="n">
        <v>50</v>
      </c>
    </row>
    <row r="148">
      <c r="A148" t="inlineStr">
        <is>
          <t>Blue Lotus</t>
        </is>
      </c>
      <c r="B148" t="inlineStr">
        <is>
          <t>Artichoke</t>
        </is>
      </c>
      <c r="C148" t="n">
        <v>0</v>
      </c>
      <c r="D148" t="n">
        <v>1</v>
      </c>
      <c r="E148" t="n">
        <v>0</v>
      </c>
      <c r="F148" t="inlineStr">
        <is>
          <t>General</t>
        </is>
      </c>
      <c r="G148" t="inlineStr">
        <is>
          <t>General</t>
        </is>
      </c>
      <c r="H148" t="inlineStr">
        <is>
          <t>General</t>
        </is>
      </c>
      <c r="I148" t="inlineStr">
        <is>
          <t>General</t>
        </is>
      </c>
      <c r="K148" t="inlineStr">
        <is>
          <t>unclassified</t>
        </is>
      </c>
      <c r="M148" t="n">
        <v>50</v>
      </c>
    </row>
    <row r="149">
      <c r="A149" t="inlineStr">
        <is>
          <t>Blue Lotus</t>
        </is>
      </c>
      <c r="B149" t="inlineStr">
        <is>
          <t>Ashoka</t>
        </is>
      </c>
      <c r="C149" t="n">
        <v>0</v>
      </c>
      <c r="D149" t="n">
        <v>1</v>
      </c>
      <c r="E149" t="n">
        <v>0</v>
      </c>
      <c r="F149" t="inlineStr">
        <is>
          <t>General</t>
        </is>
      </c>
      <c r="G149" t="inlineStr">
        <is>
          <t>General</t>
        </is>
      </c>
      <c r="H149" t="inlineStr">
        <is>
          <t>General</t>
        </is>
      </c>
      <c r="I149" t="inlineStr">
        <is>
          <t>General</t>
        </is>
      </c>
      <c r="K149" t="inlineStr">
        <is>
          <t>unclassified</t>
        </is>
      </c>
      <c r="M149" t="n">
        <v>50</v>
      </c>
    </row>
    <row r="150">
      <c r="A150" t="inlineStr">
        <is>
          <t>Blue Lotus</t>
        </is>
      </c>
      <c r="B150" t="inlineStr">
        <is>
          <t>Boldo</t>
        </is>
      </c>
      <c r="C150" t="n">
        <v>0</v>
      </c>
      <c r="D150" t="n">
        <v>1</v>
      </c>
      <c r="E150" t="n">
        <v>0</v>
      </c>
      <c r="F150" t="inlineStr">
        <is>
          <t>General</t>
        </is>
      </c>
      <c r="G150" t="inlineStr">
        <is>
          <t>General</t>
        </is>
      </c>
      <c r="H150" t="inlineStr">
        <is>
          <t>General</t>
        </is>
      </c>
      <c r="I150" t="inlineStr">
        <is>
          <t>General</t>
        </is>
      </c>
      <c r="K150" t="inlineStr">
        <is>
          <t>unclassified</t>
        </is>
      </c>
      <c r="M150" t="n">
        <v>50</v>
      </c>
    </row>
    <row r="151">
      <c r="A151" t="inlineStr">
        <is>
          <t>Blue Lotus</t>
        </is>
      </c>
      <c r="B151" t="inlineStr">
        <is>
          <t>Burdock</t>
        </is>
      </c>
      <c r="C151" t="n">
        <v>0</v>
      </c>
      <c r="D151" t="n">
        <v>1</v>
      </c>
      <c r="E151" t="n">
        <v>0</v>
      </c>
      <c r="F151" t="inlineStr">
        <is>
          <t>General</t>
        </is>
      </c>
      <c r="G151" t="inlineStr">
        <is>
          <t>General</t>
        </is>
      </c>
      <c r="H151" t="inlineStr">
        <is>
          <t>General</t>
        </is>
      </c>
      <c r="I151" t="inlineStr">
        <is>
          <t>General</t>
        </is>
      </c>
      <c r="K151" t="inlineStr">
        <is>
          <t>unclassified</t>
        </is>
      </c>
      <c r="M151" t="n">
        <v>50</v>
      </c>
    </row>
    <row r="152">
      <c r="A152" t="inlineStr">
        <is>
          <t>Blue Lotus</t>
        </is>
      </c>
      <c r="B152" t="inlineStr">
        <is>
          <t>Butterbur</t>
        </is>
      </c>
      <c r="C152" t="n">
        <v>0</v>
      </c>
      <c r="D152" t="n">
        <v>1</v>
      </c>
      <c r="E152" t="n">
        <v>0</v>
      </c>
      <c r="F152" t="inlineStr">
        <is>
          <t>General</t>
        </is>
      </c>
      <c r="G152" t="inlineStr">
        <is>
          <t>General</t>
        </is>
      </c>
      <c r="H152" t="inlineStr">
        <is>
          <t>General</t>
        </is>
      </c>
      <c r="I152" t="inlineStr">
        <is>
          <t>General</t>
        </is>
      </c>
      <c r="K152" t="inlineStr">
        <is>
          <t>unclassified</t>
        </is>
      </c>
      <c r="M152" t="n">
        <v>50</v>
      </c>
    </row>
    <row r="153">
      <c r="A153" t="inlineStr">
        <is>
          <t>Blue Lotus</t>
        </is>
      </c>
      <c r="B153" t="inlineStr">
        <is>
          <t>Calendula</t>
        </is>
      </c>
      <c r="C153" t="n">
        <v>0</v>
      </c>
      <c r="D153" t="n">
        <v>1</v>
      </c>
      <c r="E153" t="n">
        <v>0</v>
      </c>
      <c r="F153" t="inlineStr">
        <is>
          <t>General</t>
        </is>
      </c>
      <c r="G153" t="inlineStr">
        <is>
          <t>General</t>
        </is>
      </c>
      <c r="H153" t="inlineStr">
        <is>
          <t>General</t>
        </is>
      </c>
      <c r="I153" t="inlineStr">
        <is>
          <t>General</t>
        </is>
      </c>
      <c r="K153" t="inlineStr">
        <is>
          <t>unclassified</t>
        </is>
      </c>
      <c r="M153" t="n">
        <v>50</v>
      </c>
    </row>
    <row r="154">
      <c r="A154" t="inlineStr">
        <is>
          <t>Blue Lotus</t>
        </is>
      </c>
      <c r="B154" t="inlineStr">
        <is>
          <t>Caraway</t>
        </is>
      </c>
      <c r="C154" t="n">
        <v>0</v>
      </c>
      <c r="D154" t="n">
        <v>1</v>
      </c>
      <c r="E154" t="n">
        <v>0</v>
      </c>
      <c r="F154" t="inlineStr">
        <is>
          <t>General</t>
        </is>
      </c>
      <c r="G154" t="inlineStr">
        <is>
          <t>General</t>
        </is>
      </c>
      <c r="H154" t="inlineStr">
        <is>
          <t>General</t>
        </is>
      </c>
      <c r="I154" t="inlineStr">
        <is>
          <t>General</t>
        </is>
      </c>
      <c r="K154" t="inlineStr">
        <is>
          <t>unclassified</t>
        </is>
      </c>
      <c r="M154" t="n">
        <v>50</v>
      </c>
    </row>
    <row r="155">
      <c r="A155" t="inlineStr">
        <is>
          <t>Blue Lotus</t>
        </is>
      </c>
      <c r="B155" t="inlineStr">
        <is>
          <t>Cardamom</t>
        </is>
      </c>
      <c r="C155" t="n">
        <v>0</v>
      </c>
      <c r="D155" t="n">
        <v>1</v>
      </c>
      <c r="E155" t="n">
        <v>0</v>
      </c>
      <c r="F155" t="inlineStr">
        <is>
          <t>General</t>
        </is>
      </c>
      <c r="G155" t="inlineStr">
        <is>
          <t>General</t>
        </is>
      </c>
      <c r="H155" t="inlineStr">
        <is>
          <t>General</t>
        </is>
      </c>
      <c r="I155" t="inlineStr">
        <is>
          <t>General</t>
        </is>
      </c>
      <c r="K155" t="inlineStr">
        <is>
          <t>unclassified</t>
        </is>
      </c>
      <c r="M155" t="n">
        <v>50</v>
      </c>
    </row>
    <row r="156">
      <c r="A156" t="inlineStr">
        <is>
          <t>Blue Lotus</t>
        </is>
      </c>
      <c r="B156" t="inlineStr">
        <is>
          <t>Celastrus Paniculatus</t>
        </is>
      </c>
      <c r="C156" t="n">
        <v>0</v>
      </c>
      <c r="D156" t="n">
        <v>1</v>
      </c>
      <c r="E156" t="n">
        <v>0</v>
      </c>
      <c r="F156" t="inlineStr">
        <is>
          <t>General</t>
        </is>
      </c>
      <c r="G156" t="inlineStr">
        <is>
          <t>General</t>
        </is>
      </c>
      <c r="H156" t="inlineStr">
        <is>
          <t>General</t>
        </is>
      </c>
      <c r="I156" t="inlineStr">
        <is>
          <t>General</t>
        </is>
      </c>
      <c r="K156" t="inlineStr">
        <is>
          <t>unclassified</t>
        </is>
      </c>
      <c r="M156" t="n">
        <v>50</v>
      </c>
    </row>
    <row r="157">
      <c r="A157" t="inlineStr">
        <is>
          <t>Blue Lotus</t>
        </is>
      </c>
      <c r="B157" t="inlineStr">
        <is>
          <t>Cinnamon</t>
        </is>
      </c>
      <c r="C157" t="n">
        <v>0</v>
      </c>
      <c r="D157" t="n">
        <v>1</v>
      </c>
      <c r="E157" t="n">
        <v>0</v>
      </c>
      <c r="F157" t="inlineStr">
        <is>
          <t>General</t>
        </is>
      </c>
      <c r="G157" t="inlineStr">
        <is>
          <t>General</t>
        </is>
      </c>
      <c r="H157" t="inlineStr">
        <is>
          <t>General</t>
        </is>
      </c>
      <c r="I157" t="inlineStr">
        <is>
          <t>General</t>
        </is>
      </c>
      <c r="K157" t="inlineStr">
        <is>
          <t>unclassified</t>
        </is>
      </c>
      <c r="M157" t="n">
        <v>50</v>
      </c>
    </row>
    <row r="158">
      <c r="A158" t="inlineStr">
        <is>
          <t>Blue Lotus</t>
        </is>
      </c>
      <c r="B158" t="inlineStr">
        <is>
          <t>Cistanche</t>
        </is>
      </c>
      <c r="C158" t="n">
        <v>0</v>
      </c>
      <c r="D158" t="n">
        <v>1</v>
      </c>
      <c r="E158" t="n">
        <v>0</v>
      </c>
      <c r="F158" t="inlineStr">
        <is>
          <t>General</t>
        </is>
      </c>
      <c r="G158" t="inlineStr">
        <is>
          <t>General</t>
        </is>
      </c>
      <c r="H158" t="inlineStr">
        <is>
          <t>General</t>
        </is>
      </c>
      <c r="I158" t="inlineStr">
        <is>
          <t>General</t>
        </is>
      </c>
      <c r="K158" t="inlineStr">
        <is>
          <t>unclassified</t>
        </is>
      </c>
      <c r="M158" t="n">
        <v>50</v>
      </c>
    </row>
    <row r="159">
      <c r="A159" t="inlineStr">
        <is>
          <t>Blue Lotus</t>
        </is>
      </c>
      <c r="B159" t="inlineStr">
        <is>
          <t>Cordyceps</t>
        </is>
      </c>
      <c r="C159" t="n">
        <v>0</v>
      </c>
      <c r="D159" t="n">
        <v>1</v>
      </c>
      <c r="E159" t="n">
        <v>0</v>
      </c>
      <c r="F159" t="inlineStr">
        <is>
          <t>General</t>
        </is>
      </c>
      <c r="G159" t="inlineStr">
        <is>
          <t>General</t>
        </is>
      </c>
      <c r="H159" t="inlineStr">
        <is>
          <t>General</t>
        </is>
      </c>
      <c r="I159" t="inlineStr">
        <is>
          <t>General</t>
        </is>
      </c>
      <c r="K159" t="inlineStr">
        <is>
          <t>unclassified</t>
        </is>
      </c>
      <c r="M159" t="n">
        <v>50</v>
      </c>
    </row>
    <row r="160">
      <c r="A160" t="inlineStr">
        <is>
          <t>Blue Lotus</t>
        </is>
      </c>
      <c r="B160" t="inlineStr">
        <is>
          <t>Dandelion</t>
        </is>
      </c>
      <c r="C160" t="n">
        <v>0</v>
      </c>
      <c r="D160" t="n">
        <v>1</v>
      </c>
      <c r="E160" t="n">
        <v>0</v>
      </c>
      <c r="F160" t="inlineStr">
        <is>
          <t>General</t>
        </is>
      </c>
      <c r="G160" t="inlineStr">
        <is>
          <t>General</t>
        </is>
      </c>
      <c r="H160" t="inlineStr">
        <is>
          <t>General</t>
        </is>
      </c>
      <c r="I160" t="inlineStr">
        <is>
          <t>General</t>
        </is>
      </c>
      <c r="K160" t="inlineStr">
        <is>
          <t>unclassified</t>
        </is>
      </c>
      <c r="M160" t="n">
        <v>50</v>
      </c>
    </row>
    <row r="161">
      <c r="A161" t="inlineStr">
        <is>
          <t>Blue Lotus</t>
        </is>
      </c>
      <c r="B161" t="inlineStr">
        <is>
          <t>Dendrobium</t>
        </is>
      </c>
      <c r="C161" t="n">
        <v>0</v>
      </c>
      <c r="D161" t="n">
        <v>1</v>
      </c>
      <c r="E161" t="n">
        <v>0</v>
      </c>
      <c r="F161" t="inlineStr">
        <is>
          <t>General</t>
        </is>
      </c>
      <c r="G161" t="inlineStr">
        <is>
          <t>General</t>
        </is>
      </c>
      <c r="H161" t="inlineStr">
        <is>
          <t>General</t>
        </is>
      </c>
      <c r="I161" t="inlineStr">
        <is>
          <t>General</t>
        </is>
      </c>
      <c r="K161" t="inlineStr">
        <is>
          <t>unclassified</t>
        </is>
      </c>
      <c r="M161" t="n">
        <v>50</v>
      </c>
    </row>
    <row r="162">
      <c r="A162" t="inlineStr">
        <is>
          <t>Blue Lotus</t>
        </is>
      </c>
      <c r="B162" t="inlineStr">
        <is>
          <t>Dong Quai</t>
        </is>
      </c>
      <c r="C162" t="n">
        <v>0</v>
      </c>
      <c r="D162" t="n">
        <v>1</v>
      </c>
      <c r="E162" t="n">
        <v>0</v>
      </c>
      <c r="F162" t="inlineStr">
        <is>
          <t>General</t>
        </is>
      </c>
      <c r="G162" t="inlineStr">
        <is>
          <t>General</t>
        </is>
      </c>
      <c r="H162" t="inlineStr">
        <is>
          <t>General</t>
        </is>
      </c>
      <c r="I162" t="inlineStr">
        <is>
          <t>General</t>
        </is>
      </c>
      <c r="K162" t="inlineStr">
        <is>
          <t>unclassified</t>
        </is>
      </c>
      <c r="M162" t="n">
        <v>50</v>
      </c>
    </row>
    <row r="163">
      <c r="A163" t="inlineStr">
        <is>
          <t>Blue Lotus</t>
        </is>
      </c>
      <c r="B163" t="inlineStr">
        <is>
          <t>Elecampane</t>
        </is>
      </c>
      <c r="C163" t="n">
        <v>0</v>
      </c>
      <c r="D163" t="n">
        <v>1</v>
      </c>
      <c r="E163" t="n">
        <v>0</v>
      </c>
      <c r="F163" t="inlineStr">
        <is>
          <t>General</t>
        </is>
      </c>
      <c r="G163" t="inlineStr">
        <is>
          <t>General</t>
        </is>
      </c>
      <c r="H163" t="inlineStr">
        <is>
          <t>General</t>
        </is>
      </c>
      <c r="I163" t="inlineStr">
        <is>
          <t>General</t>
        </is>
      </c>
      <c r="K163" t="inlineStr">
        <is>
          <t>unclassified</t>
        </is>
      </c>
      <c r="M163" t="n">
        <v>50</v>
      </c>
    </row>
    <row r="164">
      <c r="A164" t="inlineStr">
        <is>
          <t>Blue Lotus</t>
        </is>
      </c>
      <c r="B164" t="inlineStr">
        <is>
          <t>Eleuthero</t>
        </is>
      </c>
      <c r="C164" t="n">
        <v>0</v>
      </c>
      <c r="D164" t="n">
        <v>1</v>
      </c>
      <c r="E164" t="n">
        <v>0</v>
      </c>
      <c r="F164" t="inlineStr">
        <is>
          <t>General</t>
        </is>
      </c>
      <c r="G164" t="inlineStr">
        <is>
          <t>General</t>
        </is>
      </c>
      <c r="H164" t="inlineStr">
        <is>
          <t>General</t>
        </is>
      </c>
      <c r="I164" t="inlineStr">
        <is>
          <t>General</t>
        </is>
      </c>
      <c r="K164" t="inlineStr">
        <is>
          <t>unclassified</t>
        </is>
      </c>
      <c r="M164" t="n">
        <v>50</v>
      </c>
    </row>
    <row r="165">
      <c r="A165" t="inlineStr">
        <is>
          <t>Blue Lotus</t>
        </is>
      </c>
      <c r="B165" t="inlineStr">
        <is>
          <t>Fennel</t>
        </is>
      </c>
      <c r="C165" t="n">
        <v>0</v>
      </c>
      <c r="D165" t="n">
        <v>1</v>
      </c>
      <c r="E165" t="n">
        <v>0</v>
      </c>
      <c r="F165" t="inlineStr">
        <is>
          <t>General</t>
        </is>
      </c>
      <c r="G165" t="inlineStr">
        <is>
          <t>General</t>
        </is>
      </c>
      <c r="H165" t="inlineStr">
        <is>
          <t>General</t>
        </is>
      </c>
      <c r="I165" t="inlineStr">
        <is>
          <t>General</t>
        </is>
      </c>
      <c r="K165" t="inlineStr">
        <is>
          <t>unclassified</t>
        </is>
      </c>
      <c r="M165" t="n">
        <v>50</v>
      </c>
    </row>
    <row r="166">
      <c r="A166" t="inlineStr">
        <is>
          <t>Blue Lotus</t>
        </is>
      </c>
      <c r="B166" t="inlineStr">
        <is>
          <t>Feverfew</t>
        </is>
      </c>
      <c r="C166" t="n">
        <v>0</v>
      </c>
      <c r="D166" t="n">
        <v>1</v>
      </c>
      <c r="E166" t="n">
        <v>0</v>
      </c>
      <c r="F166" t="inlineStr">
        <is>
          <t>General</t>
        </is>
      </c>
      <c r="G166" t="inlineStr">
        <is>
          <t>General</t>
        </is>
      </c>
      <c r="H166" t="inlineStr">
        <is>
          <t>General</t>
        </is>
      </c>
      <c r="I166" t="inlineStr">
        <is>
          <t>General</t>
        </is>
      </c>
      <c r="K166" t="inlineStr">
        <is>
          <t>unclassified</t>
        </is>
      </c>
      <c r="M166" t="n">
        <v>50</v>
      </c>
    </row>
    <row r="167">
      <c r="A167" t="inlineStr">
        <is>
          <t>Blue Lotus</t>
        </is>
      </c>
      <c r="B167" t="inlineStr">
        <is>
          <t>Galangal</t>
        </is>
      </c>
      <c r="C167" t="n">
        <v>0</v>
      </c>
      <c r="D167" t="n">
        <v>1</v>
      </c>
      <c r="E167" t="n">
        <v>0</v>
      </c>
      <c r="F167" t="inlineStr">
        <is>
          <t>General</t>
        </is>
      </c>
      <c r="G167" t="inlineStr">
        <is>
          <t>General</t>
        </is>
      </c>
      <c r="H167" t="inlineStr">
        <is>
          <t>General</t>
        </is>
      </c>
      <c r="I167" t="inlineStr">
        <is>
          <t>General</t>
        </is>
      </c>
      <c r="K167" t="inlineStr">
        <is>
          <t>unclassified</t>
        </is>
      </c>
      <c r="M167" t="n">
        <v>50</v>
      </c>
    </row>
    <row r="168">
      <c r="A168" t="inlineStr">
        <is>
          <t>Blue Lotus</t>
        </is>
      </c>
      <c r="B168" t="inlineStr">
        <is>
          <t>Gastrodia</t>
        </is>
      </c>
      <c r="C168" t="n">
        <v>0</v>
      </c>
      <c r="D168" t="n">
        <v>1</v>
      </c>
      <c r="E168" t="n">
        <v>0</v>
      </c>
      <c r="F168" t="inlineStr">
        <is>
          <t>General</t>
        </is>
      </c>
      <c r="G168" t="inlineStr">
        <is>
          <t>General</t>
        </is>
      </c>
      <c r="H168" t="inlineStr">
        <is>
          <t>General</t>
        </is>
      </c>
      <c r="I168" t="inlineStr">
        <is>
          <t>General</t>
        </is>
      </c>
      <c r="K168" t="inlineStr">
        <is>
          <t>unclassified</t>
        </is>
      </c>
      <c r="M168" t="n">
        <v>50</v>
      </c>
    </row>
    <row r="169">
      <c r="A169" t="inlineStr">
        <is>
          <t>Blue Lotus</t>
        </is>
      </c>
      <c r="B169" t="inlineStr">
        <is>
          <t>Gudmar</t>
        </is>
      </c>
      <c r="C169" t="n">
        <v>0</v>
      </c>
      <c r="D169" t="n">
        <v>1</v>
      </c>
      <c r="E169" t="n">
        <v>0</v>
      </c>
      <c r="F169" t="inlineStr">
        <is>
          <t>General</t>
        </is>
      </c>
      <c r="G169" t="inlineStr">
        <is>
          <t>General</t>
        </is>
      </c>
      <c r="H169" t="inlineStr">
        <is>
          <t>General</t>
        </is>
      </c>
      <c r="I169" t="inlineStr">
        <is>
          <t>General</t>
        </is>
      </c>
      <c r="K169" t="inlineStr">
        <is>
          <t>unclassified</t>
        </is>
      </c>
      <c r="M169" t="n">
        <v>50</v>
      </c>
    </row>
    <row r="170">
      <c r="A170" t="inlineStr">
        <is>
          <t>Blue Lotus</t>
        </is>
      </c>
      <c r="B170" t="inlineStr">
        <is>
          <t>Gymnema</t>
        </is>
      </c>
      <c r="C170" t="n">
        <v>0</v>
      </c>
      <c r="D170" t="n">
        <v>1</v>
      </c>
      <c r="E170" t="n">
        <v>0</v>
      </c>
      <c r="F170" t="inlineStr">
        <is>
          <t>General</t>
        </is>
      </c>
      <c r="G170" t="inlineStr">
        <is>
          <t>General</t>
        </is>
      </c>
      <c r="H170" t="inlineStr">
        <is>
          <t>General</t>
        </is>
      </c>
      <c r="I170" t="inlineStr">
        <is>
          <t>General</t>
        </is>
      </c>
      <c r="K170" t="inlineStr">
        <is>
          <t>unclassified</t>
        </is>
      </c>
      <c r="M170" t="n">
        <v>50</v>
      </c>
    </row>
    <row r="171">
      <c r="A171" t="inlineStr">
        <is>
          <t>Blue Lotus</t>
        </is>
      </c>
      <c r="B171" t="inlineStr">
        <is>
          <t>Hops</t>
        </is>
      </c>
      <c r="C171" t="n">
        <v>0</v>
      </c>
      <c r="D171" t="n">
        <v>1</v>
      </c>
      <c r="E171" t="n">
        <v>0</v>
      </c>
      <c r="F171" t="inlineStr">
        <is>
          <t>General</t>
        </is>
      </c>
      <c r="G171" t="inlineStr">
        <is>
          <t>General</t>
        </is>
      </c>
      <c r="H171" t="inlineStr">
        <is>
          <t>General</t>
        </is>
      </c>
      <c r="I171" t="inlineStr">
        <is>
          <t>General</t>
        </is>
      </c>
      <c r="K171" t="inlineStr">
        <is>
          <t>unclassified</t>
        </is>
      </c>
      <c r="M171" t="n">
        <v>50</v>
      </c>
    </row>
    <row r="172">
      <c r="A172" t="inlineStr">
        <is>
          <t>Blue Lotus</t>
        </is>
      </c>
      <c r="B172" t="inlineStr">
        <is>
          <t>Houttuynia</t>
        </is>
      </c>
      <c r="C172" t="n">
        <v>0</v>
      </c>
      <c r="D172" t="n">
        <v>1</v>
      </c>
      <c r="E172" t="n">
        <v>0</v>
      </c>
      <c r="F172" t="inlineStr">
        <is>
          <t>General</t>
        </is>
      </c>
      <c r="G172" t="inlineStr">
        <is>
          <t>General</t>
        </is>
      </c>
      <c r="H172" t="inlineStr">
        <is>
          <t>General</t>
        </is>
      </c>
      <c r="I172" t="inlineStr">
        <is>
          <t>General</t>
        </is>
      </c>
      <c r="K172" t="inlineStr">
        <is>
          <t>unclassified</t>
        </is>
      </c>
      <c r="M172" t="n">
        <v>50</v>
      </c>
    </row>
    <row r="173">
      <c r="A173" t="inlineStr">
        <is>
          <t>Blue Lotus</t>
        </is>
      </c>
      <c r="B173" t="inlineStr">
        <is>
          <t>Isatis</t>
        </is>
      </c>
      <c r="C173" t="n">
        <v>0</v>
      </c>
      <c r="D173" t="n">
        <v>1</v>
      </c>
      <c r="E173" t="n">
        <v>0</v>
      </c>
      <c r="F173" t="inlineStr">
        <is>
          <t>General</t>
        </is>
      </c>
      <c r="G173" t="inlineStr">
        <is>
          <t>General</t>
        </is>
      </c>
      <c r="H173" t="inlineStr">
        <is>
          <t>General</t>
        </is>
      </c>
      <c r="I173" t="inlineStr">
        <is>
          <t>General</t>
        </is>
      </c>
      <c r="K173" t="inlineStr">
        <is>
          <t>unclassified</t>
        </is>
      </c>
      <c r="M173" t="n">
        <v>50</v>
      </c>
    </row>
    <row r="174">
      <c r="A174" t="inlineStr">
        <is>
          <t>Blue Lotus</t>
        </is>
      </c>
      <c r="B174" t="inlineStr">
        <is>
          <t>Jatamansi</t>
        </is>
      </c>
      <c r="C174" t="n">
        <v>0</v>
      </c>
      <c r="D174" t="n">
        <v>1</v>
      </c>
      <c r="E174" t="n">
        <v>0</v>
      </c>
      <c r="F174" t="inlineStr">
        <is>
          <t>General</t>
        </is>
      </c>
      <c r="G174" t="inlineStr">
        <is>
          <t>General</t>
        </is>
      </c>
      <c r="H174" t="inlineStr">
        <is>
          <t>General</t>
        </is>
      </c>
      <c r="I174" t="inlineStr">
        <is>
          <t>General</t>
        </is>
      </c>
      <c r="K174" t="inlineStr">
        <is>
          <t>unclassified</t>
        </is>
      </c>
      <c r="M174" t="n">
        <v>50</v>
      </c>
    </row>
    <row r="175">
      <c r="A175" t="inlineStr">
        <is>
          <t>Blue Lotus</t>
        </is>
      </c>
      <c r="B175" t="inlineStr">
        <is>
          <t>Kudzu</t>
        </is>
      </c>
      <c r="C175" t="n">
        <v>0</v>
      </c>
      <c r="D175" t="n">
        <v>1</v>
      </c>
      <c r="E175" t="n">
        <v>0</v>
      </c>
      <c r="F175" t="inlineStr">
        <is>
          <t>General</t>
        </is>
      </c>
      <c r="G175" t="inlineStr">
        <is>
          <t>General</t>
        </is>
      </c>
      <c r="H175" t="inlineStr">
        <is>
          <t>General</t>
        </is>
      </c>
      <c r="I175" t="inlineStr">
        <is>
          <t>General</t>
        </is>
      </c>
      <c r="K175" t="inlineStr">
        <is>
          <t>unclassified</t>
        </is>
      </c>
      <c r="M175" t="n">
        <v>50</v>
      </c>
    </row>
    <row r="176">
      <c r="A176" t="inlineStr">
        <is>
          <t>Blue Lotus</t>
        </is>
      </c>
      <c r="B176" t="inlineStr">
        <is>
          <t>Lemon Verbena</t>
        </is>
      </c>
      <c r="C176" t="n">
        <v>0</v>
      </c>
      <c r="D176" t="n">
        <v>1</v>
      </c>
      <c r="E176" t="n">
        <v>0</v>
      </c>
      <c r="F176" t="inlineStr">
        <is>
          <t>General</t>
        </is>
      </c>
      <c r="G176" t="inlineStr">
        <is>
          <t>General</t>
        </is>
      </c>
      <c r="H176" t="inlineStr">
        <is>
          <t>General</t>
        </is>
      </c>
      <c r="I176" t="inlineStr">
        <is>
          <t>General</t>
        </is>
      </c>
      <c r="K176" t="inlineStr">
        <is>
          <t>unclassified</t>
        </is>
      </c>
      <c r="M176" t="n">
        <v>50</v>
      </c>
    </row>
    <row r="177">
      <c r="A177" t="inlineStr">
        <is>
          <t>Blue Lotus</t>
        </is>
      </c>
      <c r="B177" t="inlineStr">
        <is>
          <t>Lemongrass</t>
        </is>
      </c>
      <c r="C177" t="n">
        <v>0</v>
      </c>
      <c r="D177" t="n">
        <v>1</v>
      </c>
      <c r="E177" t="n">
        <v>0</v>
      </c>
      <c r="F177" t="inlineStr">
        <is>
          <t>General</t>
        </is>
      </c>
      <c r="G177" t="inlineStr">
        <is>
          <t>General</t>
        </is>
      </c>
      <c r="H177" t="inlineStr">
        <is>
          <t>General</t>
        </is>
      </c>
      <c r="I177" t="inlineStr">
        <is>
          <t>General</t>
        </is>
      </c>
      <c r="K177" t="inlineStr">
        <is>
          <t>unclassified</t>
        </is>
      </c>
      <c r="M177" t="n">
        <v>50</v>
      </c>
    </row>
    <row r="178">
      <c r="A178" t="inlineStr">
        <is>
          <t>Blue Lotus</t>
        </is>
      </c>
      <c r="B178" t="inlineStr">
        <is>
          <t>Longan</t>
        </is>
      </c>
      <c r="C178" t="n">
        <v>0</v>
      </c>
      <c r="D178" t="n">
        <v>1</v>
      </c>
      <c r="E178" t="n">
        <v>0</v>
      </c>
      <c r="F178" t="inlineStr">
        <is>
          <t>General</t>
        </is>
      </c>
      <c r="G178" t="inlineStr">
        <is>
          <t>General</t>
        </is>
      </c>
      <c r="H178" t="inlineStr">
        <is>
          <t>General</t>
        </is>
      </c>
      <c r="I178" t="inlineStr">
        <is>
          <t>General</t>
        </is>
      </c>
      <c r="K178" t="inlineStr">
        <is>
          <t>unclassified</t>
        </is>
      </c>
      <c r="M178" t="n">
        <v>50</v>
      </c>
    </row>
    <row r="179">
      <c r="A179" t="inlineStr">
        <is>
          <t>Blue Lotus</t>
        </is>
      </c>
      <c r="B179" t="inlineStr">
        <is>
          <t>Maitake D-Fraction</t>
        </is>
      </c>
      <c r="C179" t="n">
        <v>0</v>
      </c>
      <c r="D179" t="n">
        <v>1</v>
      </c>
      <c r="E179" t="n">
        <v>0</v>
      </c>
      <c r="F179" t="inlineStr">
        <is>
          <t>General</t>
        </is>
      </c>
      <c r="G179" t="inlineStr">
        <is>
          <t>General</t>
        </is>
      </c>
      <c r="H179" t="inlineStr">
        <is>
          <t>General</t>
        </is>
      </c>
      <c r="I179" t="inlineStr">
        <is>
          <t>General</t>
        </is>
      </c>
      <c r="K179" t="inlineStr">
        <is>
          <t>unclassified</t>
        </is>
      </c>
      <c r="M179" t="n">
        <v>50</v>
      </c>
    </row>
    <row r="180">
      <c r="A180" t="inlineStr">
        <is>
          <t>Blue Lotus</t>
        </is>
      </c>
      <c r="B180" t="inlineStr">
        <is>
          <t>Milk Oats</t>
        </is>
      </c>
      <c r="C180" t="n">
        <v>0</v>
      </c>
      <c r="D180" t="n">
        <v>1</v>
      </c>
      <c r="E180" t="n">
        <v>0</v>
      </c>
      <c r="F180" t="inlineStr">
        <is>
          <t>General</t>
        </is>
      </c>
      <c r="G180" t="inlineStr">
        <is>
          <t>General</t>
        </is>
      </c>
      <c r="H180" t="inlineStr">
        <is>
          <t>General</t>
        </is>
      </c>
      <c r="I180" t="inlineStr">
        <is>
          <t>General</t>
        </is>
      </c>
      <c r="K180" t="inlineStr">
        <is>
          <t>unclassified</t>
        </is>
      </c>
      <c r="M180" t="n">
        <v>50</v>
      </c>
    </row>
    <row r="181">
      <c r="A181" t="inlineStr">
        <is>
          <t>Blue Lotus</t>
        </is>
      </c>
      <c r="B181" t="inlineStr">
        <is>
          <t>Mugwort</t>
        </is>
      </c>
      <c r="C181" t="n">
        <v>0</v>
      </c>
      <c r="D181" t="n">
        <v>1</v>
      </c>
      <c r="E181" t="n">
        <v>0</v>
      </c>
      <c r="F181" t="inlineStr">
        <is>
          <t>General</t>
        </is>
      </c>
      <c r="G181" t="inlineStr">
        <is>
          <t>General</t>
        </is>
      </c>
      <c r="H181" t="inlineStr">
        <is>
          <t>General</t>
        </is>
      </c>
      <c r="I181" t="inlineStr">
        <is>
          <t>General</t>
        </is>
      </c>
      <c r="K181" t="inlineStr">
        <is>
          <t>unclassified</t>
        </is>
      </c>
      <c r="M181" t="n">
        <v>50</v>
      </c>
    </row>
    <row r="182">
      <c r="A182" t="inlineStr">
        <is>
          <t>Blue Lotus</t>
        </is>
      </c>
      <c r="B182" t="inlineStr">
        <is>
          <t>Muira Puama</t>
        </is>
      </c>
      <c r="C182" t="n">
        <v>0</v>
      </c>
      <c r="D182" t="n">
        <v>1</v>
      </c>
      <c r="E182" t="n">
        <v>0</v>
      </c>
      <c r="F182" t="inlineStr">
        <is>
          <t>General</t>
        </is>
      </c>
      <c r="G182" t="inlineStr">
        <is>
          <t>General</t>
        </is>
      </c>
      <c r="H182" t="inlineStr">
        <is>
          <t>General</t>
        </is>
      </c>
      <c r="I182" t="inlineStr">
        <is>
          <t>General</t>
        </is>
      </c>
      <c r="K182" t="inlineStr">
        <is>
          <t>unclassified</t>
        </is>
      </c>
      <c r="M182" t="n">
        <v>50</v>
      </c>
    </row>
    <row r="183">
      <c r="A183" t="inlineStr">
        <is>
          <t>Blue Lotus</t>
        </is>
      </c>
      <c r="B183" t="inlineStr">
        <is>
          <t>Mulberry Leaf</t>
        </is>
      </c>
      <c r="C183" t="n">
        <v>0</v>
      </c>
      <c r="D183" t="n">
        <v>1</v>
      </c>
      <c r="E183" t="n">
        <v>0</v>
      </c>
      <c r="F183" t="inlineStr">
        <is>
          <t>General</t>
        </is>
      </c>
      <c r="G183" t="inlineStr">
        <is>
          <t>General</t>
        </is>
      </c>
      <c r="H183" t="inlineStr">
        <is>
          <t>General</t>
        </is>
      </c>
      <c r="I183" t="inlineStr">
        <is>
          <t>General</t>
        </is>
      </c>
      <c r="K183" t="inlineStr">
        <is>
          <t>unclassified</t>
        </is>
      </c>
      <c r="M183" t="n">
        <v>50</v>
      </c>
    </row>
    <row r="184">
      <c r="A184" t="inlineStr">
        <is>
          <t>Blue Lotus</t>
        </is>
      </c>
      <c r="B184" t="inlineStr">
        <is>
          <t>Myrtle</t>
        </is>
      </c>
      <c r="C184" t="n">
        <v>0</v>
      </c>
      <c r="D184" t="n">
        <v>1</v>
      </c>
      <c r="E184" t="n">
        <v>0</v>
      </c>
      <c r="F184" t="inlineStr">
        <is>
          <t>General</t>
        </is>
      </c>
      <c r="G184" t="inlineStr">
        <is>
          <t>General</t>
        </is>
      </c>
      <c r="H184" t="inlineStr">
        <is>
          <t>General</t>
        </is>
      </c>
      <c r="I184" t="inlineStr">
        <is>
          <t>General</t>
        </is>
      </c>
      <c r="K184" t="inlineStr">
        <is>
          <t>unclassified</t>
        </is>
      </c>
      <c r="M184" t="n">
        <v>50</v>
      </c>
    </row>
    <row r="185">
      <c r="A185" t="inlineStr">
        <is>
          <t>Blue Lotus</t>
        </is>
      </c>
      <c r="B185" t="inlineStr">
        <is>
          <t>Neem</t>
        </is>
      </c>
      <c r="C185" t="n">
        <v>0</v>
      </c>
      <c r="D185" t="n">
        <v>1</v>
      </c>
      <c r="E185" t="n">
        <v>0</v>
      </c>
      <c r="F185" t="inlineStr">
        <is>
          <t>General</t>
        </is>
      </c>
      <c r="G185" t="inlineStr">
        <is>
          <t>General</t>
        </is>
      </c>
      <c r="H185" t="inlineStr">
        <is>
          <t>General</t>
        </is>
      </c>
      <c r="I185" t="inlineStr">
        <is>
          <t>General</t>
        </is>
      </c>
      <c r="K185" t="inlineStr">
        <is>
          <t>unclassified</t>
        </is>
      </c>
      <c r="M185" t="n">
        <v>50</v>
      </c>
    </row>
    <row r="186">
      <c r="A186" t="inlineStr">
        <is>
          <t>Blue Lotus</t>
        </is>
      </c>
      <c r="B186" t="inlineStr">
        <is>
          <t>Nettle Root</t>
        </is>
      </c>
      <c r="C186" t="n">
        <v>0</v>
      </c>
      <c r="D186" t="n">
        <v>1</v>
      </c>
      <c r="E186" t="n">
        <v>0</v>
      </c>
      <c r="F186" t="inlineStr">
        <is>
          <t>General</t>
        </is>
      </c>
      <c r="G186" t="inlineStr">
        <is>
          <t>General</t>
        </is>
      </c>
      <c r="H186" t="inlineStr">
        <is>
          <t>General</t>
        </is>
      </c>
      <c r="I186" t="inlineStr">
        <is>
          <t>General</t>
        </is>
      </c>
      <c r="K186" t="inlineStr">
        <is>
          <t>unclassified</t>
        </is>
      </c>
      <c r="M186" t="n">
        <v>50</v>
      </c>
    </row>
    <row r="187">
      <c r="A187" t="inlineStr">
        <is>
          <t>Blue Lotus</t>
        </is>
      </c>
      <c r="B187" t="inlineStr">
        <is>
          <t>Noni</t>
        </is>
      </c>
      <c r="C187" t="n">
        <v>0</v>
      </c>
      <c r="D187" t="n">
        <v>1</v>
      </c>
      <c r="E187" t="n">
        <v>0</v>
      </c>
      <c r="F187" t="inlineStr">
        <is>
          <t>General</t>
        </is>
      </c>
      <c r="G187" t="inlineStr">
        <is>
          <t>General</t>
        </is>
      </c>
      <c r="H187" t="inlineStr">
        <is>
          <t>General</t>
        </is>
      </c>
      <c r="I187" t="inlineStr">
        <is>
          <t>General</t>
        </is>
      </c>
      <c r="K187" t="inlineStr">
        <is>
          <t>unclassified</t>
        </is>
      </c>
      <c r="M187" t="n">
        <v>50</v>
      </c>
    </row>
    <row r="188">
      <c r="A188" t="inlineStr">
        <is>
          <t>Blue Lotus</t>
        </is>
      </c>
      <c r="B188" t="inlineStr">
        <is>
          <t>Oatstraw</t>
        </is>
      </c>
      <c r="C188" t="n">
        <v>0</v>
      </c>
      <c r="D188" t="n">
        <v>1</v>
      </c>
      <c r="E188" t="n">
        <v>0</v>
      </c>
      <c r="F188" t="inlineStr">
        <is>
          <t>General</t>
        </is>
      </c>
      <c r="G188" t="inlineStr">
        <is>
          <t>General</t>
        </is>
      </c>
      <c r="H188" t="inlineStr">
        <is>
          <t>General</t>
        </is>
      </c>
      <c r="I188" t="inlineStr">
        <is>
          <t>General</t>
        </is>
      </c>
      <c r="K188" t="inlineStr">
        <is>
          <t>unclassified</t>
        </is>
      </c>
      <c r="M188" t="n">
        <v>50</v>
      </c>
    </row>
    <row r="189">
      <c r="A189" t="inlineStr">
        <is>
          <t>Blue Lotus</t>
        </is>
      </c>
      <c r="B189" t="inlineStr">
        <is>
          <t>Passionflower</t>
        </is>
      </c>
      <c r="C189" t="n">
        <v>0</v>
      </c>
      <c r="D189" t="n">
        <v>1</v>
      </c>
      <c r="E189" t="n">
        <v>0</v>
      </c>
      <c r="F189" t="inlineStr">
        <is>
          <t>General</t>
        </is>
      </c>
      <c r="G189" t="inlineStr">
        <is>
          <t>General</t>
        </is>
      </c>
      <c r="H189" t="inlineStr">
        <is>
          <t>General</t>
        </is>
      </c>
      <c r="I189" t="inlineStr">
        <is>
          <t>General</t>
        </is>
      </c>
      <c r="K189" t="inlineStr">
        <is>
          <t>unclassified</t>
        </is>
      </c>
      <c r="M189" t="n">
        <v>50</v>
      </c>
    </row>
    <row r="190">
      <c r="A190" t="inlineStr">
        <is>
          <t>Blue Lotus</t>
        </is>
      </c>
      <c r="B190" t="inlineStr">
        <is>
          <t>Pau d'Arco</t>
        </is>
      </c>
      <c r="C190" t="n">
        <v>0</v>
      </c>
      <c r="D190" t="n">
        <v>1</v>
      </c>
      <c r="E190" t="n">
        <v>0</v>
      </c>
      <c r="F190" t="inlineStr">
        <is>
          <t>General</t>
        </is>
      </c>
      <c r="G190" t="inlineStr">
        <is>
          <t>General</t>
        </is>
      </c>
      <c r="H190" t="inlineStr">
        <is>
          <t>General</t>
        </is>
      </c>
      <c r="I190" t="inlineStr">
        <is>
          <t>General</t>
        </is>
      </c>
      <c r="K190" t="inlineStr">
        <is>
          <t>unclassified</t>
        </is>
      </c>
      <c r="M190" t="n">
        <v>50</v>
      </c>
    </row>
    <row r="191">
      <c r="A191" t="inlineStr">
        <is>
          <t>Blue Lotus</t>
        </is>
      </c>
      <c r="B191" t="inlineStr">
        <is>
          <t>Perilla</t>
        </is>
      </c>
      <c r="C191" t="n">
        <v>0</v>
      </c>
      <c r="D191" t="n">
        <v>1</v>
      </c>
      <c r="E191" t="n">
        <v>0</v>
      </c>
      <c r="F191" t="inlineStr">
        <is>
          <t>General</t>
        </is>
      </c>
      <c r="G191" t="inlineStr">
        <is>
          <t>General</t>
        </is>
      </c>
      <c r="H191" t="inlineStr">
        <is>
          <t>General</t>
        </is>
      </c>
      <c r="I191" t="inlineStr">
        <is>
          <t>General</t>
        </is>
      </c>
      <c r="K191" t="inlineStr">
        <is>
          <t>unclassified</t>
        </is>
      </c>
      <c r="M191" t="n">
        <v>50</v>
      </c>
    </row>
    <row r="192">
      <c r="A192" t="inlineStr">
        <is>
          <t>Blue Lotus</t>
        </is>
      </c>
      <c r="B192" t="inlineStr">
        <is>
          <t>Pomegranate</t>
        </is>
      </c>
      <c r="C192" t="n">
        <v>0</v>
      </c>
      <c r="D192" t="n">
        <v>1</v>
      </c>
      <c r="E192" t="n">
        <v>0</v>
      </c>
      <c r="F192" t="inlineStr">
        <is>
          <t>General</t>
        </is>
      </c>
      <c r="G192" t="inlineStr">
        <is>
          <t>General</t>
        </is>
      </c>
      <c r="H192" t="inlineStr">
        <is>
          <t>General</t>
        </is>
      </c>
      <c r="I192" t="inlineStr">
        <is>
          <t>General</t>
        </is>
      </c>
      <c r="K192" t="inlineStr">
        <is>
          <t>unclassified</t>
        </is>
      </c>
      <c r="M192" t="n">
        <v>50</v>
      </c>
    </row>
    <row r="193">
      <c r="A193" t="inlineStr">
        <is>
          <t>Blue Lotus</t>
        </is>
      </c>
      <c r="B193" t="inlineStr">
        <is>
          <t>Poria</t>
        </is>
      </c>
      <c r="C193" t="n">
        <v>0</v>
      </c>
      <c r="D193" t="n">
        <v>1</v>
      </c>
      <c r="E193" t="n">
        <v>0</v>
      </c>
      <c r="F193" t="inlineStr">
        <is>
          <t>General</t>
        </is>
      </c>
      <c r="G193" t="inlineStr">
        <is>
          <t>General</t>
        </is>
      </c>
      <c r="H193" t="inlineStr">
        <is>
          <t>General</t>
        </is>
      </c>
      <c r="I193" t="inlineStr">
        <is>
          <t>General</t>
        </is>
      </c>
      <c r="K193" t="inlineStr">
        <is>
          <t>unclassified</t>
        </is>
      </c>
      <c r="M193" t="n">
        <v>50</v>
      </c>
    </row>
    <row r="194">
      <c r="A194" t="inlineStr">
        <is>
          <t>Blue Lotus</t>
        </is>
      </c>
      <c r="B194" t="inlineStr">
        <is>
          <t>Punarnava</t>
        </is>
      </c>
      <c r="C194" t="n">
        <v>0</v>
      </c>
      <c r="D194" t="n">
        <v>1</v>
      </c>
      <c r="E194" t="n">
        <v>0</v>
      </c>
      <c r="F194" t="inlineStr">
        <is>
          <t>General</t>
        </is>
      </c>
      <c r="G194" t="inlineStr">
        <is>
          <t>General</t>
        </is>
      </c>
      <c r="H194" t="inlineStr">
        <is>
          <t>General</t>
        </is>
      </c>
      <c r="I194" t="inlineStr">
        <is>
          <t>General</t>
        </is>
      </c>
      <c r="K194" t="inlineStr">
        <is>
          <t>unclassified</t>
        </is>
      </c>
      <c r="M194" t="n">
        <v>50</v>
      </c>
    </row>
    <row r="195">
      <c r="A195" t="inlineStr">
        <is>
          <t>Blue Lotus</t>
        </is>
      </c>
      <c r="B195" t="inlineStr">
        <is>
          <t>Red Clover</t>
        </is>
      </c>
      <c r="C195" t="n">
        <v>0</v>
      </c>
      <c r="D195" t="n">
        <v>1</v>
      </c>
      <c r="E195" t="n">
        <v>0</v>
      </c>
      <c r="F195" t="inlineStr">
        <is>
          <t>General</t>
        </is>
      </c>
      <c r="G195" t="inlineStr">
        <is>
          <t>General</t>
        </is>
      </c>
      <c r="H195" t="inlineStr">
        <is>
          <t>General</t>
        </is>
      </c>
      <c r="I195" t="inlineStr">
        <is>
          <t>General</t>
        </is>
      </c>
      <c r="K195" t="inlineStr">
        <is>
          <t>unclassified</t>
        </is>
      </c>
      <c r="M195" t="n">
        <v>50</v>
      </c>
    </row>
    <row r="196">
      <c r="A196" t="inlineStr">
        <is>
          <t>Blue Lotus</t>
        </is>
      </c>
      <c r="B196" t="inlineStr">
        <is>
          <t>Rehmannia Prepared</t>
        </is>
      </c>
      <c r="C196" t="n">
        <v>0</v>
      </c>
      <c r="D196" t="n">
        <v>1</v>
      </c>
      <c r="E196" t="n">
        <v>0</v>
      </c>
      <c r="F196" t="inlineStr">
        <is>
          <t>General</t>
        </is>
      </c>
      <c r="G196" t="inlineStr">
        <is>
          <t>General</t>
        </is>
      </c>
      <c r="H196" t="inlineStr">
        <is>
          <t>General</t>
        </is>
      </c>
      <c r="I196" t="inlineStr">
        <is>
          <t>General</t>
        </is>
      </c>
      <c r="K196" t="inlineStr">
        <is>
          <t>unclassified</t>
        </is>
      </c>
      <c r="M196" t="n">
        <v>50</v>
      </c>
    </row>
    <row r="197">
      <c r="A197" t="inlineStr">
        <is>
          <t>Blue Lotus</t>
        </is>
      </c>
      <c r="B197" t="inlineStr">
        <is>
          <t>Reishi</t>
        </is>
      </c>
      <c r="C197" t="n">
        <v>0</v>
      </c>
      <c r="D197" t="n">
        <v>1</v>
      </c>
      <c r="E197" t="n">
        <v>0</v>
      </c>
      <c r="F197" t="inlineStr">
        <is>
          <t>General</t>
        </is>
      </c>
      <c r="G197" t="inlineStr">
        <is>
          <t>General</t>
        </is>
      </c>
      <c r="H197" t="inlineStr">
        <is>
          <t>General</t>
        </is>
      </c>
      <c r="I197" t="inlineStr">
        <is>
          <t>General</t>
        </is>
      </c>
      <c r="K197" t="inlineStr">
        <is>
          <t>unclassified</t>
        </is>
      </c>
      <c r="M197" t="n">
        <v>50</v>
      </c>
    </row>
    <row r="198">
      <c r="A198" t="inlineStr">
        <is>
          <t>Blue Lotus</t>
        </is>
      </c>
      <c r="B198" t="inlineStr">
        <is>
          <t>Rose Hips</t>
        </is>
      </c>
      <c r="C198" t="n">
        <v>0</v>
      </c>
      <c r="D198" t="n">
        <v>1</v>
      </c>
      <c r="E198" t="n">
        <v>0</v>
      </c>
      <c r="F198" t="inlineStr">
        <is>
          <t>General</t>
        </is>
      </c>
      <c r="G198" t="inlineStr">
        <is>
          <t>General</t>
        </is>
      </c>
      <c r="H198" t="inlineStr">
        <is>
          <t>General</t>
        </is>
      </c>
      <c r="I198" t="inlineStr">
        <is>
          <t>General</t>
        </is>
      </c>
      <c r="K198" t="inlineStr">
        <is>
          <t>unclassified</t>
        </is>
      </c>
      <c r="M198" t="n">
        <v>50</v>
      </c>
    </row>
    <row r="199">
      <c r="A199" t="inlineStr">
        <is>
          <t>Blue Lotus</t>
        </is>
      </c>
      <c r="B199" t="inlineStr">
        <is>
          <t>Rosemary</t>
        </is>
      </c>
      <c r="C199" t="n">
        <v>0</v>
      </c>
      <c r="D199" t="n">
        <v>1</v>
      </c>
      <c r="E199" t="n">
        <v>0</v>
      </c>
      <c r="F199" t="inlineStr">
        <is>
          <t>General</t>
        </is>
      </c>
      <c r="G199" t="inlineStr">
        <is>
          <t>General</t>
        </is>
      </c>
      <c r="H199" t="inlineStr">
        <is>
          <t>General</t>
        </is>
      </c>
      <c r="I199" t="inlineStr">
        <is>
          <t>General</t>
        </is>
      </c>
      <c r="K199" t="inlineStr">
        <is>
          <t>unclassified</t>
        </is>
      </c>
      <c r="M199" t="n">
        <v>50</v>
      </c>
    </row>
    <row r="200">
      <c r="A200" t="inlineStr">
        <is>
          <t>Blue Lotus</t>
        </is>
      </c>
      <c r="B200" t="inlineStr">
        <is>
          <t>Sage</t>
        </is>
      </c>
      <c r="C200" t="n">
        <v>0</v>
      </c>
      <c r="D200" t="n">
        <v>1</v>
      </c>
      <c r="E200" t="n">
        <v>0</v>
      </c>
      <c r="F200" t="inlineStr">
        <is>
          <t>General</t>
        </is>
      </c>
      <c r="G200" t="inlineStr">
        <is>
          <t>General</t>
        </is>
      </c>
      <c r="H200" t="inlineStr">
        <is>
          <t>General</t>
        </is>
      </c>
      <c r="I200" t="inlineStr">
        <is>
          <t>General</t>
        </is>
      </c>
      <c r="K200" t="inlineStr">
        <is>
          <t>unclassified</t>
        </is>
      </c>
      <c r="M200" t="n">
        <v>50</v>
      </c>
    </row>
    <row r="201">
      <c r="A201" t="inlineStr">
        <is>
          <t>Blue Lotus</t>
        </is>
      </c>
      <c r="B201" t="inlineStr">
        <is>
          <t>Sophora Flavescens</t>
        </is>
      </c>
      <c r="C201" t="n">
        <v>0</v>
      </c>
      <c r="D201" t="n">
        <v>1</v>
      </c>
      <c r="E201" t="n">
        <v>0</v>
      </c>
      <c r="F201" t="inlineStr">
        <is>
          <t>General</t>
        </is>
      </c>
      <c r="G201" t="inlineStr">
        <is>
          <t>General</t>
        </is>
      </c>
      <c r="H201" t="inlineStr">
        <is>
          <t>General</t>
        </is>
      </c>
      <c r="I201" t="inlineStr">
        <is>
          <t>General</t>
        </is>
      </c>
      <c r="K201" t="inlineStr">
        <is>
          <t>unclassified</t>
        </is>
      </c>
      <c r="M201" t="n">
        <v>50</v>
      </c>
    </row>
    <row r="202">
      <c r="A202" t="inlineStr">
        <is>
          <t>Blue Lotus</t>
        </is>
      </c>
      <c r="B202" t="inlineStr">
        <is>
          <t>Soursop</t>
        </is>
      </c>
      <c r="C202" t="n">
        <v>0</v>
      </c>
      <c r="D202" t="n">
        <v>1</v>
      </c>
      <c r="E202" t="n">
        <v>0</v>
      </c>
      <c r="F202" t="inlineStr">
        <is>
          <t>General</t>
        </is>
      </c>
      <c r="G202" t="inlineStr">
        <is>
          <t>General</t>
        </is>
      </c>
      <c r="H202" t="inlineStr">
        <is>
          <t>General</t>
        </is>
      </c>
      <c r="I202" t="inlineStr">
        <is>
          <t>General</t>
        </is>
      </c>
      <c r="K202" t="inlineStr">
        <is>
          <t>unclassified</t>
        </is>
      </c>
      <c r="M202" t="n">
        <v>50</v>
      </c>
    </row>
    <row r="203">
      <c r="A203" t="inlineStr">
        <is>
          <t>Blue Lotus</t>
        </is>
      </c>
      <c r="B203" t="inlineStr">
        <is>
          <t>Tamarind</t>
        </is>
      </c>
      <c r="C203" t="n">
        <v>0</v>
      </c>
      <c r="D203" t="n">
        <v>1</v>
      </c>
      <c r="E203" t="n">
        <v>0</v>
      </c>
      <c r="F203" t="inlineStr">
        <is>
          <t>General</t>
        </is>
      </c>
      <c r="G203" t="inlineStr">
        <is>
          <t>General</t>
        </is>
      </c>
      <c r="H203" t="inlineStr">
        <is>
          <t>General</t>
        </is>
      </c>
      <c r="I203" t="inlineStr">
        <is>
          <t>General</t>
        </is>
      </c>
      <c r="K203" t="inlineStr">
        <is>
          <t>unclassified</t>
        </is>
      </c>
      <c r="M203" t="n">
        <v>50</v>
      </c>
    </row>
    <row r="204">
      <c r="A204" t="inlineStr">
        <is>
          <t>Blue Lotus</t>
        </is>
      </c>
      <c r="B204" t="inlineStr">
        <is>
          <t>Thyme</t>
        </is>
      </c>
      <c r="C204" t="n">
        <v>0</v>
      </c>
      <c r="D204" t="n">
        <v>1</v>
      </c>
      <c r="E204" t="n">
        <v>0</v>
      </c>
      <c r="F204" t="inlineStr">
        <is>
          <t>General</t>
        </is>
      </c>
      <c r="G204" t="inlineStr">
        <is>
          <t>General</t>
        </is>
      </c>
      <c r="H204" t="inlineStr">
        <is>
          <t>General</t>
        </is>
      </c>
      <c r="I204" t="inlineStr">
        <is>
          <t>General</t>
        </is>
      </c>
      <c r="K204" t="inlineStr">
        <is>
          <t>unclassified</t>
        </is>
      </c>
      <c r="M204" t="n">
        <v>50</v>
      </c>
    </row>
    <row r="205">
      <c r="A205" t="inlineStr">
        <is>
          <t>Blue Lotus</t>
        </is>
      </c>
      <c r="B205" t="inlineStr">
        <is>
          <t>White Peony</t>
        </is>
      </c>
      <c r="C205" t="n">
        <v>0</v>
      </c>
      <c r="D205" t="n">
        <v>1</v>
      </c>
      <c r="E205" t="n">
        <v>0</v>
      </c>
      <c r="F205" t="inlineStr">
        <is>
          <t>General</t>
        </is>
      </c>
      <c r="G205" t="inlineStr">
        <is>
          <t>General</t>
        </is>
      </c>
      <c r="H205" t="inlineStr">
        <is>
          <t>General</t>
        </is>
      </c>
      <c r="I205" t="inlineStr">
        <is>
          <t>General</t>
        </is>
      </c>
      <c r="K205" t="inlineStr">
        <is>
          <t>unclassified</t>
        </is>
      </c>
      <c r="M205" t="n">
        <v>50</v>
      </c>
    </row>
    <row r="206">
      <c r="A206" t="inlineStr">
        <is>
          <t>Blue Lotus</t>
        </is>
      </c>
      <c r="B206" t="inlineStr">
        <is>
          <t>Yarrow</t>
        </is>
      </c>
      <c r="C206" t="n">
        <v>0</v>
      </c>
      <c r="D206" t="n">
        <v>1</v>
      </c>
      <c r="E206" t="n">
        <v>0</v>
      </c>
      <c r="F206" t="inlineStr">
        <is>
          <t>General</t>
        </is>
      </c>
      <c r="G206" t="inlineStr">
        <is>
          <t>General</t>
        </is>
      </c>
      <c r="H206" t="inlineStr">
        <is>
          <t>General</t>
        </is>
      </c>
      <c r="I206" t="inlineStr">
        <is>
          <t>General</t>
        </is>
      </c>
      <c r="K206" t="inlineStr">
        <is>
          <t>unclassified</t>
        </is>
      </c>
      <c r="M206" t="n">
        <v>50</v>
      </c>
    </row>
    <row r="207">
      <c r="A207" t="inlineStr">
        <is>
          <t>Blue Lotus</t>
        </is>
      </c>
      <c r="B207" t="inlineStr">
        <is>
          <t>Yohimbe</t>
        </is>
      </c>
      <c r="C207" t="n">
        <v>0</v>
      </c>
      <c r="D207" t="n">
        <v>1</v>
      </c>
      <c r="E207" t="n">
        <v>0</v>
      </c>
      <c r="F207" t="inlineStr">
        <is>
          <t>General</t>
        </is>
      </c>
      <c r="G207" t="inlineStr">
        <is>
          <t>General</t>
        </is>
      </c>
      <c r="H207" t="inlineStr">
        <is>
          <t>General</t>
        </is>
      </c>
      <c r="I207" t="inlineStr">
        <is>
          <t>General</t>
        </is>
      </c>
      <c r="K207" t="inlineStr">
        <is>
          <t>unclassified</t>
        </is>
      </c>
      <c r="M207" t="n">
        <v>50</v>
      </c>
    </row>
    <row r="208">
      <c r="A208" t="inlineStr">
        <is>
          <t>Boldo</t>
        </is>
      </c>
      <c r="B208" t="inlineStr">
        <is>
          <t>Agarikon</t>
        </is>
      </c>
      <c r="C208" t="n">
        <v>0</v>
      </c>
      <c r="D208" t="n">
        <v>1</v>
      </c>
      <c r="E208" t="n">
        <v>0</v>
      </c>
      <c r="F208" t="inlineStr">
        <is>
          <t>General</t>
        </is>
      </c>
      <c r="G208" t="inlineStr">
        <is>
          <t>General</t>
        </is>
      </c>
      <c r="H208" t="inlineStr">
        <is>
          <t>General</t>
        </is>
      </c>
      <c r="I208" t="inlineStr">
        <is>
          <t>General</t>
        </is>
      </c>
      <c r="K208" t="inlineStr">
        <is>
          <t>unclassified</t>
        </is>
      </c>
      <c r="M208" t="n">
        <v>50</v>
      </c>
    </row>
    <row r="209">
      <c r="A209" t="inlineStr">
        <is>
          <t>Boldo</t>
        </is>
      </c>
      <c r="B209" t="inlineStr">
        <is>
          <t>Ajwain</t>
        </is>
      </c>
      <c r="C209" t="n">
        <v>0</v>
      </c>
      <c r="D209" t="n">
        <v>1</v>
      </c>
      <c r="E209" t="n">
        <v>0</v>
      </c>
      <c r="F209" t="inlineStr">
        <is>
          <t>General</t>
        </is>
      </c>
      <c r="G209" t="inlineStr">
        <is>
          <t>General</t>
        </is>
      </c>
      <c r="H209" t="inlineStr">
        <is>
          <t>General</t>
        </is>
      </c>
      <c r="I209" t="inlineStr">
        <is>
          <t>General</t>
        </is>
      </c>
      <c r="K209" t="inlineStr">
        <is>
          <t>unclassified</t>
        </is>
      </c>
      <c r="M209" t="n">
        <v>50</v>
      </c>
    </row>
    <row r="210">
      <c r="A210" t="inlineStr">
        <is>
          <t>Boldo</t>
        </is>
      </c>
      <c r="B210" t="inlineStr">
        <is>
          <t>Angelica Root</t>
        </is>
      </c>
      <c r="C210" t="n">
        <v>0</v>
      </c>
      <c r="D210" t="n">
        <v>1</v>
      </c>
      <c r="E210" t="n">
        <v>0</v>
      </c>
      <c r="F210" t="inlineStr">
        <is>
          <t>General</t>
        </is>
      </c>
      <c r="G210" t="inlineStr">
        <is>
          <t>General</t>
        </is>
      </c>
      <c r="H210" t="inlineStr">
        <is>
          <t>General</t>
        </is>
      </c>
      <c r="I210" t="inlineStr">
        <is>
          <t>General</t>
        </is>
      </c>
      <c r="K210" t="inlineStr">
        <is>
          <t>unclassified</t>
        </is>
      </c>
      <c r="M210" t="n">
        <v>50</v>
      </c>
    </row>
    <row r="211">
      <c r="A211" t="inlineStr">
        <is>
          <t>Boldo</t>
        </is>
      </c>
      <c r="B211" t="inlineStr">
        <is>
          <t>Ashoka</t>
        </is>
      </c>
      <c r="C211" t="n">
        <v>0</v>
      </c>
      <c r="D211" t="n">
        <v>1</v>
      </c>
      <c r="E211" t="n">
        <v>0</v>
      </c>
      <c r="F211" t="inlineStr">
        <is>
          <t>General</t>
        </is>
      </c>
      <c r="G211" t="inlineStr">
        <is>
          <t>General</t>
        </is>
      </c>
      <c r="H211" t="inlineStr">
        <is>
          <t>General</t>
        </is>
      </c>
      <c r="I211" t="inlineStr">
        <is>
          <t>General</t>
        </is>
      </c>
      <c r="K211" t="inlineStr">
        <is>
          <t>unclassified</t>
        </is>
      </c>
      <c r="M211" t="n">
        <v>50</v>
      </c>
    </row>
    <row r="212">
      <c r="A212" t="inlineStr">
        <is>
          <t>Boldo</t>
        </is>
      </c>
      <c r="B212" t="inlineStr">
        <is>
          <t>Caraway</t>
        </is>
      </c>
      <c r="C212" t="n">
        <v>0</v>
      </c>
      <c r="D212" t="n">
        <v>1</v>
      </c>
      <c r="E212" t="n">
        <v>0</v>
      </c>
      <c r="F212" t="inlineStr">
        <is>
          <t>General</t>
        </is>
      </c>
      <c r="G212" t="inlineStr">
        <is>
          <t>General</t>
        </is>
      </c>
      <c r="H212" t="inlineStr">
        <is>
          <t>General</t>
        </is>
      </c>
      <c r="I212" t="inlineStr">
        <is>
          <t>General</t>
        </is>
      </c>
      <c r="K212" t="inlineStr">
        <is>
          <t>unclassified</t>
        </is>
      </c>
      <c r="M212" t="n">
        <v>50</v>
      </c>
    </row>
    <row r="213">
      <c r="A213" t="inlineStr">
        <is>
          <t>Boldo</t>
        </is>
      </c>
      <c r="B213" t="inlineStr">
        <is>
          <t>Cardamom</t>
        </is>
      </c>
      <c r="C213" t="n">
        <v>0</v>
      </c>
      <c r="D213" t="n">
        <v>1</v>
      </c>
      <c r="E213" t="n">
        <v>0</v>
      </c>
      <c r="F213" t="inlineStr">
        <is>
          <t>General</t>
        </is>
      </c>
      <c r="G213" t="inlineStr">
        <is>
          <t>General</t>
        </is>
      </c>
      <c r="H213" t="inlineStr">
        <is>
          <t>General</t>
        </is>
      </c>
      <c r="I213" t="inlineStr">
        <is>
          <t>General</t>
        </is>
      </c>
      <c r="K213" t="inlineStr">
        <is>
          <t>unclassified</t>
        </is>
      </c>
      <c r="M213" t="n">
        <v>50</v>
      </c>
    </row>
    <row r="214">
      <c r="A214" t="inlineStr">
        <is>
          <t>Boldo</t>
        </is>
      </c>
      <c r="B214" t="inlineStr">
        <is>
          <t>Celastrus Paniculatus</t>
        </is>
      </c>
      <c r="C214" t="n">
        <v>0</v>
      </c>
      <c r="D214" t="n">
        <v>1</v>
      </c>
      <c r="E214" t="n">
        <v>0</v>
      </c>
      <c r="F214" t="inlineStr">
        <is>
          <t>General</t>
        </is>
      </c>
      <c r="G214" t="inlineStr">
        <is>
          <t>General</t>
        </is>
      </c>
      <c r="H214" t="inlineStr">
        <is>
          <t>General</t>
        </is>
      </c>
      <c r="I214" t="inlineStr">
        <is>
          <t>General</t>
        </is>
      </c>
      <c r="K214" t="inlineStr">
        <is>
          <t>unclassified</t>
        </is>
      </c>
      <c r="M214" t="n">
        <v>50</v>
      </c>
    </row>
    <row r="215">
      <c r="A215" t="inlineStr">
        <is>
          <t>Boldo</t>
        </is>
      </c>
      <c r="B215" t="inlineStr">
        <is>
          <t>Cistanche</t>
        </is>
      </c>
      <c r="C215" t="n">
        <v>0</v>
      </c>
      <c r="D215" t="n">
        <v>1</v>
      </c>
      <c r="E215" t="n">
        <v>0</v>
      </c>
      <c r="F215" t="inlineStr">
        <is>
          <t>General</t>
        </is>
      </c>
      <c r="G215" t="inlineStr">
        <is>
          <t>General</t>
        </is>
      </c>
      <c r="H215" t="inlineStr">
        <is>
          <t>General</t>
        </is>
      </c>
      <c r="I215" t="inlineStr">
        <is>
          <t>General</t>
        </is>
      </c>
      <c r="K215" t="inlineStr">
        <is>
          <t>unclassified</t>
        </is>
      </c>
      <c r="M215" t="n">
        <v>50</v>
      </c>
    </row>
    <row r="216">
      <c r="A216" t="inlineStr">
        <is>
          <t>Boldo</t>
        </is>
      </c>
      <c r="B216" t="inlineStr">
        <is>
          <t>Cordyceps</t>
        </is>
      </c>
      <c r="C216" t="n">
        <v>0</v>
      </c>
      <c r="D216" t="n">
        <v>1</v>
      </c>
      <c r="E216" t="n">
        <v>0</v>
      </c>
      <c r="F216" t="inlineStr">
        <is>
          <t>General</t>
        </is>
      </c>
      <c r="G216" t="inlineStr">
        <is>
          <t>General</t>
        </is>
      </c>
      <c r="H216" t="inlineStr">
        <is>
          <t>General</t>
        </is>
      </c>
      <c r="I216" t="inlineStr">
        <is>
          <t>General</t>
        </is>
      </c>
      <c r="K216" t="inlineStr">
        <is>
          <t>unclassified</t>
        </is>
      </c>
      <c r="M216" t="n">
        <v>50</v>
      </c>
    </row>
    <row r="217">
      <c r="A217" t="inlineStr">
        <is>
          <t>Boldo</t>
        </is>
      </c>
      <c r="B217" t="inlineStr">
        <is>
          <t>Dendrobium</t>
        </is>
      </c>
      <c r="C217" t="n">
        <v>0</v>
      </c>
      <c r="D217" t="n">
        <v>1</v>
      </c>
      <c r="E217" t="n">
        <v>0</v>
      </c>
      <c r="F217" t="inlineStr">
        <is>
          <t>General</t>
        </is>
      </c>
      <c r="G217" t="inlineStr">
        <is>
          <t>General</t>
        </is>
      </c>
      <c r="H217" t="inlineStr">
        <is>
          <t>General</t>
        </is>
      </c>
      <c r="I217" t="inlineStr">
        <is>
          <t>General</t>
        </is>
      </c>
      <c r="K217" t="inlineStr">
        <is>
          <t>unclassified</t>
        </is>
      </c>
      <c r="M217" t="n">
        <v>50</v>
      </c>
    </row>
    <row r="218">
      <c r="A218" t="inlineStr">
        <is>
          <t>Boldo</t>
        </is>
      </c>
      <c r="B218" t="inlineStr">
        <is>
          <t>Elecampane</t>
        </is>
      </c>
      <c r="C218" t="n">
        <v>0</v>
      </c>
      <c r="D218" t="n">
        <v>1</v>
      </c>
      <c r="E218" t="n">
        <v>0</v>
      </c>
      <c r="F218" t="inlineStr">
        <is>
          <t>General</t>
        </is>
      </c>
      <c r="G218" t="inlineStr">
        <is>
          <t>General</t>
        </is>
      </c>
      <c r="H218" t="inlineStr">
        <is>
          <t>General</t>
        </is>
      </c>
      <c r="I218" t="inlineStr">
        <is>
          <t>General</t>
        </is>
      </c>
      <c r="K218" t="inlineStr">
        <is>
          <t>unclassified</t>
        </is>
      </c>
      <c r="M218" t="n">
        <v>50</v>
      </c>
    </row>
    <row r="219">
      <c r="A219" t="inlineStr">
        <is>
          <t>Boldo</t>
        </is>
      </c>
      <c r="B219" t="inlineStr">
        <is>
          <t>Eleuthero</t>
        </is>
      </c>
      <c r="C219" t="n">
        <v>0</v>
      </c>
      <c r="D219" t="n">
        <v>1</v>
      </c>
      <c r="E219" t="n">
        <v>0</v>
      </c>
      <c r="F219" t="inlineStr">
        <is>
          <t>General</t>
        </is>
      </c>
      <c r="G219" t="inlineStr">
        <is>
          <t>General</t>
        </is>
      </c>
      <c r="H219" t="inlineStr">
        <is>
          <t>General</t>
        </is>
      </c>
      <c r="I219" t="inlineStr">
        <is>
          <t>General</t>
        </is>
      </c>
      <c r="K219" t="inlineStr">
        <is>
          <t>unclassified</t>
        </is>
      </c>
      <c r="M219" t="n">
        <v>50</v>
      </c>
    </row>
    <row r="220">
      <c r="A220" t="inlineStr">
        <is>
          <t>Boldo</t>
        </is>
      </c>
      <c r="B220" t="inlineStr">
        <is>
          <t>Galangal</t>
        </is>
      </c>
      <c r="C220" t="n">
        <v>0</v>
      </c>
      <c r="D220" t="n">
        <v>1</v>
      </c>
      <c r="E220" t="n">
        <v>0</v>
      </c>
      <c r="F220" t="inlineStr">
        <is>
          <t>General</t>
        </is>
      </c>
      <c r="G220" t="inlineStr">
        <is>
          <t>General</t>
        </is>
      </c>
      <c r="H220" t="inlineStr">
        <is>
          <t>General</t>
        </is>
      </c>
      <c r="I220" t="inlineStr">
        <is>
          <t>General</t>
        </is>
      </c>
      <c r="K220" t="inlineStr">
        <is>
          <t>unclassified</t>
        </is>
      </c>
      <c r="M220" t="n">
        <v>50</v>
      </c>
    </row>
    <row r="221">
      <c r="A221" t="inlineStr">
        <is>
          <t>Boldo</t>
        </is>
      </c>
      <c r="B221" t="inlineStr">
        <is>
          <t>Gastrodia</t>
        </is>
      </c>
      <c r="C221" t="n">
        <v>0</v>
      </c>
      <c r="D221" t="n">
        <v>1</v>
      </c>
      <c r="E221" t="n">
        <v>0</v>
      </c>
      <c r="F221" t="inlineStr">
        <is>
          <t>General</t>
        </is>
      </c>
      <c r="G221" t="inlineStr">
        <is>
          <t>General</t>
        </is>
      </c>
      <c r="H221" t="inlineStr">
        <is>
          <t>General</t>
        </is>
      </c>
      <c r="I221" t="inlineStr">
        <is>
          <t>General</t>
        </is>
      </c>
      <c r="K221" t="inlineStr">
        <is>
          <t>unclassified</t>
        </is>
      </c>
      <c r="M221" t="n">
        <v>50</v>
      </c>
    </row>
    <row r="222">
      <c r="A222" t="inlineStr">
        <is>
          <t>Boldo</t>
        </is>
      </c>
      <c r="B222" t="inlineStr">
        <is>
          <t>Gudmar</t>
        </is>
      </c>
      <c r="C222" t="n">
        <v>0</v>
      </c>
      <c r="D222" t="n">
        <v>1</v>
      </c>
      <c r="E222" t="n">
        <v>0</v>
      </c>
      <c r="F222" t="inlineStr">
        <is>
          <t>General</t>
        </is>
      </c>
      <c r="G222" t="inlineStr">
        <is>
          <t>General</t>
        </is>
      </c>
      <c r="H222" t="inlineStr">
        <is>
          <t>General</t>
        </is>
      </c>
      <c r="I222" t="inlineStr">
        <is>
          <t>General</t>
        </is>
      </c>
      <c r="K222" t="inlineStr">
        <is>
          <t>unclassified</t>
        </is>
      </c>
      <c r="M222" t="n">
        <v>50</v>
      </c>
    </row>
    <row r="223">
      <c r="A223" t="inlineStr">
        <is>
          <t>Boldo</t>
        </is>
      </c>
      <c r="B223" t="inlineStr">
        <is>
          <t>Hops</t>
        </is>
      </c>
      <c r="C223" t="n">
        <v>0</v>
      </c>
      <c r="D223" t="n">
        <v>1</v>
      </c>
      <c r="E223" t="n">
        <v>0</v>
      </c>
      <c r="F223" t="inlineStr">
        <is>
          <t>General</t>
        </is>
      </c>
      <c r="G223" t="inlineStr">
        <is>
          <t>General</t>
        </is>
      </c>
      <c r="H223" t="inlineStr">
        <is>
          <t>General</t>
        </is>
      </c>
      <c r="I223" t="inlineStr">
        <is>
          <t>General</t>
        </is>
      </c>
      <c r="K223" t="inlineStr">
        <is>
          <t>unclassified</t>
        </is>
      </c>
      <c r="M223" t="n">
        <v>50</v>
      </c>
    </row>
    <row r="224">
      <c r="A224" t="inlineStr">
        <is>
          <t>Boldo</t>
        </is>
      </c>
      <c r="B224" t="inlineStr">
        <is>
          <t>Houttuynia</t>
        </is>
      </c>
      <c r="C224" t="n">
        <v>0</v>
      </c>
      <c r="D224" t="n">
        <v>1</v>
      </c>
      <c r="E224" t="n">
        <v>0</v>
      </c>
      <c r="F224" t="inlineStr">
        <is>
          <t>General</t>
        </is>
      </c>
      <c r="G224" t="inlineStr">
        <is>
          <t>General</t>
        </is>
      </c>
      <c r="H224" t="inlineStr">
        <is>
          <t>General</t>
        </is>
      </c>
      <c r="I224" t="inlineStr">
        <is>
          <t>General</t>
        </is>
      </c>
      <c r="K224" t="inlineStr">
        <is>
          <t>unclassified</t>
        </is>
      </c>
      <c r="M224" t="n">
        <v>50</v>
      </c>
    </row>
    <row r="225">
      <c r="A225" t="inlineStr">
        <is>
          <t>Boldo</t>
        </is>
      </c>
      <c r="B225" t="inlineStr">
        <is>
          <t>Isatis</t>
        </is>
      </c>
      <c r="C225" t="n">
        <v>0</v>
      </c>
      <c r="D225" t="n">
        <v>1</v>
      </c>
      <c r="E225" t="n">
        <v>0</v>
      </c>
      <c r="F225" t="inlineStr">
        <is>
          <t>General</t>
        </is>
      </c>
      <c r="G225" t="inlineStr">
        <is>
          <t>General</t>
        </is>
      </c>
      <c r="H225" t="inlineStr">
        <is>
          <t>General</t>
        </is>
      </c>
      <c r="I225" t="inlineStr">
        <is>
          <t>General</t>
        </is>
      </c>
      <c r="K225" t="inlineStr">
        <is>
          <t>unclassified</t>
        </is>
      </c>
      <c r="M225" t="n">
        <v>50</v>
      </c>
    </row>
    <row r="226">
      <c r="A226" t="inlineStr">
        <is>
          <t>Boldo</t>
        </is>
      </c>
      <c r="B226" t="inlineStr">
        <is>
          <t>Jatamansi</t>
        </is>
      </c>
      <c r="C226" t="n">
        <v>0</v>
      </c>
      <c r="D226" t="n">
        <v>1</v>
      </c>
      <c r="E226" t="n">
        <v>0</v>
      </c>
      <c r="F226" t="inlineStr">
        <is>
          <t>General</t>
        </is>
      </c>
      <c r="G226" t="inlineStr">
        <is>
          <t>General</t>
        </is>
      </c>
      <c r="H226" t="inlineStr">
        <is>
          <t>General</t>
        </is>
      </c>
      <c r="I226" t="inlineStr">
        <is>
          <t>General</t>
        </is>
      </c>
      <c r="K226" t="inlineStr">
        <is>
          <t>unclassified</t>
        </is>
      </c>
      <c r="M226" t="n">
        <v>50</v>
      </c>
    </row>
    <row r="227">
      <c r="A227" t="inlineStr">
        <is>
          <t>Boldo</t>
        </is>
      </c>
      <c r="B227" t="inlineStr">
        <is>
          <t>Lemongrass</t>
        </is>
      </c>
      <c r="C227" t="n">
        <v>0</v>
      </c>
      <c r="D227" t="n">
        <v>1</v>
      </c>
      <c r="E227" t="n">
        <v>0</v>
      </c>
      <c r="F227" t="inlineStr">
        <is>
          <t>General</t>
        </is>
      </c>
      <c r="G227" t="inlineStr">
        <is>
          <t>General</t>
        </is>
      </c>
      <c r="H227" t="inlineStr">
        <is>
          <t>General</t>
        </is>
      </c>
      <c r="I227" t="inlineStr">
        <is>
          <t>General</t>
        </is>
      </c>
      <c r="K227" t="inlineStr">
        <is>
          <t>unclassified</t>
        </is>
      </c>
      <c r="M227" t="n">
        <v>50</v>
      </c>
    </row>
    <row r="228">
      <c r="A228" t="inlineStr">
        <is>
          <t>Boldo</t>
        </is>
      </c>
      <c r="B228" t="inlineStr">
        <is>
          <t>Longan</t>
        </is>
      </c>
      <c r="C228" t="n">
        <v>0</v>
      </c>
      <c r="D228" t="n">
        <v>1</v>
      </c>
      <c r="E228" t="n">
        <v>0</v>
      </c>
      <c r="F228" t="inlineStr">
        <is>
          <t>General</t>
        </is>
      </c>
      <c r="G228" t="inlineStr">
        <is>
          <t>General</t>
        </is>
      </c>
      <c r="H228" t="inlineStr">
        <is>
          <t>General</t>
        </is>
      </c>
      <c r="I228" t="inlineStr">
        <is>
          <t>General</t>
        </is>
      </c>
      <c r="K228" t="inlineStr">
        <is>
          <t>unclassified</t>
        </is>
      </c>
      <c r="M228" t="n">
        <v>50</v>
      </c>
    </row>
    <row r="229">
      <c r="A229" t="inlineStr">
        <is>
          <t>Boldo</t>
        </is>
      </c>
      <c r="B229" t="inlineStr">
        <is>
          <t>Maitake D-Fraction</t>
        </is>
      </c>
      <c r="C229" t="n">
        <v>0</v>
      </c>
      <c r="D229" t="n">
        <v>1</v>
      </c>
      <c r="E229" t="n">
        <v>0</v>
      </c>
      <c r="F229" t="inlineStr">
        <is>
          <t>General</t>
        </is>
      </c>
      <c r="G229" t="inlineStr">
        <is>
          <t>General</t>
        </is>
      </c>
      <c r="H229" t="inlineStr">
        <is>
          <t>General</t>
        </is>
      </c>
      <c r="I229" t="inlineStr">
        <is>
          <t>General</t>
        </is>
      </c>
      <c r="K229" t="inlineStr">
        <is>
          <t>unclassified</t>
        </is>
      </c>
      <c r="M229" t="n">
        <v>50</v>
      </c>
    </row>
    <row r="230">
      <c r="A230" t="inlineStr">
        <is>
          <t>Boldo</t>
        </is>
      </c>
      <c r="B230" t="inlineStr">
        <is>
          <t>Muira Puama</t>
        </is>
      </c>
      <c r="C230" t="n">
        <v>0</v>
      </c>
      <c r="D230" t="n">
        <v>1</v>
      </c>
      <c r="E230" t="n">
        <v>0</v>
      </c>
      <c r="F230" t="inlineStr">
        <is>
          <t>General</t>
        </is>
      </c>
      <c r="G230" t="inlineStr">
        <is>
          <t>General</t>
        </is>
      </c>
      <c r="H230" t="inlineStr">
        <is>
          <t>General</t>
        </is>
      </c>
      <c r="I230" t="inlineStr">
        <is>
          <t>General</t>
        </is>
      </c>
      <c r="K230" t="inlineStr">
        <is>
          <t>unclassified</t>
        </is>
      </c>
      <c r="M230" t="n">
        <v>50</v>
      </c>
    </row>
    <row r="231">
      <c r="A231" t="inlineStr">
        <is>
          <t>Boldo</t>
        </is>
      </c>
      <c r="B231" t="inlineStr">
        <is>
          <t>Nettle Root</t>
        </is>
      </c>
      <c r="C231" t="n">
        <v>0</v>
      </c>
      <c r="D231" t="n">
        <v>1</v>
      </c>
      <c r="E231" t="n">
        <v>0</v>
      </c>
      <c r="F231" t="inlineStr">
        <is>
          <t>General</t>
        </is>
      </c>
      <c r="G231" t="inlineStr">
        <is>
          <t>General</t>
        </is>
      </c>
      <c r="H231" t="inlineStr">
        <is>
          <t>General</t>
        </is>
      </c>
      <c r="I231" t="inlineStr">
        <is>
          <t>General</t>
        </is>
      </c>
      <c r="K231" t="inlineStr">
        <is>
          <t>unclassified</t>
        </is>
      </c>
      <c r="M231" t="n">
        <v>50</v>
      </c>
    </row>
    <row r="232">
      <c r="A232" t="inlineStr">
        <is>
          <t>Boldo</t>
        </is>
      </c>
      <c r="B232" t="inlineStr">
        <is>
          <t>Passionflower</t>
        </is>
      </c>
      <c r="C232" t="n">
        <v>0</v>
      </c>
      <c r="D232" t="n">
        <v>1</v>
      </c>
      <c r="E232" t="n">
        <v>0</v>
      </c>
      <c r="F232" t="inlineStr">
        <is>
          <t>General</t>
        </is>
      </c>
      <c r="G232" t="inlineStr">
        <is>
          <t>General</t>
        </is>
      </c>
      <c r="H232" t="inlineStr">
        <is>
          <t>General</t>
        </is>
      </c>
      <c r="I232" t="inlineStr">
        <is>
          <t>General</t>
        </is>
      </c>
      <c r="K232" t="inlineStr">
        <is>
          <t>unclassified</t>
        </is>
      </c>
      <c r="M232" t="n">
        <v>50</v>
      </c>
    </row>
    <row r="233">
      <c r="A233" t="inlineStr">
        <is>
          <t>Boldo</t>
        </is>
      </c>
      <c r="B233" t="inlineStr">
        <is>
          <t>Perilla</t>
        </is>
      </c>
      <c r="C233" t="n">
        <v>0</v>
      </c>
      <c r="D233" t="n">
        <v>1</v>
      </c>
      <c r="E233" t="n">
        <v>0</v>
      </c>
      <c r="F233" t="inlineStr">
        <is>
          <t>General</t>
        </is>
      </c>
      <c r="G233" t="inlineStr">
        <is>
          <t>General</t>
        </is>
      </c>
      <c r="H233" t="inlineStr">
        <is>
          <t>General</t>
        </is>
      </c>
      <c r="I233" t="inlineStr">
        <is>
          <t>General</t>
        </is>
      </c>
      <c r="K233" t="inlineStr">
        <is>
          <t>unclassified</t>
        </is>
      </c>
      <c r="M233" t="n">
        <v>50</v>
      </c>
    </row>
    <row r="234">
      <c r="A234" t="inlineStr">
        <is>
          <t>Boldo</t>
        </is>
      </c>
      <c r="B234" t="inlineStr">
        <is>
          <t>Poria</t>
        </is>
      </c>
      <c r="C234" t="n">
        <v>0</v>
      </c>
      <c r="D234" t="n">
        <v>1</v>
      </c>
      <c r="E234" t="n">
        <v>0</v>
      </c>
      <c r="F234" t="inlineStr">
        <is>
          <t>General</t>
        </is>
      </c>
      <c r="G234" t="inlineStr">
        <is>
          <t>General</t>
        </is>
      </c>
      <c r="H234" t="inlineStr">
        <is>
          <t>General</t>
        </is>
      </c>
      <c r="I234" t="inlineStr">
        <is>
          <t>General</t>
        </is>
      </c>
      <c r="K234" t="inlineStr">
        <is>
          <t>unclassified</t>
        </is>
      </c>
      <c r="M234" t="n">
        <v>50</v>
      </c>
    </row>
    <row r="235">
      <c r="A235" t="inlineStr">
        <is>
          <t>Boldo</t>
        </is>
      </c>
      <c r="B235" t="inlineStr">
        <is>
          <t>Punarnava</t>
        </is>
      </c>
      <c r="C235" t="n">
        <v>0</v>
      </c>
      <c r="D235" t="n">
        <v>1</v>
      </c>
      <c r="E235" t="n">
        <v>0</v>
      </c>
      <c r="F235" t="inlineStr">
        <is>
          <t>General</t>
        </is>
      </c>
      <c r="G235" t="inlineStr">
        <is>
          <t>General</t>
        </is>
      </c>
      <c r="H235" t="inlineStr">
        <is>
          <t>General</t>
        </is>
      </c>
      <c r="I235" t="inlineStr">
        <is>
          <t>General</t>
        </is>
      </c>
      <c r="K235" t="inlineStr">
        <is>
          <t>unclassified</t>
        </is>
      </c>
      <c r="M235" t="n">
        <v>50</v>
      </c>
    </row>
    <row r="236">
      <c r="A236" t="inlineStr">
        <is>
          <t>Boldo</t>
        </is>
      </c>
      <c r="B236" t="inlineStr">
        <is>
          <t>Rehmannia Prepared</t>
        </is>
      </c>
      <c r="C236" t="n">
        <v>0</v>
      </c>
      <c r="D236" t="n">
        <v>1</v>
      </c>
      <c r="E236" t="n">
        <v>0</v>
      </c>
      <c r="F236" t="inlineStr">
        <is>
          <t>General</t>
        </is>
      </c>
      <c r="G236" t="inlineStr">
        <is>
          <t>General</t>
        </is>
      </c>
      <c r="H236" t="inlineStr">
        <is>
          <t>General</t>
        </is>
      </c>
      <c r="I236" t="inlineStr">
        <is>
          <t>General</t>
        </is>
      </c>
      <c r="K236" t="inlineStr">
        <is>
          <t>unclassified</t>
        </is>
      </c>
      <c r="M236" t="n">
        <v>50</v>
      </c>
    </row>
    <row r="237">
      <c r="A237" t="inlineStr">
        <is>
          <t>Boldo</t>
        </is>
      </c>
      <c r="B237" t="inlineStr">
        <is>
          <t>Reishi</t>
        </is>
      </c>
      <c r="C237" t="n">
        <v>0</v>
      </c>
      <c r="D237" t="n">
        <v>1</v>
      </c>
      <c r="E237" t="n">
        <v>0</v>
      </c>
      <c r="F237" t="inlineStr">
        <is>
          <t>General</t>
        </is>
      </c>
      <c r="G237" t="inlineStr">
        <is>
          <t>General</t>
        </is>
      </c>
      <c r="H237" t="inlineStr">
        <is>
          <t>General</t>
        </is>
      </c>
      <c r="I237" t="inlineStr">
        <is>
          <t>General</t>
        </is>
      </c>
      <c r="K237" t="inlineStr">
        <is>
          <t>unclassified</t>
        </is>
      </c>
      <c r="M237" t="n">
        <v>50</v>
      </c>
    </row>
    <row r="238">
      <c r="A238" t="inlineStr">
        <is>
          <t>Boldo</t>
        </is>
      </c>
      <c r="B238" t="inlineStr">
        <is>
          <t>Sophora Flavescens</t>
        </is>
      </c>
      <c r="C238" t="n">
        <v>0</v>
      </c>
      <c r="D238" t="n">
        <v>1</v>
      </c>
      <c r="E238" t="n">
        <v>0</v>
      </c>
      <c r="F238" t="inlineStr">
        <is>
          <t>General</t>
        </is>
      </c>
      <c r="G238" t="inlineStr">
        <is>
          <t>General</t>
        </is>
      </c>
      <c r="H238" t="inlineStr">
        <is>
          <t>General</t>
        </is>
      </c>
      <c r="I238" t="inlineStr">
        <is>
          <t>General</t>
        </is>
      </c>
      <c r="K238" t="inlineStr">
        <is>
          <t>unclassified</t>
        </is>
      </c>
      <c r="M238" t="n">
        <v>50</v>
      </c>
    </row>
    <row r="239">
      <c r="A239" t="inlineStr">
        <is>
          <t>Boldo</t>
        </is>
      </c>
      <c r="B239" t="inlineStr">
        <is>
          <t>Soursop</t>
        </is>
      </c>
      <c r="C239" t="n">
        <v>0</v>
      </c>
      <c r="D239" t="n">
        <v>1</v>
      </c>
      <c r="E239" t="n">
        <v>0</v>
      </c>
      <c r="F239" t="inlineStr">
        <is>
          <t>General</t>
        </is>
      </c>
      <c r="G239" t="inlineStr">
        <is>
          <t>General</t>
        </is>
      </c>
      <c r="H239" t="inlineStr">
        <is>
          <t>General</t>
        </is>
      </c>
      <c r="I239" t="inlineStr">
        <is>
          <t>General</t>
        </is>
      </c>
      <c r="K239" t="inlineStr">
        <is>
          <t>unclassified</t>
        </is>
      </c>
      <c r="M239" t="n">
        <v>50</v>
      </c>
    </row>
    <row r="240">
      <c r="A240" t="inlineStr">
        <is>
          <t>Boldo</t>
        </is>
      </c>
      <c r="B240" t="inlineStr">
        <is>
          <t>Tamarind</t>
        </is>
      </c>
      <c r="C240" t="n">
        <v>0</v>
      </c>
      <c r="D240" t="n">
        <v>1</v>
      </c>
      <c r="E240" t="n">
        <v>0</v>
      </c>
      <c r="F240" t="inlineStr">
        <is>
          <t>General</t>
        </is>
      </c>
      <c r="G240" t="inlineStr">
        <is>
          <t>General</t>
        </is>
      </c>
      <c r="H240" t="inlineStr">
        <is>
          <t>General</t>
        </is>
      </c>
      <c r="I240" t="inlineStr">
        <is>
          <t>General</t>
        </is>
      </c>
      <c r="K240" t="inlineStr">
        <is>
          <t>unclassified</t>
        </is>
      </c>
      <c r="M240" t="n">
        <v>50</v>
      </c>
    </row>
    <row r="241">
      <c r="A241" t="inlineStr">
        <is>
          <t>Boldo</t>
        </is>
      </c>
      <c r="B241" t="inlineStr">
        <is>
          <t>White Peony</t>
        </is>
      </c>
      <c r="C241" t="n">
        <v>0</v>
      </c>
      <c r="D241" t="n">
        <v>1</v>
      </c>
      <c r="E241" t="n">
        <v>0</v>
      </c>
      <c r="F241" t="inlineStr">
        <is>
          <t>General</t>
        </is>
      </c>
      <c r="G241" t="inlineStr">
        <is>
          <t>General</t>
        </is>
      </c>
      <c r="H241" t="inlineStr">
        <is>
          <t>General</t>
        </is>
      </c>
      <c r="I241" t="inlineStr">
        <is>
          <t>General</t>
        </is>
      </c>
      <c r="K241" t="inlineStr">
        <is>
          <t>unclassified</t>
        </is>
      </c>
      <c r="M241" t="n">
        <v>50</v>
      </c>
    </row>
    <row r="242">
      <c r="A242" t="inlineStr">
        <is>
          <t>Boldo</t>
        </is>
      </c>
      <c r="B242" t="inlineStr">
        <is>
          <t>Yohimbe</t>
        </is>
      </c>
      <c r="C242" t="n">
        <v>0</v>
      </c>
      <c r="D242" t="n">
        <v>1</v>
      </c>
      <c r="E242" t="n">
        <v>0</v>
      </c>
      <c r="F242" t="inlineStr">
        <is>
          <t>General</t>
        </is>
      </c>
      <c r="G242" t="inlineStr">
        <is>
          <t>General</t>
        </is>
      </c>
      <c r="H242" t="inlineStr">
        <is>
          <t>General</t>
        </is>
      </c>
      <c r="I242" t="inlineStr">
        <is>
          <t>General</t>
        </is>
      </c>
      <c r="K242" t="inlineStr">
        <is>
          <t>unclassified</t>
        </is>
      </c>
      <c r="M242" t="n">
        <v>50</v>
      </c>
    </row>
    <row r="243">
      <c r="A243" t="inlineStr">
        <is>
          <t>Burdock</t>
        </is>
      </c>
      <c r="B243" t="inlineStr">
        <is>
          <t>Agarikon</t>
        </is>
      </c>
      <c r="C243" t="n">
        <v>0</v>
      </c>
      <c r="D243" t="n">
        <v>1</v>
      </c>
      <c r="E243" t="n">
        <v>0</v>
      </c>
      <c r="F243" t="inlineStr">
        <is>
          <t>General</t>
        </is>
      </c>
      <c r="G243" t="inlineStr">
        <is>
          <t>General</t>
        </is>
      </c>
      <c r="H243" t="inlineStr">
        <is>
          <t>General</t>
        </is>
      </c>
      <c r="I243" t="inlineStr">
        <is>
          <t>General</t>
        </is>
      </c>
      <c r="K243" t="inlineStr">
        <is>
          <t>unclassified</t>
        </is>
      </c>
      <c r="M243" t="n">
        <v>50</v>
      </c>
    </row>
    <row r="244">
      <c r="A244" t="inlineStr">
        <is>
          <t>Burdock</t>
        </is>
      </c>
      <c r="B244" t="inlineStr">
        <is>
          <t>Ajwain</t>
        </is>
      </c>
      <c r="C244" t="n">
        <v>0</v>
      </c>
      <c r="D244" t="n">
        <v>1</v>
      </c>
      <c r="E244" t="n">
        <v>0</v>
      </c>
      <c r="F244" t="inlineStr">
        <is>
          <t>General</t>
        </is>
      </c>
      <c r="G244" t="inlineStr">
        <is>
          <t>General</t>
        </is>
      </c>
      <c r="H244" t="inlineStr">
        <is>
          <t>General</t>
        </is>
      </c>
      <c r="I244" t="inlineStr">
        <is>
          <t>General</t>
        </is>
      </c>
      <c r="K244" t="inlineStr">
        <is>
          <t>unclassified</t>
        </is>
      </c>
      <c r="M244" t="n">
        <v>50</v>
      </c>
    </row>
    <row r="245">
      <c r="A245" t="inlineStr">
        <is>
          <t>Burdock</t>
        </is>
      </c>
      <c r="B245" t="inlineStr">
        <is>
          <t>Angelica Root</t>
        </is>
      </c>
      <c r="C245" t="n">
        <v>0</v>
      </c>
      <c r="D245" t="n">
        <v>1</v>
      </c>
      <c r="E245" t="n">
        <v>0</v>
      </c>
      <c r="F245" t="inlineStr">
        <is>
          <t>General</t>
        </is>
      </c>
      <c r="G245" t="inlineStr">
        <is>
          <t>General</t>
        </is>
      </c>
      <c r="H245" t="inlineStr">
        <is>
          <t>General</t>
        </is>
      </c>
      <c r="I245" t="inlineStr">
        <is>
          <t>General</t>
        </is>
      </c>
      <c r="K245" t="inlineStr">
        <is>
          <t>unclassified</t>
        </is>
      </c>
      <c r="M245" t="n">
        <v>50</v>
      </c>
    </row>
    <row r="246">
      <c r="A246" t="inlineStr">
        <is>
          <t>Burdock</t>
        </is>
      </c>
      <c r="B246" t="inlineStr">
        <is>
          <t>Ashoka</t>
        </is>
      </c>
      <c r="C246" t="n">
        <v>0</v>
      </c>
      <c r="D246" t="n">
        <v>1</v>
      </c>
      <c r="E246" t="n">
        <v>0</v>
      </c>
      <c r="F246" t="inlineStr">
        <is>
          <t>General</t>
        </is>
      </c>
      <c r="G246" t="inlineStr">
        <is>
          <t>General</t>
        </is>
      </c>
      <c r="H246" t="inlineStr">
        <is>
          <t>General</t>
        </is>
      </c>
      <c r="I246" t="inlineStr">
        <is>
          <t>General</t>
        </is>
      </c>
      <c r="K246" t="inlineStr">
        <is>
          <t>unclassified</t>
        </is>
      </c>
      <c r="M246" t="n">
        <v>50</v>
      </c>
    </row>
    <row r="247">
      <c r="A247" t="inlineStr">
        <is>
          <t>Burdock</t>
        </is>
      </c>
      <c r="B247" t="inlineStr">
        <is>
          <t>Boldo</t>
        </is>
      </c>
      <c r="C247" t="n">
        <v>0</v>
      </c>
      <c r="D247" t="n">
        <v>1</v>
      </c>
      <c r="E247" t="n">
        <v>0</v>
      </c>
      <c r="F247" t="inlineStr">
        <is>
          <t>General</t>
        </is>
      </c>
      <c r="G247" t="inlineStr">
        <is>
          <t>General</t>
        </is>
      </c>
      <c r="H247" t="inlineStr">
        <is>
          <t>General</t>
        </is>
      </c>
      <c r="I247" t="inlineStr">
        <is>
          <t>General</t>
        </is>
      </c>
      <c r="K247" t="inlineStr">
        <is>
          <t>unclassified</t>
        </is>
      </c>
      <c r="M247" t="n">
        <v>50</v>
      </c>
    </row>
    <row r="248">
      <c r="A248" t="inlineStr">
        <is>
          <t>Burdock</t>
        </is>
      </c>
      <c r="B248" t="inlineStr">
        <is>
          <t>Calendula</t>
        </is>
      </c>
      <c r="C248" t="n">
        <v>0</v>
      </c>
      <c r="D248" t="n">
        <v>1</v>
      </c>
      <c r="E248" t="n">
        <v>0</v>
      </c>
      <c r="F248" t="inlineStr">
        <is>
          <t>General</t>
        </is>
      </c>
      <c r="G248" t="inlineStr">
        <is>
          <t>General</t>
        </is>
      </c>
      <c r="H248" t="inlineStr">
        <is>
          <t>General</t>
        </is>
      </c>
      <c r="I248" t="inlineStr">
        <is>
          <t>General</t>
        </is>
      </c>
      <c r="K248" t="inlineStr">
        <is>
          <t>unclassified</t>
        </is>
      </c>
      <c r="M248" t="n">
        <v>50</v>
      </c>
    </row>
    <row r="249">
      <c r="A249" t="inlineStr">
        <is>
          <t>Burdock</t>
        </is>
      </c>
      <c r="B249" t="inlineStr">
        <is>
          <t>Caraway</t>
        </is>
      </c>
      <c r="C249" t="n">
        <v>0</v>
      </c>
      <c r="D249" t="n">
        <v>1</v>
      </c>
      <c r="E249" t="n">
        <v>0</v>
      </c>
      <c r="F249" t="inlineStr">
        <is>
          <t>General</t>
        </is>
      </c>
      <c r="G249" t="inlineStr">
        <is>
          <t>General</t>
        </is>
      </c>
      <c r="H249" t="inlineStr">
        <is>
          <t>General</t>
        </is>
      </c>
      <c r="I249" t="inlineStr">
        <is>
          <t>General</t>
        </is>
      </c>
      <c r="K249" t="inlineStr">
        <is>
          <t>unclassified</t>
        </is>
      </c>
      <c r="M249" t="n">
        <v>50</v>
      </c>
    </row>
    <row r="250">
      <c r="A250" t="inlineStr">
        <is>
          <t>Burdock</t>
        </is>
      </c>
      <c r="B250" t="inlineStr">
        <is>
          <t>Cardamom</t>
        </is>
      </c>
      <c r="C250" t="n">
        <v>0</v>
      </c>
      <c r="D250" t="n">
        <v>1</v>
      </c>
      <c r="E250" t="n">
        <v>0</v>
      </c>
      <c r="F250" t="inlineStr">
        <is>
          <t>General</t>
        </is>
      </c>
      <c r="G250" t="inlineStr">
        <is>
          <t>General</t>
        </is>
      </c>
      <c r="H250" t="inlineStr">
        <is>
          <t>General</t>
        </is>
      </c>
      <c r="I250" t="inlineStr">
        <is>
          <t>General</t>
        </is>
      </c>
      <c r="K250" t="inlineStr">
        <is>
          <t>unclassified</t>
        </is>
      </c>
      <c r="M250" t="n">
        <v>50</v>
      </c>
    </row>
    <row r="251">
      <c r="A251" t="inlineStr">
        <is>
          <t>Burdock</t>
        </is>
      </c>
      <c r="B251" t="inlineStr">
        <is>
          <t>Celastrus Paniculatus</t>
        </is>
      </c>
      <c r="C251" t="n">
        <v>0</v>
      </c>
      <c r="D251" t="n">
        <v>1</v>
      </c>
      <c r="E251" t="n">
        <v>0</v>
      </c>
      <c r="F251" t="inlineStr">
        <is>
          <t>General</t>
        </is>
      </c>
      <c r="G251" t="inlineStr">
        <is>
          <t>General</t>
        </is>
      </c>
      <c r="H251" t="inlineStr">
        <is>
          <t>General</t>
        </is>
      </c>
      <c r="I251" t="inlineStr">
        <is>
          <t>General</t>
        </is>
      </c>
      <c r="K251" t="inlineStr">
        <is>
          <t>unclassified</t>
        </is>
      </c>
      <c r="M251" t="n">
        <v>50</v>
      </c>
    </row>
    <row r="252">
      <c r="A252" t="inlineStr">
        <is>
          <t>Burdock</t>
        </is>
      </c>
      <c r="B252" t="inlineStr">
        <is>
          <t>Cistanche</t>
        </is>
      </c>
      <c r="C252" t="n">
        <v>0</v>
      </c>
      <c r="D252" t="n">
        <v>1</v>
      </c>
      <c r="E252" t="n">
        <v>0</v>
      </c>
      <c r="F252" t="inlineStr">
        <is>
          <t>General</t>
        </is>
      </c>
      <c r="G252" t="inlineStr">
        <is>
          <t>General</t>
        </is>
      </c>
      <c r="H252" t="inlineStr">
        <is>
          <t>General</t>
        </is>
      </c>
      <c r="I252" t="inlineStr">
        <is>
          <t>General</t>
        </is>
      </c>
      <c r="K252" t="inlineStr">
        <is>
          <t>unclassified</t>
        </is>
      </c>
      <c r="M252" t="n">
        <v>50</v>
      </c>
    </row>
    <row r="253">
      <c r="A253" t="inlineStr">
        <is>
          <t>Burdock</t>
        </is>
      </c>
      <c r="B253" t="inlineStr">
        <is>
          <t>Cordyceps</t>
        </is>
      </c>
      <c r="C253" t="n">
        <v>0</v>
      </c>
      <c r="D253" t="n">
        <v>1</v>
      </c>
      <c r="E253" t="n">
        <v>0</v>
      </c>
      <c r="F253" t="inlineStr">
        <is>
          <t>General</t>
        </is>
      </c>
      <c r="G253" t="inlineStr">
        <is>
          <t>General</t>
        </is>
      </c>
      <c r="H253" t="inlineStr">
        <is>
          <t>General</t>
        </is>
      </c>
      <c r="I253" t="inlineStr">
        <is>
          <t>General</t>
        </is>
      </c>
      <c r="K253" t="inlineStr">
        <is>
          <t>unclassified</t>
        </is>
      </c>
      <c r="M253" t="n">
        <v>50</v>
      </c>
    </row>
    <row r="254">
      <c r="A254" t="inlineStr">
        <is>
          <t>Burdock</t>
        </is>
      </c>
      <c r="B254" t="inlineStr">
        <is>
          <t>Dendrobium</t>
        </is>
      </c>
      <c r="C254" t="n">
        <v>0</v>
      </c>
      <c r="D254" t="n">
        <v>1</v>
      </c>
      <c r="E254" t="n">
        <v>0</v>
      </c>
      <c r="F254" t="inlineStr">
        <is>
          <t>General</t>
        </is>
      </c>
      <c r="G254" t="inlineStr">
        <is>
          <t>General</t>
        </is>
      </c>
      <c r="H254" t="inlineStr">
        <is>
          <t>General</t>
        </is>
      </c>
      <c r="I254" t="inlineStr">
        <is>
          <t>General</t>
        </is>
      </c>
      <c r="K254" t="inlineStr">
        <is>
          <t>unclassified</t>
        </is>
      </c>
      <c r="M254" t="n">
        <v>50</v>
      </c>
    </row>
    <row r="255">
      <c r="A255" t="inlineStr">
        <is>
          <t>Burdock</t>
        </is>
      </c>
      <c r="B255" t="inlineStr">
        <is>
          <t>Elecampane</t>
        </is>
      </c>
      <c r="C255" t="n">
        <v>0</v>
      </c>
      <c r="D255" t="n">
        <v>1</v>
      </c>
      <c r="E255" t="n">
        <v>0</v>
      </c>
      <c r="F255" t="inlineStr">
        <is>
          <t>General</t>
        </is>
      </c>
      <c r="G255" t="inlineStr">
        <is>
          <t>General</t>
        </is>
      </c>
      <c r="H255" t="inlineStr">
        <is>
          <t>General</t>
        </is>
      </c>
      <c r="I255" t="inlineStr">
        <is>
          <t>General</t>
        </is>
      </c>
      <c r="K255" t="inlineStr">
        <is>
          <t>unclassified</t>
        </is>
      </c>
      <c r="M255" t="n">
        <v>50</v>
      </c>
    </row>
    <row r="256">
      <c r="A256" t="inlineStr">
        <is>
          <t>Burdock</t>
        </is>
      </c>
      <c r="B256" t="inlineStr">
        <is>
          <t>Eleuthero</t>
        </is>
      </c>
      <c r="C256" t="n">
        <v>0</v>
      </c>
      <c r="D256" t="n">
        <v>1</v>
      </c>
      <c r="E256" t="n">
        <v>0</v>
      </c>
      <c r="F256" t="inlineStr">
        <is>
          <t>General</t>
        </is>
      </c>
      <c r="G256" t="inlineStr">
        <is>
          <t>General</t>
        </is>
      </c>
      <c r="H256" t="inlineStr">
        <is>
          <t>General</t>
        </is>
      </c>
      <c r="I256" t="inlineStr">
        <is>
          <t>General</t>
        </is>
      </c>
      <c r="K256" t="inlineStr">
        <is>
          <t>unclassified</t>
        </is>
      </c>
      <c r="M256" t="n">
        <v>50</v>
      </c>
    </row>
    <row r="257">
      <c r="A257" t="inlineStr">
        <is>
          <t>Burdock</t>
        </is>
      </c>
      <c r="B257" t="inlineStr">
        <is>
          <t>Galangal</t>
        </is>
      </c>
      <c r="C257" t="n">
        <v>0</v>
      </c>
      <c r="D257" t="n">
        <v>1</v>
      </c>
      <c r="E257" t="n">
        <v>0</v>
      </c>
      <c r="F257" t="inlineStr">
        <is>
          <t>General</t>
        </is>
      </c>
      <c r="G257" t="inlineStr">
        <is>
          <t>General</t>
        </is>
      </c>
      <c r="H257" t="inlineStr">
        <is>
          <t>General</t>
        </is>
      </c>
      <c r="I257" t="inlineStr">
        <is>
          <t>General</t>
        </is>
      </c>
      <c r="K257" t="inlineStr">
        <is>
          <t>unclassified</t>
        </is>
      </c>
      <c r="M257" t="n">
        <v>50</v>
      </c>
    </row>
    <row r="258">
      <c r="A258" t="inlineStr">
        <is>
          <t>Burdock</t>
        </is>
      </c>
      <c r="B258" t="inlineStr">
        <is>
          <t>Gastrodia</t>
        </is>
      </c>
      <c r="C258" t="n">
        <v>0</v>
      </c>
      <c r="D258" t="n">
        <v>1</v>
      </c>
      <c r="E258" t="n">
        <v>0</v>
      </c>
      <c r="F258" t="inlineStr">
        <is>
          <t>General</t>
        </is>
      </c>
      <c r="G258" t="inlineStr">
        <is>
          <t>General</t>
        </is>
      </c>
      <c r="H258" t="inlineStr">
        <is>
          <t>General</t>
        </is>
      </c>
      <c r="I258" t="inlineStr">
        <is>
          <t>General</t>
        </is>
      </c>
      <c r="K258" t="inlineStr">
        <is>
          <t>unclassified</t>
        </is>
      </c>
      <c r="M258" t="n">
        <v>50</v>
      </c>
    </row>
    <row r="259">
      <c r="A259" t="inlineStr">
        <is>
          <t>Burdock</t>
        </is>
      </c>
      <c r="B259" t="inlineStr">
        <is>
          <t>Gudmar</t>
        </is>
      </c>
      <c r="C259" t="n">
        <v>0</v>
      </c>
      <c r="D259" t="n">
        <v>1</v>
      </c>
      <c r="E259" t="n">
        <v>0</v>
      </c>
      <c r="F259" t="inlineStr">
        <is>
          <t>General</t>
        </is>
      </c>
      <c r="G259" t="inlineStr">
        <is>
          <t>General</t>
        </is>
      </c>
      <c r="H259" t="inlineStr">
        <is>
          <t>General</t>
        </is>
      </c>
      <c r="I259" t="inlineStr">
        <is>
          <t>General</t>
        </is>
      </c>
      <c r="K259" t="inlineStr">
        <is>
          <t>unclassified</t>
        </is>
      </c>
      <c r="M259" t="n">
        <v>50</v>
      </c>
    </row>
    <row r="260">
      <c r="A260" t="inlineStr">
        <is>
          <t>Burdock</t>
        </is>
      </c>
      <c r="B260" t="inlineStr">
        <is>
          <t>Gymnema</t>
        </is>
      </c>
      <c r="C260" t="n">
        <v>0</v>
      </c>
      <c r="D260" t="n">
        <v>1</v>
      </c>
      <c r="E260" t="n">
        <v>0</v>
      </c>
      <c r="F260" t="inlineStr">
        <is>
          <t>General</t>
        </is>
      </c>
      <c r="G260" t="inlineStr">
        <is>
          <t>General</t>
        </is>
      </c>
      <c r="H260" t="inlineStr">
        <is>
          <t>General</t>
        </is>
      </c>
      <c r="I260" t="inlineStr">
        <is>
          <t>General</t>
        </is>
      </c>
      <c r="K260" t="inlineStr">
        <is>
          <t>unclassified</t>
        </is>
      </c>
      <c r="M260" t="n">
        <v>50</v>
      </c>
    </row>
    <row r="261">
      <c r="A261" t="inlineStr">
        <is>
          <t>Burdock</t>
        </is>
      </c>
      <c r="B261" t="inlineStr">
        <is>
          <t>Hops</t>
        </is>
      </c>
      <c r="C261" t="n">
        <v>0</v>
      </c>
      <c r="D261" t="n">
        <v>1</v>
      </c>
      <c r="E261" t="n">
        <v>0</v>
      </c>
      <c r="F261" t="inlineStr">
        <is>
          <t>General</t>
        </is>
      </c>
      <c r="G261" t="inlineStr">
        <is>
          <t>General</t>
        </is>
      </c>
      <c r="H261" t="inlineStr">
        <is>
          <t>General</t>
        </is>
      </c>
      <c r="I261" t="inlineStr">
        <is>
          <t>General</t>
        </is>
      </c>
      <c r="K261" t="inlineStr">
        <is>
          <t>unclassified</t>
        </is>
      </c>
      <c r="M261" t="n">
        <v>50</v>
      </c>
    </row>
    <row r="262">
      <c r="A262" t="inlineStr">
        <is>
          <t>Burdock</t>
        </is>
      </c>
      <c r="B262" t="inlineStr">
        <is>
          <t>Houttuynia</t>
        </is>
      </c>
      <c r="C262" t="n">
        <v>0</v>
      </c>
      <c r="D262" t="n">
        <v>1</v>
      </c>
      <c r="E262" t="n">
        <v>0</v>
      </c>
      <c r="F262" t="inlineStr">
        <is>
          <t>General</t>
        </is>
      </c>
      <c r="G262" t="inlineStr">
        <is>
          <t>General</t>
        </is>
      </c>
      <c r="H262" t="inlineStr">
        <is>
          <t>General</t>
        </is>
      </c>
      <c r="I262" t="inlineStr">
        <is>
          <t>General</t>
        </is>
      </c>
      <c r="K262" t="inlineStr">
        <is>
          <t>unclassified</t>
        </is>
      </c>
      <c r="M262" t="n">
        <v>50</v>
      </c>
    </row>
    <row r="263">
      <c r="A263" t="inlineStr">
        <is>
          <t>Burdock</t>
        </is>
      </c>
      <c r="B263" t="inlineStr">
        <is>
          <t>Isatis</t>
        </is>
      </c>
      <c r="C263" t="n">
        <v>0</v>
      </c>
      <c r="D263" t="n">
        <v>1</v>
      </c>
      <c r="E263" t="n">
        <v>0</v>
      </c>
      <c r="F263" t="inlineStr">
        <is>
          <t>General</t>
        </is>
      </c>
      <c r="G263" t="inlineStr">
        <is>
          <t>General</t>
        </is>
      </c>
      <c r="H263" t="inlineStr">
        <is>
          <t>General</t>
        </is>
      </c>
      <c r="I263" t="inlineStr">
        <is>
          <t>General</t>
        </is>
      </c>
      <c r="K263" t="inlineStr">
        <is>
          <t>unclassified</t>
        </is>
      </c>
      <c r="M263" t="n">
        <v>50</v>
      </c>
    </row>
    <row r="264">
      <c r="A264" t="inlineStr">
        <is>
          <t>Burdock</t>
        </is>
      </c>
      <c r="B264" t="inlineStr">
        <is>
          <t>Jatamansi</t>
        </is>
      </c>
      <c r="C264" t="n">
        <v>0</v>
      </c>
      <c r="D264" t="n">
        <v>1</v>
      </c>
      <c r="E264" t="n">
        <v>0</v>
      </c>
      <c r="F264" t="inlineStr">
        <is>
          <t>General</t>
        </is>
      </c>
      <c r="G264" t="inlineStr">
        <is>
          <t>General</t>
        </is>
      </c>
      <c r="H264" t="inlineStr">
        <is>
          <t>General</t>
        </is>
      </c>
      <c r="I264" t="inlineStr">
        <is>
          <t>General</t>
        </is>
      </c>
      <c r="K264" t="inlineStr">
        <is>
          <t>unclassified</t>
        </is>
      </c>
      <c r="M264" t="n">
        <v>50</v>
      </c>
    </row>
    <row r="265">
      <c r="A265" t="inlineStr">
        <is>
          <t>Burdock</t>
        </is>
      </c>
      <c r="B265" t="inlineStr">
        <is>
          <t>Lemon Verbena</t>
        </is>
      </c>
      <c r="C265" t="n">
        <v>0</v>
      </c>
      <c r="D265" t="n">
        <v>1</v>
      </c>
      <c r="E265" t="n">
        <v>0</v>
      </c>
      <c r="F265" t="inlineStr">
        <is>
          <t>General</t>
        </is>
      </c>
      <c r="G265" t="inlineStr">
        <is>
          <t>General</t>
        </is>
      </c>
      <c r="H265" t="inlineStr">
        <is>
          <t>General</t>
        </is>
      </c>
      <c r="I265" t="inlineStr">
        <is>
          <t>General</t>
        </is>
      </c>
      <c r="K265" t="inlineStr">
        <is>
          <t>unclassified</t>
        </is>
      </c>
      <c r="M265" t="n">
        <v>50</v>
      </c>
    </row>
    <row r="266">
      <c r="A266" t="inlineStr">
        <is>
          <t>Burdock</t>
        </is>
      </c>
      <c r="B266" t="inlineStr">
        <is>
          <t>Lemongrass</t>
        </is>
      </c>
      <c r="C266" t="n">
        <v>0</v>
      </c>
      <c r="D266" t="n">
        <v>1</v>
      </c>
      <c r="E266" t="n">
        <v>0</v>
      </c>
      <c r="F266" t="inlineStr">
        <is>
          <t>General</t>
        </is>
      </c>
      <c r="G266" t="inlineStr">
        <is>
          <t>General</t>
        </is>
      </c>
      <c r="H266" t="inlineStr">
        <is>
          <t>General</t>
        </is>
      </c>
      <c r="I266" t="inlineStr">
        <is>
          <t>General</t>
        </is>
      </c>
      <c r="K266" t="inlineStr">
        <is>
          <t>unclassified</t>
        </is>
      </c>
      <c r="M266" t="n">
        <v>50</v>
      </c>
    </row>
    <row r="267">
      <c r="A267" t="inlineStr">
        <is>
          <t>Burdock</t>
        </is>
      </c>
      <c r="B267" t="inlineStr">
        <is>
          <t>Longan</t>
        </is>
      </c>
      <c r="C267" t="n">
        <v>0</v>
      </c>
      <c r="D267" t="n">
        <v>1</v>
      </c>
      <c r="E267" t="n">
        <v>0</v>
      </c>
      <c r="F267" t="inlineStr">
        <is>
          <t>General</t>
        </is>
      </c>
      <c r="G267" t="inlineStr">
        <is>
          <t>General</t>
        </is>
      </c>
      <c r="H267" t="inlineStr">
        <is>
          <t>General</t>
        </is>
      </c>
      <c r="I267" t="inlineStr">
        <is>
          <t>General</t>
        </is>
      </c>
      <c r="K267" t="inlineStr">
        <is>
          <t>unclassified</t>
        </is>
      </c>
      <c r="M267" t="n">
        <v>50</v>
      </c>
    </row>
    <row r="268">
      <c r="A268" t="inlineStr">
        <is>
          <t>Burdock</t>
        </is>
      </c>
      <c r="B268" t="inlineStr">
        <is>
          <t>Maitake D-Fraction</t>
        </is>
      </c>
      <c r="C268" t="n">
        <v>0</v>
      </c>
      <c r="D268" t="n">
        <v>1</v>
      </c>
      <c r="E268" t="n">
        <v>0</v>
      </c>
      <c r="F268" t="inlineStr">
        <is>
          <t>General</t>
        </is>
      </c>
      <c r="G268" t="inlineStr">
        <is>
          <t>General</t>
        </is>
      </c>
      <c r="H268" t="inlineStr">
        <is>
          <t>General</t>
        </is>
      </c>
      <c r="I268" t="inlineStr">
        <is>
          <t>General</t>
        </is>
      </c>
      <c r="K268" t="inlineStr">
        <is>
          <t>unclassified</t>
        </is>
      </c>
      <c r="M268" t="n">
        <v>50</v>
      </c>
    </row>
    <row r="269">
      <c r="A269" t="inlineStr">
        <is>
          <t>Burdock</t>
        </is>
      </c>
      <c r="B269" t="inlineStr">
        <is>
          <t>Milk Oats</t>
        </is>
      </c>
      <c r="C269" t="n">
        <v>0</v>
      </c>
      <c r="D269" t="n">
        <v>1</v>
      </c>
      <c r="E269" t="n">
        <v>0</v>
      </c>
      <c r="F269" t="inlineStr">
        <is>
          <t>General</t>
        </is>
      </c>
      <c r="G269" t="inlineStr">
        <is>
          <t>General</t>
        </is>
      </c>
      <c r="H269" t="inlineStr">
        <is>
          <t>General</t>
        </is>
      </c>
      <c r="I269" t="inlineStr">
        <is>
          <t>General</t>
        </is>
      </c>
      <c r="K269" t="inlineStr">
        <is>
          <t>unclassified</t>
        </is>
      </c>
      <c r="M269" t="n">
        <v>50</v>
      </c>
    </row>
    <row r="270">
      <c r="A270" t="inlineStr">
        <is>
          <t>Burdock</t>
        </is>
      </c>
      <c r="B270" t="inlineStr">
        <is>
          <t>Mugwort</t>
        </is>
      </c>
      <c r="C270" t="n">
        <v>0</v>
      </c>
      <c r="D270" t="n">
        <v>1</v>
      </c>
      <c r="E270" t="n">
        <v>0</v>
      </c>
      <c r="F270" t="inlineStr">
        <is>
          <t>General</t>
        </is>
      </c>
      <c r="G270" t="inlineStr">
        <is>
          <t>General</t>
        </is>
      </c>
      <c r="H270" t="inlineStr">
        <is>
          <t>General</t>
        </is>
      </c>
      <c r="I270" t="inlineStr">
        <is>
          <t>General</t>
        </is>
      </c>
      <c r="K270" t="inlineStr">
        <is>
          <t>unclassified</t>
        </is>
      </c>
      <c r="M270" t="n">
        <v>50</v>
      </c>
    </row>
    <row r="271">
      <c r="A271" t="inlineStr">
        <is>
          <t>Burdock</t>
        </is>
      </c>
      <c r="B271" t="inlineStr">
        <is>
          <t>Muira Puama</t>
        </is>
      </c>
      <c r="C271" t="n">
        <v>0</v>
      </c>
      <c r="D271" t="n">
        <v>1</v>
      </c>
      <c r="E271" t="n">
        <v>0</v>
      </c>
      <c r="F271" t="inlineStr">
        <is>
          <t>General</t>
        </is>
      </c>
      <c r="G271" t="inlineStr">
        <is>
          <t>General</t>
        </is>
      </c>
      <c r="H271" t="inlineStr">
        <is>
          <t>General</t>
        </is>
      </c>
      <c r="I271" t="inlineStr">
        <is>
          <t>General</t>
        </is>
      </c>
      <c r="K271" t="inlineStr">
        <is>
          <t>unclassified</t>
        </is>
      </c>
      <c r="M271" t="n">
        <v>50</v>
      </c>
    </row>
    <row r="272">
      <c r="A272" t="inlineStr">
        <is>
          <t>Burdock</t>
        </is>
      </c>
      <c r="B272" t="inlineStr">
        <is>
          <t>Mulberry Leaf</t>
        </is>
      </c>
      <c r="C272" t="n">
        <v>0</v>
      </c>
      <c r="D272" t="n">
        <v>1</v>
      </c>
      <c r="E272" t="n">
        <v>0</v>
      </c>
      <c r="F272" t="inlineStr">
        <is>
          <t>General</t>
        </is>
      </c>
      <c r="G272" t="inlineStr">
        <is>
          <t>General</t>
        </is>
      </c>
      <c r="H272" t="inlineStr">
        <is>
          <t>General</t>
        </is>
      </c>
      <c r="I272" t="inlineStr">
        <is>
          <t>General</t>
        </is>
      </c>
      <c r="K272" t="inlineStr">
        <is>
          <t>unclassified</t>
        </is>
      </c>
      <c r="M272" t="n">
        <v>50</v>
      </c>
    </row>
    <row r="273">
      <c r="A273" t="inlineStr">
        <is>
          <t>Burdock</t>
        </is>
      </c>
      <c r="B273" t="inlineStr">
        <is>
          <t>Myrtle</t>
        </is>
      </c>
      <c r="C273" t="n">
        <v>0</v>
      </c>
      <c r="D273" t="n">
        <v>1</v>
      </c>
      <c r="E273" t="n">
        <v>0</v>
      </c>
      <c r="F273" t="inlineStr">
        <is>
          <t>General</t>
        </is>
      </c>
      <c r="G273" t="inlineStr">
        <is>
          <t>General</t>
        </is>
      </c>
      <c r="H273" t="inlineStr">
        <is>
          <t>General</t>
        </is>
      </c>
      <c r="I273" t="inlineStr">
        <is>
          <t>General</t>
        </is>
      </c>
      <c r="K273" t="inlineStr">
        <is>
          <t>unclassified</t>
        </is>
      </c>
      <c r="M273" t="n">
        <v>50</v>
      </c>
    </row>
    <row r="274">
      <c r="A274" t="inlineStr">
        <is>
          <t>Burdock</t>
        </is>
      </c>
      <c r="B274" t="inlineStr">
        <is>
          <t>Neem</t>
        </is>
      </c>
      <c r="C274" t="n">
        <v>0</v>
      </c>
      <c r="D274" t="n">
        <v>1</v>
      </c>
      <c r="E274" t="n">
        <v>0</v>
      </c>
      <c r="F274" t="inlineStr">
        <is>
          <t>General</t>
        </is>
      </c>
      <c r="G274" t="inlineStr">
        <is>
          <t>General</t>
        </is>
      </c>
      <c r="H274" t="inlineStr">
        <is>
          <t>General</t>
        </is>
      </c>
      <c r="I274" t="inlineStr">
        <is>
          <t>General</t>
        </is>
      </c>
      <c r="K274" t="inlineStr">
        <is>
          <t>unclassified</t>
        </is>
      </c>
      <c r="M274" t="n">
        <v>50</v>
      </c>
    </row>
    <row r="275">
      <c r="A275" t="inlineStr">
        <is>
          <t>Burdock</t>
        </is>
      </c>
      <c r="B275" t="inlineStr">
        <is>
          <t>Nettle Root</t>
        </is>
      </c>
      <c r="C275" t="n">
        <v>0</v>
      </c>
      <c r="D275" t="n">
        <v>1</v>
      </c>
      <c r="E275" t="n">
        <v>0</v>
      </c>
      <c r="F275" t="inlineStr">
        <is>
          <t>General</t>
        </is>
      </c>
      <c r="G275" t="inlineStr">
        <is>
          <t>General</t>
        </is>
      </c>
      <c r="H275" t="inlineStr">
        <is>
          <t>General</t>
        </is>
      </c>
      <c r="I275" t="inlineStr">
        <is>
          <t>General</t>
        </is>
      </c>
      <c r="K275" t="inlineStr">
        <is>
          <t>unclassified</t>
        </is>
      </c>
      <c r="M275" t="n">
        <v>50</v>
      </c>
    </row>
    <row r="276">
      <c r="A276" t="inlineStr">
        <is>
          <t>Burdock</t>
        </is>
      </c>
      <c r="B276" t="inlineStr">
        <is>
          <t>Noni</t>
        </is>
      </c>
      <c r="C276" t="n">
        <v>0</v>
      </c>
      <c r="D276" t="n">
        <v>1</v>
      </c>
      <c r="E276" t="n">
        <v>0</v>
      </c>
      <c r="F276" t="inlineStr">
        <is>
          <t>General</t>
        </is>
      </c>
      <c r="G276" t="inlineStr">
        <is>
          <t>General</t>
        </is>
      </c>
      <c r="H276" t="inlineStr">
        <is>
          <t>General</t>
        </is>
      </c>
      <c r="I276" t="inlineStr">
        <is>
          <t>General</t>
        </is>
      </c>
      <c r="K276" t="inlineStr">
        <is>
          <t>unclassified</t>
        </is>
      </c>
      <c r="M276" t="n">
        <v>50</v>
      </c>
    </row>
    <row r="277">
      <c r="A277" t="inlineStr">
        <is>
          <t>Burdock</t>
        </is>
      </c>
      <c r="B277" t="inlineStr">
        <is>
          <t>Oatstraw</t>
        </is>
      </c>
      <c r="C277" t="n">
        <v>0</v>
      </c>
      <c r="D277" t="n">
        <v>1</v>
      </c>
      <c r="E277" t="n">
        <v>0</v>
      </c>
      <c r="F277" t="inlineStr">
        <is>
          <t>General</t>
        </is>
      </c>
      <c r="G277" t="inlineStr">
        <is>
          <t>General</t>
        </is>
      </c>
      <c r="H277" t="inlineStr">
        <is>
          <t>General</t>
        </is>
      </c>
      <c r="I277" t="inlineStr">
        <is>
          <t>General</t>
        </is>
      </c>
      <c r="K277" t="inlineStr">
        <is>
          <t>unclassified</t>
        </is>
      </c>
      <c r="M277" t="n">
        <v>50</v>
      </c>
    </row>
    <row r="278">
      <c r="A278" t="inlineStr">
        <is>
          <t>Burdock</t>
        </is>
      </c>
      <c r="B278" t="inlineStr">
        <is>
          <t>Passionflower</t>
        </is>
      </c>
      <c r="C278" t="n">
        <v>0</v>
      </c>
      <c r="D278" t="n">
        <v>1</v>
      </c>
      <c r="E278" t="n">
        <v>0</v>
      </c>
      <c r="F278" t="inlineStr">
        <is>
          <t>General</t>
        </is>
      </c>
      <c r="G278" t="inlineStr">
        <is>
          <t>General</t>
        </is>
      </c>
      <c r="H278" t="inlineStr">
        <is>
          <t>General</t>
        </is>
      </c>
      <c r="I278" t="inlineStr">
        <is>
          <t>General</t>
        </is>
      </c>
      <c r="K278" t="inlineStr">
        <is>
          <t>unclassified</t>
        </is>
      </c>
      <c r="M278" t="n">
        <v>50</v>
      </c>
    </row>
    <row r="279">
      <c r="A279" t="inlineStr">
        <is>
          <t>Burdock</t>
        </is>
      </c>
      <c r="B279" t="inlineStr">
        <is>
          <t>Pau d'Arco</t>
        </is>
      </c>
      <c r="C279" t="n">
        <v>0</v>
      </c>
      <c r="D279" t="n">
        <v>1</v>
      </c>
      <c r="E279" t="n">
        <v>0</v>
      </c>
      <c r="F279" t="inlineStr">
        <is>
          <t>General</t>
        </is>
      </c>
      <c r="G279" t="inlineStr">
        <is>
          <t>General</t>
        </is>
      </c>
      <c r="H279" t="inlineStr">
        <is>
          <t>General</t>
        </is>
      </c>
      <c r="I279" t="inlineStr">
        <is>
          <t>General</t>
        </is>
      </c>
      <c r="K279" t="inlineStr">
        <is>
          <t>unclassified</t>
        </is>
      </c>
      <c r="M279" t="n">
        <v>50</v>
      </c>
    </row>
    <row r="280">
      <c r="A280" t="inlineStr">
        <is>
          <t>Burdock</t>
        </is>
      </c>
      <c r="B280" t="inlineStr">
        <is>
          <t>Perilla</t>
        </is>
      </c>
      <c r="C280" t="n">
        <v>0</v>
      </c>
      <c r="D280" t="n">
        <v>1</v>
      </c>
      <c r="E280" t="n">
        <v>0</v>
      </c>
      <c r="F280" t="inlineStr">
        <is>
          <t>General</t>
        </is>
      </c>
      <c r="G280" t="inlineStr">
        <is>
          <t>General</t>
        </is>
      </c>
      <c r="H280" t="inlineStr">
        <is>
          <t>General</t>
        </is>
      </c>
      <c r="I280" t="inlineStr">
        <is>
          <t>General</t>
        </is>
      </c>
      <c r="K280" t="inlineStr">
        <is>
          <t>unclassified</t>
        </is>
      </c>
      <c r="M280" t="n">
        <v>50</v>
      </c>
    </row>
    <row r="281">
      <c r="A281" t="inlineStr">
        <is>
          <t>Burdock</t>
        </is>
      </c>
      <c r="B281" t="inlineStr">
        <is>
          <t>Pomegranate</t>
        </is>
      </c>
      <c r="C281" t="n">
        <v>0</v>
      </c>
      <c r="D281" t="n">
        <v>1</v>
      </c>
      <c r="E281" t="n">
        <v>0</v>
      </c>
      <c r="F281" t="inlineStr">
        <is>
          <t>General</t>
        </is>
      </c>
      <c r="G281" t="inlineStr">
        <is>
          <t>General</t>
        </is>
      </c>
      <c r="H281" t="inlineStr">
        <is>
          <t>General</t>
        </is>
      </c>
      <c r="I281" t="inlineStr">
        <is>
          <t>General</t>
        </is>
      </c>
      <c r="K281" t="inlineStr">
        <is>
          <t>unclassified</t>
        </is>
      </c>
      <c r="M281" t="n">
        <v>50</v>
      </c>
    </row>
    <row r="282">
      <c r="A282" t="inlineStr">
        <is>
          <t>Burdock</t>
        </is>
      </c>
      <c r="B282" t="inlineStr">
        <is>
          <t>Poria</t>
        </is>
      </c>
      <c r="C282" t="n">
        <v>0</v>
      </c>
      <c r="D282" t="n">
        <v>1</v>
      </c>
      <c r="E282" t="n">
        <v>0</v>
      </c>
      <c r="F282" t="inlineStr">
        <is>
          <t>General</t>
        </is>
      </c>
      <c r="G282" t="inlineStr">
        <is>
          <t>General</t>
        </is>
      </c>
      <c r="H282" t="inlineStr">
        <is>
          <t>General</t>
        </is>
      </c>
      <c r="I282" t="inlineStr">
        <is>
          <t>General</t>
        </is>
      </c>
      <c r="K282" t="inlineStr">
        <is>
          <t>unclassified</t>
        </is>
      </c>
      <c r="M282" t="n">
        <v>50</v>
      </c>
    </row>
    <row r="283">
      <c r="A283" t="inlineStr">
        <is>
          <t>Burdock</t>
        </is>
      </c>
      <c r="B283" t="inlineStr">
        <is>
          <t>Punarnava</t>
        </is>
      </c>
      <c r="C283" t="n">
        <v>0</v>
      </c>
      <c r="D283" t="n">
        <v>1</v>
      </c>
      <c r="E283" t="n">
        <v>0</v>
      </c>
      <c r="F283" t="inlineStr">
        <is>
          <t>General</t>
        </is>
      </c>
      <c r="G283" t="inlineStr">
        <is>
          <t>General</t>
        </is>
      </c>
      <c r="H283" t="inlineStr">
        <is>
          <t>General</t>
        </is>
      </c>
      <c r="I283" t="inlineStr">
        <is>
          <t>General</t>
        </is>
      </c>
      <c r="K283" t="inlineStr">
        <is>
          <t>unclassified</t>
        </is>
      </c>
      <c r="M283" t="n">
        <v>50</v>
      </c>
    </row>
    <row r="284">
      <c r="A284" t="inlineStr">
        <is>
          <t>Burdock</t>
        </is>
      </c>
      <c r="B284" t="inlineStr">
        <is>
          <t>Red Clover</t>
        </is>
      </c>
      <c r="C284" t="n">
        <v>0</v>
      </c>
      <c r="D284" t="n">
        <v>1</v>
      </c>
      <c r="E284" t="n">
        <v>0</v>
      </c>
      <c r="F284" t="inlineStr">
        <is>
          <t>General</t>
        </is>
      </c>
      <c r="G284" t="inlineStr">
        <is>
          <t>General</t>
        </is>
      </c>
      <c r="H284" t="inlineStr">
        <is>
          <t>General</t>
        </is>
      </c>
      <c r="I284" t="inlineStr">
        <is>
          <t>General</t>
        </is>
      </c>
      <c r="K284" t="inlineStr">
        <is>
          <t>unclassified</t>
        </is>
      </c>
      <c r="M284" t="n">
        <v>50</v>
      </c>
    </row>
    <row r="285">
      <c r="A285" t="inlineStr">
        <is>
          <t>Burdock</t>
        </is>
      </c>
      <c r="B285" t="inlineStr">
        <is>
          <t>Rehmannia Prepared</t>
        </is>
      </c>
      <c r="C285" t="n">
        <v>0</v>
      </c>
      <c r="D285" t="n">
        <v>1</v>
      </c>
      <c r="E285" t="n">
        <v>0</v>
      </c>
      <c r="F285" t="inlineStr">
        <is>
          <t>General</t>
        </is>
      </c>
      <c r="G285" t="inlineStr">
        <is>
          <t>General</t>
        </is>
      </c>
      <c r="H285" t="inlineStr">
        <is>
          <t>General</t>
        </is>
      </c>
      <c r="I285" t="inlineStr">
        <is>
          <t>General</t>
        </is>
      </c>
      <c r="K285" t="inlineStr">
        <is>
          <t>unclassified</t>
        </is>
      </c>
      <c r="M285" t="n">
        <v>50</v>
      </c>
    </row>
    <row r="286">
      <c r="A286" t="inlineStr">
        <is>
          <t>Burdock</t>
        </is>
      </c>
      <c r="B286" t="inlineStr">
        <is>
          <t>Reishi</t>
        </is>
      </c>
      <c r="C286" t="n">
        <v>0</v>
      </c>
      <c r="D286" t="n">
        <v>1</v>
      </c>
      <c r="E286" t="n">
        <v>0</v>
      </c>
      <c r="F286" t="inlineStr">
        <is>
          <t>General</t>
        </is>
      </c>
      <c r="G286" t="inlineStr">
        <is>
          <t>General</t>
        </is>
      </c>
      <c r="H286" t="inlineStr">
        <is>
          <t>General</t>
        </is>
      </c>
      <c r="I286" t="inlineStr">
        <is>
          <t>General</t>
        </is>
      </c>
      <c r="K286" t="inlineStr">
        <is>
          <t>unclassified</t>
        </is>
      </c>
      <c r="M286" t="n">
        <v>50</v>
      </c>
    </row>
    <row r="287">
      <c r="A287" t="inlineStr">
        <is>
          <t>Burdock</t>
        </is>
      </c>
      <c r="B287" t="inlineStr">
        <is>
          <t>Rose Hips</t>
        </is>
      </c>
      <c r="C287" t="n">
        <v>0</v>
      </c>
      <c r="D287" t="n">
        <v>1</v>
      </c>
      <c r="E287" t="n">
        <v>0</v>
      </c>
      <c r="F287" t="inlineStr">
        <is>
          <t>General</t>
        </is>
      </c>
      <c r="G287" t="inlineStr">
        <is>
          <t>General</t>
        </is>
      </c>
      <c r="H287" t="inlineStr">
        <is>
          <t>General</t>
        </is>
      </c>
      <c r="I287" t="inlineStr">
        <is>
          <t>General</t>
        </is>
      </c>
      <c r="K287" t="inlineStr">
        <is>
          <t>unclassified</t>
        </is>
      </c>
      <c r="M287" t="n">
        <v>50</v>
      </c>
    </row>
    <row r="288">
      <c r="A288" t="inlineStr">
        <is>
          <t>Burdock</t>
        </is>
      </c>
      <c r="B288" t="inlineStr">
        <is>
          <t>Sophora Flavescens</t>
        </is>
      </c>
      <c r="C288" t="n">
        <v>0</v>
      </c>
      <c r="D288" t="n">
        <v>1</v>
      </c>
      <c r="E288" t="n">
        <v>0</v>
      </c>
      <c r="F288" t="inlineStr">
        <is>
          <t>General</t>
        </is>
      </c>
      <c r="G288" t="inlineStr">
        <is>
          <t>General</t>
        </is>
      </c>
      <c r="H288" t="inlineStr">
        <is>
          <t>General</t>
        </is>
      </c>
      <c r="I288" t="inlineStr">
        <is>
          <t>General</t>
        </is>
      </c>
      <c r="K288" t="inlineStr">
        <is>
          <t>unclassified</t>
        </is>
      </c>
      <c r="M288" t="n">
        <v>50</v>
      </c>
    </row>
    <row r="289">
      <c r="A289" t="inlineStr">
        <is>
          <t>Burdock</t>
        </is>
      </c>
      <c r="B289" t="inlineStr">
        <is>
          <t>Soursop</t>
        </is>
      </c>
      <c r="C289" t="n">
        <v>0</v>
      </c>
      <c r="D289" t="n">
        <v>1</v>
      </c>
      <c r="E289" t="n">
        <v>0</v>
      </c>
      <c r="F289" t="inlineStr">
        <is>
          <t>General</t>
        </is>
      </c>
      <c r="G289" t="inlineStr">
        <is>
          <t>General</t>
        </is>
      </c>
      <c r="H289" t="inlineStr">
        <is>
          <t>General</t>
        </is>
      </c>
      <c r="I289" t="inlineStr">
        <is>
          <t>General</t>
        </is>
      </c>
      <c r="K289" t="inlineStr">
        <is>
          <t>unclassified</t>
        </is>
      </c>
      <c r="M289" t="n">
        <v>50</v>
      </c>
    </row>
    <row r="290">
      <c r="A290" t="inlineStr">
        <is>
          <t>Burdock</t>
        </is>
      </c>
      <c r="B290" t="inlineStr">
        <is>
          <t>Tamarind</t>
        </is>
      </c>
      <c r="C290" t="n">
        <v>0</v>
      </c>
      <c r="D290" t="n">
        <v>1</v>
      </c>
      <c r="E290" t="n">
        <v>0</v>
      </c>
      <c r="F290" t="inlineStr">
        <is>
          <t>General</t>
        </is>
      </c>
      <c r="G290" t="inlineStr">
        <is>
          <t>General</t>
        </is>
      </c>
      <c r="H290" t="inlineStr">
        <is>
          <t>General</t>
        </is>
      </c>
      <c r="I290" t="inlineStr">
        <is>
          <t>General</t>
        </is>
      </c>
      <c r="K290" t="inlineStr">
        <is>
          <t>unclassified</t>
        </is>
      </c>
      <c r="M290" t="n">
        <v>50</v>
      </c>
    </row>
    <row r="291">
      <c r="A291" t="inlineStr">
        <is>
          <t>Burdock</t>
        </is>
      </c>
      <c r="B291" t="inlineStr">
        <is>
          <t>White Peony</t>
        </is>
      </c>
      <c r="C291" t="n">
        <v>0</v>
      </c>
      <c r="D291" t="n">
        <v>1</v>
      </c>
      <c r="E291" t="n">
        <v>0</v>
      </c>
      <c r="F291" t="inlineStr">
        <is>
          <t>General</t>
        </is>
      </c>
      <c r="G291" t="inlineStr">
        <is>
          <t>General</t>
        </is>
      </c>
      <c r="H291" t="inlineStr">
        <is>
          <t>General</t>
        </is>
      </c>
      <c r="I291" t="inlineStr">
        <is>
          <t>General</t>
        </is>
      </c>
      <c r="K291" t="inlineStr">
        <is>
          <t>unclassified</t>
        </is>
      </c>
      <c r="M291" t="n">
        <v>50</v>
      </c>
    </row>
    <row r="292">
      <c r="A292" t="inlineStr">
        <is>
          <t>Burdock</t>
        </is>
      </c>
      <c r="B292" t="inlineStr">
        <is>
          <t>Yohimbe</t>
        </is>
      </c>
      <c r="C292" t="n">
        <v>0</v>
      </c>
      <c r="D292" t="n">
        <v>1</v>
      </c>
      <c r="E292" t="n">
        <v>0</v>
      </c>
      <c r="F292" t="inlineStr">
        <is>
          <t>General</t>
        </is>
      </c>
      <c r="G292" t="inlineStr">
        <is>
          <t>General</t>
        </is>
      </c>
      <c r="H292" t="inlineStr">
        <is>
          <t>General</t>
        </is>
      </c>
      <c r="I292" t="inlineStr">
        <is>
          <t>General</t>
        </is>
      </c>
      <c r="K292" t="inlineStr">
        <is>
          <t>unclassified</t>
        </is>
      </c>
      <c r="M292" t="n">
        <v>50</v>
      </c>
    </row>
    <row r="293">
      <c r="A293" t="inlineStr">
        <is>
          <t>Butterbur</t>
        </is>
      </c>
      <c r="B293" t="inlineStr">
        <is>
          <t>Agarikon</t>
        </is>
      </c>
      <c r="C293" t="n">
        <v>0</v>
      </c>
      <c r="D293" t="n">
        <v>1</v>
      </c>
      <c r="E293" t="n">
        <v>0</v>
      </c>
      <c r="F293" t="inlineStr">
        <is>
          <t>General</t>
        </is>
      </c>
      <c r="G293" t="inlineStr">
        <is>
          <t>General</t>
        </is>
      </c>
      <c r="H293" t="inlineStr">
        <is>
          <t>General</t>
        </is>
      </c>
      <c r="I293" t="inlineStr">
        <is>
          <t>General</t>
        </is>
      </c>
      <c r="K293" t="inlineStr">
        <is>
          <t>unclassified</t>
        </is>
      </c>
      <c r="M293" t="n">
        <v>50</v>
      </c>
    </row>
    <row r="294">
      <c r="A294" t="inlineStr">
        <is>
          <t>Butterbur</t>
        </is>
      </c>
      <c r="B294" t="inlineStr">
        <is>
          <t>Ajwain</t>
        </is>
      </c>
      <c r="C294" t="n">
        <v>0</v>
      </c>
      <c r="D294" t="n">
        <v>1</v>
      </c>
      <c r="E294" t="n">
        <v>0</v>
      </c>
      <c r="F294" t="inlineStr">
        <is>
          <t>General</t>
        </is>
      </c>
      <c r="G294" t="inlineStr">
        <is>
          <t>General</t>
        </is>
      </c>
      <c r="H294" t="inlineStr">
        <is>
          <t>General</t>
        </is>
      </c>
      <c r="I294" t="inlineStr">
        <is>
          <t>General</t>
        </is>
      </c>
      <c r="K294" t="inlineStr">
        <is>
          <t>unclassified</t>
        </is>
      </c>
      <c r="M294" t="n">
        <v>50</v>
      </c>
    </row>
    <row r="295">
      <c r="A295" t="inlineStr">
        <is>
          <t>Butterbur</t>
        </is>
      </c>
      <c r="B295" t="inlineStr">
        <is>
          <t>Angelica Root</t>
        </is>
      </c>
      <c r="C295" t="n">
        <v>0</v>
      </c>
      <c r="D295" t="n">
        <v>1</v>
      </c>
      <c r="E295" t="n">
        <v>0</v>
      </c>
      <c r="F295" t="inlineStr">
        <is>
          <t>General</t>
        </is>
      </c>
      <c r="G295" t="inlineStr">
        <is>
          <t>General</t>
        </is>
      </c>
      <c r="H295" t="inlineStr">
        <is>
          <t>General</t>
        </is>
      </c>
      <c r="I295" t="inlineStr">
        <is>
          <t>General</t>
        </is>
      </c>
      <c r="K295" t="inlineStr">
        <is>
          <t>unclassified</t>
        </is>
      </c>
      <c r="M295" t="n">
        <v>50</v>
      </c>
    </row>
    <row r="296">
      <c r="A296" t="inlineStr">
        <is>
          <t>Butterbur</t>
        </is>
      </c>
      <c r="B296" t="inlineStr">
        <is>
          <t>Artichoke</t>
        </is>
      </c>
      <c r="C296" t="n">
        <v>0</v>
      </c>
      <c r="D296" t="n">
        <v>1</v>
      </c>
      <c r="E296" t="n">
        <v>0</v>
      </c>
      <c r="F296" t="inlineStr">
        <is>
          <t>General</t>
        </is>
      </c>
      <c r="G296" t="inlineStr">
        <is>
          <t>General</t>
        </is>
      </c>
      <c r="H296" t="inlineStr">
        <is>
          <t>General</t>
        </is>
      </c>
      <c r="I296" t="inlineStr">
        <is>
          <t>General</t>
        </is>
      </c>
      <c r="K296" t="inlineStr">
        <is>
          <t>unclassified</t>
        </is>
      </c>
      <c r="M296" t="n">
        <v>50</v>
      </c>
    </row>
    <row r="297">
      <c r="A297" t="inlineStr">
        <is>
          <t>Butterbur</t>
        </is>
      </c>
      <c r="B297" t="inlineStr">
        <is>
          <t>Ashoka</t>
        </is>
      </c>
      <c r="C297" t="n">
        <v>0</v>
      </c>
      <c r="D297" t="n">
        <v>1</v>
      </c>
      <c r="E297" t="n">
        <v>0</v>
      </c>
      <c r="F297" t="inlineStr">
        <is>
          <t>General</t>
        </is>
      </c>
      <c r="G297" t="inlineStr">
        <is>
          <t>General</t>
        </is>
      </c>
      <c r="H297" t="inlineStr">
        <is>
          <t>General</t>
        </is>
      </c>
      <c r="I297" t="inlineStr">
        <is>
          <t>General</t>
        </is>
      </c>
      <c r="K297" t="inlineStr">
        <is>
          <t>unclassified</t>
        </is>
      </c>
      <c r="M297" t="n">
        <v>50</v>
      </c>
    </row>
    <row r="298">
      <c r="A298" t="inlineStr">
        <is>
          <t>Butterbur</t>
        </is>
      </c>
      <c r="B298" t="inlineStr">
        <is>
          <t>Boldo</t>
        </is>
      </c>
      <c r="C298" t="n">
        <v>0</v>
      </c>
      <c r="D298" t="n">
        <v>1</v>
      </c>
      <c r="E298" t="n">
        <v>0</v>
      </c>
      <c r="F298" t="inlineStr">
        <is>
          <t>General</t>
        </is>
      </c>
      <c r="G298" t="inlineStr">
        <is>
          <t>General</t>
        </is>
      </c>
      <c r="H298" t="inlineStr">
        <is>
          <t>General</t>
        </is>
      </c>
      <c r="I298" t="inlineStr">
        <is>
          <t>General</t>
        </is>
      </c>
      <c r="K298" t="inlineStr">
        <is>
          <t>unclassified</t>
        </is>
      </c>
      <c r="M298" t="n">
        <v>50</v>
      </c>
    </row>
    <row r="299">
      <c r="A299" t="inlineStr">
        <is>
          <t>Butterbur</t>
        </is>
      </c>
      <c r="B299" t="inlineStr">
        <is>
          <t>Burdock</t>
        </is>
      </c>
      <c r="C299" t="n">
        <v>0</v>
      </c>
      <c r="D299" t="n">
        <v>1</v>
      </c>
      <c r="E299" t="n">
        <v>0</v>
      </c>
      <c r="F299" t="inlineStr">
        <is>
          <t>General</t>
        </is>
      </c>
      <c r="G299" t="inlineStr">
        <is>
          <t>General</t>
        </is>
      </c>
      <c r="H299" t="inlineStr">
        <is>
          <t>General</t>
        </is>
      </c>
      <c r="I299" t="inlineStr">
        <is>
          <t>General</t>
        </is>
      </c>
      <c r="K299" t="inlineStr">
        <is>
          <t>unclassified</t>
        </is>
      </c>
      <c r="M299" t="n">
        <v>50</v>
      </c>
    </row>
    <row r="300">
      <c r="A300" t="inlineStr">
        <is>
          <t>Butterbur</t>
        </is>
      </c>
      <c r="B300" t="inlineStr">
        <is>
          <t>Calendula</t>
        </is>
      </c>
      <c r="C300" t="n">
        <v>0</v>
      </c>
      <c r="D300" t="n">
        <v>1</v>
      </c>
      <c r="E300" t="n">
        <v>0</v>
      </c>
      <c r="F300" t="inlineStr">
        <is>
          <t>General</t>
        </is>
      </c>
      <c r="G300" t="inlineStr">
        <is>
          <t>General</t>
        </is>
      </c>
      <c r="H300" t="inlineStr">
        <is>
          <t>General</t>
        </is>
      </c>
      <c r="I300" t="inlineStr">
        <is>
          <t>General</t>
        </is>
      </c>
      <c r="K300" t="inlineStr">
        <is>
          <t>unclassified</t>
        </is>
      </c>
      <c r="M300" t="n">
        <v>50</v>
      </c>
    </row>
    <row r="301">
      <c r="A301" t="inlineStr">
        <is>
          <t>Butterbur</t>
        </is>
      </c>
      <c r="B301" t="inlineStr">
        <is>
          <t>Caraway</t>
        </is>
      </c>
      <c r="C301" t="n">
        <v>0</v>
      </c>
      <c r="D301" t="n">
        <v>1</v>
      </c>
      <c r="E301" t="n">
        <v>0</v>
      </c>
      <c r="F301" t="inlineStr">
        <is>
          <t>General</t>
        </is>
      </c>
      <c r="G301" t="inlineStr">
        <is>
          <t>General</t>
        </is>
      </c>
      <c r="H301" t="inlineStr">
        <is>
          <t>General</t>
        </is>
      </c>
      <c r="I301" t="inlineStr">
        <is>
          <t>General</t>
        </is>
      </c>
      <c r="K301" t="inlineStr">
        <is>
          <t>unclassified</t>
        </is>
      </c>
      <c r="M301" t="n">
        <v>50</v>
      </c>
    </row>
    <row r="302">
      <c r="A302" t="inlineStr">
        <is>
          <t>Butterbur</t>
        </is>
      </c>
      <c r="B302" t="inlineStr">
        <is>
          <t>Cardamom</t>
        </is>
      </c>
      <c r="C302" t="n">
        <v>0</v>
      </c>
      <c r="D302" t="n">
        <v>1</v>
      </c>
      <c r="E302" t="n">
        <v>0</v>
      </c>
      <c r="F302" t="inlineStr">
        <is>
          <t>General</t>
        </is>
      </c>
      <c r="G302" t="inlineStr">
        <is>
          <t>General</t>
        </is>
      </c>
      <c r="H302" t="inlineStr">
        <is>
          <t>General</t>
        </is>
      </c>
      <c r="I302" t="inlineStr">
        <is>
          <t>General</t>
        </is>
      </c>
      <c r="K302" t="inlineStr">
        <is>
          <t>unclassified</t>
        </is>
      </c>
      <c r="M302" t="n">
        <v>50</v>
      </c>
    </row>
    <row r="303">
      <c r="A303" t="inlineStr">
        <is>
          <t>Butterbur</t>
        </is>
      </c>
      <c r="B303" t="inlineStr">
        <is>
          <t>Celastrus Paniculatus</t>
        </is>
      </c>
      <c r="C303" t="n">
        <v>0</v>
      </c>
      <c r="D303" t="n">
        <v>1</v>
      </c>
      <c r="E303" t="n">
        <v>0</v>
      </c>
      <c r="F303" t="inlineStr">
        <is>
          <t>General</t>
        </is>
      </c>
      <c r="G303" t="inlineStr">
        <is>
          <t>General</t>
        </is>
      </c>
      <c r="H303" t="inlineStr">
        <is>
          <t>General</t>
        </is>
      </c>
      <c r="I303" t="inlineStr">
        <is>
          <t>General</t>
        </is>
      </c>
      <c r="K303" t="inlineStr">
        <is>
          <t>unclassified</t>
        </is>
      </c>
      <c r="M303" t="n">
        <v>50</v>
      </c>
    </row>
    <row r="304">
      <c r="A304" t="inlineStr">
        <is>
          <t>Butterbur</t>
        </is>
      </c>
      <c r="B304" t="inlineStr">
        <is>
          <t>Cinnamon</t>
        </is>
      </c>
      <c r="C304" t="n">
        <v>0</v>
      </c>
      <c r="D304" t="n">
        <v>1</v>
      </c>
      <c r="E304" t="n">
        <v>0</v>
      </c>
      <c r="F304" t="inlineStr">
        <is>
          <t>General</t>
        </is>
      </c>
      <c r="G304" t="inlineStr">
        <is>
          <t>General</t>
        </is>
      </c>
      <c r="H304" t="inlineStr">
        <is>
          <t>General</t>
        </is>
      </c>
      <c r="I304" t="inlineStr">
        <is>
          <t>General</t>
        </is>
      </c>
      <c r="K304" t="inlineStr">
        <is>
          <t>unclassified</t>
        </is>
      </c>
      <c r="M304" t="n">
        <v>50</v>
      </c>
    </row>
    <row r="305">
      <c r="A305" t="inlineStr">
        <is>
          <t>Butterbur</t>
        </is>
      </c>
      <c r="B305" t="inlineStr">
        <is>
          <t>Cistanche</t>
        </is>
      </c>
      <c r="C305" t="n">
        <v>0</v>
      </c>
      <c r="D305" t="n">
        <v>1</v>
      </c>
      <c r="E305" t="n">
        <v>0</v>
      </c>
      <c r="F305" t="inlineStr">
        <is>
          <t>General</t>
        </is>
      </c>
      <c r="G305" t="inlineStr">
        <is>
          <t>General</t>
        </is>
      </c>
      <c r="H305" t="inlineStr">
        <is>
          <t>General</t>
        </is>
      </c>
      <c r="I305" t="inlineStr">
        <is>
          <t>General</t>
        </is>
      </c>
      <c r="K305" t="inlineStr">
        <is>
          <t>unclassified</t>
        </is>
      </c>
      <c r="M305" t="n">
        <v>50</v>
      </c>
    </row>
    <row r="306">
      <c r="A306" t="inlineStr">
        <is>
          <t>Butterbur</t>
        </is>
      </c>
      <c r="B306" t="inlineStr">
        <is>
          <t>Cordyceps</t>
        </is>
      </c>
      <c r="C306" t="n">
        <v>0</v>
      </c>
      <c r="D306" t="n">
        <v>1</v>
      </c>
      <c r="E306" t="n">
        <v>0</v>
      </c>
      <c r="F306" t="inlineStr">
        <is>
          <t>General</t>
        </is>
      </c>
      <c r="G306" t="inlineStr">
        <is>
          <t>General</t>
        </is>
      </c>
      <c r="H306" t="inlineStr">
        <is>
          <t>General</t>
        </is>
      </c>
      <c r="I306" t="inlineStr">
        <is>
          <t>General</t>
        </is>
      </c>
      <c r="K306" t="inlineStr">
        <is>
          <t>unclassified</t>
        </is>
      </c>
      <c r="M306" t="n">
        <v>50</v>
      </c>
    </row>
    <row r="307">
      <c r="A307" t="inlineStr">
        <is>
          <t>Butterbur</t>
        </is>
      </c>
      <c r="B307" t="inlineStr">
        <is>
          <t>Dandelion</t>
        </is>
      </c>
      <c r="C307" t="n">
        <v>0</v>
      </c>
      <c r="D307" t="n">
        <v>1</v>
      </c>
      <c r="E307" t="n">
        <v>0</v>
      </c>
      <c r="F307" t="inlineStr">
        <is>
          <t>General</t>
        </is>
      </c>
      <c r="G307" t="inlineStr">
        <is>
          <t>General</t>
        </is>
      </c>
      <c r="H307" t="inlineStr">
        <is>
          <t>General</t>
        </is>
      </c>
      <c r="I307" t="inlineStr">
        <is>
          <t>General</t>
        </is>
      </c>
      <c r="K307" t="inlineStr">
        <is>
          <t>unclassified</t>
        </is>
      </c>
      <c r="M307" t="n">
        <v>50</v>
      </c>
    </row>
    <row r="308">
      <c r="A308" t="inlineStr">
        <is>
          <t>Butterbur</t>
        </is>
      </c>
      <c r="B308" t="inlineStr">
        <is>
          <t>Dendrobium</t>
        </is>
      </c>
      <c r="C308" t="n">
        <v>0</v>
      </c>
      <c r="D308" t="n">
        <v>1</v>
      </c>
      <c r="E308" t="n">
        <v>0</v>
      </c>
      <c r="F308" t="inlineStr">
        <is>
          <t>General</t>
        </is>
      </c>
      <c r="G308" t="inlineStr">
        <is>
          <t>General</t>
        </is>
      </c>
      <c r="H308" t="inlineStr">
        <is>
          <t>General</t>
        </is>
      </c>
      <c r="I308" t="inlineStr">
        <is>
          <t>General</t>
        </is>
      </c>
      <c r="K308" t="inlineStr">
        <is>
          <t>unclassified</t>
        </is>
      </c>
      <c r="M308" t="n">
        <v>50</v>
      </c>
    </row>
    <row r="309">
      <c r="A309" t="inlineStr">
        <is>
          <t>Butterbur</t>
        </is>
      </c>
      <c r="B309" t="inlineStr">
        <is>
          <t>Dong Quai</t>
        </is>
      </c>
      <c r="C309" t="n">
        <v>0</v>
      </c>
      <c r="D309" t="n">
        <v>1</v>
      </c>
      <c r="E309" t="n">
        <v>0</v>
      </c>
      <c r="F309" t="inlineStr">
        <is>
          <t>General</t>
        </is>
      </c>
      <c r="G309" t="inlineStr">
        <is>
          <t>General</t>
        </is>
      </c>
      <c r="H309" t="inlineStr">
        <is>
          <t>General</t>
        </is>
      </c>
      <c r="I309" t="inlineStr">
        <is>
          <t>General</t>
        </is>
      </c>
      <c r="K309" t="inlineStr">
        <is>
          <t>unclassified</t>
        </is>
      </c>
      <c r="M309" t="n">
        <v>50</v>
      </c>
    </row>
    <row r="310">
      <c r="A310" t="inlineStr">
        <is>
          <t>Butterbur</t>
        </is>
      </c>
      <c r="B310" t="inlineStr">
        <is>
          <t>Elecampane</t>
        </is>
      </c>
      <c r="C310" t="n">
        <v>0</v>
      </c>
      <c r="D310" t="n">
        <v>1</v>
      </c>
      <c r="E310" t="n">
        <v>0</v>
      </c>
      <c r="F310" t="inlineStr">
        <is>
          <t>General</t>
        </is>
      </c>
      <c r="G310" t="inlineStr">
        <is>
          <t>General</t>
        </is>
      </c>
      <c r="H310" t="inlineStr">
        <is>
          <t>General</t>
        </is>
      </c>
      <c r="I310" t="inlineStr">
        <is>
          <t>General</t>
        </is>
      </c>
      <c r="K310" t="inlineStr">
        <is>
          <t>unclassified</t>
        </is>
      </c>
      <c r="M310" t="n">
        <v>50</v>
      </c>
    </row>
    <row r="311">
      <c r="A311" t="inlineStr">
        <is>
          <t>Butterbur</t>
        </is>
      </c>
      <c r="B311" t="inlineStr">
        <is>
          <t>Eleuthero</t>
        </is>
      </c>
      <c r="C311" t="n">
        <v>0</v>
      </c>
      <c r="D311" t="n">
        <v>1</v>
      </c>
      <c r="E311" t="n">
        <v>0</v>
      </c>
      <c r="F311" t="inlineStr">
        <is>
          <t>General</t>
        </is>
      </c>
      <c r="G311" t="inlineStr">
        <is>
          <t>General</t>
        </is>
      </c>
      <c r="H311" t="inlineStr">
        <is>
          <t>General</t>
        </is>
      </c>
      <c r="I311" t="inlineStr">
        <is>
          <t>General</t>
        </is>
      </c>
      <c r="K311" t="inlineStr">
        <is>
          <t>unclassified</t>
        </is>
      </c>
      <c r="M311" t="n">
        <v>50</v>
      </c>
    </row>
    <row r="312">
      <c r="A312" t="inlineStr">
        <is>
          <t>Butterbur</t>
        </is>
      </c>
      <c r="B312" t="inlineStr">
        <is>
          <t>Fennel</t>
        </is>
      </c>
      <c r="C312" t="n">
        <v>0</v>
      </c>
      <c r="D312" t="n">
        <v>1</v>
      </c>
      <c r="E312" t="n">
        <v>0</v>
      </c>
      <c r="F312" t="inlineStr">
        <is>
          <t>General</t>
        </is>
      </c>
      <c r="G312" t="inlineStr">
        <is>
          <t>General</t>
        </is>
      </c>
      <c r="H312" t="inlineStr">
        <is>
          <t>General</t>
        </is>
      </c>
      <c r="I312" t="inlineStr">
        <is>
          <t>General</t>
        </is>
      </c>
      <c r="K312" t="inlineStr">
        <is>
          <t>unclassified</t>
        </is>
      </c>
      <c r="M312" t="n">
        <v>50</v>
      </c>
    </row>
    <row r="313">
      <c r="A313" t="inlineStr">
        <is>
          <t>Butterbur</t>
        </is>
      </c>
      <c r="B313" t="inlineStr">
        <is>
          <t>Galangal</t>
        </is>
      </c>
      <c r="C313" t="n">
        <v>0</v>
      </c>
      <c r="D313" t="n">
        <v>1</v>
      </c>
      <c r="E313" t="n">
        <v>0</v>
      </c>
      <c r="F313" t="inlineStr">
        <is>
          <t>General</t>
        </is>
      </c>
      <c r="G313" t="inlineStr">
        <is>
          <t>General</t>
        </is>
      </c>
      <c r="H313" t="inlineStr">
        <is>
          <t>General</t>
        </is>
      </c>
      <c r="I313" t="inlineStr">
        <is>
          <t>General</t>
        </is>
      </c>
      <c r="K313" t="inlineStr">
        <is>
          <t>unclassified</t>
        </is>
      </c>
      <c r="M313" t="n">
        <v>50</v>
      </c>
    </row>
    <row r="314">
      <c r="A314" t="inlineStr">
        <is>
          <t>Butterbur</t>
        </is>
      </c>
      <c r="B314" t="inlineStr">
        <is>
          <t>Gastrodia</t>
        </is>
      </c>
      <c r="C314" t="n">
        <v>0</v>
      </c>
      <c r="D314" t="n">
        <v>1</v>
      </c>
      <c r="E314" t="n">
        <v>0</v>
      </c>
      <c r="F314" t="inlineStr">
        <is>
          <t>General</t>
        </is>
      </c>
      <c r="G314" t="inlineStr">
        <is>
          <t>General</t>
        </is>
      </c>
      <c r="H314" t="inlineStr">
        <is>
          <t>General</t>
        </is>
      </c>
      <c r="I314" t="inlineStr">
        <is>
          <t>General</t>
        </is>
      </c>
      <c r="K314" t="inlineStr">
        <is>
          <t>unclassified</t>
        </is>
      </c>
      <c r="M314" t="n">
        <v>50</v>
      </c>
    </row>
    <row r="315">
      <c r="A315" t="inlineStr">
        <is>
          <t>Butterbur</t>
        </is>
      </c>
      <c r="B315" t="inlineStr">
        <is>
          <t>Gudmar</t>
        </is>
      </c>
      <c r="C315" t="n">
        <v>0</v>
      </c>
      <c r="D315" t="n">
        <v>1</v>
      </c>
      <c r="E315" t="n">
        <v>0</v>
      </c>
      <c r="F315" t="inlineStr">
        <is>
          <t>General</t>
        </is>
      </c>
      <c r="G315" t="inlineStr">
        <is>
          <t>General</t>
        </is>
      </c>
      <c r="H315" t="inlineStr">
        <is>
          <t>General</t>
        </is>
      </c>
      <c r="I315" t="inlineStr">
        <is>
          <t>General</t>
        </is>
      </c>
      <c r="K315" t="inlineStr">
        <is>
          <t>unclassified</t>
        </is>
      </c>
      <c r="M315" t="n">
        <v>50</v>
      </c>
    </row>
    <row r="316">
      <c r="A316" t="inlineStr">
        <is>
          <t>Butterbur</t>
        </is>
      </c>
      <c r="B316" t="inlineStr">
        <is>
          <t>Gymnema</t>
        </is>
      </c>
      <c r="C316" t="n">
        <v>0</v>
      </c>
      <c r="D316" t="n">
        <v>1</v>
      </c>
      <c r="E316" t="n">
        <v>0</v>
      </c>
      <c r="F316" t="inlineStr">
        <is>
          <t>General</t>
        </is>
      </c>
      <c r="G316" t="inlineStr">
        <is>
          <t>General</t>
        </is>
      </c>
      <c r="H316" t="inlineStr">
        <is>
          <t>General</t>
        </is>
      </c>
      <c r="I316" t="inlineStr">
        <is>
          <t>General</t>
        </is>
      </c>
      <c r="K316" t="inlineStr">
        <is>
          <t>unclassified</t>
        </is>
      </c>
      <c r="M316" t="n">
        <v>50</v>
      </c>
    </row>
    <row r="317">
      <c r="A317" t="inlineStr">
        <is>
          <t>Butterbur</t>
        </is>
      </c>
      <c r="B317" t="inlineStr">
        <is>
          <t>Hops</t>
        </is>
      </c>
      <c r="C317" t="n">
        <v>0</v>
      </c>
      <c r="D317" t="n">
        <v>1</v>
      </c>
      <c r="E317" t="n">
        <v>0</v>
      </c>
      <c r="F317" t="inlineStr">
        <is>
          <t>General</t>
        </is>
      </c>
      <c r="G317" t="inlineStr">
        <is>
          <t>General</t>
        </is>
      </c>
      <c r="H317" t="inlineStr">
        <is>
          <t>General</t>
        </is>
      </c>
      <c r="I317" t="inlineStr">
        <is>
          <t>General</t>
        </is>
      </c>
      <c r="K317" t="inlineStr">
        <is>
          <t>unclassified</t>
        </is>
      </c>
      <c r="M317" t="n">
        <v>50</v>
      </c>
    </row>
    <row r="318">
      <c r="A318" t="inlineStr">
        <is>
          <t>Butterbur</t>
        </is>
      </c>
      <c r="B318" t="inlineStr">
        <is>
          <t>Houttuynia</t>
        </is>
      </c>
      <c r="C318" t="n">
        <v>0</v>
      </c>
      <c r="D318" t="n">
        <v>1</v>
      </c>
      <c r="E318" t="n">
        <v>0</v>
      </c>
      <c r="F318" t="inlineStr">
        <is>
          <t>General</t>
        </is>
      </c>
      <c r="G318" t="inlineStr">
        <is>
          <t>General</t>
        </is>
      </c>
      <c r="H318" t="inlineStr">
        <is>
          <t>General</t>
        </is>
      </c>
      <c r="I318" t="inlineStr">
        <is>
          <t>General</t>
        </is>
      </c>
      <c r="K318" t="inlineStr">
        <is>
          <t>unclassified</t>
        </is>
      </c>
      <c r="M318" t="n">
        <v>50</v>
      </c>
    </row>
    <row r="319">
      <c r="A319" t="inlineStr">
        <is>
          <t>Butterbur</t>
        </is>
      </c>
      <c r="B319" t="inlineStr">
        <is>
          <t>Isatis</t>
        </is>
      </c>
      <c r="C319" t="n">
        <v>0</v>
      </c>
      <c r="D319" t="n">
        <v>1</v>
      </c>
      <c r="E319" t="n">
        <v>0</v>
      </c>
      <c r="F319" t="inlineStr">
        <is>
          <t>General</t>
        </is>
      </c>
      <c r="G319" t="inlineStr">
        <is>
          <t>General</t>
        </is>
      </c>
      <c r="H319" t="inlineStr">
        <is>
          <t>General</t>
        </is>
      </c>
      <c r="I319" t="inlineStr">
        <is>
          <t>General</t>
        </is>
      </c>
      <c r="K319" t="inlineStr">
        <is>
          <t>unclassified</t>
        </is>
      </c>
      <c r="M319" t="n">
        <v>50</v>
      </c>
    </row>
    <row r="320">
      <c r="A320" t="inlineStr">
        <is>
          <t>Butterbur</t>
        </is>
      </c>
      <c r="B320" t="inlineStr">
        <is>
          <t>Jatamansi</t>
        </is>
      </c>
      <c r="C320" t="n">
        <v>0</v>
      </c>
      <c r="D320" t="n">
        <v>1</v>
      </c>
      <c r="E320" t="n">
        <v>0</v>
      </c>
      <c r="F320" t="inlineStr">
        <is>
          <t>General</t>
        </is>
      </c>
      <c r="G320" t="inlineStr">
        <is>
          <t>General</t>
        </is>
      </c>
      <c r="H320" t="inlineStr">
        <is>
          <t>General</t>
        </is>
      </c>
      <c r="I320" t="inlineStr">
        <is>
          <t>General</t>
        </is>
      </c>
      <c r="K320" t="inlineStr">
        <is>
          <t>unclassified</t>
        </is>
      </c>
      <c r="M320" t="n">
        <v>50</v>
      </c>
    </row>
    <row r="321">
      <c r="A321" t="inlineStr">
        <is>
          <t>Butterbur</t>
        </is>
      </c>
      <c r="B321" t="inlineStr">
        <is>
          <t>Lemon Verbena</t>
        </is>
      </c>
      <c r="C321" t="n">
        <v>0</v>
      </c>
      <c r="D321" t="n">
        <v>1</v>
      </c>
      <c r="E321" t="n">
        <v>0</v>
      </c>
      <c r="F321" t="inlineStr">
        <is>
          <t>General</t>
        </is>
      </c>
      <c r="G321" t="inlineStr">
        <is>
          <t>General</t>
        </is>
      </c>
      <c r="H321" t="inlineStr">
        <is>
          <t>General</t>
        </is>
      </c>
      <c r="I321" t="inlineStr">
        <is>
          <t>General</t>
        </is>
      </c>
      <c r="K321" t="inlineStr">
        <is>
          <t>unclassified</t>
        </is>
      </c>
      <c r="M321" t="n">
        <v>50</v>
      </c>
    </row>
    <row r="322">
      <c r="A322" t="inlineStr">
        <is>
          <t>Butterbur</t>
        </is>
      </c>
      <c r="B322" t="inlineStr">
        <is>
          <t>Lemongrass</t>
        </is>
      </c>
      <c r="C322" t="n">
        <v>0</v>
      </c>
      <c r="D322" t="n">
        <v>1</v>
      </c>
      <c r="E322" t="n">
        <v>0</v>
      </c>
      <c r="F322" t="inlineStr">
        <is>
          <t>General</t>
        </is>
      </c>
      <c r="G322" t="inlineStr">
        <is>
          <t>General</t>
        </is>
      </c>
      <c r="H322" t="inlineStr">
        <is>
          <t>General</t>
        </is>
      </c>
      <c r="I322" t="inlineStr">
        <is>
          <t>General</t>
        </is>
      </c>
      <c r="K322" t="inlineStr">
        <is>
          <t>unclassified</t>
        </is>
      </c>
      <c r="M322" t="n">
        <v>50</v>
      </c>
    </row>
    <row r="323">
      <c r="A323" t="inlineStr">
        <is>
          <t>Butterbur</t>
        </is>
      </c>
      <c r="B323" t="inlineStr">
        <is>
          <t>Longan</t>
        </is>
      </c>
      <c r="C323" t="n">
        <v>0</v>
      </c>
      <c r="D323" t="n">
        <v>1</v>
      </c>
      <c r="E323" t="n">
        <v>0</v>
      </c>
      <c r="F323" t="inlineStr">
        <is>
          <t>General</t>
        </is>
      </c>
      <c r="G323" t="inlineStr">
        <is>
          <t>General</t>
        </is>
      </c>
      <c r="H323" t="inlineStr">
        <is>
          <t>General</t>
        </is>
      </c>
      <c r="I323" t="inlineStr">
        <is>
          <t>General</t>
        </is>
      </c>
      <c r="K323" t="inlineStr">
        <is>
          <t>unclassified</t>
        </is>
      </c>
      <c r="M323" t="n">
        <v>50</v>
      </c>
    </row>
    <row r="324">
      <c r="A324" t="inlineStr">
        <is>
          <t>Butterbur</t>
        </is>
      </c>
      <c r="B324" t="inlineStr">
        <is>
          <t>Maitake D-Fraction</t>
        </is>
      </c>
      <c r="C324" t="n">
        <v>0</v>
      </c>
      <c r="D324" t="n">
        <v>1</v>
      </c>
      <c r="E324" t="n">
        <v>0</v>
      </c>
      <c r="F324" t="inlineStr">
        <is>
          <t>General</t>
        </is>
      </c>
      <c r="G324" t="inlineStr">
        <is>
          <t>General</t>
        </is>
      </c>
      <c r="H324" t="inlineStr">
        <is>
          <t>General</t>
        </is>
      </c>
      <c r="I324" t="inlineStr">
        <is>
          <t>General</t>
        </is>
      </c>
      <c r="K324" t="inlineStr">
        <is>
          <t>unclassified</t>
        </is>
      </c>
      <c r="M324" t="n">
        <v>50</v>
      </c>
    </row>
    <row r="325">
      <c r="A325" t="inlineStr">
        <is>
          <t>Butterbur</t>
        </is>
      </c>
      <c r="B325" t="inlineStr">
        <is>
          <t>Milk Oats</t>
        </is>
      </c>
      <c r="C325" t="n">
        <v>0</v>
      </c>
      <c r="D325" t="n">
        <v>1</v>
      </c>
      <c r="E325" t="n">
        <v>0</v>
      </c>
      <c r="F325" t="inlineStr">
        <is>
          <t>General</t>
        </is>
      </c>
      <c r="G325" t="inlineStr">
        <is>
          <t>General</t>
        </is>
      </c>
      <c r="H325" t="inlineStr">
        <is>
          <t>General</t>
        </is>
      </c>
      <c r="I325" t="inlineStr">
        <is>
          <t>General</t>
        </is>
      </c>
      <c r="K325" t="inlineStr">
        <is>
          <t>unclassified</t>
        </is>
      </c>
      <c r="M325" t="n">
        <v>50</v>
      </c>
    </row>
    <row r="326">
      <c r="A326" t="inlineStr">
        <is>
          <t>Butterbur</t>
        </is>
      </c>
      <c r="B326" t="inlineStr">
        <is>
          <t>Mugwort</t>
        </is>
      </c>
      <c r="C326" t="n">
        <v>0</v>
      </c>
      <c r="D326" t="n">
        <v>1</v>
      </c>
      <c r="E326" t="n">
        <v>0</v>
      </c>
      <c r="F326" t="inlineStr">
        <is>
          <t>General</t>
        </is>
      </c>
      <c r="G326" t="inlineStr">
        <is>
          <t>General</t>
        </is>
      </c>
      <c r="H326" t="inlineStr">
        <is>
          <t>General</t>
        </is>
      </c>
      <c r="I326" t="inlineStr">
        <is>
          <t>General</t>
        </is>
      </c>
      <c r="K326" t="inlineStr">
        <is>
          <t>unclassified</t>
        </is>
      </c>
      <c r="M326" t="n">
        <v>50</v>
      </c>
    </row>
    <row r="327">
      <c r="A327" t="inlineStr">
        <is>
          <t>Butterbur</t>
        </is>
      </c>
      <c r="B327" t="inlineStr">
        <is>
          <t>Muira Puama</t>
        </is>
      </c>
      <c r="C327" t="n">
        <v>0</v>
      </c>
      <c r="D327" t="n">
        <v>1</v>
      </c>
      <c r="E327" t="n">
        <v>0</v>
      </c>
      <c r="F327" t="inlineStr">
        <is>
          <t>General</t>
        </is>
      </c>
      <c r="G327" t="inlineStr">
        <is>
          <t>General</t>
        </is>
      </c>
      <c r="H327" t="inlineStr">
        <is>
          <t>General</t>
        </is>
      </c>
      <c r="I327" t="inlineStr">
        <is>
          <t>General</t>
        </is>
      </c>
      <c r="K327" t="inlineStr">
        <is>
          <t>unclassified</t>
        </is>
      </c>
      <c r="M327" t="n">
        <v>50</v>
      </c>
    </row>
    <row r="328">
      <c r="A328" t="inlineStr">
        <is>
          <t>Butterbur</t>
        </is>
      </c>
      <c r="B328" t="inlineStr">
        <is>
          <t>Mulberry Leaf</t>
        </is>
      </c>
      <c r="C328" t="n">
        <v>0</v>
      </c>
      <c r="D328" t="n">
        <v>1</v>
      </c>
      <c r="E328" t="n">
        <v>0</v>
      </c>
      <c r="F328" t="inlineStr">
        <is>
          <t>General</t>
        </is>
      </c>
      <c r="G328" t="inlineStr">
        <is>
          <t>General</t>
        </is>
      </c>
      <c r="H328" t="inlineStr">
        <is>
          <t>General</t>
        </is>
      </c>
      <c r="I328" t="inlineStr">
        <is>
          <t>General</t>
        </is>
      </c>
      <c r="K328" t="inlineStr">
        <is>
          <t>unclassified</t>
        </is>
      </c>
      <c r="M328" t="n">
        <v>50</v>
      </c>
    </row>
    <row r="329">
      <c r="A329" t="inlineStr">
        <is>
          <t>Butterbur</t>
        </is>
      </c>
      <c r="B329" t="inlineStr">
        <is>
          <t>Myrtle</t>
        </is>
      </c>
      <c r="C329" t="n">
        <v>0</v>
      </c>
      <c r="D329" t="n">
        <v>1</v>
      </c>
      <c r="E329" t="n">
        <v>0</v>
      </c>
      <c r="F329" t="inlineStr">
        <is>
          <t>General</t>
        </is>
      </c>
      <c r="G329" t="inlineStr">
        <is>
          <t>General</t>
        </is>
      </c>
      <c r="H329" t="inlineStr">
        <is>
          <t>General</t>
        </is>
      </c>
      <c r="I329" t="inlineStr">
        <is>
          <t>General</t>
        </is>
      </c>
      <c r="K329" t="inlineStr">
        <is>
          <t>unclassified</t>
        </is>
      </c>
      <c r="M329" t="n">
        <v>50</v>
      </c>
    </row>
    <row r="330">
      <c r="A330" t="inlineStr">
        <is>
          <t>Butterbur</t>
        </is>
      </c>
      <c r="B330" t="inlineStr">
        <is>
          <t>Neem</t>
        </is>
      </c>
      <c r="C330" t="n">
        <v>0</v>
      </c>
      <c r="D330" t="n">
        <v>1</v>
      </c>
      <c r="E330" t="n">
        <v>0</v>
      </c>
      <c r="F330" t="inlineStr">
        <is>
          <t>General</t>
        </is>
      </c>
      <c r="G330" t="inlineStr">
        <is>
          <t>General</t>
        </is>
      </c>
      <c r="H330" t="inlineStr">
        <is>
          <t>General</t>
        </is>
      </c>
      <c r="I330" t="inlineStr">
        <is>
          <t>General</t>
        </is>
      </c>
      <c r="K330" t="inlineStr">
        <is>
          <t>unclassified</t>
        </is>
      </c>
      <c r="M330" t="n">
        <v>50</v>
      </c>
    </row>
    <row r="331">
      <c r="A331" t="inlineStr">
        <is>
          <t>Butterbur</t>
        </is>
      </c>
      <c r="B331" t="inlineStr">
        <is>
          <t>Nettle Root</t>
        </is>
      </c>
      <c r="C331" t="n">
        <v>0</v>
      </c>
      <c r="D331" t="n">
        <v>1</v>
      </c>
      <c r="E331" t="n">
        <v>0</v>
      </c>
      <c r="F331" t="inlineStr">
        <is>
          <t>General</t>
        </is>
      </c>
      <c r="G331" t="inlineStr">
        <is>
          <t>General</t>
        </is>
      </c>
      <c r="H331" t="inlineStr">
        <is>
          <t>General</t>
        </is>
      </c>
      <c r="I331" t="inlineStr">
        <is>
          <t>General</t>
        </is>
      </c>
      <c r="K331" t="inlineStr">
        <is>
          <t>unclassified</t>
        </is>
      </c>
      <c r="M331" t="n">
        <v>50</v>
      </c>
    </row>
    <row r="332">
      <c r="A332" t="inlineStr">
        <is>
          <t>Butterbur</t>
        </is>
      </c>
      <c r="B332" t="inlineStr">
        <is>
          <t>Noni</t>
        </is>
      </c>
      <c r="C332" t="n">
        <v>0</v>
      </c>
      <c r="D332" t="n">
        <v>1</v>
      </c>
      <c r="E332" t="n">
        <v>0</v>
      </c>
      <c r="F332" t="inlineStr">
        <is>
          <t>General</t>
        </is>
      </c>
      <c r="G332" t="inlineStr">
        <is>
          <t>General</t>
        </is>
      </c>
      <c r="H332" t="inlineStr">
        <is>
          <t>General</t>
        </is>
      </c>
      <c r="I332" t="inlineStr">
        <is>
          <t>General</t>
        </is>
      </c>
      <c r="K332" t="inlineStr">
        <is>
          <t>unclassified</t>
        </is>
      </c>
      <c r="M332" t="n">
        <v>50</v>
      </c>
    </row>
    <row r="333">
      <c r="A333" t="inlineStr">
        <is>
          <t>Butterbur</t>
        </is>
      </c>
      <c r="B333" t="inlineStr">
        <is>
          <t>Oatstraw</t>
        </is>
      </c>
      <c r="C333" t="n">
        <v>0</v>
      </c>
      <c r="D333" t="n">
        <v>1</v>
      </c>
      <c r="E333" t="n">
        <v>0</v>
      </c>
      <c r="F333" t="inlineStr">
        <is>
          <t>General</t>
        </is>
      </c>
      <c r="G333" t="inlineStr">
        <is>
          <t>General</t>
        </is>
      </c>
      <c r="H333" t="inlineStr">
        <is>
          <t>General</t>
        </is>
      </c>
      <c r="I333" t="inlineStr">
        <is>
          <t>General</t>
        </is>
      </c>
      <c r="K333" t="inlineStr">
        <is>
          <t>unclassified</t>
        </is>
      </c>
      <c r="M333" t="n">
        <v>50</v>
      </c>
    </row>
    <row r="334">
      <c r="A334" t="inlineStr">
        <is>
          <t>Butterbur</t>
        </is>
      </c>
      <c r="B334" t="inlineStr">
        <is>
          <t>Passionflower</t>
        </is>
      </c>
      <c r="C334" t="n">
        <v>0</v>
      </c>
      <c r="D334" t="n">
        <v>1</v>
      </c>
      <c r="E334" t="n">
        <v>0</v>
      </c>
      <c r="F334" t="inlineStr">
        <is>
          <t>General</t>
        </is>
      </c>
      <c r="G334" t="inlineStr">
        <is>
          <t>General</t>
        </is>
      </c>
      <c r="H334" t="inlineStr">
        <is>
          <t>General</t>
        </is>
      </c>
      <c r="I334" t="inlineStr">
        <is>
          <t>General</t>
        </is>
      </c>
      <c r="K334" t="inlineStr">
        <is>
          <t>unclassified</t>
        </is>
      </c>
      <c r="M334" t="n">
        <v>50</v>
      </c>
    </row>
    <row r="335">
      <c r="A335" t="inlineStr">
        <is>
          <t>Butterbur</t>
        </is>
      </c>
      <c r="B335" t="inlineStr">
        <is>
          <t>Pau d'Arco</t>
        </is>
      </c>
      <c r="C335" t="n">
        <v>0</v>
      </c>
      <c r="D335" t="n">
        <v>1</v>
      </c>
      <c r="E335" t="n">
        <v>0</v>
      </c>
      <c r="F335" t="inlineStr">
        <is>
          <t>General</t>
        </is>
      </c>
      <c r="G335" t="inlineStr">
        <is>
          <t>General</t>
        </is>
      </c>
      <c r="H335" t="inlineStr">
        <is>
          <t>General</t>
        </is>
      </c>
      <c r="I335" t="inlineStr">
        <is>
          <t>General</t>
        </is>
      </c>
      <c r="K335" t="inlineStr">
        <is>
          <t>unclassified</t>
        </is>
      </c>
      <c r="M335" t="n">
        <v>50</v>
      </c>
    </row>
    <row r="336">
      <c r="A336" t="inlineStr">
        <is>
          <t>Butterbur</t>
        </is>
      </c>
      <c r="B336" t="inlineStr">
        <is>
          <t>Perilla</t>
        </is>
      </c>
      <c r="C336" t="n">
        <v>0</v>
      </c>
      <c r="D336" t="n">
        <v>1</v>
      </c>
      <c r="E336" t="n">
        <v>0</v>
      </c>
      <c r="F336" t="inlineStr">
        <is>
          <t>General</t>
        </is>
      </c>
      <c r="G336" t="inlineStr">
        <is>
          <t>General</t>
        </is>
      </c>
      <c r="H336" t="inlineStr">
        <is>
          <t>General</t>
        </is>
      </c>
      <c r="I336" t="inlineStr">
        <is>
          <t>General</t>
        </is>
      </c>
      <c r="K336" t="inlineStr">
        <is>
          <t>unclassified</t>
        </is>
      </c>
      <c r="M336" t="n">
        <v>50</v>
      </c>
    </row>
    <row r="337">
      <c r="A337" t="inlineStr">
        <is>
          <t>Butterbur</t>
        </is>
      </c>
      <c r="B337" t="inlineStr">
        <is>
          <t>Pomegranate</t>
        </is>
      </c>
      <c r="C337" t="n">
        <v>0</v>
      </c>
      <c r="D337" t="n">
        <v>1</v>
      </c>
      <c r="E337" t="n">
        <v>0</v>
      </c>
      <c r="F337" t="inlineStr">
        <is>
          <t>General</t>
        </is>
      </c>
      <c r="G337" t="inlineStr">
        <is>
          <t>General</t>
        </is>
      </c>
      <c r="H337" t="inlineStr">
        <is>
          <t>General</t>
        </is>
      </c>
      <c r="I337" t="inlineStr">
        <is>
          <t>General</t>
        </is>
      </c>
      <c r="K337" t="inlineStr">
        <is>
          <t>unclassified</t>
        </is>
      </c>
      <c r="M337" t="n">
        <v>50</v>
      </c>
    </row>
    <row r="338">
      <c r="A338" t="inlineStr">
        <is>
          <t>Butterbur</t>
        </is>
      </c>
      <c r="B338" t="inlineStr">
        <is>
          <t>Poria</t>
        </is>
      </c>
      <c r="C338" t="n">
        <v>0</v>
      </c>
      <c r="D338" t="n">
        <v>1</v>
      </c>
      <c r="E338" t="n">
        <v>0</v>
      </c>
      <c r="F338" t="inlineStr">
        <is>
          <t>General</t>
        </is>
      </c>
      <c r="G338" t="inlineStr">
        <is>
          <t>General</t>
        </is>
      </c>
      <c r="H338" t="inlineStr">
        <is>
          <t>General</t>
        </is>
      </c>
      <c r="I338" t="inlineStr">
        <is>
          <t>General</t>
        </is>
      </c>
      <c r="K338" t="inlineStr">
        <is>
          <t>unclassified</t>
        </is>
      </c>
      <c r="M338" t="n">
        <v>50</v>
      </c>
    </row>
    <row r="339">
      <c r="A339" t="inlineStr">
        <is>
          <t>Butterbur</t>
        </is>
      </c>
      <c r="B339" t="inlineStr">
        <is>
          <t>Punarnava</t>
        </is>
      </c>
      <c r="C339" t="n">
        <v>0</v>
      </c>
      <c r="D339" t="n">
        <v>1</v>
      </c>
      <c r="E339" t="n">
        <v>0</v>
      </c>
      <c r="F339" t="inlineStr">
        <is>
          <t>General</t>
        </is>
      </c>
      <c r="G339" t="inlineStr">
        <is>
          <t>General</t>
        </is>
      </c>
      <c r="H339" t="inlineStr">
        <is>
          <t>General</t>
        </is>
      </c>
      <c r="I339" t="inlineStr">
        <is>
          <t>General</t>
        </is>
      </c>
      <c r="K339" t="inlineStr">
        <is>
          <t>unclassified</t>
        </is>
      </c>
      <c r="M339" t="n">
        <v>50</v>
      </c>
    </row>
    <row r="340">
      <c r="A340" t="inlineStr">
        <is>
          <t>Butterbur</t>
        </is>
      </c>
      <c r="B340" t="inlineStr">
        <is>
          <t>Red Clover</t>
        </is>
      </c>
      <c r="C340" t="n">
        <v>0</v>
      </c>
      <c r="D340" t="n">
        <v>1</v>
      </c>
      <c r="E340" t="n">
        <v>0</v>
      </c>
      <c r="F340" t="inlineStr">
        <is>
          <t>General</t>
        </is>
      </c>
      <c r="G340" t="inlineStr">
        <is>
          <t>General</t>
        </is>
      </c>
      <c r="H340" t="inlineStr">
        <is>
          <t>General</t>
        </is>
      </c>
      <c r="I340" t="inlineStr">
        <is>
          <t>General</t>
        </is>
      </c>
      <c r="K340" t="inlineStr">
        <is>
          <t>unclassified</t>
        </is>
      </c>
      <c r="M340" t="n">
        <v>50</v>
      </c>
    </row>
    <row r="341">
      <c r="A341" t="inlineStr">
        <is>
          <t>Butterbur</t>
        </is>
      </c>
      <c r="B341" t="inlineStr">
        <is>
          <t>Rehmannia Prepared</t>
        </is>
      </c>
      <c r="C341" t="n">
        <v>0</v>
      </c>
      <c r="D341" t="n">
        <v>1</v>
      </c>
      <c r="E341" t="n">
        <v>0</v>
      </c>
      <c r="F341" t="inlineStr">
        <is>
          <t>General</t>
        </is>
      </c>
      <c r="G341" t="inlineStr">
        <is>
          <t>General</t>
        </is>
      </c>
      <c r="H341" t="inlineStr">
        <is>
          <t>General</t>
        </is>
      </c>
      <c r="I341" t="inlineStr">
        <is>
          <t>General</t>
        </is>
      </c>
      <c r="K341" t="inlineStr">
        <is>
          <t>unclassified</t>
        </is>
      </c>
      <c r="M341" t="n">
        <v>50</v>
      </c>
    </row>
    <row r="342">
      <c r="A342" t="inlineStr">
        <is>
          <t>Butterbur</t>
        </is>
      </c>
      <c r="B342" t="inlineStr">
        <is>
          <t>Reishi</t>
        </is>
      </c>
      <c r="C342" t="n">
        <v>0</v>
      </c>
      <c r="D342" t="n">
        <v>1</v>
      </c>
      <c r="E342" t="n">
        <v>0</v>
      </c>
      <c r="F342" t="inlineStr">
        <is>
          <t>General</t>
        </is>
      </c>
      <c r="G342" t="inlineStr">
        <is>
          <t>General</t>
        </is>
      </c>
      <c r="H342" t="inlineStr">
        <is>
          <t>General</t>
        </is>
      </c>
      <c r="I342" t="inlineStr">
        <is>
          <t>General</t>
        </is>
      </c>
      <c r="K342" t="inlineStr">
        <is>
          <t>unclassified</t>
        </is>
      </c>
      <c r="M342" t="n">
        <v>50</v>
      </c>
    </row>
    <row r="343">
      <c r="A343" t="inlineStr">
        <is>
          <t>Butterbur</t>
        </is>
      </c>
      <c r="B343" t="inlineStr">
        <is>
          <t>Rose Hips</t>
        </is>
      </c>
      <c r="C343" t="n">
        <v>0</v>
      </c>
      <c r="D343" t="n">
        <v>1</v>
      </c>
      <c r="E343" t="n">
        <v>0</v>
      </c>
      <c r="F343" t="inlineStr">
        <is>
          <t>General</t>
        </is>
      </c>
      <c r="G343" t="inlineStr">
        <is>
          <t>General</t>
        </is>
      </c>
      <c r="H343" t="inlineStr">
        <is>
          <t>General</t>
        </is>
      </c>
      <c r="I343" t="inlineStr">
        <is>
          <t>General</t>
        </is>
      </c>
      <c r="K343" t="inlineStr">
        <is>
          <t>unclassified</t>
        </is>
      </c>
      <c r="M343" t="n">
        <v>50</v>
      </c>
    </row>
    <row r="344">
      <c r="A344" t="inlineStr">
        <is>
          <t>Butterbur</t>
        </is>
      </c>
      <c r="B344" t="inlineStr">
        <is>
          <t>Rosemary</t>
        </is>
      </c>
      <c r="C344" t="n">
        <v>0</v>
      </c>
      <c r="D344" t="n">
        <v>1</v>
      </c>
      <c r="E344" t="n">
        <v>0</v>
      </c>
      <c r="F344" t="inlineStr">
        <is>
          <t>General</t>
        </is>
      </c>
      <c r="G344" t="inlineStr">
        <is>
          <t>General</t>
        </is>
      </c>
      <c r="H344" t="inlineStr">
        <is>
          <t>General</t>
        </is>
      </c>
      <c r="I344" t="inlineStr">
        <is>
          <t>General</t>
        </is>
      </c>
      <c r="K344" t="inlineStr">
        <is>
          <t>unclassified</t>
        </is>
      </c>
      <c r="M344" t="n">
        <v>50</v>
      </c>
    </row>
    <row r="345">
      <c r="A345" t="inlineStr">
        <is>
          <t>Butterbur</t>
        </is>
      </c>
      <c r="B345" t="inlineStr">
        <is>
          <t>Sage</t>
        </is>
      </c>
      <c r="C345" t="n">
        <v>0</v>
      </c>
      <c r="D345" t="n">
        <v>1</v>
      </c>
      <c r="E345" t="n">
        <v>0</v>
      </c>
      <c r="F345" t="inlineStr">
        <is>
          <t>General</t>
        </is>
      </c>
      <c r="G345" t="inlineStr">
        <is>
          <t>General</t>
        </is>
      </c>
      <c r="H345" t="inlineStr">
        <is>
          <t>General</t>
        </is>
      </c>
      <c r="I345" t="inlineStr">
        <is>
          <t>General</t>
        </is>
      </c>
      <c r="K345" t="inlineStr">
        <is>
          <t>unclassified</t>
        </is>
      </c>
      <c r="M345" t="n">
        <v>50</v>
      </c>
    </row>
    <row r="346">
      <c r="A346" t="inlineStr">
        <is>
          <t>Butterbur</t>
        </is>
      </c>
      <c r="B346" t="inlineStr">
        <is>
          <t>Sophora Flavescens</t>
        </is>
      </c>
      <c r="C346" t="n">
        <v>0</v>
      </c>
      <c r="D346" t="n">
        <v>1</v>
      </c>
      <c r="E346" t="n">
        <v>0</v>
      </c>
      <c r="F346" t="inlineStr">
        <is>
          <t>General</t>
        </is>
      </c>
      <c r="G346" t="inlineStr">
        <is>
          <t>General</t>
        </is>
      </c>
      <c r="H346" t="inlineStr">
        <is>
          <t>General</t>
        </is>
      </c>
      <c r="I346" t="inlineStr">
        <is>
          <t>General</t>
        </is>
      </c>
      <c r="K346" t="inlineStr">
        <is>
          <t>unclassified</t>
        </is>
      </c>
      <c r="M346" t="n">
        <v>50</v>
      </c>
    </row>
    <row r="347">
      <c r="A347" t="inlineStr">
        <is>
          <t>Butterbur</t>
        </is>
      </c>
      <c r="B347" t="inlineStr">
        <is>
          <t>Soursop</t>
        </is>
      </c>
      <c r="C347" t="n">
        <v>0</v>
      </c>
      <c r="D347" t="n">
        <v>1</v>
      </c>
      <c r="E347" t="n">
        <v>0</v>
      </c>
      <c r="F347" t="inlineStr">
        <is>
          <t>General</t>
        </is>
      </c>
      <c r="G347" t="inlineStr">
        <is>
          <t>General</t>
        </is>
      </c>
      <c r="H347" t="inlineStr">
        <is>
          <t>General</t>
        </is>
      </c>
      <c r="I347" t="inlineStr">
        <is>
          <t>General</t>
        </is>
      </c>
      <c r="K347" t="inlineStr">
        <is>
          <t>unclassified</t>
        </is>
      </c>
      <c r="M347" t="n">
        <v>50</v>
      </c>
    </row>
    <row r="348">
      <c r="A348" t="inlineStr">
        <is>
          <t>Butterbur</t>
        </is>
      </c>
      <c r="B348" t="inlineStr">
        <is>
          <t>Tamarind</t>
        </is>
      </c>
      <c r="C348" t="n">
        <v>0</v>
      </c>
      <c r="D348" t="n">
        <v>1</v>
      </c>
      <c r="E348" t="n">
        <v>0</v>
      </c>
      <c r="F348" t="inlineStr">
        <is>
          <t>General</t>
        </is>
      </c>
      <c r="G348" t="inlineStr">
        <is>
          <t>General</t>
        </is>
      </c>
      <c r="H348" t="inlineStr">
        <is>
          <t>General</t>
        </is>
      </c>
      <c r="I348" t="inlineStr">
        <is>
          <t>General</t>
        </is>
      </c>
      <c r="K348" t="inlineStr">
        <is>
          <t>unclassified</t>
        </is>
      </c>
      <c r="M348" t="n">
        <v>50</v>
      </c>
    </row>
    <row r="349">
      <c r="A349" t="inlineStr">
        <is>
          <t>Butterbur</t>
        </is>
      </c>
      <c r="B349" t="inlineStr">
        <is>
          <t>Thyme</t>
        </is>
      </c>
      <c r="C349" t="n">
        <v>0</v>
      </c>
      <c r="D349" t="n">
        <v>1</v>
      </c>
      <c r="E349" t="n">
        <v>0</v>
      </c>
      <c r="F349" t="inlineStr">
        <is>
          <t>General</t>
        </is>
      </c>
      <c r="G349" t="inlineStr">
        <is>
          <t>General</t>
        </is>
      </c>
      <c r="H349" t="inlineStr">
        <is>
          <t>General</t>
        </is>
      </c>
      <c r="I349" t="inlineStr">
        <is>
          <t>General</t>
        </is>
      </c>
      <c r="K349" t="inlineStr">
        <is>
          <t>unclassified</t>
        </is>
      </c>
      <c r="M349" t="n">
        <v>50</v>
      </c>
    </row>
    <row r="350">
      <c r="A350" t="inlineStr">
        <is>
          <t>Butterbur</t>
        </is>
      </c>
      <c r="B350" t="inlineStr">
        <is>
          <t>White Peony</t>
        </is>
      </c>
      <c r="C350" t="n">
        <v>0</v>
      </c>
      <c r="D350" t="n">
        <v>1</v>
      </c>
      <c r="E350" t="n">
        <v>0</v>
      </c>
      <c r="F350" t="inlineStr">
        <is>
          <t>General</t>
        </is>
      </c>
      <c r="G350" t="inlineStr">
        <is>
          <t>General</t>
        </is>
      </c>
      <c r="H350" t="inlineStr">
        <is>
          <t>General</t>
        </is>
      </c>
      <c r="I350" t="inlineStr">
        <is>
          <t>General</t>
        </is>
      </c>
      <c r="K350" t="inlineStr">
        <is>
          <t>unclassified</t>
        </is>
      </c>
      <c r="M350" t="n">
        <v>50</v>
      </c>
    </row>
    <row r="351">
      <c r="A351" t="inlineStr">
        <is>
          <t>Butterbur</t>
        </is>
      </c>
      <c r="B351" t="inlineStr">
        <is>
          <t>Yohimbe</t>
        </is>
      </c>
      <c r="C351" t="n">
        <v>0</v>
      </c>
      <c r="D351" t="n">
        <v>1</v>
      </c>
      <c r="E351" t="n">
        <v>0</v>
      </c>
      <c r="F351" t="inlineStr">
        <is>
          <t>General</t>
        </is>
      </c>
      <c r="G351" t="inlineStr">
        <is>
          <t>General</t>
        </is>
      </c>
      <c r="H351" t="inlineStr">
        <is>
          <t>General</t>
        </is>
      </c>
      <c r="I351" t="inlineStr">
        <is>
          <t>General</t>
        </is>
      </c>
      <c r="K351" t="inlineStr">
        <is>
          <t>unclassified</t>
        </is>
      </c>
      <c r="M351" t="n">
        <v>50</v>
      </c>
    </row>
    <row r="352">
      <c r="A352" t="inlineStr">
        <is>
          <t>Calendula</t>
        </is>
      </c>
      <c r="B352" t="inlineStr">
        <is>
          <t>Agarikon</t>
        </is>
      </c>
      <c r="C352" t="n">
        <v>0</v>
      </c>
      <c r="D352" t="n">
        <v>1</v>
      </c>
      <c r="E352" t="n">
        <v>0</v>
      </c>
      <c r="F352" t="inlineStr">
        <is>
          <t>General</t>
        </is>
      </c>
      <c r="G352" t="inlineStr">
        <is>
          <t>General</t>
        </is>
      </c>
      <c r="H352" t="inlineStr">
        <is>
          <t>General</t>
        </is>
      </c>
      <c r="I352" t="inlineStr">
        <is>
          <t>General</t>
        </is>
      </c>
      <c r="K352" t="inlineStr">
        <is>
          <t>unclassified</t>
        </is>
      </c>
      <c r="M352" t="n">
        <v>50</v>
      </c>
    </row>
    <row r="353">
      <c r="A353" t="inlineStr">
        <is>
          <t>Calendula</t>
        </is>
      </c>
      <c r="B353" t="inlineStr">
        <is>
          <t>Ajwain</t>
        </is>
      </c>
      <c r="C353" t="n">
        <v>0</v>
      </c>
      <c r="D353" t="n">
        <v>1</v>
      </c>
      <c r="E353" t="n">
        <v>0</v>
      </c>
      <c r="F353" t="inlineStr">
        <is>
          <t>General</t>
        </is>
      </c>
      <c r="G353" t="inlineStr">
        <is>
          <t>General</t>
        </is>
      </c>
      <c r="H353" t="inlineStr">
        <is>
          <t>General</t>
        </is>
      </c>
      <c r="I353" t="inlineStr">
        <is>
          <t>General</t>
        </is>
      </c>
      <c r="K353" t="inlineStr">
        <is>
          <t>unclassified</t>
        </is>
      </c>
      <c r="M353" t="n">
        <v>50</v>
      </c>
    </row>
    <row r="354">
      <c r="A354" t="inlineStr">
        <is>
          <t>Calendula</t>
        </is>
      </c>
      <c r="B354" t="inlineStr">
        <is>
          <t>Angelica Root</t>
        </is>
      </c>
      <c r="C354" t="n">
        <v>0</v>
      </c>
      <c r="D354" t="n">
        <v>1</v>
      </c>
      <c r="E354" t="n">
        <v>0</v>
      </c>
      <c r="F354" t="inlineStr">
        <is>
          <t>General</t>
        </is>
      </c>
      <c r="G354" t="inlineStr">
        <is>
          <t>General</t>
        </is>
      </c>
      <c r="H354" t="inlineStr">
        <is>
          <t>General</t>
        </is>
      </c>
      <c r="I354" t="inlineStr">
        <is>
          <t>General</t>
        </is>
      </c>
      <c r="K354" t="inlineStr">
        <is>
          <t>unclassified</t>
        </is>
      </c>
      <c r="M354" t="n">
        <v>50</v>
      </c>
    </row>
    <row r="355">
      <c r="A355" t="inlineStr">
        <is>
          <t>Calendula</t>
        </is>
      </c>
      <c r="B355" t="inlineStr">
        <is>
          <t>Ashoka</t>
        </is>
      </c>
      <c r="C355" t="n">
        <v>0</v>
      </c>
      <c r="D355" t="n">
        <v>1</v>
      </c>
      <c r="E355" t="n">
        <v>0</v>
      </c>
      <c r="F355" t="inlineStr">
        <is>
          <t>General</t>
        </is>
      </c>
      <c r="G355" t="inlineStr">
        <is>
          <t>General</t>
        </is>
      </c>
      <c r="H355" t="inlineStr">
        <is>
          <t>General</t>
        </is>
      </c>
      <c r="I355" t="inlineStr">
        <is>
          <t>General</t>
        </is>
      </c>
      <c r="K355" t="inlineStr">
        <is>
          <t>unclassified</t>
        </is>
      </c>
      <c r="M355" t="n">
        <v>50</v>
      </c>
    </row>
    <row r="356">
      <c r="A356" t="inlineStr">
        <is>
          <t>Calendula</t>
        </is>
      </c>
      <c r="B356" t="inlineStr">
        <is>
          <t>Boldo</t>
        </is>
      </c>
      <c r="C356" t="n">
        <v>0</v>
      </c>
      <c r="D356" t="n">
        <v>1</v>
      </c>
      <c r="E356" t="n">
        <v>0</v>
      </c>
      <c r="F356" t="inlineStr">
        <is>
          <t>General</t>
        </is>
      </c>
      <c r="G356" t="inlineStr">
        <is>
          <t>General</t>
        </is>
      </c>
      <c r="H356" t="inlineStr">
        <is>
          <t>General</t>
        </is>
      </c>
      <c r="I356" t="inlineStr">
        <is>
          <t>General</t>
        </is>
      </c>
      <c r="K356" t="inlineStr">
        <is>
          <t>unclassified</t>
        </is>
      </c>
      <c r="M356" t="n">
        <v>50</v>
      </c>
    </row>
    <row r="357">
      <c r="A357" t="inlineStr">
        <is>
          <t>Calendula</t>
        </is>
      </c>
      <c r="B357" t="inlineStr">
        <is>
          <t>Caraway</t>
        </is>
      </c>
      <c r="C357" t="n">
        <v>0</v>
      </c>
      <c r="D357" t="n">
        <v>1</v>
      </c>
      <c r="E357" t="n">
        <v>0</v>
      </c>
      <c r="F357" t="inlineStr">
        <is>
          <t>General</t>
        </is>
      </c>
      <c r="G357" t="inlineStr">
        <is>
          <t>General</t>
        </is>
      </c>
      <c r="H357" t="inlineStr">
        <is>
          <t>General</t>
        </is>
      </c>
      <c r="I357" t="inlineStr">
        <is>
          <t>General</t>
        </is>
      </c>
      <c r="K357" t="inlineStr">
        <is>
          <t>unclassified</t>
        </is>
      </c>
      <c r="M357" t="n">
        <v>50</v>
      </c>
    </row>
    <row r="358">
      <c r="A358" t="inlineStr">
        <is>
          <t>Calendula</t>
        </is>
      </c>
      <c r="B358" t="inlineStr">
        <is>
          <t>Cardamom</t>
        </is>
      </c>
      <c r="C358" t="n">
        <v>0</v>
      </c>
      <c r="D358" t="n">
        <v>1</v>
      </c>
      <c r="E358" t="n">
        <v>0</v>
      </c>
      <c r="F358" t="inlineStr">
        <is>
          <t>General</t>
        </is>
      </c>
      <c r="G358" t="inlineStr">
        <is>
          <t>General</t>
        </is>
      </c>
      <c r="H358" t="inlineStr">
        <is>
          <t>General</t>
        </is>
      </c>
      <c r="I358" t="inlineStr">
        <is>
          <t>General</t>
        </is>
      </c>
      <c r="K358" t="inlineStr">
        <is>
          <t>unclassified</t>
        </is>
      </c>
      <c r="M358" t="n">
        <v>50</v>
      </c>
    </row>
    <row r="359">
      <c r="A359" t="inlineStr">
        <is>
          <t>Calendula</t>
        </is>
      </c>
      <c r="B359" t="inlineStr">
        <is>
          <t>Celastrus Paniculatus</t>
        </is>
      </c>
      <c r="C359" t="n">
        <v>0</v>
      </c>
      <c r="D359" t="n">
        <v>1</v>
      </c>
      <c r="E359" t="n">
        <v>0</v>
      </c>
      <c r="F359" t="inlineStr">
        <is>
          <t>General</t>
        </is>
      </c>
      <c r="G359" t="inlineStr">
        <is>
          <t>General</t>
        </is>
      </c>
      <c r="H359" t="inlineStr">
        <is>
          <t>General</t>
        </is>
      </c>
      <c r="I359" t="inlineStr">
        <is>
          <t>General</t>
        </is>
      </c>
      <c r="K359" t="inlineStr">
        <is>
          <t>unclassified</t>
        </is>
      </c>
      <c r="M359" t="n">
        <v>50</v>
      </c>
    </row>
    <row r="360">
      <c r="A360" t="inlineStr">
        <is>
          <t>Calendula</t>
        </is>
      </c>
      <c r="B360" t="inlineStr">
        <is>
          <t>Cistanche</t>
        </is>
      </c>
      <c r="C360" t="n">
        <v>0</v>
      </c>
      <c r="D360" t="n">
        <v>1</v>
      </c>
      <c r="E360" t="n">
        <v>0</v>
      </c>
      <c r="F360" t="inlineStr">
        <is>
          <t>General</t>
        </is>
      </c>
      <c r="G360" t="inlineStr">
        <is>
          <t>General</t>
        </is>
      </c>
      <c r="H360" t="inlineStr">
        <is>
          <t>General</t>
        </is>
      </c>
      <c r="I360" t="inlineStr">
        <is>
          <t>General</t>
        </is>
      </c>
      <c r="K360" t="inlineStr">
        <is>
          <t>unclassified</t>
        </is>
      </c>
      <c r="M360" t="n">
        <v>50</v>
      </c>
    </row>
    <row r="361">
      <c r="A361" t="inlineStr">
        <is>
          <t>Calendula</t>
        </is>
      </c>
      <c r="B361" t="inlineStr">
        <is>
          <t>Cordyceps</t>
        </is>
      </c>
      <c r="C361" t="n">
        <v>0</v>
      </c>
      <c r="D361" t="n">
        <v>1</v>
      </c>
      <c r="E361" t="n">
        <v>0</v>
      </c>
      <c r="F361" t="inlineStr">
        <is>
          <t>General</t>
        </is>
      </c>
      <c r="G361" t="inlineStr">
        <is>
          <t>General</t>
        </is>
      </c>
      <c r="H361" t="inlineStr">
        <is>
          <t>General</t>
        </is>
      </c>
      <c r="I361" t="inlineStr">
        <is>
          <t>General</t>
        </is>
      </c>
      <c r="K361" t="inlineStr">
        <is>
          <t>unclassified</t>
        </is>
      </c>
      <c r="M361" t="n">
        <v>50</v>
      </c>
    </row>
    <row r="362">
      <c r="A362" t="inlineStr">
        <is>
          <t>Calendula</t>
        </is>
      </c>
      <c r="B362" t="inlineStr">
        <is>
          <t>Dendrobium</t>
        </is>
      </c>
      <c r="C362" t="n">
        <v>0</v>
      </c>
      <c r="D362" t="n">
        <v>1</v>
      </c>
      <c r="E362" t="n">
        <v>0</v>
      </c>
      <c r="F362" t="inlineStr">
        <is>
          <t>General</t>
        </is>
      </c>
      <c r="G362" t="inlineStr">
        <is>
          <t>General</t>
        </is>
      </c>
      <c r="H362" t="inlineStr">
        <is>
          <t>General</t>
        </is>
      </c>
      <c r="I362" t="inlineStr">
        <is>
          <t>General</t>
        </is>
      </c>
      <c r="K362" t="inlineStr">
        <is>
          <t>unclassified</t>
        </is>
      </c>
      <c r="M362" t="n">
        <v>50</v>
      </c>
    </row>
    <row r="363">
      <c r="A363" t="inlineStr">
        <is>
          <t>Calendula</t>
        </is>
      </c>
      <c r="B363" t="inlineStr">
        <is>
          <t>Elecampane</t>
        </is>
      </c>
      <c r="C363" t="n">
        <v>0</v>
      </c>
      <c r="D363" t="n">
        <v>1</v>
      </c>
      <c r="E363" t="n">
        <v>0</v>
      </c>
      <c r="F363" t="inlineStr">
        <is>
          <t>General</t>
        </is>
      </c>
      <c r="G363" t="inlineStr">
        <is>
          <t>General</t>
        </is>
      </c>
      <c r="H363" t="inlineStr">
        <is>
          <t>General</t>
        </is>
      </c>
      <c r="I363" t="inlineStr">
        <is>
          <t>General</t>
        </is>
      </c>
      <c r="K363" t="inlineStr">
        <is>
          <t>unclassified</t>
        </is>
      </c>
      <c r="M363" t="n">
        <v>50</v>
      </c>
    </row>
    <row r="364">
      <c r="A364" t="inlineStr">
        <is>
          <t>Calendula</t>
        </is>
      </c>
      <c r="B364" t="inlineStr">
        <is>
          <t>Eleuthero</t>
        </is>
      </c>
      <c r="C364" t="n">
        <v>0</v>
      </c>
      <c r="D364" t="n">
        <v>1</v>
      </c>
      <c r="E364" t="n">
        <v>0</v>
      </c>
      <c r="F364" t="inlineStr">
        <is>
          <t>General</t>
        </is>
      </c>
      <c r="G364" t="inlineStr">
        <is>
          <t>General</t>
        </is>
      </c>
      <c r="H364" t="inlineStr">
        <is>
          <t>General</t>
        </is>
      </c>
      <c r="I364" t="inlineStr">
        <is>
          <t>General</t>
        </is>
      </c>
      <c r="K364" t="inlineStr">
        <is>
          <t>unclassified</t>
        </is>
      </c>
      <c r="M364" t="n">
        <v>50</v>
      </c>
    </row>
    <row r="365">
      <c r="A365" t="inlineStr">
        <is>
          <t>Calendula</t>
        </is>
      </c>
      <c r="B365" t="inlineStr">
        <is>
          <t>Galangal</t>
        </is>
      </c>
      <c r="C365" t="n">
        <v>0</v>
      </c>
      <c r="D365" t="n">
        <v>1</v>
      </c>
      <c r="E365" t="n">
        <v>0</v>
      </c>
      <c r="F365" t="inlineStr">
        <is>
          <t>General</t>
        </is>
      </c>
      <c r="G365" t="inlineStr">
        <is>
          <t>General</t>
        </is>
      </c>
      <c r="H365" t="inlineStr">
        <is>
          <t>General</t>
        </is>
      </c>
      <c r="I365" t="inlineStr">
        <is>
          <t>General</t>
        </is>
      </c>
      <c r="K365" t="inlineStr">
        <is>
          <t>unclassified</t>
        </is>
      </c>
      <c r="M365" t="n">
        <v>50</v>
      </c>
    </row>
    <row r="366">
      <c r="A366" t="inlineStr">
        <is>
          <t>Calendula</t>
        </is>
      </c>
      <c r="B366" t="inlineStr">
        <is>
          <t>Gastrodia</t>
        </is>
      </c>
      <c r="C366" t="n">
        <v>0</v>
      </c>
      <c r="D366" t="n">
        <v>1</v>
      </c>
      <c r="E366" t="n">
        <v>0</v>
      </c>
      <c r="F366" t="inlineStr">
        <is>
          <t>General</t>
        </is>
      </c>
      <c r="G366" t="inlineStr">
        <is>
          <t>General</t>
        </is>
      </c>
      <c r="H366" t="inlineStr">
        <is>
          <t>General</t>
        </is>
      </c>
      <c r="I366" t="inlineStr">
        <is>
          <t>General</t>
        </is>
      </c>
      <c r="K366" t="inlineStr">
        <is>
          <t>unclassified</t>
        </is>
      </c>
      <c r="M366" t="n">
        <v>50</v>
      </c>
    </row>
    <row r="367">
      <c r="A367" t="inlineStr">
        <is>
          <t>Calendula</t>
        </is>
      </c>
      <c r="B367" t="inlineStr">
        <is>
          <t>Gudmar</t>
        </is>
      </c>
      <c r="C367" t="n">
        <v>0</v>
      </c>
      <c r="D367" t="n">
        <v>1</v>
      </c>
      <c r="E367" t="n">
        <v>0</v>
      </c>
      <c r="F367" t="inlineStr">
        <is>
          <t>General</t>
        </is>
      </c>
      <c r="G367" t="inlineStr">
        <is>
          <t>General</t>
        </is>
      </c>
      <c r="H367" t="inlineStr">
        <is>
          <t>General</t>
        </is>
      </c>
      <c r="I367" t="inlineStr">
        <is>
          <t>General</t>
        </is>
      </c>
      <c r="K367" t="inlineStr">
        <is>
          <t>unclassified</t>
        </is>
      </c>
      <c r="M367" t="n">
        <v>50</v>
      </c>
    </row>
    <row r="368">
      <c r="A368" t="inlineStr">
        <is>
          <t>Calendula</t>
        </is>
      </c>
      <c r="B368" t="inlineStr">
        <is>
          <t>Gymnema</t>
        </is>
      </c>
      <c r="C368" t="n">
        <v>0</v>
      </c>
      <c r="D368" t="n">
        <v>1</v>
      </c>
      <c r="E368" t="n">
        <v>0</v>
      </c>
      <c r="F368" t="inlineStr">
        <is>
          <t>General</t>
        </is>
      </c>
      <c r="G368" t="inlineStr">
        <is>
          <t>General</t>
        </is>
      </c>
      <c r="H368" t="inlineStr">
        <is>
          <t>General</t>
        </is>
      </c>
      <c r="I368" t="inlineStr">
        <is>
          <t>General</t>
        </is>
      </c>
      <c r="K368" t="inlineStr">
        <is>
          <t>unclassified</t>
        </is>
      </c>
      <c r="M368" t="n">
        <v>50</v>
      </c>
    </row>
    <row r="369">
      <c r="A369" t="inlineStr">
        <is>
          <t>Calendula</t>
        </is>
      </c>
      <c r="B369" t="inlineStr">
        <is>
          <t>Hops</t>
        </is>
      </c>
      <c r="C369" t="n">
        <v>0</v>
      </c>
      <c r="D369" t="n">
        <v>1</v>
      </c>
      <c r="E369" t="n">
        <v>0</v>
      </c>
      <c r="F369" t="inlineStr">
        <is>
          <t>General</t>
        </is>
      </c>
      <c r="G369" t="inlineStr">
        <is>
          <t>General</t>
        </is>
      </c>
      <c r="H369" t="inlineStr">
        <is>
          <t>General</t>
        </is>
      </c>
      <c r="I369" t="inlineStr">
        <is>
          <t>General</t>
        </is>
      </c>
      <c r="K369" t="inlineStr">
        <is>
          <t>unclassified</t>
        </is>
      </c>
      <c r="M369" t="n">
        <v>50</v>
      </c>
    </row>
    <row r="370">
      <c r="A370" t="inlineStr">
        <is>
          <t>Calendula</t>
        </is>
      </c>
      <c r="B370" t="inlineStr">
        <is>
          <t>Houttuynia</t>
        </is>
      </c>
      <c r="C370" t="n">
        <v>0</v>
      </c>
      <c r="D370" t="n">
        <v>1</v>
      </c>
      <c r="E370" t="n">
        <v>0</v>
      </c>
      <c r="F370" t="inlineStr">
        <is>
          <t>General</t>
        </is>
      </c>
      <c r="G370" t="inlineStr">
        <is>
          <t>General</t>
        </is>
      </c>
      <c r="H370" t="inlineStr">
        <is>
          <t>General</t>
        </is>
      </c>
      <c r="I370" t="inlineStr">
        <is>
          <t>General</t>
        </is>
      </c>
      <c r="K370" t="inlineStr">
        <is>
          <t>unclassified</t>
        </is>
      </c>
      <c r="M370" t="n">
        <v>50</v>
      </c>
    </row>
    <row r="371">
      <c r="A371" t="inlineStr">
        <is>
          <t>Calendula</t>
        </is>
      </c>
      <c r="B371" t="inlineStr">
        <is>
          <t>Isatis</t>
        </is>
      </c>
      <c r="C371" t="n">
        <v>0</v>
      </c>
      <c r="D371" t="n">
        <v>1</v>
      </c>
      <c r="E371" t="n">
        <v>0</v>
      </c>
      <c r="F371" t="inlineStr">
        <is>
          <t>General</t>
        </is>
      </c>
      <c r="G371" t="inlineStr">
        <is>
          <t>General</t>
        </is>
      </c>
      <c r="H371" t="inlineStr">
        <is>
          <t>General</t>
        </is>
      </c>
      <c r="I371" t="inlineStr">
        <is>
          <t>General</t>
        </is>
      </c>
      <c r="K371" t="inlineStr">
        <is>
          <t>unclassified</t>
        </is>
      </c>
      <c r="M371" t="n">
        <v>50</v>
      </c>
    </row>
    <row r="372">
      <c r="A372" t="inlineStr">
        <is>
          <t>Calendula</t>
        </is>
      </c>
      <c r="B372" t="inlineStr">
        <is>
          <t>Jatamansi</t>
        </is>
      </c>
      <c r="C372" t="n">
        <v>0</v>
      </c>
      <c r="D372" t="n">
        <v>1</v>
      </c>
      <c r="E372" t="n">
        <v>0</v>
      </c>
      <c r="F372" t="inlineStr">
        <is>
          <t>General</t>
        </is>
      </c>
      <c r="G372" t="inlineStr">
        <is>
          <t>General</t>
        </is>
      </c>
      <c r="H372" t="inlineStr">
        <is>
          <t>General</t>
        </is>
      </c>
      <c r="I372" t="inlineStr">
        <is>
          <t>General</t>
        </is>
      </c>
      <c r="K372" t="inlineStr">
        <is>
          <t>unclassified</t>
        </is>
      </c>
      <c r="M372" t="n">
        <v>50</v>
      </c>
    </row>
    <row r="373">
      <c r="A373" t="inlineStr">
        <is>
          <t>Calendula</t>
        </is>
      </c>
      <c r="B373" t="inlineStr">
        <is>
          <t>Lemon Verbena</t>
        </is>
      </c>
      <c r="C373" t="n">
        <v>0</v>
      </c>
      <c r="D373" t="n">
        <v>1</v>
      </c>
      <c r="E373" t="n">
        <v>0</v>
      </c>
      <c r="F373" t="inlineStr">
        <is>
          <t>General</t>
        </is>
      </c>
      <c r="G373" t="inlineStr">
        <is>
          <t>General</t>
        </is>
      </c>
      <c r="H373" t="inlineStr">
        <is>
          <t>General</t>
        </is>
      </c>
      <c r="I373" t="inlineStr">
        <is>
          <t>General</t>
        </is>
      </c>
      <c r="K373" t="inlineStr">
        <is>
          <t>unclassified</t>
        </is>
      </c>
      <c r="M373" t="n">
        <v>50</v>
      </c>
    </row>
    <row r="374">
      <c r="A374" t="inlineStr">
        <is>
          <t>Calendula</t>
        </is>
      </c>
      <c r="B374" t="inlineStr">
        <is>
          <t>Lemongrass</t>
        </is>
      </c>
      <c r="C374" t="n">
        <v>0</v>
      </c>
      <c r="D374" t="n">
        <v>1</v>
      </c>
      <c r="E374" t="n">
        <v>0</v>
      </c>
      <c r="F374" t="inlineStr">
        <is>
          <t>General</t>
        </is>
      </c>
      <c r="G374" t="inlineStr">
        <is>
          <t>General</t>
        </is>
      </c>
      <c r="H374" t="inlineStr">
        <is>
          <t>General</t>
        </is>
      </c>
      <c r="I374" t="inlineStr">
        <is>
          <t>General</t>
        </is>
      </c>
      <c r="K374" t="inlineStr">
        <is>
          <t>unclassified</t>
        </is>
      </c>
      <c r="M374" t="n">
        <v>50</v>
      </c>
    </row>
    <row r="375">
      <c r="A375" t="inlineStr">
        <is>
          <t>Calendula</t>
        </is>
      </c>
      <c r="B375" t="inlineStr">
        <is>
          <t>Longan</t>
        </is>
      </c>
      <c r="C375" t="n">
        <v>0</v>
      </c>
      <c r="D375" t="n">
        <v>1</v>
      </c>
      <c r="E375" t="n">
        <v>0</v>
      </c>
      <c r="F375" t="inlineStr">
        <is>
          <t>General</t>
        </is>
      </c>
      <c r="G375" t="inlineStr">
        <is>
          <t>General</t>
        </is>
      </c>
      <c r="H375" t="inlineStr">
        <is>
          <t>General</t>
        </is>
      </c>
      <c r="I375" t="inlineStr">
        <is>
          <t>General</t>
        </is>
      </c>
      <c r="K375" t="inlineStr">
        <is>
          <t>unclassified</t>
        </is>
      </c>
      <c r="M375" t="n">
        <v>50</v>
      </c>
    </row>
    <row r="376">
      <c r="A376" t="inlineStr">
        <is>
          <t>Calendula</t>
        </is>
      </c>
      <c r="B376" t="inlineStr">
        <is>
          <t>Maitake D-Fraction</t>
        </is>
      </c>
      <c r="C376" t="n">
        <v>0</v>
      </c>
      <c r="D376" t="n">
        <v>1</v>
      </c>
      <c r="E376" t="n">
        <v>0</v>
      </c>
      <c r="F376" t="inlineStr">
        <is>
          <t>General</t>
        </is>
      </c>
      <c r="G376" t="inlineStr">
        <is>
          <t>General</t>
        </is>
      </c>
      <c r="H376" t="inlineStr">
        <is>
          <t>General</t>
        </is>
      </c>
      <c r="I376" t="inlineStr">
        <is>
          <t>General</t>
        </is>
      </c>
      <c r="K376" t="inlineStr">
        <is>
          <t>unclassified</t>
        </is>
      </c>
      <c r="M376" t="n">
        <v>50</v>
      </c>
    </row>
    <row r="377">
      <c r="A377" t="inlineStr">
        <is>
          <t>Calendula</t>
        </is>
      </c>
      <c r="B377" t="inlineStr">
        <is>
          <t>Milk Oats</t>
        </is>
      </c>
      <c r="C377" t="n">
        <v>0</v>
      </c>
      <c r="D377" t="n">
        <v>1</v>
      </c>
      <c r="E377" t="n">
        <v>0</v>
      </c>
      <c r="F377" t="inlineStr">
        <is>
          <t>General</t>
        </is>
      </c>
      <c r="G377" t="inlineStr">
        <is>
          <t>General</t>
        </is>
      </c>
      <c r="H377" t="inlineStr">
        <is>
          <t>General</t>
        </is>
      </c>
      <c r="I377" t="inlineStr">
        <is>
          <t>General</t>
        </is>
      </c>
      <c r="K377" t="inlineStr">
        <is>
          <t>unclassified</t>
        </is>
      </c>
      <c r="M377" t="n">
        <v>50</v>
      </c>
    </row>
    <row r="378">
      <c r="A378" t="inlineStr">
        <is>
          <t>Calendula</t>
        </is>
      </c>
      <c r="B378" t="inlineStr">
        <is>
          <t>Mugwort</t>
        </is>
      </c>
      <c r="C378" t="n">
        <v>0</v>
      </c>
      <c r="D378" t="n">
        <v>1</v>
      </c>
      <c r="E378" t="n">
        <v>0</v>
      </c>
      <c r="F378" t="inlineStr">
        <is>
          <t>General</t>
        </is>
      </c>
      <c r="G378" t="inlineStr">
        <is>
          <t>General</t>
        </is>
      </c>
      <c r="H378" t="inlineStr">
        <is>
          <t>General</t>
        </is>
      </c>
      <c r="I378" t="inlineStr">
        <is>
          <t>General</t>
        </is>
      </c>
      <c r="K378" t="inlineStr">
        <is>
          <t>unclassified</t>
        </is>
      </c>
      <c r="M378" t="n">
        <v>50</v>
      </c>
    </row>
    <row r="379">
      <c r="A379" t="inlineStr">
        <is>
          <t>Calendula</t>
        </is>
      </c>
      <c r="B379" t="inlineStr">
        <is>
          <t>Muira Puama</t>
        </is>
      </c>
      <c r="C379" t="n">
        <v>0</v>
      </c>
      <c r="D379" t="n">
        <v>1</v>
      </c>
      <c r="E379" t="n">
        <v>0</v>
      </c>
      <c r="F379" t="inlineStr">
        <is>
          <t>General</t>
        </is>
      </c>
      <c r="G379" t="inlineStr">
        <is>
          <t>General</t>
        </is>
      </c>
      <c r="H379" t="inlineStr">
        <is>
          <t>General</t>
        </is>
      </c>
      <c r="I379" t="inlineStr">
        <is>
          <t>General</t>
        </is>
      </c>
      <c r="K379" t="inlineStr">
        <is>
          <t>unclassified</t>
        </is>
      </c>
      <c r="M379" t="n">
        <v>50</v>
      </c>
    </row>
    <row r="380">
      <c r="A380" t="inlineStr">
        <is>
          <t>Calendula</t>
        </is>
      </c>
      <c r="B380" t="inlineStr">
        <is>
          <t>Mulberry Leaf</t>
        </is>
      </c>
      <c r="C380" t="n">
        <v>0</v>
      </c>
      <c r="D380" t="n">
        <v>1</v>
      </c>
      <c r="E380" t="n">
        <v>0</v>
      </c>
      <c r="F380" t="inlineStr">
        <is>
          <t>General</t>
        </is>
      </c>
      <c r="G380" t="inlineStr">
        <is>
          <t>General</t>
        </is>
      </c>
      <c r="H380" t="inlineStr">
        <is>
          <t>General</t>
        </is>
      </c>
      <c r="I380" t="inlineStr">
        <is>
          <t>General</t>
        </is>
      </c>
      <c r="K380" t="inlineStr">
        <is>
          <t>unclassified</t>
        </is>
      </c>
      <c r="M380" t="n">
        <v>50</v>
      </c>
    </row>
    <row r="381">
      <c r="A381" t="inlineStr">
        <is>
          <t>Calendula</t>
        </is>
      </c>
      <c r="B381" t="inlineStr">
        <is>
          <t>Myrtle</t>
        </is>
      </c>
      <c r="C381" t="n">
        <v>0</v>
      </c>
      <c r="D381" t="n">
        <v>1</v>
      </c>
      <c r="E381" t="n">
        <v>0</v>
      </c>
      <c r="F381" t="inlineStr">
        <is>
          <t>General</t>
        </is>
      </c>
      <c r="G381" t="inlineStr">
        <is>
          <t>General</t>
        </is>
      </c>
      <c r="H381" t="inlineStr">
        <is>
          <t>General</t>
        </is>
      </c>
      <c r="I381" t="inlineStr">
        <is>
          <t>General</t>
        </is>
      </c>
      <c r="K381" t="inlineStr">
        <is>
          <t>unclassified</t>
        </is>
      </c>
      <c r="M381" t="n">
        <v>50</v>
      </c>
    </row>
    <row r="382">
      <c r="A382" t="inlineStr">
        <is>
          <t>Calendula</t>
        </is>
      </c>
      <c r="B382" t="inlineStr">
        <is>
          <t>Neem</t>
        </is>
      </c>
      <c r="C382" t="n">
        <v>0</v>
      </c>
      <c r="D382" t="n">
        <v>1</v>
      </c>
      <c r="E382" t="n">
        <v>0</v>
      </c>
      <c r="F382" t="inlineStr">
        <is>
          <t>General</t>
        </is>
      </c>
      <c r="G382" t="inlineStr">
        <is>
          <t>General</t>
        </is>
      </c>
      <c r="H382" t="inlineStr">
        <is>
          <t>General</t>
        </is>
      </c>
      <c r="I382" t="inlineStr">
        <is>
          <t>General</t>
        </is>
      </c>
      <c r="K382" t="inlineStr">
        <is>
          <t>unclassified</t>
        </is>
      </c>
      <c r="M382" t="n">
        <v>50</v>
      </c>
    </row>
    <row r="383">
      <c r="A383" t="inlineStr">
        <is>
          <t>Calendula</t>
        </is>
      </c>
      <c r="B383" t="inlineStr">
        <is>
          <t>Nettle Root</t>
        </is>
      </c>
      <c r="C383" t="n">
        <v>0</v>
      </c>
      <c r="D383" t="n">
        <v>1</v>
      </c>
      <c r="E383" t="n">
        <v>0</v>
      </c>
      <c r="F383" t="inlineStr">
        <is>
          <t>General</t>
        </is>
      </c>
      <c r="G383" t="inlineStr">
        <is>
          <t>General</t>
        </is>
      </c>
      <c r="H383" t="inlineStr">
        <is>
          <t>General</t>
        </is>
      </c>
      <c r="I383" t="inlineStr">
        <is>
          <t>General</t>
        </is>
      </c>
      <c r="K383" t="inlineStr">
        <is>
          <t>unclassified</t>
        </is>
      </c>
      <c r="M383" t="n">
        <v>50</v>
      </c>
    </row>
    <row r="384">
      <c r="A384" t="inlineStr">
        <is>
          <t>Calendula</t>
        </is>
      </c>
      <c r="B384" t="inlineStr">
        <is>
          <t>Noni</t>
        </is>
      </c>
      <c r="C384" t="n">
        <v>0</v>
      </c>
      <c r="D384" t="n">
        <v>1</v>
      </c>
      <c r="E384" t="n">
        <v>0</v>
      </c>
      <c r="F384" t="inlineStr">
        <is>
          <t>General</t>
        </is>
      </c>
      <c r="G384" t="inlineStr">
        <is>
          <t>General</t>
        </is>
      </c>
      <c r="H384" t="inlineStr">
        <is>
          <t>General</t>
        </is>
      </c>
      <c r="I384" t="inlineStr">
        <is>
          <t>General</t>
        </is>
      </c>
      <c r="K384" t="inlineStr">
        <is>
          <t>unclassified</t>
        </is>
      </c>
      <c r="M384" t="n">
        <v>50</v>
      </c>
    </row>
    <row r="385">
      <c r="A385" t="inlineStr">
        <is>
          <t>Calendula</t>
        </is>
      </c>
      <c r="B385" t="inlineStr">
        <is>
          <t>Passionflower</t>
        </is>
      </c>
      <c r="C385" t="n">
        <v>0</v>
      </c>
      <c r="D385" t="n">
        <v>1</v>
      </c>
      <c r="E385" t="n">
        <v>0</v>
      </c>
      <c r="F385" t="inlineStr">
        <is>
          <t>General</t>
        </is>
      </c>
      <c r="G385" t="inlineStr">
        <is>
          <t>General</t>
        </is>
      </c>
      <c r="H385" t="inlineStr">
        <is>
          <t>General</t>
        </is>
      </c>
      <c r="I385" t="inlineStr">
        <is>
          <t>General</t>
        </is>
      </c>
      <c r="K385" t="inlineStr">
        <is>
          <t>unclassified</t>
        </is>
      </c>
      <c r="M385" t="n">
        <v>50</v>
      </c>
    </row>
    <row r="386">
      <c r="A386" t="inlineStr">
        <is>
          <t>Calendula</t>
        </is>
      </c>
      <c r="B386" t="inlineStr">
        <is>
          <t>Pau d'Arco</t>
        </is>
      </c>
      <c r="C386" t="n">
        <v>0</v>
      </c>
      <c r="D386" t="n">
        <v>1</v>
      </c>
      <c r="E386" t="n">
        <v>0</v>
      </c>
      <c r="F386" t="inlineStr">
        <is>
          <t>General</t>
        </is>
      </c>
      <c r="G386" t="inlineStr">
        <is>
          <t>General</t>
        </is>
      </c>
      <c r="H386" t="inlineStr">
        <is>
          <t>General</t>
        </is>
      </c>
      <c r="I386" t="inlineStr">
        <is>
          <t>General</t>
        </is>
      </c>
      <c r="K386" t="inlineStr">
        <is>
          <t>unclassified</t>
        </is>
      </c>
      <c r="M386" t="n">
        <v>50</v>
      </c>
    </row>
    <row r="387">
      <c r="A387" t="inlineStr">
        <is>
          <t>Calendula</t>
        </is>
      </c>
      <c r="B387" t="inlineStr">
        <is>
          <t>Perilla</t>
        </is>
      </c>
      <c r="C387" t="n">
        <v>0</v>
      </c>
      <c r="D387" t="n">
        <v>1</v>
      </c>
      <c r="E387" t="n">
        <v>0</v>
      </c>
      <c r="F387" t="inlineStr">
        <is>
          <t>General</t>
        </is>
      </c>
      <c r="G387" t="inlineStr">
        <is>
          <t>General</t>
        </is>
      </c>
      <c r="H387" t="inlineStr">
        <is>
          <t>General</t>
        </is>
      </c>
      <c r="I387" t="inlineStr">
        <is>
          <t>General</t>
        </is>
      </c>
      <c r="K387" t="inlineStr">
        <is>
          <t>unclassified</t>
        </is>
      </c>
      <c r="M387" t="n">
        <v>50</v>
      </c>
    </row>
    <row r="388">
      <c r="A388" t="inlineStr">
        <is>
          <t>Calendula</t>
        </is>
      </c>
      <c r="B388" t="inlineStr">
        <is>
          <t>Pomegranate</t>
        </is>
      </c>
      <c r="C388" t="n">
        <v>0</v>
      </c>
      <c r="D388" t="n">
        <v>1</v>
      </c>
      <c r="E388" t="n">
        <v>0</v>
      </c>
      <c r="F388" t="inlineStr">
        <is>
          <t>General</t>
        </is>
      </c>
      <c r="G388" t="inlineStr">
        <is>
          <t>General</t>
        </is>
      </c>
      <c r="H388" t="inlineStr">
        <is>
          <t>General</t>
        </is>
      </c>
      <c r="I388" t="inlineStr">
        <is>
          <t>General</t>
        </is>
      </c>
      <c r="K388" t="inlineStr">
        <is>
          <t>unclassified</t>
        </is>
      </c>
      <c r="M388" t="n">
        <v>50</v>
      </c>
    </row>
    <row r="389">
      <c r="A389" t="inlineStr">
        <is>
          <t>Calendula</t>
        </is>
      </c>
      <c r="B389" t="inlineStr">
        <is>
          <t>Poria</t>
        </is>
      </c>
      <c r="C389" t="n">
        <v>0</v>
      </c>
      <c r="D389" t="n">
        <v>1</v>
      </c>
      <c r="E389" t="n">
        <v>0</v>
      </c>
      <c r="F389" t="inlineStr">
        <is>
          <t>General</t>
        </is>
      </c>
      <c r="G389" t="inlineStr">
        <is>
          <t>General</t>
        </is>
      </c>
      <c r="H389" t="inlineStr">
        <is>
          <t>General</t>
        </is>
      </c>
      <c r="I389" t="inlineStr">
        <is>
          <t>General</t>
        </is>
      </c>
      <c r="K389" t="inlineStr">
        <is>
          <t>unclassified</t>
        </is>
      </c>
      <c r="M389" t="n">
        <v>50</v>
      </c>
    </row>
    <row r="390">
      <c r="A390" t="inlineStr">
        <is>
          <t>Calendula</t>
        </is>
      </c>
      <c r="B390" t="inlineStr">
        <is>
          <t>Punarnava</t>
        </is>
      </c>
      <c r="C390" t="n">
        <v>0</v>
      </c>
      <c r="D390" t="n">
        <v>1</v>
      </c>
      <c r="E390" t="n">
        <v>0</v>
      </c>
      <c r="F390" t="inlineStr">
        <is>
          <t>General</t>
        </is>
      </c>
      <c r="G390" t="inlineStr">
        <is>
          <t>General</t>
        </is>
      </c>
      <c r="H390" t="inlineStr">
        <is>
          <t>General</t>
        </is>
      </c>
      <c r="I390" t="inlineStr">
        <is>
          <t>General</t>
        </is>
      </c>
      <c r="K390" t="inlineStr">
        <is>
          <t>unclassified</t>
        </is>
      </c>
      <c r="M390" t="n">
        <v>50</v>
      </c>
    </row>
    <row r="391">
      <c r="A391" t="inlineStr">
        <is>
          <t>Calendula</t>
        </is>
      </c>
      <c r="B391" t="inlineStr">
        <is>
          <t>Rehmannia Prepared</t>
        </is>
      </c>
      <c r="C391" t="n">
        <v>0</v>
      </c>
      <c r="D391" t="n">
        <v>1</v>
      </c>
      <c r="E391" t="n">
        <v>0</v>
      </c>
      <c r="F391" t="inlineStr">
        <is>
          <t>General</t>
        </is>
      </c>
      <c r="G391" t="inlineStr">
        <is>
          <t>General</t>
        </is>
      </c>
      <c r="H391" t="inlineStr">
        <is>
          <t>General</t>
        </is>
      </c>
      <c r="I391" t="inlineStr">
        <is>
          <t>General</t>
        </is>
      </c>
      <c r="K391" t="inlineStr">
        <is>
          <t>unclassified</t>
        </is>
      </c>
      <c r="M391" t="n">
        <v>50</v>
      </c>
    </row>
    <row r="392">
      <c r="A392" t="inlineStr">
        <is>
          <t>Calendula</t>
        </is>
      </c>
      <c r="B392" t="inlineStr">
        <is>
          <t>Reishi</t>
        </is>
      </c>
      <c r="C392" t="n">
        <v>0</v>
      </c>
      <c r="D392" t="n">
        <v>1</v>
      </c>
      <c r="E392" t="n">
        <v>0</v>
      </c>
      <c r="F392" t="inlineStr">
        <is>
          <t>General</t>
        </is>
      </c>
      <c r="G392" t="inlineStr">
        <is>
          <t>General</t>
        </is>
      </c>
      <c r="H392" t="inlineStr">
        <is>
          <t>General</t>
        </is>
      </c>
      <c r="I392" t="inlineStr">
        <is>
          <t>General</t>
        </is>
      </c>
      <c r="K392" t="inlineStr">
        <is>
          <t>unclassified</t>
        </is>
      </c>
      <c r="M392" t="n">
        <v>50</v>
      </c>
    </row>
    <row r="393">
      <c r="A393" t="inlineStr">
        <is>
          <t>Calendula</t>
        </is>
      </c>
      <c r="B393" t="inlineStr">
        <is>
          <t>Rose Hips</t>
        </is>
      </c>
      <c r="C393" t="n">
        <v>0</v>
      </c>
      <c r="D393" t="n">
        <v>1</v>
      </c>
      <c r="E393" t="n">
        <v>0</v>
      </c>
      <c r="F393" t="inlineStr">
        <is>
          <t>General</t>
        </is>
      </c>
      <c r="G393" t="inlineStr">
        <is>
          <t>General</t>
        </is>
      </c>
      <c r="H393" t="inlineStr">
        <is>
          <t>General</t>
        </is>
      </c>
      <c r="I393" t="inlineStr">
        <is>
          <t>General</t>
        </is>
      </c>
      <c r="K393" t="inlineStr">
        <is>
          <t>unclassified</t>
        </is>
      </c>
      <c r="M393" t="n">
        <v>50</v>
      </c>
    </row>
    <row r="394">
      <c r="A394" t="inlineStr">
        <is>
          <t>Calendula</t>
        </is>
      </c>
      <c r="B394" t="inlineStr">
        <is>
          <t>Sophora Flavescens</t>
        </is>
      </c>
      <c r="C394" t="n">
        <v>0</v>
      </c>
      <c r="D394" t="n">
        <v>1</v>
      </c>
      <c r="E394" t="n">
        <v>0</v>
      </c>
      <c r="F394" t="inlineStr">
        <is>
          <t>General</t>
        </is>
      </c>
      <c r="G394" t="inlineStr">
        <is>
          <t>General</t>
        </is>
      </c>
      <c r="H394" t="inlineStr">
        <is>
          <t>General</t>
        </is>
      </c>
      <c r="I394" t="inlineStr">
        <is>
          <t>General</t>
        </is>
      </c>
      <c r="K394" t="inlineStr">
        <is>
          <t>unclassified</t>
        </is>
      </c>
      <c r="M394" t="n">
        <v>50</v>
      </c>
    </row>
    <row r="395">
      <c r="A395" t="inlineStr">
        <is>
          <t>Calendula</t>
        </is>
      </c>
      <c r="B395" t="inlineStr">
        <is>
          <t>Soursop</t>
        </is>
      </c>
      <c r="C395" t="n">
        <v>0</v>
      </c>
      <c r="D395" t="n">
        <v>1</v>
      </c>
      <c r="E395" t="n">
        <v>0</v>
      </c>
      <c r="F395" t="inlineStr">
        <is>
          <t>General</t>
        </is>
      </c>
      <c r="G395" t="inlineStr">
        <is>
          <t>General</t>
        </is>
      </c>
      <c r="H395" t="inlineStr">
        <is>
          <t>General</t>
        </is>
      </c>
      <c r="I395" t="inlineStr">
        <is>
          <t>General</t>
        </is>
      </c>
      <c r="K395" t="inlineStr">
        <is>
          <t>unclassified</t>
        </is>
      </c>
      <c r="M395" t="n">
        <v>50</v>
      </c>
    </row>
    <row r="396">
      <c r="A396" t="inlineStr">
        <is>
          <t>Calendula</t>
        </is>
      </c>
      <c r="B396" t="inlineStr">
        <is>
          <t>Tamarind</t>
        </is>
      </c>
      <c r="C396" t="n">
        <v>0</v>
      </c>
      <c r="D396" t="n">
        <v>1</v>
      </c>
      <c r="E396" t="n">
        <v>0</v>
      </c>
      <c r="F396" t="inlineStr">
        <is>
          <t>General</t>
        </is>
      </c>
      <c r="G396" t="inlineStr">
        <is>
          <t>General</t>
        </is>
      </c>
      <c r="H396" t="inlineStr">
        <is>
          <t>General</t>
        </is>
      </c>
      <c r="I396" t="inlineStr">
        <is>
          <t>General</t>
        </is>
      </c>
      <c r="K396" t="inlineStr">
        <is>
          <t>unclassified</t>
        </is>
      </c>
      <c r="M396" t="n">
        <v>50</v>
      </c>
    </row>
    <row r="397">
      <c r="A397" t="inlineStr">
        <is>
          <t>Calendula</t>
        </is>
      </c>
      <c r="B397" t="inlineStr">
        <is>
          <t>White Peony</t>
        </is>
      </c>
      <c r="C397" t="n">
        <v>0</v>
      </c>
      <c r="D397" t="n">
        <v>1</v>
      </c>
      <c r="E397" t="n">
        <v>0</v>
      </c>
      <c r="F397" t="inlineStr">
        <is>
          <t>General</t>
        </is>
      </c>
      <c r="G397" t="inlineStr">
        <is>
          <t>General</t>
        </is>
      </c>
      <c r="H397" t="inlineStr">
        <is>
          <t>General</t>
        </is>
      </c>
      <c r="I397" t="inlineStr">
        <is>
          <t>General</t>
        </is>
      </c>
      <c r="K397" t="inlineStr">
        <is>
          <t>unclassified</t>
        </is>
      </c>
      <c r="M397" t="n">
        <v>50</v>
      </c>
    </row>
    <row r="398">
      <c r="A398" t="inlineStr">
        <is>
          <t>Calendula</t>
        </is>
      </c>
      <c r="B398" t="inlineStr">
        <is>
          <t>Yohimbe</t>
        </is>
      </c>
      <c r="C398" t="n">
        <v>0</v>
      </c>
      <c r="D398" t="n">
        <v>1</v>
      </c>
      <c r="E398" t="n">
        <v>0</v>
      </c>
      <c r="F398" t="inlineStr">
        <is>
          <t>General</t>
        </is>
      </c>
      <c r="G398" t="inlineStr">
        <is>
          <t>General</t>
        </is>
      </c>
      <c r="H398" t="inlineStr">
        <is>
          <t>General</t>
        </is>
      </c>
      <c r="I398" t="inlineStr">
        <is>
          <t>General</t>
        </is>
      </c>
      <c r="K398" t="inlineStr">
        <is>
          <t>unclassified</t>
        </is>
      </c>
      <c r="M398" t="n">
        <v>50</v>
      </c>
    </row>
    <row r="399">
      <c r="A399" t="inlineStr">
        <is>
          <t>Caraway</t>
        </is>
      </c>
      <c r="B399" t="inlineStr">
        <is>
          <t>Ajwain</t>
        </is>
      </c>
      <c r="C399" t="n">
        <v>0</v>
      </c>
      <c r="D399" t="n">
        <v>1</v>
      </c>
      <c r="E399" t="n">
        <v>0</v>
      </c>
      <c r="F399" t="inlineStr">
        <is>
          <t>General</t>
        </is>
      </c>
      <c r="G399" t="inlineStr">
        <is>
          <t>General</t>
        </is>
      </c>
      <c r="H399" t="inlineStr">
        <is>
          <t>General</t>
        </is>
      </c>
      <c r="I399" t="inlineStr">
        <is>
          <t>General</t>
        </is>
      </c>
      <c r="K399" t="inlineStr">
        <is>
          <t>unclassified</t>
        </is>
      </c>
      <c r="M399" t="n">
        <v>50</v>
      </c>
    </row>
    <row r="400">
      <c r="A400" t="inlineStr">
        <is>
          <t>Caraway</t>
        </is>
      </c>
      <c r="B400" t="inlineStr">
        <is>
          <t>Celastrus Paniculatus</t>
        </is>
      </c>
      <c r="C400" t="n">
        <v>0</v>
      </c>
      <c r="D400" t="n">
        <v>1</v>
      </c>
      <c r="E400" t="n">
        <v>0</v>
      </c>
      <c r="F400" t="inlineStr">
        <is>
          <t>General</t>
        </is>
      </c>
      <c r="G400" t="inlineStr">
        <is>
          <t>General</t>
        </is>
      </c>
      <c r="H400" t="inlineStr">
        <is>
          <t>General</t>
        </is>
      </c>
      <c r="I400" t="inlineStr">
        <is>
          <t>General</t>
        </is>
      </c>
      <c r="K400" t="inlineStr">
        <is>
          <t>unclassified</t>
        </is>
      </c>
      <c r="M400" t="n">
        <v>50</v>
      </c>
    </row>
    <row r="401">
      <c r="A401" t="inlineStr">
        <is>
          <t>Caraway</t>
        </is>
      </c>
      <c r="B401" t="inlineStr">
        <is>
          <t>Cordyceps</t>
        </is>
      </c>
      <c r="C401" t="n">
        <v>0</v>
      </c>
      <c r="D401" t="n">
        <v>1</v>
      </c>
      <c r="E401" t="n">
        <v>0</v>
      </c>
      <c r="F401" t="inlineStr">
        <is>
          <t>General</t>
        </is>
      </c>
      <c r="G401" t="inlineStr">
        <is>
          <t>General</t>
        </is>
      </c>
      <c r="H401" t="inlineStr">
        <is>
          <t>General</t>
        </is>
      </c>
      <c r="I401" t="inlineStr">
        <is>
          <t>General</t>
        </is>
      </c>
      <c r="K401" t="inlineStr">
        <is>
          <t>unclassified</t>
        </is>
      </c>
      <c r="M401" t="n">
        <v>50</v>
      </c>
    </row>
    <row r="402">
      <c r="A402" t="inlineStr">
        <is>
          <t>Caraway</t>
        </is>
      </c>
      <c r="B402" t="inlineStr">
        <is>
          <t>Eleuthero</t>
        </is>
      </c>
      <c r="C402" t="n">
        <v>0</v>
      </c>
      <c r="D402" t="n">
        <v>1</v>
      </c>
      <c r="E402" t="n">
        <v>0</v>
      </c>
      <c r="F402" t="inlineStr">
        <is>
          <t>General</t>
        </is>
      </c>
      <c r="G402" t="inlineStr">
        <is>
          <t>General</t>
        </is>
      </c>
      <c r="H402" t="inlineStr">
        <is>
          <t>General</t>
        </is>
      </c>
      <c r="I402" t="inlineStr">
        <is>
          <t>General</t>
        </is>
      </c>
      <c r="K402" t="inlineStr">
        <is>
          <t>unclassified</t>
        </is>
      </c>
      <c r="M402" t="n">
        <v>50</v>
      </c>
    </row>
    <row r="403">
      <c r="A403" t="inlineStr">
        <is>
          <t>Caraway</t>
        </is>
      </c>
      <c r="B403" t="inlineStr">
        <is>
          <t>Gudmar</t>
        </is>
      </c>
      <c r="C403" t="n">
        <v>0</v>
      </c>
      <c r="D403" t="n">
        <v>1</v>
      </c>
      <c r="E403" t="n">
        <v>0</v>
      </c>
      <c r="F403" t="inlineStr">
        <is>
          <t>General</t>
        </is>
      </c>
      <c r="G403" t="inlineStr">
        <is>
          <t>General</t>
        </is>
      </c>
      <c r="H403" t="inlineStr">
        <is>
          <t>General</t>
        </is>
      </c>
      <c r="I403" t="inlineStr">
        <is>
          <t>General</t>
        </is>
      </c>
      <c r="K403" t="inlineStr">
        <is>
          <t>unclassified</t>
        </is>
      </c>
      <c r="M403" t="n">
        <v>50</v>
      </c>
    </row>
    <row r="404">
      <c r="A404" t="inlineStr">
        <is>
          <t>Caraway</t>
        </is>
      </c>
      <c r="B404" t="inlineStr">
        <is>
          <t>Nettle Root</t>
        </is>
      </c>
      <c r="C404" t="n">
        <v>0</v>
      </c>
      <c r="D404" t="n">
        <v>1</v>
      </c>
      <c r="E404" t="n">
        <v>0</v>
      </c>
      <c r="F404" t="inlineStr">
        <is>
          <t>General</t>
        </is>
      </c>
      <c r="G404" t="inlineStr">
        <is>
          <t>General</t>
        </is>
      </c>
      <c r="H404" t="inlineStr">
        <is>
          <t>General</t>
        </is>
      </c>
      <c r="I404" t="inlineStr">
        <is>
          <t>General</t>
        </is>
      </c>
      <c r="K404" t="inlineStr">
        <is>
          <t>unclassified</t>
        </is>
      </c>
      <c r="M404" t="n">
        <v>50</v>
      </c>
    </row>
    <row r="405">
      <c r="A405" t="inlineStr">
        <is>
          <t>Caraway</t>
        </is>
      </c>
      <c r="B405" t="inlineStr">
        <is>
          <t>Passionflower</t>
        </is>
      </c>
      <c r="C405" t="n">
        <v>0</v>
      </c>
      <c r="D405" t="n">
        <v>1</v>
      </c>
      <c r="E405" t="n">
        <v>0</v>
      </c>
      <c r="F405" t="inlineStr">
        <is>
          <t>General</t>
        </is>
      </c>
      <c r="G405" t="inlineStr">
        <is>
          <t>General</t>
        </is>
      </c>
      <c r="H405" t="inlineStr">
        <is>
          <t>General</t>
        </is>
      </c>
      <c r="I405" t="inlineStr">
        <is>
          <t>General</t>
        </is>
      </c>
      <c r="K405" t="inlineStr">
        <is>
          <t>unclassified</t>
        </is>
      </c>
      <c r="M405" t="n">
        <v>50</v>
      </c>
    </row>
    <row r="406">
      <c r="A406" t="inlineStr">
        <is>
          <t>Caraway</t>
        </is>
      </c>
      <c r="B406" t="inlineStr">
        <is>
          <t>Punarnava</t>
        </is>
      </c>
      <c r="C406" t="n">
        <v>0</v>
      </c>
      <c r="D406" t="n">
        <v>1</v>
      </c>
      <c r="E406" t="n">
        <v>0</v>
      </c>
      <c r="F406" t="inlineStr">
        <is>
          <t>General</t>
        </is>
      </c>
      <c r="G406" t="inlineStr">
        <is>
          <t>General</t>
        </is>
      </c>
      <c r="H406" t="inlineStr">
        <is>
          <t>General</t>
        </is>
      </c>
      <c r="I406" t="inlineStr">
        <is>
          <t>General</t>
        </is>
      </c>
      <c r="K406" t="inlineStr">
        <is>
          <t>unclassified</t>
        </is>
      </c>
      <c r="M406" t="n">
        <v>50</v>
      </c>
    </row>
    <row r="407">
      <c r="A407" t="inlineStr">
        <is>
          <t>Caraway</t>
        </is>
      </c>
      <c r="B407" t="inlineStr">
        <is>
          <t>Reishi</t>
        </is>
      </c>
      <c r="C407" t="n">
        <v>0</v>
      </c>
      <c r="D407" t="n">
        <v>1</v>
      </c>
      <c r="E407" t="n">
        <v>0</v>
      </c>
      <c r="F407" t="inlineStr">
        <is>
          <t>General</t>
        </is>
      </c>
      <c r="G407" t="inlineStr">
        <is>
          <t>General</t>
        </is>
      </c>
      <c r="H407" t="inlineStr">
        <is>
          <t>General</t>
        </is>
      </c>
      <c r="I407" t="inlineStr">
        <is>
          <t>General</t>
        </is>
      </c>
      <c r="K407" t="inlineStr">
        <is>
          <t>unclassified</t>
        </is>
      </c>
      <c r="M407" t="n">
        <v>50</v>
      </c>
    </row>
    <row r="408">
      <c r="A408" t="inlineStr">
        <is>
          <t>Caraway</t>
        </is>
      </c>
      <c r="B408" t="inlineStr">
        <is>
          <t>Tamarind</t>
        </is>
      </c>
      <c r="C408" t="n">
        <v>0</v>
      </c>
      <c r="D408" t="n">
        <v>1</v>
      </c>
      <c r="E408" t="n">
        <v>0</v>
      </c>
      <c r="F408" t="inlineStr">
        <is>
          <t>General</t>
        </is>
      </c>
      <c r="G408" t="inlineStr">
        <is>
          <t>General</t>
        </is>
      </c>
      <c r="H408" t="inlineStr">
        <is>
          <t>General</t>
        </is>
      </c>
      <c r="I408" t="inlineStr">
        <is>
          <t>General</t>
        </is>
      </c>
      <c r="K408" t="inlineStr">
        <is>
          <t>unclassified</t>
        </is>
      </c>
      <c r="M408" t="n">
        <v>50</v>
      </c>
    </row>
    <row r="409">
      <c r="A409" t="inlineStr">
        <is>
          <t>Caraway</t>
        </is>
      </c>
      <c r="B409" t="inlineStr">
        <is>
          <t>Yohimbe</t>
        </is>
      </c>
      <c r="C409" t="n">
        <v>0</v>
      </c>
      <c r="D409" t="n">
        <v>1</v>
      </c>
      <c r="E409" t="n">
        <v>0</v>
      </c>
      <c r="F409" t="inlineStr">
        <is>
          <t>General</t>
        </is>
      </c>
      <c r="G409" t="inlineStr">
        <is>
          <t>General</t>
        </is>
      </c>
      <c r="H409" t="inlineStr">
        <is>
          <t>General</t>
        </is>
      </c>
      <c r="I409" t="inlineStr">
        <is>
          <t>General</t>
        </is>
      </c>
      <c r="K409" t="inlineStr">
        <is>
          <t>unclassified</t>
        </is>
      </c>
      <c r="M409" t="n">
        <v>50</v>
      </c>
    </row>
    <row r="410">
      <c r="A410" t="inlineStr">
        <is>
          <t>Cardamom</t>
        </is>
      </c>
      <c r="B410" t="inlineStr">
        <is>
          <t>Ajwain</t>
        </is>
      </c>
      <c r="C410" t="n">
        <v>0</v>
      </c>
      <c r="D410" t="n">
        <v>1</v>
      </c>
      <c r="E410" t="n">
        <v>0</v>
      </c>
      <c r="F410" t="inlineStr">
        <is>
          <t>General</t>
        </is>
      </c>
      <c r="G410" t="inlineStr">
        <is>
          <t>General</t>
        </is>
      </c>
      <c r="H410" t="inlineStr">
        <is>
          <t>General</t>
        </is>
      </c>
      <c r="I410" t="inlineStr">
        <is>
          <t>General</t>
        </is>
      </c>
      <c r="K410" t="inlineStr">
        <is>
          <t>unclassified</t>
        </is>
      </c>
      <c r="M410" t="n">
        <v>50</v>
      </c>
    </row>
    <row r="411">
      <c r="A411" t="inlineStr">
        <is>
          <t>Cardamom</t>
        </is>
      </c>
      <c r="B411" t="inlineStr">
        <is>
          <t>Caraway</t>
        </is>
      </c>
      <c r="C411" t="n">
        <v>0</v>
      </c>
      <c r="D411" t="n">
        <v>1</v>
      </c>
      <c r="E411" t="n">
        <v>0</v>
      </c>
      <c r="F411" t="inlineStr">
        <is>
          <t>General</t>
        </is>
      </c>
      <c r="G411" t="inlineStr">
        <is>
          <t>General</t>
        </is>
      </c>
      <c r="H411" t="inlineStr">
        <is>
          <t>General</t>
        </is>
      </c>
      <c r="I411" t="inlineStr">
        <is>
          <t>General</t>
        </is>
      </c>
      <c r="K411" t="inlineStr">
        <is>
          <t>unclassified</t>
        </is>
      </c>
      <c r="M411" t="n">
        <v>50</v>
      </c>
    </row>
    <row r="412">
      <c r="A412" t="inlineStr">
        <is>
          <t>Cardamom</t>
        </is>
      </c>
      <c r="B412" t="inlineStr">
        <is>
          <t>Celastrus Paniculatus</t>
        </is>
      </c>
      <c r="C412" t="n">
        <v>0</v>
      </c>
      <c r="D412" t="n">
        <v>1</v>
      </c>
      <c r="E412" t="n">
        <v>0</v>
      </c>
      <c r="F412" t="inlineStr">
        <is>
          <t>General</t>
        </is>
      </c>
      <c r="G412" t="inlineStr">
        <is>
          <t>General</t>
        </is>
      </c>
      <c r="H412" t="inlineStr">
        <is>
          <t>General</t>
        </is>
      </c>
      <c r="I412" t="inlineStr">
        <is>
          <t>General</t>
        </is>
      </c>
      <c r="K412" t="inlineStr">
        <is>
          <t>unclassified</t>
        </is>
      </c>
      <c r="M412" t="n">
        <v>50</v>
      </c>
    </row>
    <row r="413">
      <c r="A413" t="inlineStr">
        <is>
          <t>Cardamom</t>
        </is>
      </c>
      <c r="B413" t="inlineStr">
        <is>
          <t>Cordyceps</t>
        </is>
      </c>
      <c r="C413" t="n">
        <v>0</v>
      </c>
      <c r="D413" t="n">
        <v>1</v>
      </c>
      <c r="E413" t="n">
        <v>0</v>
      </c>
      <c r="F413" t="inlineStr">
        <is>
          <t>General</t>
        </is>
      </c>
      <c r="G413" t="inlineStr">
        <is>
          <t>General</t>
        </is>
      </c>
      <c r="H413" t="inlineStr">
        <is>
          <t>General</t>
        </is>
      </c>
      <c r="I413" t="inlineStr">
        <is>
          <t>General</t>
        </is>
      </c>
      <c r="K413" t="inlineStr">
        <is>
          <t>unclassified</t>
        </is>
      </c>
      <c r="M413" t="n">
        <v>50</v>
      </c>
    </row>
    <row r="414">
      <c r="A414" t="inlineStr">
        <is>
          <t>Cardamom</t>
        </is>
      </c>
      <c r="B414" t="inlineStr">
        <is>
          <t>Eleuthero</t>
        </is>
      </c>
      <c r="C414" t="n">
        <v>0</v>
      </c>
      <c r="D414" t="n">
        <v>1</v>
      </c>
      <c r="E414" t="n">
        <v>0</v>
      </c>
      <c r="F414" t="inlineStr">
        <is>
          <t>General</t>
        </is>
      </c>
      <c r="G414" t="inlineStr">
        <is>
          <t>General</t>
        </is>
      </c>
      <c r="H414" t="inlineStr">
        <is>
          <t>General</t>
        </is>
      </c>
      <c r="I414" t="inlineStr">
        <is>
          <t>General</t>
        </is>
      </c>
      <c r="K414" t="inlineStr">
        <is>
          <t>unclassified</t>
        </is>
      </c>
      <c r="M414" t="n">
        <v>50</v>
      </c>
    </row>
    <row r="415">
      <c r="A415" t="inlineStr">
        <is>
          <t>Cardamom</t>
        </is>
      </c>
      <c r="B415" t="inlineStr">
        <is>
          <t>Gudmar</t>
        </is>
      </c>
      <c r="C415" t="n">
        <v>0</v>
      </c>
      <c r="D415" t="n">
        <v>1</v>
      </c>
      <c r="E415" t="n">
        <v>0</v>
      </c>
      <c r="F415" t="inlineStr">
        <is>
          <t>General</t>
        </is>
      </c>
      <c r="G415" t="inlineStr">
        <is>
          <t>General</t>
        </is>
      </c>
      <c r="H415" t="inlineStr">
        <is>
          <t>General</t>
        </is>
      </c>
      <c r="I415" t="inlineStr">
        <is>
          <t>General</t>
        </is>
      </c>
      <c r="K415" t="inlineStr">
        <is>
          <t>unclassified</t>
        </is>
      </c>
      <c r="M415" t="n">
        <v>50</v>
      </c>
    </row>
    <row r="416">
      <c r="A416" t="inlineStr">
        <is>
          <t>Cardamom</t>
        </is>
      </c>
      <c r="B416" t="inlineStr">
        <is>
          <t>Nettle Root</t>
        </is>
      </c>
      <c r="C416" t="n">
        <v>0</v>
      </c>
      <c r="D416" t="n">
        <v>1</v>
      </c>
      <c r="E416" t="n">
        <v>0</v>
      </c>
      <c r="F416" t="inlineStr">
        <is>
          <t>General</t>
        </is>
      </c>
      <c r="G416" t="inlineStr">
        <is>
          <t>General</t>
        </is>
      </c>
      <c r="H416" t="inlineStr">
        <is>
          <t>General</t>
        </is>
      </c>
      <c r="I416" t="inlineStr">
        <is>
          <t>General</t>
        </is>
      </c>
      <c r="K416" t="inlineStr">
        <is>
          <t>unclassified</t>
        </is>
      </c>
      <c r="M416" t="n">
        <v>50</v>
      </c>
    </row>
    <row r="417">
      <c r="A417" t="inlineStr">
        <is>
          <t>Cardamom</t>
        </is>
      </c>
      <c r="B417" t="inlineStr">
        <is>
          <t>Passionflower</t>
        </is>
      </c>
      <c r="C417" t="n">
        <v>0</v>
      </c>
      <c r="D417" t="n">
        <v>1</v>
      </c>
      <c r="E417" t="n">
        <v>0</v>
      </c>
      <c r="F417" t="inlineStr">
        <is>
          <t>General</t>
        </is>
      </c>
      <c r="G417" t="inlineStr">
        <is>
          <t>General</t>
        </is>
      </c>
      <c r="H417" t="inlineStr">
        <is>
          <t>General</t>
        </is>
      </c>
      <c r="I417" t="inlineStr">
        <is>
          <t>General</t>
        </is>
      </c>
      <c r="K417" t="inlineStr">
        <is>
          <t>unclassified</t>
        </is>
      </c>
      <c r="M417" t="n">
        <v>50</v>
      </c>
    </row>
    <row r="418">
      <c r="A418" t="inlineStr">
        <is>
          <t>Cardamom</t>
        </is>
      </c>
      <c r="B418" t="inlineStr">
        <is>
          <t>Punarnava</t>
        </is>
      </c>
      <c r="C418" t="n">
        <v>0</v>
      </c>
      <c r="D418" t="n">
        <v>1</v>
      </c>
      <c r="E418" t="n">
        <v>0</v>
      </c>
      <c r="F418" t="inlineStr">
        <is>
          <t>General</t>
        </is>
      </c>
      <c r="G418" t="inlineStr">
        <is>
          <t>General</t>
        </is>
      </c>
      <c r="H418" t="inlineStr">
        <is>
          <t>General</t>
        </is>
      </c>
      <c r="I418" t="inlineStr">
        <is>
          <t>General</t>
        </is>
      </c>
      <c r="K418" t="inlineStr">
        <is>
          <t>unclassified</t>
        </is>
      </c>
      <c r="M418" t="n">
        <v>50</v>
      </c>
    </row>
    <row r="419">
      <c r="A419" t="inlineStr">
        <is>
          <t>Cardamom</t>
        </is>
      </c>
      <c r="B419" t="inlineStr">
        <is>
          <t>Reishi</t>
        </is>
      </c>
      <c r="C419" t="n">
        <v>0</v>
      </c>
      <c r="D419" t="n">
        <v>1</v>
      </c>
      <c r="E419" t="n">
        <v>0</v>
      </c>
      <c r="F419" t="inlineStr">
        <is>
          <t>General</t>
        </is>
      </c>
      <c r="G419" t="inlineStr">
        <is>
          <t>General</t>
        </is>
      </c>
      <c r="H419" t="inlineStr">
        <is>
          <t>General</t>
        </is>
      </c>
      <c r="I419" t="inlineStr">
        <is>
          <t>General</t>
        </is>
      </c>
      <c r="K419" t="inlineStr">
        <is>
          <t>unclassified</t>
        </is>
      </c>
      <c r="M419" t="n">
        <v>50</v>
      </c>
    </row>
    <row r="420">
      <c r="A420" t="inlineStr">
        <is>
          <t>Cardamom</t>
        </is>
      </c>
      <c r="B420" t="inlineStr">
        <is>
          <t>Tamarind</t>
        </is>
      </c>
      <c r="C420" t="n">
        <v>0</v>
      </c>
      <c r="D420" t="n">
        <v>1</v>
      </c>
      <c r="E420" t="n">
        <v>0</v>
      </c>
      <c r="F420" t="inlineStr">
        <is>
          <t>General</t>
        </is>
      </c>
      <c r="G420" t="inlineStr">
        <is>
          <t>General</t>
        </is>
      </c>
      <c r="H420" t="inlineStr">
        <is>
          <t>General</t>
        </is>
      </c>
      <c r="I420" t="inlineStr">
        <is>
          <t>General</t>
        </is>
      </c>
      <c r="K420" t="inlineStr">
        <is>
          <t>unclassified</t>
        </is>
      </c>
      <c r="M420" t="n">
        <v>50</v>
      </c>
    </row>
    <row r="421">
      <c r="A421" t="inlineStr">
        <is>
          <t>Cardamom</t>
        </is>
      </c>
      <c r="B421" t="inlineStr">
        <is>
          <t>Yohimbe</t>
        </is>
      </c>
      <c r="C421" t="n">
        <v>0</v>
      </c>
      <c r="D421" t="n">
        <v>1</v>
      </c>
      <c r="E421" t="n">
        <v>0</v>
      </c>
      <c r="F421" t="inlineStr">
        <is>
          <t>General</t>
        </is>
      </c>
      <c r="G421" t="inlineStr">
        <is>
          <t>General</t>
        </is>
      </c>
      <c r="H421" t="inlineStr">
        <is>
          <t>General</t>
        </is>
      </c>
      <c r="I421" t="inlineStr">
        <is>
          <t>General</t>
        </is>
      </c>
      <c r="K421" t="inlineStr">
        <is>
          <t>unclassified</t>
        </is>
      </c>
      <c r="M421" t="n">
        <v>50</v>
      </c>
    </row>
    <row r="422">
      <c r="A422" t="inlineStr">
        <is>
          <t>Celastrus Paniculatus</t>
        </is>
      </c>
      <c r="B422" t="inlineStr">
        <is>
          <t>Punarnava</t>
        </is>
      </c>
      <c r="C422" t="n">
        <v>0</v>
      </c>
      <c r="D422" t="n">
        <v>1</v>
      </c>
      <c r="E422" t="n">
        <v>0</v>
      </c>
      <c r="F422" t="inlineStr">
        <is>
          <t>General</t>
        </is>
      </c>
      <c r="G422" t="inlineStr">
        <is>
          <t>General</t>
        </is>
      </c>
      <c r="H422" t="inlineStr">
        <is>
          <t>General</t>
        </is>
      </c>
      <c r="I422" t="inlineStr">
        <is>
          <t>General</t>
        </is>
      </c>
      <c r="K422" t="inlineStr">
        <is>
          <t>unclassified</t>
        </is>
      </c>
      <c r="M422" t="n">
        <v>50</v>
      </c>
    </row>
    <row r="423">
      <c r="A423" t="inlineStr">
        <is>
          <t>Cinnamon</t>
        </is>
      </c>
      <c r="B423" t="inlineStr">
        <is>
          <t>Agarikon</t>
        </is>
      </c>
      <c r="C423" t="n">
        <v>0</v>
      </c>
      <c r="D423" t="n">
        <v>1</v>
      </c>
      <c r="E423" t="n">
        <v>0</v>
      </c>
      <c r="F423" t="inlineStr">
        <is>
          <t>General</t>
        </is>
      </c>
      <c r="G423" t="inlineStr">
        <is>
          <t>General</t>
        </is>
      </c>
      <c r="H423" t="inlineStr">
        <is>
          <t>General</t>
        </is>
      </c>
      <c r="I423" t="inlineStr">
        <is>
          <t>General</t>
        </is>
      </c>
      <c r="K423" t="inlineStr">
        <is>
          <t>unclassified</t>
        </is>
      </c>
      <c r="M423" t="n">
        <v>50</v>
      </c>
    </row>
    <row r="424">
      <c r="A424" t="inlineStr">
        <is>
          <t>Cinnamon</t>
        </is>
      </c>
      <c r="B424" t="inlineStr">
        <is>
          <t>Ajwain</t>
        </is>
      </c>
      <c r="C424" t="n">
        <v>0</v>
      </c>
      <c r="D424" t="n">
        <v>1</v>
      </c>
      <c r="E424" t="n">
        <v>0</v>
      </c>
      <c r="F424" t="inlineStr">
        <is>
          <t>General</t>
        </is>
      </c>
      <c r="G424" t="inlineStr">
        <is>
          <t>General</t>
        </is>
      </c>
      <c r="H424" t="inlineStr">
        <is>
          <t>General</t>
        </is>
      </c>
      <c r="I424" t="inlineStr">
        <is>
          <t>General</t>
        </is>
      </c>
      <c r="K424" t="inlineStr">
        <is>
          <t>unclassified</t>
        </is>
      </c>
      <c r="M424" t="n">
        <v>50</v>
      </c>
    </row>
    <row r="425">
      <c r="A425" t="inlineStr">
        <is>
          <t>Cinnamon</t>
        </is>
      </c>
      <c r="B425" t="inlineStr">
        <is>
          <t>Angelica Root</t>
        </is>
      </c>
      <c r="C425" t="n">
        <v>0</v>
      </c>
      <c r="D425" t="n">
        <v>1</v>
      </c>
      <c r="E425" t="n">
        <v>0</v>
      </c>
      <c r="F425" t="inlineStr">
        <is>
          <t>General</t>
        </is>
      </c>
      <c r="G425" t="inlineStr">
        <is>
          <t>General</t>
        </is>
      </c>
      <c r="H425" t="inlineStr">
        <is>
          <t>General</t>
        </is>
      </c>
      <c r="I425" t="inlineStr">
        <is>
          <t>General</t>
        </is>
      </c>
      <c r="K425" t="inlineStr">
        <is>
          <t>unclassified</t>
        </is>
      </c>
      <c r="M425" t="n">
        <v>50</v>
      </c>
    </row>
    <row r="426">
      <c r="A426" t="inlineStr">
        <is>
          <t>Cinnamon</t>
        </is>
      </c>
      <c r="B426" t="inlineStr">
        <is>
          <t>Ashoka</t>
        </is>
      </c>
      <c r="C426" t="n">
        <v>0</v>
      </c>
      <c r="D426" t="n">
        <v>1</v>
      </c>
      <c r="E426" t="n">
        <v>0</v>
      </c>
      <c r="F426" t="inlineStr">
        <is>
          <t>General</t>
        </is>
      </c>
      <c r="G426" t="inlineStr">
        <is>
          <t>General</t>
        </is>
      </c>
      <c r="H426" t="inlineStr">
        <is>
          <t>General</t>
        </is>
      </c>
      <c r="I426" t="inlineStr">
        <is>
          <t>General</t>
        </is>
      </c>
      <c r="K426" t="inlineStr">
        <is>
          <t>unclassified</t>
        </is>
      </c>
      <c r="M426" t="n">
        <v>50</v>
      </c>
    </row>
    <row r="427">
      <c r="A427" t="inlineStr">
        <is>
          <t>Cinnamon</t>
        </is>
      </c>
      <c r="B427" t="inlineStr">
        <is>
          <t>Boldo</t>
        </is>
      </c>
      <c r="C427" t="n">
        <v>0</v>
      </c>
      <c r="D427" t="n">
        <v>1</v>
      </c>
      <c r="E427" t="n">
        <v>0</v>
      </c>
      <c r="F427" t="inlineStr">
        <is>
          <t>General</t>
        </is>
      </c>
      <c r="G427" t="inlineStr">
        <is>
          <t>General</t>
        </is>
      </c>
      <c r="H427" t="inlineStr">
        <is>
          <t>General</t>
        </is>
      </c>
      <c r="I427" t="inlineStr">
        <is>
          <t>General</t>
        </is>
      </c>
      <c r="K427" t="inlineStr">
        <is>
          <t>unclassified</t>
        </is>
      </c>
      <c r="M427" t="n">
        <v>50</v>
      </c>
    </row>
    <row r="428">
      <c r="A428" t="inlineStr">
        <is>
          <t>Cinnamon</t>
        </is>
      </c>
      <c r="B428" t="inlineStr">
        <is>
          <t>Burdock</t>
        </is>
      </c>
      <c r="C428" t="n">
        <v>0</v>
      </c>
      <c r="D428" t="n">
        <v>1</v>
      </c>
      <c r="E428" t="n">
        <v>0</v>
      </c>
      <c r="F428" t="inlineStr">
        <is>
          <t>General</t>
        </is>
      </c>
      <c r="G428" t="inlineStr">
        <is>
          <t>General</t>
        </is>
      </c>
      <c r="H428" t="inlineStr">
        <is>
          <t>General</t>
        </is>
      </c>
      <c r="I428" t="inlineStr">
        <is>
          <t>General</t>
        </is>
      </c>
      <c r="K428" t="inlineStr">
        <is>
          <t>unclassified</t>
        </is>
      </c>
      <c r="M428" t="n">
        <v>50</v>
      </c>
    </row>
    <row r="429">
      <c r="A429" t="inlineStr">
        <is>
          <t>Cinnamon</t>
        </is>
      </c>
      <c r="B429" t="inlineStr">
        <is>
          <t>Calendula</t>
        </is>
      </c>
      <c r="C429" t="n">
        <v>0</v>
      </c>
      <c r="D429" t="n">
        <v>1</v>
      </c>
      <c r="E429" t="n">
        <v>0</v>
      </c>
      <c r="F429" t="inlineStr">
        <is>
          <t>General</t>
        </is>
      </c>
      <c r="G429" t="inlineStr">
        <is>
          <t>General</t>
        </is>
      </c>
      <c r="H429" t="inlineStr">
        <is>
          <t>General</t>
        </is>
      </c>
      <c r="I429" t="inlineStr">
        <is>
          <t>General</t>
        </is>
      </c>
      <c r="K429" t="inlineStr">
        <is>
          <t>unclassified</t>
        </is>
      </c>
      <c r="M429" t="n">
        <v>50</v>
      </c>
    </row>
    <row r="430">
      <c r="A430" t="inlineStr">
        <is>
          <t>Cinnamon</t>
        </is>
      </c>
      <c r="B430" t="inlineStr">
        <is>
          <t>Caraway</t>
        </is>
      </c>
      <c r="C430" t="n">
        <v>0</v>
      </c>
      <c r="D430" t="n">
        <v>1</v>
      </c>
      <c r="E430" t="n">
        <v>0</v>
      </c>
      <c r="F430" t="inlineStr">
        <is>
          <t>General</t>
        </is>
      </c>
      <c r="G430" t="inlineStr">
        <is>
          <t>General</t>
        </is>
      </c>
      <c r="H430" t="inlineStr">
        <is>
          <t>General</t>
        </is>
      </c>
      <c r="I430" t="inlineStr">
        <is>
          <t>General</t>
        </is>
      </c>
      <c r="K430" t="inlineStr">
        <is>
          <t>unclassified</t>
        </is>
      </c>
      <c r="M430" t="n">
        <v>50</v>
      </c>
    </row>
    <row r="431">
      <c r="A431" t="inlineStr">
        <is>
          <t>Cinnamon</t>
        </is>
      </c>
      <c r="B431" t="inlineStr">
        <is>
          <t>Cardamom</t>
        </is>
      </c>
      <c r="C431" t="n">
        <v>0</v>
      </c>
      <c r="D431" t="n">
        <v>1</v>
      </c>
      <c r="E431" t="n">
        <v>0</v>
      </c>
      <c r="F431" t="inlineStr">
        <is>
          <t>General</t>
        </is>
      </c>
      <c r="G431" t="inlineStr">
        <is>
          <t>General</t>
        </is>
      </c>
      <c r="H431" t="inlineStr">
        <is>
          <t>General</t>
        </is>
      </c>
      <c r="I431" t="inlineStr">
        <is>
          <t>General</t>
        </is>
      </c>
      <c r="K431" t="inlineStr">
        <is>
          <t>unclassified</t>
        </is>
      </c>
      <c r="M431" t="n">
        <v>50</v>
      </c>
    </row>
    <row r="432">
      <c r="A432" t="inlineStr">
        <is>
          <t>Cinnamon</t>
        </is>
      </c>
      <c r="B432" t="inlineStr">
        <is>
          <t>Celastrus Paniculatus</t>
        </is>
      </c>
      <c r="C432" t="n">
        <v>0</v>
      </c>
      <c r="D432" t="n">
        <v>1</v>
      </c>
      <c r="E432" t="n">
        <v>0</v>
      </c>
      <c r="F432" t="inlineStr">
        <is>
          <t>General</t>
        </is>
      </c>
      <c r="G432" t="inlineStr">
        <is>
          <t>General</t>
        </is>
      </c>
      <c r="H432" t="inlineStr">
        <is>
          <t>General</t>
        </is>
      </c>
      <c r="I432" t="inlineStr">
        <is>
          <t>General</t>
        </is>
      </c>
      <c r="K432" t="inlineStr">
        <is>
          <t>unclassified</t>
        </is>
      </c>
      <c r="M432" t="n">
        <v>50</v>
      </c>
    </row>
    <row r="433">
      <c r="A433" t="inlineStr">
        <is>
          <t>Cinnamon</t>
        </is>
      </c>
      <c r="B433" t="inlineStr">
        <is>
          <t>Cistanche</t>
        </is>
      </c>
      <c r="C433" t="n">
        <v>0</v>
      </c>
      <c r="D433" t="n">
        <v>1</v>
      </c>
      <c r="E433" t="n">
        <v>0</v>
      </c>
      <c r="F433" t="inlineStr">
        <is>
          <t>General</t>
        </is>
      </c>
      <c r="G433" t="inlineStr">
        <is>
          <t>General</t>
        </is>
      </c>
      <c r="H433" t="inlineStr">
        <is>
          <t>General</t>
        </is>
      </c>
      <c r="I433" t="inlineStr">
        <is>
          <t>General</t>
        </is>
      </c>
      <c r="K433" t="inlineStr">
        <is>
          <t>unclassified</t>
        </is>
      </c>
      <c r="M433" t="n">
        <v>50</v>
      </c>
    </row>
    <row r="434">
      <c r="A434" t="inlineStr">
        <is>
          <t>Cinnamon</t>
        </is>
      </c>
      <c r="B434" t="inlineStr">
        <is>
          <t>Cordyceps</t>
        </is>
      </c>
      <c r="C434" t="n">
        <v>0</v>
      </c>
      <c r="D434" t="n">
        <v>1</v>
      </c>
      <c r="E434" t="n">
        <v>0</v>
      </c>
      <c r="F434" t="inlineStr">
        <is>
          <t>General</t>
        </is>
      </c>
      <c r="G434" t="inlineStr">
        <is>
          <t>General</t>
        </is>
      </c>
      <c r="H434" t="inlineStr">
        <is>
          <t>General</t>
        </is>
      </c>
      <c r="I434" t="inlineStr">
        <is>
          <t>General</t>
        </is>
      </c>
      <c r="K434" t="inlineStr">
        <is>
          <t>unclassified</t>
        </is>
      </c>
      <c r="M434" t="n">
        <v>50</v>
      </c>
    </row>
    <row r="435">
      <c r="A435" t="inlineStr">
        <is>
          <t>Cinnamon</t>
        </is>
      </c>
      <c r="B435" t="inlineStr">
        <is>
          <t>Dandelion</t>
        </is>
      </c>
      <c r="C435" t="n">
        <v>0</v>
      </c>
      <c r="D435" t="n">
        <v>1</v>
      </c>
      <c r="E435" t="n">
        <v>0</v>
      </c>
      <c r="F435" t="inlineStr">
        <is>
          <t>General</t>
        </is>
      </c>
      <c r="G435" t="inlineStr">
        <is>
          <t>General</t>
        </is>
      </c>
      <c r="H435" t="inlineStr">
        <is>
          <t>General</t>
        </is>
      </c>
      <c r="I435" t="inlineStr">
        <is>
          <t>General</t>
        </is>
      </c>
      <c r="K435" t="inlineStr">
        <is>
          <t>unclassified</t>
        </is>
      </c>
      <c r="M435" t="n">
        <v>50</v>
      </c>
    </row>
    <row r="436">
      <c r="A436" t="inlineStr">
        <is>
          <t>Cinnamon</t>
        </is>
      </c>
      <c r="B436" t="inlineStr">
        <is>
          <t>Dendrobium</t>
        </is>
      </c>
      <c r="C436" t="n">
        <v>0</v>
      </c>
      <c r="D436" t="n">
        <v>1</v>
      </c>
      <c r="E436" t="n">
        <v>0</v>
      </c>
      <c r="F436" t="inlineStr">
        <is>
          <t>General</t>
        </is>
      </c>
      <c r="G436" t="inlineStr">
        <is>
          <t>General</t>
        </is>
      </c>
      <c r="H436" t="inlineStr">
        <is>
          <t>General</t>
        </is>
      </c>
      <c r="I436" t="inlineStr">
        <is>
          <t>General</t>
        </is>
      </c>
      <c r="K436" t="inlineStr">
        <is>
          <t>unclassified</t>
        </is>
      </c>
      <c r="M436" t="n">
        <v>50</v>
      </c>
    </row>
    <row r="437">
      <c r="A437" t="inlineStr">
        <is>
          <t>Cinnamon</t>
        </is>
      </c>
      <c r="B437" t="inlineStr">
        <is>
          <t>Elecampane</t>
        </is>
      </c>
      <c r="C437" t="n">
        <v>0</v>
      </c>
      <c r="D437" t="n">
        <v>1</v>
      </c>
      <c r="E437" t="n">
        <v>0</v>
      </c>
      <c r="F437" t="inlineStr">
        <is>
          <t>General</t>
        </is>
      </c>
      <c r="G437" t="inlineStr">
        <is>
          <t>General</t>
        </is>
      </c>
      <c r="H437" t="inlineStr">
        <is>
          <t>General</t>
        </is>
      </c>
      <c r="I437" t="inlineStr">
        <is>
          <t>General</t>
        </is>
      </c>
      <c r="K437" t="inlineStr">
        <is>
          <t>unclassified</t>
        </is>
      </c>
      <c r="M437" t="n">
        <v>50</v>
      </c>
    </row>
    <row r="438">
      <c r="A438" t="inlineStr">
        <is>
          <t>Cinnamon</t>
        </is>
      </c>
      <c r="B438" t="inlineStr">
        <is>
          <t>Eleuthero</t>
        </is>
      </c>
      <c r="C438" t="n">
        <v>0</v>
      </c>
      <c r="D438" t="n">
        <v>1</v>
      </c>
      <c r="E438" t="n">
        <v>0</v>
      </c>
      <c r="F438" t="inlineStr">
        <is>
          <t>General</t>
        </is>
      </c>
      <c r="G438" t="inlineStr">
        <is>
          <t>General</t>
        </is>
      </c>
      <c r="H438" t="inlineStr">
        <is>
          <t>General</t>
        </is>
      </c>
      <c r="I438" t="inlineStr">
        <is>
          <t>General</t>
        </is>
      </c>
      <c r="K438" t="inlineStr">
        <is>
          <t>unclassified</t>
        </is>
      </c>
      <c r="M438" t="n">
        <v>50</v>
      </c>
    </row>
    <row r="439">
      <c r="A439" t="inlineStr">
        <is>
          <t>Cinnamon</t>
        </is>
      </c>
      <c r="B439" t="inlineStr">
        <is>
          <t>Galangal</t>
        </is>
      </c>
      <c r="C439" t="n">
        <v>0</v>
      </c>
      <c r="D439" t="n">
        <v>1</v>
      </c>
      <c r="E439" t="n">
        <v>0</v>
      </c>
      <c r="F439" t="inlineStr">
        <is>
          <t>General</t>
        </is>
      </c>
      <c r="G439" t="inlineStr">
        <is>
          <t>General</t>
        </is>
      </c>
      <c r="H439" t="inlineStr">
        <is>
          <t>General</t>
        </is>
      </c>
      <c r="I439" t="inlineStr">
        <is>
          <t>General</t>
        </is>
      </c>
      <c r="K439" t="inlineStr">
        <is>
          <t>unclassified</t>
        </is>
      </c>
      <c r="M439" t="n">
        <v>50</v>
      </c>
    </row>
    <row r="440">
      <c r="A440" t="inlineStr">
        <is>
          <t>Cinnamon</t>
        </is>
      </c>
      <c r="B440" t="inlineStr">
        <is>
          <t>Gastrodia</t>
        </is>
      </c>
      <c r="C440" t="n">
        <v>0</v>
      </c>
      <c r="D440" t="n">
        <v>1</v>
      </c>
      <c r="E440" t="n">
        <v>0</v>
      </c>
      <c r="F440" t="inlineStr">
        <is>
          <t>General</t>
        </is>
      </c>
      <c r="G440" t="inlineStr">
        <is>
          <t>General</t>
        </is>
      </c>
      <c r="H440" t="inlineStr">
        <is>
          <t>General</t>
        </is>
      </c>
      <c r="I440" t="inlineStr">
        <is>
          <t>General</t>
        </is>
      </c>
      <c r="K440" t="inlineStr">
        <is>
          <t>unclassified</t>
        </is>
      </c>
      <c r="M440" t="n">
        <v>50</v>
      </c>
    </row>
    <row r="441">
      <c r="A441" t="inlineStr">
        <is>
          <t>Cinnamon</t>
        </is>
      </c>
      <c r="B441" t="inlineStr">
        <is>
          <t>Gudmar</t>
        </is>
      </c>
      <c r="C441" t="n">
        <v>0</v>
      </c>
      <c r="D441" t="n">
        <v>1</v>
      </c>
      <c r="E441" t="n">
        <v>0</v>
      </c>
      <c r="F441" t="inlineStr">
        <is>
          <t>General</t>
        </is>
      </c>
      <c r="G441" t="inlineStr">
        <is>
          <t>General</t>
        </is>
      </c>
      <c r="H441" t="inlineStr">
        <is>
          <t>General</t>
        </is>
      </c>
      <c r="I441" t="inlineStr">
        <is>
          <t>General</t>
        </is>
      </c>
      <c r="K441" t="inlineStr">
        <is>
          <t>unclassified</t>
        </is>
      </c>
      <c r="M441" t="n">
        <v>50</v>
      </c>
    </row>
    <row r="442">
      <c r="A442" t="inlineStr">
        <is>
          <t>Cinnamon</t>
        </is>
      </c>
      <c r="B442" t="inlineStr">
        <is>
          <t>Gymnema</t>
        </is>
      </c>
      <c r="C442" t="n">
        <v>0</v>
      </c>
      <c r="D442" t="n">
        <v>1</v>
      </c>
      <c r="E442" t="n">
        <v>0</v>
      </c>
      <c r="F442" t="inlineStr">
        <is>
          <t>General</t>
        </is>
      </c>
      <c r="G442" t="inlineStr">
        <is>
          <t>General</t>
        </is>
      </c>
      <c r="H442" t="inlineStr">
        <is>
          <t>General</t>
        </is>
      </c>
      <c r="I442" t="inlineStr">
        <is>
          <t>General</t>
        </is>
      </c>
      <c r="K442" t="inlineStr">
        <is>
          <t>unclassified</t>
        </is>
      </c>
      <c r="M442" t="n">
        <v>50</v>
      </c>
    </row>
    <row r="443">
      <c r="A443" t="inlineStr">
        <is>
          <t>Cinnamon</t>
        </is>
      </c>
      <c r="B443" t="inlineStr">
        <is>
          <t>Hops</t>
        </is>
      </c>
      <c r="C443" t="n">
        <v>0</v>
      </c>
      <c r="D443" t="n">
        <v>1</v>
      </c>
      <c r="E443" t="n">
        <v>0</v>
      </c>
      <c r="F443" t="inlineStr">
        <is>
          <t>General</t>
        </is>
      </c>
      <c r="G443" t="inlineStr">
        <is>
          <t>General</t>
        </is>
      </c>
      <c r="H443" t="inlineStr">
        <is>
          <t>General</t>
        </is>
      </c>
      <c r="I443" t="inlineStr">
        <is>
          <t>General</t>
        </is>
      </c>
      <c r="K443" t="inlineStr">
        <is>
          <t>unclassified</t>
        </is>
      </c>
      <c r="M443" t="n">
        <v>50</v>
      </c>
    </row>
    <row r="444">
      <c r="A444" t="inlineStr">
        <is>
          <t>Cinnamon</t>
        </is>
      </c>
      <c r="B444" t="inlineStr">
        <is>
          <t>Houttuynia</t>
        </is>
      </c>
      <c r="C444" t="n">
        <v>0</v>
      </c>
      <c r="D444" t="n">
        <v>1</v>
      </c>
      <c r="E444" t="n">
        <v>0</v>
      </c>
      <c r="F444" t="inlineStr">
        <is>
          <t>General</t>
        </is>
      </c>
      <c r="G444" t="inlineStr">
        <is>
          <t>General</t>
        </is>
      </c>
      <c r="H444" t="inlineStr">
        <is>
          <t>General</t>
        </is>
      </c>
      <c r="I444" t="inlineStr">
        <is>
          <t>General</t>
        </is>
      </c>
      <c r="K444" t="inlineStr">
        <is>
          <t>unclassified</t>
        </is>
      </c>
      <c r="M444" t="n">
        <v>50</v>
      </c>
    </row>
    <row r="445">
      <c r="A445" t="inlineStr">
        <is>
          <t>Cinnamon</t>
        </is>
      </c>
      <c r="B445" t="inlineStr">
        <is>
          <t>Isatis</t>
        </is>
      </c>
      <c r="C445" t="n">
        <v>0</v>
      </c>
      <c r="D445" t="n">
        <v>1</v>
      </c>
      <c r="E445" t="n">
        <v>0</v>
      </c>
      <c r="F445" t="inlineStr">
        <is>
          <t>General</t>
        </is>
      </c>
      <c r="G445" t="inlineStr">
        <is>
          <t>General</t>
        </is>
      </c>
      <c r="H445" t="inlineStr">
        <is>
          <t>General</t>
        </is>
      </c>
      <c r="I445" t="inlineStr">
        <is>
          <t>General</t>
        </is>
      </c>
      <c r="K445" t="inlineStr">
        <is>
          <t>unclassified</t>
        </is>
      </c>
      <c r="M445" t="n">
        <v>50</v>
      </c>
    </row>
    <row r="446">
      <c r="A446" t="inlineStr">
        <is>
          <t>Cinnamon</t>
        </is>
      </c>
      <c r="B446" t="inlineStr">
        <is>
          <t>Jatamansi</t>
        </is>
      </c>
      <c r="C446" t="n">
        <v>0</v>
      </c>
      <c r="D446" t="n">
        <v>1</v>
      </c>
      <c r="E446" t="n">
        <v>0</v>
      </c>
      <c r="F446" t="inlineStr">
        <is>
          <t>General</t>
        </is>
      </c>
      <c r="G446" t="inlineStr">
        <is>
          <t>General</t>
        </is>
      </c>
      <c r="H446" t="inlineStr">
        <is>
          <t>General</t>
        </is>
      </c>
      <c r="I446" t="inlineStr">
        <is>
          <t>General</t>
        </is>
      </c>
      <c r="K446" t="inlineStr">
        <is>
          <t>unclassified</t>
        </is>
      </c>
      <c r="M446" t="n">
        <v>50</v>
      </c>
    </row>
    <row r="447">
      <c r="A447" t="inlineStr">
        <is>
          <t>Cinnamon</t>
        </is>
      </c>
      <c r="B447" t="inlineStr">
        <is>
          <t>Lemon Verbena</t>
        </is>
      </c>
      <c r="C447" t="n">
        <v>0</v>
      </c>
      <c r="D447" t="n">
        <v>1</v>
      </c>
      <c r="E447" t="n">
        <v>0</v>
      </c>
      <c r="F447" t="inlineStr">
        <is>
          <t>General</t>
        </is>
      </c>
      <c r="G447" t="inlineStr">
        <is>
          <t>General</t>
        </is>
      </c>
      <c r="H447" t="inlineStr">
        <is>
          <t>General</t>
        </is>
      </c>
      <c r="I447" t="inlineStr">
        <is>
          <t>General</t>
        </is>
      </c>
      <c r="K447" t="inlineStr">
        <is>
          <t>unclassified</t>
        </is>
      </c>
      <c r="M447" t="n">
        <v>50</v>
      </c>
    </row>
    <row r="448">
      <c r="A448" t="inlineStr">
        <is>
          <t>Cinnamon</t>
        </is>
      </c>
      <c r="B448" t="inlineStr">
        <is>
          <t>Lemongrass</t>
        </is>
      </c>
      <c r="C448" t="n">
        <v>0</v>
      </c>
      <c r="D448" t="n">
        <v>1</v>
      </c>
      <c r="E448" t="n">
        <v>0</v>
      </c>
      <c r="F448" t="inlineStr">
        <is>
          <t>General</t>
        </is>
      </c>
      <c r="G448" t="inlineStr">
        <is>
          <t>General</t>
        </is>
      </c>
      <c r="H448" t="inlineStr">
        <is>
          <t>General</t>
        </is>
      </c>
      <c r="I448" t="inlineStr">
        <is>
          <t>General</t>
        </is>
      </c>
      <c r="K448" t="inlineStr">
        <is>
          <t>unclassified</t>
        </is>
      </c>
      <c r="M448" t="n">
        <v>50</v>
      </c>
    </row>
    <row r="449">
      <c r="A449" t="inlineStr">
        <is>
          <t>Cinnamon</t>
        </is>
      </c>
      <c r="B449" t="inlineStr">
        <is>
          <t>Longan</t>
        </is>
      </c>
      <c r="C449" t="n">
        <v>0</v>
      </c>
      <c r="D449" t="n">
        <v>1</v>
      </c>
      <c r="E449" t="n">
        <v>0</v>
      </c>
      <c r="F449" t="inlineStr">
        <is>
          <t>General</t>
        </is>
      </c>
      <c r="G449" t="inlineStr">
        <is>
          <t>General</t>
        </is>
      </c>
      <c r="H449" t="inlineStr">
        <is>
          <t>General</t>
        </is>
      </c>
      <c r="I449" t="inlineStr">
        <is>
          <t>General</t>
        </is>
      </c>
      <c r="K449" t="inlineStr">
        <is>
          <t>unclassified</t>
        </is>
      </c>
      <c r="M449" t="n">
        <v>50</v>
      </c>
    </row>
    <row r="450">
      <c r="A450" t="inlineStr">
        <is>
          <t>Cinnamon</t>
        </is>
      </c>
      <c r="B450" t="inlineStr">
        <is>
          <t>Maitake D-Fraction</t>
        </is>
      </c>
      <c r="C450" t="n">
        <v>0</v>
      </c>
      <c r="D450" t="n">
        <v>1</v>
      </c>
      <c r="E450" t="n">
        <v>0</v>
      </c>
      <c r="F450" t="inlineStr">
        <is>
          <t>General</t>
        </is>
      </c>
      <c r="G450" t="inlineStr">
        <is>
          <t>General</t>
        </is>
      </c>
      <c r="H450" t="inlineStr">
        <is>
          <t>General</t>
        </is>
      </c>
      <c r="I450" t="inlineStr">
        <is>
          <t>General</t>
        </is>
      </c>
      <c r="K450" t="inlineStr">
        <is>
          <t>unclassified</t>
        </is>
      </c>
      <c r="M450" t="n">
        <v>50</v>
      </c>
    </row>
    <row r="451">
      <c r="A451" t="inlineStr">
        <is>
          <t>Cinnamon</t>
        </is>
      </c>
      <c r="B451" t="inlineStr">
        <is>
          <t>Milk Oats</t>
        </is>
      </c>
      <c r="C451" t="n">
        <v>0</v>
      </c>
      <c r="D451" t="n">
        <v>1</v>
      </c>
      <c r="E451" t="n">
        <v>0</v>
      </c>
      <c r="F451" t="inlineStr">
        <is>
          <t>General</t>
        </is>
      </c>
      <c r="G451" t="inlineStr">
        <is>
          <t>General</t>
        </is>
      </c>
      <c r="H451" t="inlineStr">
        <is>
          <t>General</t>
        </is>
      </c>
      <c r="I451" t="inlineStr">
        <is>
          <t>General</t>
        </is>
      </c>
      <c r="K451" t="inlineStr">
        <is>
          <t>unclassified</t>
        </is>
      </c>
      <c r="M451" t="n">
        <v>50</v>
      </c>
    </row>
    <row r="452">
      <c r="A452" t="inlineStr">
        <is>
          <t>Cinnamon</t>
        </is>
      </c>
      <c r="B452" t="inlineStr">
        <is>
          <t>Mugwort</t>
        </is>
      </c>
      <c r="C452" t="n">
        <v>0</v>
      </c>
      <c r="D452" t="n">
        <v>1</v>
      </c>
      <c r="E452" t="n">
        <v>0</v>
      </c>
      <c r="F452" t="inlineStr">
        <is>
          <t>General</t>
        </is>
      </c>
      <c r="G452" t="inlineStr">
        <is>
          <t>General</t>
        </is>
      </c>
      <c r="H452" t="inlineStr">
        <is>
          <t>General</t>
        </is>
      </c>
      <c r="I452" t="inlineStr">
        <is>
          <t>General</t>
        </is>
      </c>
      <c r="K452" t="inlineStr">
        <is>
          <t>unclassified</t>
        </is>
      </c>
      <c r="M452" t="n">
        <v>50</v>
      </c>
    </row>
    <row r="453">
      <c r="A453" t="inlineStr">
        <is>
          <t>Cinnamon</t>
        </is>
      </c>
      <c r="B453" t="inlineStr">
        <is>
          <t>Muira Puama</t>
        </is>
      </c>
      <c r="C453" t="n">
        <v>0</v>
      </c>
      <c r="D453" t="n">
        <v>1</v>
      </c>
      <c r="E453" t="n">
        <v>0</v>
      </c>
      <c r="F453" t="inlineStr">
        <is>
          <t>General</t>
        </is>
      </c>
      <c r="G453" t="inlineStr">
        <is>
          <t>General</t>
        </is>
      </c>
      <c r="H453" t="inlineStr">
        <is>
          <t>General</t>
        </is>
      </c>
      <c r="I453" t="inlineStr">
        <is>
          <t>General</t>
        </is>
      </c>
      <c r="K453" t="inlineStr">
        <is>
          <t>unclassified</t>
        </is>
      </c>
      <c r="M453" t="n">
        <v>50</v>
      </c>
    </row>
    <row r="454">
      <c r="A454" t="inlineStr">
        <is>
          <t>Cinnamon</t>
        </is>
      </c>
      <c r="B454" t="inlineStr">
        <is>
          <t>Mulberry Leaf</t>
        </is>
      </c>
      <c r="C454" t="n">
        <v>0</v>
      </c>
      <c r="D454" t="n">
        <v>1</v>
      </c>
      <c r="E454" t="n">
        <v>0</v>
      </c>
      <c r="F454" t="inlineStr">
        <is>
          <t>General</t>
        </is>
      </c>
      <c r="G454" t="inlineStr">
        <is>
          <t>General</t>
        </is>
      </c>
      <c r="H454" t="inlineStr">
        <is>
          <t>General</t>
        </is>
      </c>
      <c r="I454" t="inlineStr">
        <is>
          <t>General</t>
        </is>
      </c>
      <c r="K454" t="inlineStr">
        <is>
          <t>unclassified</t>
        </is>
      </c>
      <c r="M454" t="n">
        <v>50</v>
      </c>
    </row>
    <row r="455">
      <c r="A455" t="inlineStr">
        <is>
          <t>Cinnamon</t>
        </is>
      </c>
      <c r="B455" t="inlineStr">
        <is>
          <t>Myrtle</t>
        </is>
      </c>
      <c r="C455" t="n">
        <v>0</v>
      </c>
      <c r="D455" t="n">
        <v>1</v>
      </c>
      <c r="E455" t="n">
        <v>0</v>
      </c>
      <c r="F455" t="inlineStr">
        <is>
          <t>General</t>
        </is>
      </c>
      <c r="G455" t="inlineStr">
        <is>
          <t>General</t>
        </is>
      </c>
      <c r="H455" t="inlineStr">
        <is>
          <t>General</t>
        </is>
      </c>
      <c r="I455" t="inlineStr">
        <is>
          <t>General</t>
        </is>
      </c>
      <c r="K455" t="inlineStr">
        <is>
          <t>unclassified</t>
        </is>
      </c>
      <c r="M455" t="n">
        <v>50</v>
      </c>
    </row>
    <row r="456">
      <c r="A456" t="inlineStr">
        <is>
          <t>Cinnamon</t>
        </is>
      </c>
      <c r="B456" t="inlineStr">
        <is>
          <t>Neem</t>
        </is>
      </c>
      <c r="C456" t="n">
        <v>0</v>
      </c>
      <c r="D456" t="n">
        <v>1</v>
      </c>
      <c r="E456" t="n">
        <v>0</v>
      </c>
      <c r="F456" t="inlineStr">
        <is>
          <t>General</t>
        </is>
      </c>
      <c r="G456" t="inlineStr">
        <is>
          <t>General</t>
        </is>
      </c>
      <c r="H456" t="inlineStr">
        <is>
          <t>General</t>
        </is>
      </c>
      <c r="I456" t="inlineStr">
        <is>
          <t>General</t>
        </is>
      </c>
      <c r="K456" t="inlineStr">
        <is>
          <t>unclassified</t>
        </is>
      </c>
      <c r="M456" t="n">
        <v>50</v>
      </c>
    </row>
    <row r="457">
      <c r="A457" t="inlineStr">
        <is>
          <t>Cinnamon</t>
        </is>
      </c>
      <c r="B457" t="inlineStr">
        <is>
          <t>Nettle Root</t>
        </is>
      </c>
      <c r="C457" t="n">
        <v>0</v>
      </c>
      <c r="D457" t="n">
        <v>1</v>
      </c>
      <c r="E457" t="n">
        <v>0</v>
      </c>
      <c r="F457" t="inlineStr">
        <is>
          <t>General</t>
        </is>
      </c>
      <c r="G457" t="inlineStr">
        <is>
          <t>General</t>
        </is>
      </c>
      <c r="H457" t="inlineStr">
        <is>
          <t>General</t>
        </is>
      </c>
      <c r="I457" t="inlineStr">
        <is>
          <t>General</t>
        </is>
      </c>
      <c r="K457" t="inlineStr">
        <is>
          <t>unclassified</t>
        </is>
      </c>
      <c r="M457" t="n">
        <v>50</v>
      </c>
    </row>
    <row r="458">
      <c r="A458" t="inlineStr">
        <is>
          <t>Cinnamon</t>
        </is>
      </c>
      <c r="B458" t="inlineStr">
        <is>
          <t>Noni</t>
        </is>
      </c>
      <c r="C458" t="n">
        <v>0</v>
      </c>
      <c r="D458" t="n">
        <v>1</v>
      </c>
      <c r="E458" t="n">
        <v>0</v>
      </c>
      <c r="F458" t="inlineStr">
        <is>
          <t>General</t>
        </is>
      </c>
      <c r="G458" t="inlineStr">
        <is>
          <t>General</t>
        </is>
      </c>
      <c r="H458" t="inlineStr">
        <is>
          <t>General</t>
        </is>
      </c>
      <c r="I458" t="inlineStr">
        <is>
          <t>General</t>
        </is>
      </c>
      <c r="K458" t="inlineStr">
        <is>
          <t>unclassified</t>
        </is>
      </c>
      <c r="M458" t="n">
        <v>50</v>
      </c>
    </row>
    <row r="459">
      <c r="A459" t="inlineStr">
        <is>
          <t>Cinnamon</t>
        </is>
      </c>
      <c r="B459" t="inlineStr">
        <is>
          <t>Oatstraw</t>
        </is>
      </c>
      <c r="C459" t="n">
        <v>0</v>
      </c>
      <c r="D459" t="n">
        <v>1</v>
      </c>
      <c r="E459" t="n">
        <v>0</v>
      </c>
      <c r="F459" t="inlineStr">
        <is>
          <t>General</t>
        </is>
      </c>
      <c r="G459" t="inlineStr">
        <is>
          <t>General</t>
        </is>
      </c>
      <c r="H459" t="inlineStr">
        <is>
          <t>General</t>
        </is>
      </c>
      <c r="I459" t="inlineStr">
        <is>
          <t>General</t>
        </is>
      </c>
      <c r="K459" t="inlineStr">
        <is>
          <t>unclassified</t>
        </is>
      </c>
      <c r="M459" t="n">
        <v>50</v>
      </c>
    </row>
    <row r="460">
      <c r="A460" t="inlineStr">
        <is>
          <t>Cinnamon</t>
        </is>
      </c>
      <c r="B460" t="inlineStr">
        <is>
          <t>Passionflower</t>
        </is>
      </c>
      <c r="C460" t="n">
        <v>0</v>
      </c>
      <c r="D460" t="n">
        <v>1</v>
      </c>
      <c r="E460" t="n">
        <v>0</v>
      </c>
      <c r="F460" t="inlineStr">
        <is>
          <t>General</t>
        </is>
      </c>
      <c r="G460" t="inlineStr">
        <is>
          <t>General</t>
        </is>
      </c>
      <c r="H460" t="inlineStr">
        <is>
          <t>General</t>
        </is>
      </c>
      <c r="I460" t="inlineStr">
        <is>
          <t>General</t>
        </is>
      </c>
      <c r="K460" t="inlineStr">
        <is>
          <t>unclassified</t>
        </is>
      </c>
      <c r="M460" t="n">
        <v>50</v>
      </c>
    </row>
    <row r="461">
      <c r="A461" t="inlineStr">
        <is>
          <t>Cinnamon</t>
        </is>
      </c>
      <c r="B461" t="inlineStr">
        <is>
          <t>Pau d'Arco</t>
        </is>
      </c>
      <c r="C461" t="n">
        <v>0</v>
      </c>
      <c r="D461" t="n">
        <v>1</v>
      </c>
      <c r="E461" t="n">
        <v>0</v>
      </c>
      <c r="F461" t="inlineStr">
        <is>
          <t>General</t>
        </is>
      </c>
      <c r="G461" t="inlineStr">
        <is>
          <t>General</t>
        </is>
      </c>
      <c r="H461" t="inlineStr">
        <is>
          <t>General</t>
        </is>
      </c>
      <c r="I461" t="inlineStr">
        <is>
          <t>General</t>
        </is>
      </c>
      <c r="K461" t="inlineStr">
        <is>
          <t>unclassified</t>
        </is>
      </c>
      <c r="M461" t="n">
        <v>50</v>
      </c>
    </row>
    <row r="462">
      <c r="A462" t="inlineStr">
        <is>
          <t>Cinnamon</t>
        </is>
      </c>
      <c r="B462" t="inlineStr">
        <is>
          <t>Perilla</t>
        </is>
      </c>
      <c r="C462" t="n">
        <v>0</v>
      </c>
      <c r="D462" t="n">
        <v>1</v>
      </c>
      <c r="E462" t="n">
        <v>0</v>
      </c>
      <c r="F462" t="inlineStr">
        <is>
          <t>General</t>
        </is>
      </c>
      <c r="G462" t="inlineStr">
        <is>
          <t>General</t>
        </is>
      </c>
      <c r="H462" t="inlineStr">
        <is>
          <t>General</t>
        </is>
      </c>
      <c r="I462" t="inlineStr">
        <is>
          <t>General</t>
        </is>
      </c>
      <c r="K462" t="inlineStr">
        <is>
          <t>unclassified</t>
        </is>
      </c>
      <c r="M462" t="n">
        <v>50</v>
      </c>
    </row>
    <row r="463">
      <c r="A463" t="inlineStr">
        <is>
          <t>Cinnamon</t>
        </is>
      </c>
      <c r="B463" t="inlineStr">
        <is>
          <t>Pomegranate</t>
        </is>
      </c>
      <c r="C463" t="n">
        <v>0</v>
      </c>
      <c r="D463" t="n">
        <v>1</v>
      </c>
      <c r="E463" t="n">
        <v>0</v>
      </c>
      <c r="F463" t="inlineStr">
        <is>
          <t>General</t>
        </is>
      </c>
      <c r="G463" t="inlineStr">
        <is>
          <t>General</t>
        </is>
      </c>
      <c r="H463" t="inlineStr">
        <is>
          <t>General</t>
        </is>
      </c>
      <c r="I463" t="inlineStr">
        <is>
          <t>General</t>
        </is>
      </c>
      <c r="K463" t="inlineStr">
        <is>
          <t>unclassified</t>
        </is>
      </c>
      <c r="M463" t="n">
        <v>50</v>
      </c>
    </row>
    <row r="464">
      <c r="A464" t="inlineStr">
        <is>
          <t>Cinnamon</t>
        </is>
      </c>
      <c r="B464" t="inlineStr">
        <is>
          <t>Poria</t>
        </is>
      </c>
      <c r="C464" t="n">
        <v>0</v>
      </c>
      <c r="D464" t="n">
        <v>1</v>
      </c>
      <c r="E464" t="n">
        <v>0</v>
      </c>
      <c r="F464" t="inlineStr">
        <is>
          <t>General</t>
        </is>
      </c>
      <c r="G464" t="inlineStr">
        <is>
          <t>General</t>
        </is>
      </c>
      <c r="H464" t="inlineStr">
        <is>
          <t>General</t>
        </is>
      </c>
      <c r="I464" t="inlineStr">
        <is>
          <t>General</t>
        </is>
      </c>
      <c r="K464" t="inlineStr">
        <is>
          <t>unclassified</t>
        </is>
      </c>
      <c r="M464" t="n">
        <v>50</v>
      </c>
    </row>
    <row r="465">
      <c r="A465" t="inlineStr">
        <is>
          <t>Cinnamon</t>
        </is>
      </c>
      <c r="B465" t="inlineStr">
        <is>
          <t>Punarnava</t>
        </is>
      </c>
      <c r="C465" t="n">
        <v>0</v>
      </c>
      <c r="D465" t="n">
        <v>1</v>
      </c>
      <c r="E465" t="n">
        <v>0</v>
      </c>
      <c r="F465" t="inlineStr">
        <is>
          <t>General</t>
        </is>
      </c>
      <c r="G465" t="inlineStr">
        <is>
          <t>General</t>
        </is>
      </c>
      <c r="H465" t="inlineStr">
        <is>
          <t>General</t>
        </is>
      </c>
      <c r="I465" t="inlineStr">
        <is>
          <t>General</t>
        </is>
      </c>
      <c r="K465" t="inlineStr">
        <is>
          <t>unclassified</t>
        </is>
      </c>
      <c r="M465" t="n">
        <v>50</v>
      </c>
    </row>
    <row r="466">
      <c r="A466" t="inlineStr">
        <is>
          <t>Cinnamon</t>
        </is>
      </c>
      <c r="B466" t="inlineStr">
        <is>
          <t>Red Clover</t>
        </is>
      </c>
      <c r="C466" t="n">
        <v>0</v>
      </c>
      <c r="D466" t="n">
        <v>1</v>
      </c>
      <c r="E466" t="n">
        <v>0</v>
      </c>
      <c r="F466" t="inlineStr">
        <is>
          <t>General</t>
        </is>
      </c>
      <c r="G466" t="inlineStr">
        <is>
          <t>General</t>
        </is>
      </c>
      <c r="H466" t="inlineStr">
        <is>
          <t>General</t>
        </is>
      </c>
      <c r="I466" t="inlineStr">
        <is>
          <t>General</t>
        </is>
      </c>
      <c r="K466" t="inlineStr">
        <is>
          <t>unclassified</t>
        </is>
      </c>
      <c r="M466" t="n">
        <v>50</v>
      </c>
    </row>
    <row r="467">
      <c r="A467" t="inlineStr">
        <is>
          <t>Cinnamon</t>
        </is>
      </c>
      <c r="B467" t="inlineStr">
        <is>
          <t>Rehmannia Prepared</t>
        </is>
      </c>
      <c r="C467" t="n">
        <v>0</v>
      </c>
      <c r="D467" t="n">
        <v>1</v>
      </c>
      <c r="E467" t="n">
        <v>0</v>
      </c>
      <c r="F467" t="inlineStr">
        <is>
          <t>General</t>
        </is>
      </c>
      <c r="G467" t="inlineStr">
        <is>
          <t>General</t>
        </is>
      </c>
      <c r="H467" t="inlineStr">
        <is>
          <t>General</t>
        </is>
      </c>
      <c r="I467" t="inlineStr">
        <is>
          <t>General</t>
        </is>
      </c>
      <c r="K467" t="inlineStr">
        <is>
          <t>unclassified</t>
        </is>
      </c>
      <c r="M467" t="n">
        <v>50</v>
      </c>
    </row>
    <row r="468">
      <c r="A468" t="inlineStr">
        <is>
          <t>Cinnamon</t>
        </is>
      </c>
      <c r="B468" t="inlineStr">
        <is>
          <t>Reishi</t>
        </is>
      </c>
      <c r="C468" t="n">
        <v>0</v>
      </c>
      <c r="D468" t="n">
        <v>1</v>
      </c>
      <c r="E468" t="n">
        <v>0</v>
      </c>
      <c r="F468" t="inlineStr">
        <is>
          <t>General</t>
        </is>
      </c>
      <c r="G468" t="inlineStr">
        <is>
          <t>General</t>
        </is>
      </c>
      <c r="H468" t="inlineStr">
        <is>
          <t>General</t>
        </is>
      </c>
      <c r="I468" t="inlineStr">
        <is>
          <t>General</t>
        </is>
      </c>
      <c r="K468" t="inlineStr">
        <is>
          <t>unclassified</t>
        </is>
      </c>
      <c r="M468" t="n">
        <v>50</v>
      </c>
    </row>
    <row r="469">
      <c r="A469" t="inlineStr">
        <is>
          <t>Cinnamon</t>
        </is>
      </c>
      <c r="B469" t="inlineStr">
        <is>
          <t>Rose Hips</t>
        </is>
      </c>
      <c r="C469" t="n">
        <v>0</v>
      </c>
      <c r="D469" t="n">
        <v>1</v>
      </c>
      <c r="E469" t="n">
        <v>0</v>
      </c>
      <c r="F469" t="inlineStr">
        <is>
          <t>General</t>
        </is>
      </c>
      <c r="G469" t="inlineStr">
        <is>
          <t>General</t>
        </is>
      </c>
      <c r="H469" t="inlineStr">
        <is>
          <t>General</t>
        </is>
      </c>
      <c r="I469" t="inlineStr">
        <is>
          <t>General</t>
        </is>
      </c>
      <c r="K469" t="inlineStr">
        <is>
          <t>unclassified</t>
        </is>
      </c>
      <c r="M469" t="n">
        <v>50</v>
      </c>
    </row>
    <row r="470">
      <c r="A470" t="inlineStr">
        <is>
          <t>Cinnamon</t>
        </is>
      </c>
      <c r="B470" t="inlineStr">
        <is>
          <t>Sophora Flavescens</t>
        </is>
      </c>
      <c r="C470" t="n">
        <v>0</v>
      </c>
      <c r="D470" t="n">
        <v>1</v>
      </c>
      <c r="E470" t="n">
        <v>0</v>
      </c>
      <c r="F470" t="inlineStr">
        <is>
          <t>General</t>
        </is>
      </c>
      <c r="G470" t="inlineStr">
        <is>
          <t>General</t>
        </is>
      </c>
      <c r="H470" t="inlineStr">
        <is>
          <t>General</t>
        </is>
      </c>
      <c r="I470" t="inlineStr">
        <is>
          <t>General</t>
        </is>
      </c>
      <c r="K470" t="inlineStr">
        <is>
          <t>unclassified</t>
        </is>
      </c>
      <c r="M470" t="n">
        <v>50</v>
      </c>
    </row>
    <row r="471">
      <c r="A471" t="inlineStr">
        <is>
          <t>Cinnamon</t>
        </is>
      </c>
      <c r="B471" t="inlineStr">
        <is>
          <t>Soursop</t>
        </is>
      </c>
      <c r="C471" t="n">
        <v>0</v>
      </c>
      <c r="D471" t="n">
        <v>1</v>
      </c>
      <c r="E471" t="n">
        <v>0</v>
      </c>
      <c r="F471" t="inlineStr">
        <is>
          <t>General</t>
        </is>
      </c>
      <c r="G471" t="inlineStr">
        <is>
          <t>General</t>
        </is>
      </c>
      <c r="H471" t="inlineStr">
        <is>
          <t>General</t>
        </is>
      </c>
      <c r="I471" t="inlineStr">
        <is>
          <t>General</t>
        </is>
      </c>
      <c r="K471" t="inlineStr">
        <is>
          <t>unclassified</t>
        </is>
      </c>
      <c r="M471" t="n">
        <v>50</v>
      </c>
    </row>
    <row r="472">
      <c r="A472" t="inlineStr">
        <is>
          <t>Cinnamon</t>
        </is>
      </c>
      <c r="B472" t="inlineStr">
        <is>
          <t>Tamarind</t>
        </is>
      </c>
      <c r="C472" t="n">
        <v>0</v>
      </c>
      <c r="D472" t="n">
        <v>1</v>
      </c>
      <c r="E472" t="n">
        <v>0</v>
      </c>
      <c r="F472" t="inlineStr">
        <is>
          <t>General</t>
        </is>
      </c>
      <c r="G472" t="inlineStr">
        <is>
          <t>General</t>
        </is>
      </c>
      <c r="H472" t="inlineStr">
        <is>
          <t>General</t>
        </is>
      </c>
      <c r="I472" t="inlineStr">
        <is>
          <t>General</t>
        </is>
      </c>
      <c r="K472" t="inlineStr">
        <is>
          <t>unclassified</t>
        </is>
      </c>
      <c r="M472" t="n">
        <v>50</v>
      </c>
    </row>
    <row r="473">
      <c r="A473" t="inlineStr">
        <is>
          <t>Cinnamon</t>
        </is>
      </c>
      <c r="B473" t="inlineStr">
        <is>
          <t>White Peony</t>
        </is>
      </c>
      <c r="C473" t="n">
        <v>0</v>
      </c>
      <c r="D473" t="n">
        <v>1</v>
      </c>
      <c r="E473" t="n">
        <v>0</v>
      </c>
      <c r="F473" t="inlineStr">
        <is>
          <t>General</t>
        </is>
      </c>
      <c r="G473" t="inlineStr">
        <is>
          <t>General</t>
        </is>
      </c>
      <c r="H473" t="inlineStr">
        <is>
          <t>General</t>
        </is>
      </c>
      <c r="I473" t="inlineStr">
        <is>
          <t>General</t>
        </is>
      </c>
      <c r="K473" t="inlineStr">
        <is>
          <t>unclassified</t>
        </is>
      </c>
      <c r="M473" t="n">
        <v>50</v>
      </c>
    </row>
    <row r="474">
      <c r="A474" t="inlineStr">
        <is>
          <t>Cinnamon</t>
        </is>
      </c>
      <c r="B474" t="inlineStr">
        <is>
          <t>Yohimbe</t>
        </is>
      </c>
      <c r="C474" t="n">
        <v>0</v>
      </c>
      <c r="D474" t="n">
        <v>1</v>
      </c>
      <c r="E474" t="n">
        <v>0</v>
      </c>
      <c r="F474" t="inlineStr">
        <is>
          <t>General</t>
        </is>
      </c>
      <c r="G474" t="inlineStr">
        <is>
          <t>General</t>
        </is>
      </c>
      <c r="H474" t="inlineStr">
        <is>
          <t>General</t>
        </is>
      </c>
      <c r="I474" t="inlineStr">
        <is>
          <t>General</t>
        </is>
      </c>
      <c r="K474" t="inlineStr">
        <is>
          <t>unclassified</t>
        </is>
      </c>
      <c r="M474" t="n">
        <v>50</v>
      </c>
    </row>
    <row r="475">
      <c r="A475" t="inlineStr">
        <is>
          <t>Cistanche</t>
        </is>
      </c>
      <c r="B475" t="inlineStr">
        <is>
          <t>Agarikon</t>
        </is>
      </c>
      <c r="C475" t="n">
        <v>0</v>
      </c>
      <c r="D475" t="n">
        <v>1</v>
      </c>
      <c r="E475" t="n">
        <v>0</v>
      </c>
      <c r="F475" t="inlineStr">
        <is>
          <t>General</t>
        </is>
      </c>
      <c r="G475" t="inlineStr">
        <is>
          <t>General</t>
        </is>
      </c>
      <c r="H475" t="inlineStr">
        <is>
          <t>General</t>
        </is>
      </c>
      <c r="I475" t="inlineStr">
        <is>
          <t>General</t>
        </is>
      </c>
      <c r="K475" t="inlineStr">
        <is>
          <t>unclassified</t>
        </is>
      </c>
      <c r="M475" t="n">
        <v>50</v>
      </c>
    </row>
    <row r="476">
      <c r="A476" t="inlineStr">
        <is>
          <t>Cistanche</t>
        </is>
      </c>
      <c r="B476" t="inlineStr">
        <is>
          <t>Ajwain</t>
        </is>
      </c>
      <c r="C476" t="n">
        <v>0</v>
      </c>
      <c r="D476" t="n">
        <v>1</v>
      </c>
      <c r="E476" t="n">
        <v>0</v>
      </c>
      <c r="F476" t="inlineStr">
        <is>
          <t>General</t>
        </is>
      </c>
      <c r="G476" t="inlineStr">
        <is>
          <t>General</t>
        </is>
      </c>
      <c r="H476" t="inlineStr">
        <is>
          <t>General</t>
        </is>
      </c>
      <c r="I476" t="inlineStr">
        <is>
          <t>General</t>
        </is>
      </c>
      <c r="K476" t="inlineStr">
        <is>
          <t>unclassified</t>
        </is>
      </c>
      <c r="M476" t="n">
        <v>50</v>
      </c>
    </row>
    <row r="477">
      <c r="A477" t="inlineStr">
        <is>
          <t>Cistanche</t>
        </is>
      </c>
      <c r="B477" t="inlineStr">
        <is>
          <t>Angelica Root</t>
        </is>
      </c>
      <c r="C477" t="n">
        <v>0</v>
      </c>
      <c r="D477" t="n">
        <v>1</v>
      </c>
      <c r="E477" t="n">
        <v>0</v>
      </c>
      <c r="F477" t="inlineStr">
        <is>
          <t>General</t>
        </is>
      </c>
      <c r="G477" t="inlineStr">
        <is>
          <t>General</t>
        </is>
      </c>
      <c r="H477" t="inlineStr">
        <is>
          <t>General</t>
        </is>
      </c>
      <c r="I477" t="inlineStr">
        <is>
          <t>General</t>
        </is>
      </c>
      <c r="K477" t="inlineStr">
        <is>
          <t>unclassified</t>
        </is>
      </c>
      <c r="M477" t="n">
        <v>50</v>
      </c>
    </row>
    <row r="478">
      <c r="A478" t="inlineStr">
        <is>
          <t>Cistanche</t>
        </is>
      </c>
      <c r="B478" t="inlineStr">
        <is>
          <t>Caraway</t>
        </is>
      </c>
      <c r="C478" t="n">
        <v>0</v>
      </c>
      <c r="D478" t="n">
        <v>1</v>
      </c>
      <c r="E478" t="n">
        <v>0</v>
      </c>
      <c r="F478" t="inlineStr">
        <is>
          <t>General</t>
        </is>
      </c>
      <c r="G478" t="inlineStr">
        <is>
          <t>General</t>
        </is>
      </c>
      <c r="H478" t="inlineStr">
        <is>
          <t>General</t>
        </is>
      </c>
      <c r="I478" t="inlineStr">
        <is>
          <t>General</t>
        </is>
      </c>
      <c r="K478" t="inlineStr">
        <is>
          <t>unclassified</t>
        </is>
      </c>
      <c r="M478" t="n">
        <v>50</v>
      </c>
    </row>
    <row r="479">
      <c r="A479" t="inlineStr">
        <is>
          <t>Cistanche</t>
        </is>
      </c>
      <c r="B479" t="inlineStr">
        <is>
          <t>Cardamom</t>
        </is>
      </c>
      <c r="C479" t="n">
        <v>0</v>
      </c>
      <c r="D479" t="n">
        <v>1</v>
      </c>
      <c r="E479" t="n">
        <v>0</v>
      </c>
      <c r="F479" t="inlineStr">
        <is>
          <t>General</t>
        </is>
      </c>
      <c r="G479" t="inlineStr">
        <is>
          <t>General</t>
        </is>
      </c>
      <c r="H479" t="inlineStr">
        <is>
          <t>General</t>
        </is>
      </c>
      <c r="I479" t="inlineStr">
        <is>
          <t>General</t>
        </is>
      </c>
      <c r="K479" t="inlineStr">
        <is>
          <t>unclassified</t>
        </is>
      </c>
      <c r="M479" t="n">
        <v>50</v>
      </c>
    </row>
    <row r="480">
      <c r="A480" t="inlineStr">
        <is>
          <t>Cistanche</t>
        </is>
      </c>
      <c r="B480" t="inlineStr">
        <is>
          <t>Celastrus Paniculatus</t>
        </is>
      </c>
      <c r="C480" t="n">
        <v>0</v>
      </c>
      <c r="D480" t="n">
        <v>1</v>
      </c>
      <c r="E480" t="n">
        <v>0</v>
      </c>
      <c r="F480" t="inlineStr">
        <is>
          <t>General</t>
        </is>
      </c>
      <c r="G480" t="inlineStr">
        <is>
          <t>General</t>
        </is>
      </c>
      <c r="H480" t="inlineStr">
        <is>
          <t>General</t>
        </is>
      </c>
      <c r="I480" t="inlineStr">
        <is>
          <t>General</t>
        </is>
      </c>
      <c r="K480" t="inlineStr">
        <is>
          <t>unclassified</t>
        </is>
      </c>
      <c r="M480" t="n">
        <v>50</v>
      </c>
    </row>
    <row r="481">
      <c r="A481" t="inlineStr">
        <is>
          <t>Cistanche</t>
        </is>
      </c>
      <c r="B481" t="inlineStr">
        <is>
          <t>Cordyceps</t>
        </is>
      </c>
      <c r="C481" t="n">
        <v>0</v>
      </c>
      <c r="D481" t="n">
        <v>1</v>
      </c>
      <c r="E481" t="n">
        <v>0</v>
      </c>
      <c r="F481" t="inlineStr">
        <is>
          <t>General</t>
        </is>
      </c>
      <c r="G481" t="inlineStr">
        <is>
          <t>General</t>
        </is>
      </c>
      <c r="H481" t="inlineStr">
        <is>
          <t>General</t>
        </is>
      </c>
      <c r="I481" t="inlineStr">
        <is>
          <t>General</t>
        </is>
      </c>
      <c r="K481" t="inlineStr">
        <is>
          <t>unclassified</t>
        </is>
      </c>
      <c r="M481" t="n">
        <v>50</v>
      </c>
    </row>
    <row r="482">
      <c r="A482" t="inlineStr">
        <is>
          <t>Cistanche</t>
        </is>
      </c>
      <c r="B482" t="inlineStr">
        <is>
          <t>Dendrobium</t>
        </is>
      </c>
      <c r="C482" t="n">
        <v>0</v>
      </c>
      <c r="D482" t="n">
        <v>1</v>
      </c>
      <c r="E482" t="n">
        <v>0</v>
      </c>
      <c r="F482" t="inlineStr">
        <is>
          <t>General</t>
        </is>
      </c>
      <c r="G482" t="inlineStr">
        <is>
          <t>General</t>
        </is>
      </c>
      <c r="H482" t="inlineStr">
        <is>
          <t>General</t>
        </is>
      </c>
      <c r="I482" t="inlineStr">
        <is>
          <t>General</t>
        </is>
      </c>
      <c r="K482" t="inlineStr">
        <is>
          <t>unclassified</t>
        </is>
      </c>
      <c r="M482" t="n">
        <v>50</v>
      </c>
    </row>
    <row r="483">
      <c r="A483" t="inlineStr">
        <is>
          <t>Cistanche</t>
        </is>
      </c>
      <c r="B483" t="inlineStr">
        <is>
          <t>Elecampane</t>
        </is>
      </c>
      <c r="C483" t="n">
        <v>0</v>
      </c>
      <c r="D483" t="n">
        <v>1</v>
      </c>
      <c r="E483" t="n">
        <v>0</v>
      </c>
      <c r="F483" t="inlineStr">
        <is>
          <t>General</t>
        </is>
      </c>
      <c r="G483" t="inlineStr">
        <is>
          <t>General</t>
        </is>
      </c>
      <c r="H483" t="inlineStr">
        <is>
          <t>General</t>
        </is>
      </c>
      <c r="I483" t="inlineStr">
        <is>
          <t>General</t>
        </is>
      </c>
      <c r="K483" t="inlineStr">
        <is>
          <t>unclassified</t>
        </is>
      </c>
      <c r="M483" t="n">
        <v>50</v>
      </c>
    </row>
    <row r="484">
      <c r="A484" t="inlineStr">
        <is>
          <t>Cistanche</t>
        </is>
      </c>
      <c r="B484" t="inlineStr">
        <is>
          <t>Eleuthero</t>
        </is>
      </c>
      <c r="C484" t="n">
        <v>0</v>
      </c>
      <c r="D484" t="n">
        <v>1</v>
      </c>
      <c r="E484" t="n">
        <v>0</v>
      </c>
      <c r="F484" t="inlineStr">
        <is>
          <t>General</t>
        </is>
      </c>
      <c r="G484" t="inlineStr">
        <is>
          <t>General</t>
        </is>
      </c>
      <c r="H484" t="inlineStr">
        <is>
          <t>General</t>
        </is>
      </c>
      <c r="I484" t="inlineStr">
        <is>
          <t>General</t>
        </is>
      </c>
      <c r="K484" t="inlineStr">
        <is>
          <t>unclassified</t>
        </is>
      </c>
      <c r="M484" t="n">
        <v>50</v>
      </c>
    </row>
    <row r="485">
      <c r="A485" t="inlineStr">
        <is>
          <t>Cistanche</t>
        </is>
      </c>
      <c r="B485" t="inlineStr">
        <is>
          <t>Galangal</t>
        </is>
      </c>
      <c r="C485" t="n">
        <v>0</v>
      </c>
      <c r="D485" t="n">
        <v>1</v>
      </c>
      <c r="E485" t="n">
        <v>0</v>
      </c>
      <c r="F485" t="inlineStr">
        <is>
          <t>General</t>
        </is>
      </c>
      <c r="G485" t="inlineStr">
        <is>
          <t>General</t>
        </is>
      </c>
      <c r="H485" t="inlineStr">
        <is>
          <t>General</t>
        </is>
      </c>
      <c r="I485" t="inlineStr">
        <is>
          <t>General</t>
        </is>
      </c>
      <c r="K485" t="inlineStr">
        <is>
          <t>unclassified</t>
        </is>
      </c>
      <c r="M485" t="n">
        <v>50</v>
      </c>
    </row>
    <row r="486">
      <c r="A486" t="inlineStr">
        <is>
          <t>Cistanche</t>
        </is>
      </c>
      <c r="B486" t="inlineStr">
        <is>
          <t>Gastrodia</t>
        </is>
      </c>
      <c r="C486" t="n">
        <v>0</v>
      </c>
      <c r="D486" t="n">
        <v>1</v>
      </c>
      <c r="E486" t="n">
        <v>0</v>
      </c>
      <c r="F486" t="inlineStr">
        <is>
          <t>General</t>
        </is>
      </c>
      <c r="G486" t="inlineStr">
        <is>
          <t>General</t>
        </is>
      </c>
      <c r="H486" t="inlineStr">
        <is>
          <t>General</t>
        </is>
      </c>
      <c r="I486" t="inlineStr">
        <is>
          <t>General</t>
        </is>
      </c>
      <c r="K486" t="inlineStr">
        <is>
          <t>unclassified</t>
        </is>
      </c>
      <c r="M486" t="n">
        <v>50</v>
      </c>
    </row>
    <row r="487">
      <c r="A487" t="inlineStr">
        <is>
          <t>Cistanche</t>
        </is>
      </c>
      <c r="B487" t="inlineStr">
        <is>
          <t>Gudmar</t>
        </is>
      </c>
      <c r="C487" t="n">
        <v>0</v>
      </c>
      <c r="D487" t="n">
        <v>1</v>
      </c>
      <c r="E487" t="n">
        <v>0</v>
      </c>
      <c r="F487" t="inlineStr">
        <is>
          <t>General</t>
        </is>
      </c>
      <c r="G487" t="inlineStr">
        <is>
          <t>General</t>
        </is>
      </c>
      <c r="H487" t="inlineStr">
        <is>
          <t>General</t>
        </is>
      </c>
      <c r="I487" t="inlineStr">
        <is>
          <t>General</t>
        </is>
      </c>
      <c r="K487" t="inlineStr">
        <is>
          <t>unclassified</t>
        </is>
      </c>
      <c r="M487" t="n">
        <v>50</v>
      </c>
    </row>
    <row r="488">
      <c r="A488" t="inlineStr">
        <is>
          <t>Cistanche</t>
        </is>
      </c>
      <c r="B488" t="inlineStr">
        <is>
          <t>Houttuynia</t>
        </is>
      </c>
      <c r="C488" t="n">
        <v>0</v>
      </c>
      <c r="D488" t="n">
        <v>1</v>
      </c>
      <c r="E488" t="n">
        <v>0</v>
      </c>
      <c r="F488" t="inlineStr">
        <is>
          <t>General</t>
        </is>
      </c>
      <c r="G488" t="inlineStr">
        <is>
          <t>General</t>
        </is>
      </c>
      <c r="H488" t="inlineStr">
        <is>
          <t>General</t>
        </is>
      </c>
      <c r="I488" t="inlineStr">
        <is>
          <t>General</t>
        </is>
      </c>
      <c r="K488" t="inlineStr">
        <is>
          <t>unclassified</t>
        </is>
      </c>
      <c r="M488" t="n">
        <v>50</v>
      </c>
    </row>
    <row r="489">
      <c r="A489" t="inlineStr">
        <is>
          <t>Cistanche</t>
        </is>
      </c>
      <c r="B489" t="inlineStr">
        <is>
          <t>Isatis</t>
        </is>
      </c>
      <c r="C489" t="n">
        <v>0</v>
      </c>
      <c r="D489" t="n">
        <v>1</v>
      </c>
      <c r="E489" t="n">
        <v>0</v>
      </c>
      <c r="F489" t="inlineStr">
        <is>
          <t>General</t>
        </is>
      </c>
      <c r="G489" t="inlineStr">
        <is>
          <t>General</t>
        </is>
      </c>
      <c r="H489" t="inlineStr">
        <is>
          <t>General</t>
        </is>
      </c>
      <c r="I489" t="inlineStr">
        <is>
          <t>General</t>
        </is>
      </c>
      <c r="K489" t="inlineStr">
        <is>
          <t>unclassified</t>
        </is>
      </c>
      <c r="M489" t="n">
        <v>50</v>
      </c>
    </row>
    <row r="490">
      <c r="A490" t="inlineStr">
        <is>
          <t>Cistanche</t>
        </is>
      </c>
      <c r="B490" t="inlineStr">
        <is>
          <t>Longan</t>
        </is>
      </c>
      <c r="C490" t="n">
        <v>0</v>
      </c>
      <c r="D490" t="n">
        <v>1</v>
      </c>
      <c r="E490" t="n">
        <v>0</v>
      </c>
      <c r="F490" t="inlineStr">
        <is>
          <t>General</t>
        </is>
      </c>
      <c r="G490" t="inlineStr">
        <is>
          <t>General</t>
        </is>
      </c>
      <c r="H490" t="inlineStr">
        <is>
          <t>General</t>
        </is>
      </c>
      <c r="I490" t="inlineStr">
        <is>
          <t>General</t>
        </is>
      </c>
      <c r="K490" t="inlineStr">
        <is>
          <t>unclassified</t>
        </is>
      </c>
      <c r="M490" t="n">
        <v>50</v>
      </c>
    </row>
    <row r="491">
      <c r="A491" t="inlineStr">
        <is>
          <t>Cistanche</t>
        </is>
      </c>
      <c r="B491" t="inlineStr">
        <is>
          <t>Maitake D-Fraction</t>
        </is>
      </c>
      <c r="C491" t="n">
        <v>0</v>
      </c>
      <c r="D491" t="n">
        <v>1</v>
      </c>
      <c r="E491" t="n">
        <v>0</v>
      </c>
      <c r="F491" t="inlineStr">
        <is>
          <t>General</t>
        </is>
      </c>
      <c r="G491" t="inlineStr">
        <is>
          <t>General</t>
        </is>
      </c>
      <c r="H491" t="inlineStr">
        <is>
          <t>General</t>
        </is>
      </c>
      <c r="I491" t="inlineStr">
        <is>
          <t>General</t>
        </is>
      </c>
      <c r="K491" t="inlineStr">
        <is>
          <t>unclassified</t>
        </is>
      </c>
      <c r="M491" t="n">
        <v>50</v>
      </c>
    </row>
    <row r="492">
      <c r="A492" t="inlineStr">
        <is>
          <t>Cistanche</t>
        </is>
      </c>
      <c r="B492" t="inlineStr">
        <is>
          <t>Muira Puama</t>
        </is>
      </c>
      <c r="C492" t="n">
        <v>0</v>
      </c>
      <c r="D492" t="n">
        <v>1</v>
      </c>
      <c r="E492" t="n">
        <v>0</v>
      </c>
      <c r="F492" t="inlineStr">
        <is>
          <t>General</t>
        </is>
      </c>
      <c r="G492" t="inlineStr">
        <is>
          <t>General</t>
        </is>
      </c>
      <c r="H492" t="inlineStr">
        <is>
          <t>General</t>
        </is>
      </c>
      <c r="I492" t="inlineStr">
        <is>
          <t>General</t>
        </is>
      </c>
      <c r="K492" t="inlineStr">
        <is>
          <t>unclassified</t>
        </is>
      </c>
      <c r="M492" t="n">
        <v>50</v>
      </c>
    </row>
    <row r="493">
      <c r="A493" t="inlineStr">
        <is>
          <t>Cistanche</t>
        </is>
      </c>
      <c r="B493" t="inlineStr">
        <is>
          <t>Nettle Root</t>
        </is>
      </c>
      <c r="C493" t="n">
        <v>0</v>
      </c>
      <c r="D493" t="n">
        <v>1</v>
      </c>
      <c r="E493" t="n">
        <v>0</v>
      </c>
      <c r="F493" t="inlineStr">
        <is>
          <t>General</t>
        </is>
      </c>
      <c r="G493" t="inlineStr">
        <is>
          <t>General</t>
        </is>
      </c>
      <c r="H493" t="inlineStr">
        <is>
          <t>General</t>
        </is>
      </c>
      <c r="I493" t="inlineStr">
        <is>
          <t>General</t>
        </is>
      </c>
      <c r="K493" t="inlineStr">
        <is>
          <t>unclassified</t>
        </is>
      </c>
      <c r="M493" t="n">
        <v>50</v>
      </c>
    </row>
    <row r="494">
      <c r="A494" t="inlineStr">
        <is>
          <t>Cistanche</t>
        </is>
      </c>
      <c r="B494" t="inlineStr">
        <is>
          <t>Passionflower</t>
        </is>
      </c>
      <c r="C494" t="n">
        <v>0</v>
      </c>
      <c r="D494" t="n">
        <v>1</v>
      </c>
      <c r="E494" t="n">
        <v>0</v>
      </c>
      <c r="F494" t="inlineStr">
        <is>
          <t>General</t>
        </is>
      </c>
      <c r="G494" t="inlineStr">
        <is>
          <t>General</t>
        </is>
      </c>
      <c r="H494" t="inlineStr">
        <is>
          <t>General</t>
        </is>
      </c>
      <c r="I494" t="inlineStr">
        <is>
          <t>General</t>
        </is>
      </c>
      <c r="K494" t="inlineStr">
        <is>
          <t>unclassified</t>
        </is>
      </c>
      <c r="M494" t="n">
        <v>50</v>
      </c>
    </row>
    <row r="495">
      <c r="A495" t="inlineStr">
        <is>
          <t>Cistanche</t>
        </is>
      </c>
      <c r="B495" t="inlineStr">
        <is>
          <t>Poria</t>
        </is>
      </c>
      <c r="C495" t="n">
        <v>0</v>
      </c>
      <c r="D495" t="n">
        <v>1</v>
      </c>
      <c r="E495" t="n">
        <v>0</v>
      </c>
      <c r="F495" t="inlineStr">
        <is>
          <t>General</t>
        </is>
      </c>
      <c r="G495" t="inlineStr">
        <is>
          <t>General</t>
        </is>
      </c>
      <c r="H495" t="inlineStr">
        <is>
          <t>General</t>
        </is>
      </c>
      <c r="I495" t="inlineStr">
        <is>
          <t>General</t>
        </is>
      </c>
      <c r="K495" t="inlineStr">
        <is>
          <t>unclassified</t>
        </is>
      </c>
      <c r="M495" t="n">
        <v>50</v>
      </c>
    </row>
    <row r="496">
      <c r="A496" t="inlineStr">
        <is>
          <t>Cistanche</t>
        </is>
      </c>
      <c r="B496" t="inlineStr">
        <is>
          <t>Punarnava</t>
        </is>
      </c>
      <c r="C496" t="n">
        <v>0</v>
      </c>
      <c r="D496" t="n">
        <v>1</v>
      </c>
      <c r="E496" t="n">
        <v>0</v>
      </c>
      <c r="F496" t="inlineStr">
        <is>
          <t>General</t>
        </is>
      </c>
      <c r="G496" t="inlineStr">
        <is>
          <t>General</t>
        </is>
      </c>
      <c r="H496" t="inlineStr">
        <is>
          <t>General</t>
        </is>
      </c>
      <c r="I496" t="inlineStr">
        <is>
          <t>General</t>
        </is>
      </c>
      <c r="K496" t="inlineStr">
        <is>
          <t>unclassified</t>
        </is>
      </c>
      <c r="M496" t="n">
        <v>50</v>
      </c>
    </row>
    <row r="497">
      <c r="A497" t="inlineStr">
        <is>
          <t>Cistanche</t>
        </is>
      </c>
      <c r="B497" t="inlineStr">
        <is>
          <t>Rehmannia Prepared</t>
        </is>
      </c>
      <c r="C497" t="n">
        <v>0</v>
      </c>
      <c r="D497" t="n">
        <v>1</v>
      </c>
      <c r="E497" t="n">
        <v>0</v>
      </c>
      <c r="F497" t="inlineStr">
        <is>
          <t>General</t>
        </is>
      </c>
      <c r="G497" t="inlineStr">
        <is>
          <t>General</t>
        </is>
      </c>
      <c r="H497" t="inlineStr">
        <is>
          <t>General</t>
        </is>
      </c>
      <c r="I497" t="inlineStr">
        <is>
          <t>General</t>
        </is>
      </c>
      <c r="K497" t="inlineStr">
        <is>
          <t>unclassified</t>
        </is>
      </c>
      <c r="M497" t="n">
        <v>50</v>
      </c>
    </row>
    <row r="498">
      <c r="A498" t="inlineStr">
        <is>
          <t>Cistanche</t>
        </is>
      </c>
      <c r="B498" t="inlineStr">
        <is>
          <t>Reishi</t>
        </is>
      </c>
      <c r="C498" t="n">
        <v>0</v>
      </c>
      <c r="D498" t="n">
        <v>1</v>
      </c>
      <c r="E498" t="n">
        <v>0</v>
      </c>
      <c r="F498" t="inlineStr">
        <is>
          <t>General</t>
        </is>
      </c>
      <c r="G498" t="inlineStr">
        <is>
          <t>General</t>
        </is>
      </c>
      <c r="H498" t="inlineStr">
        <is>
          <t>General</t>
        </is>
      </c>
      <c r="I498" t="inlineStr">
        <is>
          <t>General</t>
        </is>
      </c>
      <c r="K498" t="inlineStr">
        <is>
          <t>unclassified</t>
        </is>
      </c>
      <c r="M498" t="n">
        <v>50</v>
      </c>
    </row>
    <row r="499">
      <c r="A499" t="inlineStr">
        <is>
          <t>Cistanche</t>
        </is>
      </c>
      <c r="B499" t="inlineStr">
        <is>
          <t>Sophora Flavescens</t>
        </is>
      </c>
      <c r="C499" t="n">
        <v>0</v>
      </c>
      <c r="D499" t="n">
        <v>1</v>
      </c>
      <c r="E499" t="n">
        <v>0</v>
      </c>
      <c r="F499" t="inlineStr">
        <is>
          <t>General</t>
        </is>
      </c>
      <c r="G499" t="inlineStr">
        <is>
          <t>General</t>
        </is>
      </c>
      <c r="H499" t="inlineStr">
        <is>
          <t>General</t>
        </is>
      </c>
      <c r="I499" t="inlineStr">
        <is>
          <t>General</t>
        </is>
      </c>
      <c r="K499" t="inlineStr">
        <is>
          <t>unclassified</t>
        </is>
      </c>
      <c r="M499" t="n">
        <v>50</v>
      </c>
    </row>
    <row r="500">
      <c r="A500" t="inlineStr">
        <is>
          <t>Cistanche</t>
        </is>
      </c>
      <c r="B500" t="inlineStr">
        <is>
          <t>Tamarind</t>
        </is>
      </c>
      <c r="C500" t="n">
        <v>0</v>
      </c>
      <c r="D500" t="n">
        <v>1</v>
      </c>
      <c r="E500" t="n">
        <v>0</v>
      </c>
      <c r="F500" t="inlineStr">
        <is>
          <t>General</t>
        </is>
      </c>
      <c r="G500" t="inlineStr">
        <is>
          <t>General</t>
        </is>
      </c>
      <c r="H500" t="inlineStr">
        <is>
          <t>General</t>
        </is>
      </c>
      <c r="I500" t="inlineStr">
        <is>
          <t>General</t>
        </is>
      </c>
      <c r="K500" t="inlineStr">
        <is>
          <t>unclassified</t>
        </is>
      </c>
      <c r="M500" t="n">
        <v>50</v>
      </c>
    </row>
    <row r="501">
      <c r="A501" t="inlineStr">
        <is>
          <t>Cistanche</t>
        </is>
      </c>
      <c r="B501" t="inlineStr">
        <is>
          <t>White Peony</t>
        </is>
      </c>
      <c r="C501" t="n">
        <v>0</v>
      </c>
      <c r="D501" t="n">
        <v>1</v>
      </c>
      <c r="E501" t="n">
        <v>0</v>
      </c>
      <c r="F501" t="inlineStr">
        <is>
          <t>General</t>
        </is>
      </c>
      <c r="G501" t="inlineStr">
        <is>
          <t>General</t>
        </is>
      </c>
      <c r="H501" t="inlineStr">
        <is>
          <t>General</t>
        </is>
      </c>
      <c r="I501" t="inlineStr">
        <is>
          <t>General</t>
        </is>
      </c>
      <c r="K501" t="inlineStr">
        <is>
          <t>unclassified</t>
        </is>
      </c>
      <c r="M501" t="n">
        <v>50</v>
      </c>
    </row>
    <row r="502">
      <c r="A502" t="inlineStr">
        <is>
          <t>Cistanche</t>
        </is>
      </c>
      <c r="B502" t="inlineStr">
        <is>
          <t>Yohimbe</t>
        </is>
      </c>
      <c r="C502" t="n">
        <v>0</v>
      </c>
      <c r="D502" t="n">
        <v>1</v>
      </c>
      <c r="E502" t="n">
        <v>0</v>
      </c>
      <c r="F502" t="inlineStr">
        <is>
          <t>General</t>
        </is>
      </c>
      <c r="G502" t="inlineStr">
        <is>
          <t>General</t>
        </is>
      </c>
      <c r="H502" t="inlineStr">
        <is>
          <t>General</t>
        </is>
      </c>
      <c r="I502" t="inlineStr">
        <is>
          <t>General</t>
        </is>
      </c>
      <c r="K502" t="inlineStr">
        <is>
          <t>unclassified</t>
        </is>
      </c>
      <c r="M502" t="n">
        <v>50</v>
      </c>
    </row>
    <row r="503">
      <c r="A503" t="inlineStr">
        <is>
          <t>Cordyceps</t>
        </is>
      </c>
      <c r="B503" t="inlineStr">
        <is>
          <t>Celastrus Paniculatus</t>
        </is>
      </c>
      <c r="C503" t="n">
        <v>0</v>
      </c>
      <c r="D503" t="n">
        <v>1</v>
      </c>
      <c r="E503" t="n">
        <v>0</v>
      </c>
      <c r="F503" t="inlineStr">
        <is>
          <t>General</t>
        </is>
      </c>
      <c r="G503" t="inlineStr">
        <is>
          <t>General</t>
        </is>
      </c>
      <c r="H503" t="inlineStr">
        <is>
          <t>General</t>
        </is>
      </c>
      <c r="I503" t="inlineStr">
        <is>
          <t>General</t>
        </is>
      </c>
      <c r="K503" t="inlineStr">
        <is>
          <t>unclassified</t>
        </is>
      </c>
      <c r="M503" t="n">
        <v>50</v>
      </c>
    </row>
    <row r="504">
      <c r="A504" t="inlineStr">
        <is>
          <t>Cordyceps</t>
        </is>
      </c>
      <c r="B504" t="inlineStr">
        <is>
          <t>Eleuthero</t>
        </is>
      </c>
      <c r="C504" t="n">
        <v>0</v>
      </c>
      <c r="D504" t="n">
        <v>1</v>
      </c>
      <c r="E504" t="n">
        <v>0</v>
      </c>
      <c r="F504" t="inlineStr">
        <is>
          <t>General</t>
        </is>
      </c>
      <c r="G504" t="inlineStr">
        <is>
          <t>General</t>
        </is>
      </c>
      <c r="H504" t="inlineStr">
        <is>
          <t>General</t>
        </is>
      </c>
      <c r="I504" t="inlineStr">
        <is>
          <t>General</t>
        </is>
      </c>
      <c r="K504" t="inlineStr">
        <is>
          <t>unclassified</t>
        </is>
      </c>
      <c r="M504" t="n">
        <v>50</v>
      </c>
    </row>
    <row r="505">
      <c r="A505" t="inlineStr">
        <is>
          <t>Cordyceps</t>
        </is>
      </c>
      <c r="B505" t="inlineStr">
        <is>
          <t>Nettle Root</t>
        </is>
      </c>
      <c r="C505" t="n">
        <v>0</v>
      </c>
      <c r="D505" t="n">
        <v>1</v>
      </c>
      <c r="E505" t="n">
        <v>0</v>
      </c>
      <c r="F505" t="inlineStr">
        <is>
          <t>General</t>
        </is>
      </c>
      <c r="G505" t="inlineStr">
        <is>
          <t>General</t>
        </is>
      </c>
      <c r="H505" t="inlineStr">
        <is>
          <t>General</t>
        </is>
      </c>
      <c r="I505" t="inlineStr">
        <is>
          <t>General</t>
        </is>
      </c>
      <c r="K505" t="inlineStr">
        <is>
          <t>unclassified</t>
        </is>
      </c>
      <c r="M505" t="n">
        <v>50</v>
      </c>
    </row>
    <row r="506">
      <c r="A506" t="inlineStr">
        <is>
          <t>Cordyceps</t>
        </is>
      </c>
      <c r="B506" t="inlineStr">
        <is>
          <t>Passionflower</t>
        </is>
      </c>
      <c r="C506" t="n">
        <v>0</v>
      </c>
      <c r="D506" t="n">
        <v>1</v>
      </c>
      <c r="E506" t="n">
        <v>0</v>
      </c>
      <c r="F506" t="inlineStr">
        <is>
          <t>General</t>
        </is>
      </c>
      <c r="G506" t="inlineStr">
        <is>
          <t>General</t>
        </is>
      </c>
      <c r="H506" t="inlineStr">
        <is>
          <t>General</t>
        </is>
      </c>
      <c r="I506" t="inlineStr">
        <is>
          <t>General</t>
        </is>
      </c>
      <c r="K506" t="inlineStr">
        <is>
          <t>unclassified</t>
        </is>
      </c>
      <c r="M506" t="n">
        <v>50</v>
      </c>
    </row>
    <row r="507">
      <c r="A507" t="inlineStr">
        <is>
          <t>Cordyceps</t>
        </is>
      </c>
      <c r="B507" t="inlineStr">
        <is>
          <t>Punarnava</t>
        </is>
      </c>
      <c r="C507" t="n">
        <v>0</v>
      </c>
      <c r="D507" t="n">
        <v>1</v>
      </c>
      <c r="E507" t="n">
        <v>0</v>
      </c>
      <c r="F507" t="inlineStr">
        <is>
          <t>General</t>
        </is>
      </c>
      <c r="G507" t="inlineStr">
        <is>
          <t>General</t>
        </is>
      </c>
      <c r="H507" t="inlineStr">
        <is>
          <t>General</t>
        </is>
      </c>
      <c r="I507" t="inlineStr">
        <is>
          <t>General</t>
        </is>
      </c>
      <c r="K507" t="inlineStr">
        <is>
          <t>unclassified</t>
        </is>
      </c>
      <c r="M507" t="n">
        <v>50</v>
      </c>
    </row>
    <row r="508">
      <c r="A508" t="inlineStr">
        <is>
          <t>Cordyceps</t>
        </is>
      </c>
      <c r="B508" t="inlineStr">
        <is>
          <t>Reishi</t>
        </is>
      </c>
      <c r="C508" t="n">
        <v>0</v>
      </c>
      <c r="D508" t="n">
        <v>1</v>
      </c>
      <c r="E508" t="n">
        <v>0</v>
      </c>
      <c r="F508" t="inlineStr">
        <is>
          <t>General</t>
        </is>
      </c>
      <c r="G508" t="inlineStr">
        <is>
          <t>General</t>
        </is>
      </c>
      <c r="H508" t="inlineStr">
        <is>
          <t>General</t>
        </is>
      </c>
      <c r="I508" t="inlineStr">
        <is>
          <t>General</t>
        </is>
      </c>
      <c r="K508" t="inlineStr">
        <is>
          <t>unclassified</t>
        </is>
      </c>
      <c r="M508" t="n">
        <v>50</v>
      </c>
    </row>
    <row r="509">
      <c r="A509" t="inlineStr">
        <is>
          <t>Cordyceps</t>
        </is>
      </c>
      <c r="B509" t="inlineStr">
        <is>
          <t>Yohimbe</t>
        </is>
      </c>
      <c r="C509" t="n">
        <v>0</v>
      </c>
      <c r="D509" t="n">
        <v>1</v>
      </c>
      <c r="E509" t="n">
        <v>0</v>
      </c>
      <c r="F509" t="inlineStr">
        <is>
          <t>General</t>
        </is>
      </c>
      <c r="G509" t="inlineStr">
        <is>
          <t>General</t>
        </is>
      </c>
      <c r="H509" t="inlineStr">
        <is>
          <t>General</t>
        </is>
      </c>
      <c r="I509" t="inlineStr">
        <is>
          <t>General</t>
        </is>
      </c>
      <c r="K509" t="inlineStr">
        <is>
          <t>unclassified</t>
        </is>
      </c>
      <c r="M509" t="n">
        <v>50</v>
      </c>
    </row>
    <row r="510">
      <c r="A510" t="inlineStr">
        <is>
          <t>Damiana</t>
        </is>
      </c>
      <c r="B510" t="inlineStr">
        <is>
          <t>Agarikon</t>
        </is>
      </c>
      <c r="C510" t="n">
        <v>0</v>
      </c>
      <c r="D510" t="n">
        <v>1</v>
      </c>
      <c r="E510" t="n">
        <v>0</v>
      </c>
      <c r="F510" t="inlineStr">
        <is>
          <t>General</t>
        </is>
      </c>
      <c r="G510" t="inlineStr">
        <is>
          <t>General</t>
        </is>
      </c>
      <c r="H510" t="inlineStr">
        <is>
          <t>General</t>
        </is>
      </c>
      <c r="I510" t="inlineStr">
        <is>
          <t>General</t>
        </is>
      </c>
      <c r="K510" t="inlineStr">
        <is>
          <t>unclassified</t>
        </is>
      </c>
      <c r="M510" t="n">
        <v>50</v>
      </c>
    </row>
    <row r="511">
      <c r="A511" t="inlineStr">
        <is>
          <t>Damiana</t>
        </is>
      </c>
      <c r="B511" t="inlineStr">
        <is>
          <t>Ajwain</t>
        </is>
      </c>
      <c r="C511" t="n">
        <v>0</v>
      </c>
      <c r="D511" t="n">
        <v>1</v>
      </c>
      <c r="E511" t="n">
        <v>0</v>
      </c>
      <c r="F511" t="inlineStr">
        <is>
          <t>General</t>
        </is>
      </c>
      <c r="G511" t="inlineStr">
        <is>
          <t>General</t>
        </is>
      </c>
      <c r="H511" t="inlineStr">
        <is>
          <t>General</t>
        </is>
      </c>
      <c r="I511" t="inlineStr">
        <is>
          <t>General</t>
        </is>
      </c>
      <c r="K511" t="inlineStr">
        <is>
          <t>unclassified</t>
        </is>
      </c>
      <c r="M511" t="n">
        <v>50</v>
      </c>
    </row>
    <row r="512">
      <c r="A512" t="inlineStr">
        <is>
          <t>Damiana</t>
        </is>
      </c>
      <c r="B512" t="inlineStr">
        <is>
          <t>Angelica Root</t>
        </is>
      </c>
      <c r="C512" t="n">
        <v>0</v>
      </c>
      <c r="D512" t="n">
        <v>1</v>
      </c>
      <c r="E512" t="n">
        <v>0</v>
      </c>
      <c r="F512" t="inlineStr">
        <is>
          <t>General</t>
        </is>
      </c>
      <c r="G512" t="inlineStr">
        <is>
          <t>General</t>
        </is>
      </c>
      <c r="H512" t="inlineStr">
        <is>
          <t>General</t>
        </is>
      </c>
      <c r="I512" t="inlineStr">
        <is>
          <t>General</t>
        </is>
      </c>
      <c r="K512" t="inlineStr">
        <is>
          <t>unclassified</t>
        </is>
      </c>
      <c r="M512" t="n">
        <v>50</v>
      </c>
    </row>
    <row r="513">
      <c r="A513" t="inlineStr">
        <is>
          <t>Damiana</t>
        </is>
      </c>
      <c r="B513" t="inlineStr">
        <is>
          <t>Artichoke</t>
        </is>
      </c>
      <c r="C513" t="n">
        <v>0</v>
      </c>
      <c r="D513" t="n">
        <v>1</v>
      </c>
      <c r="E513" t="n">
        <v>0</v>
      </c>
      <c r="F513" t="inlineStr">
        <is>
          <t>General</t>
        </is>
      </c>
      <c r="G513" t="inlineStr">
        <is>
          <t>General</t>
        </is>
      </c>
      <c r="H513" t="inlineStr">
        <is>
          <t>General</t>
        </is>
      </c>
      <c r="I513" t="inlineStr">
        <is>
          <t>General</t>
        </is>
      </c>
      <c r="K513" t="inlineStr">
        <is>
          <t>unclassified</t>
        </is>
      </c>
      <c r="M513" t="n">
        <v>50</v>
      </c>
    </row>
    <row r="514">
      <c r="A514" t="inlineStr">
        <is>
          <t>Damiana</t>
        </is>
      </c>
      <c r="B514" t="inlineStr">
        <is>
          <t>Ashoka</t>
        </is>
      </c>
      <c r="C514" t="n">
        <v>0</v>
      </c>
      <c r="D514" t="n">
        <v>1</v>
      </c>
      <c r="E514" t="n">
        <v>0</v>
      </c>
      <c r="F514" t="inlineStr">
        <is>
          <t>General</t>
        </is>
      </c>
      <c r="G514" t="inlineStr">
        <is>
          <t>General</t>
        </is>
      </c>
      <c r="H514" t="inlineStr">
        <is>
          <t>General</t>
        </is>
      </c>
      <c r="I514" t="inlineStr">
        <is>
          <t>General</t>
        </is>
      </c>
      <c r="K514" t="inlineStr">
        <is>
          <t>unclassified</t>
        </is>
      </c>
      <c r="M514" t="n">
        <v>50</v>
      </c>
    </row>
    <row r="515">
      <c r="A515" t="inlineStr">
        <is>
          <t>Damiana</t>
        </is>
      </c>
      <c r="B515" t="inlineStr">
        <is>
          <t>Boldo</t>
        </is>
      </c>
      <c r="C515" t="n">
        <v>0</v>
      </c>
      <c r="D515" t="n">
        <v>1</v>
      </c>
      <c r="E515" t="n">
        <v>0</v>
      </c>
      <c r="F515" t="inlineStr">
        <is>
          <t>General</t>
        </is>
      </c>
      <c r="G515" t="inlineStr">
        <is>
          <t>General</t>
        </is>
      </c>
      <c r="H515" t="inlineStr">
        <is>
          <t>General</t>
        </is>
      </c>
      <c r="I515" t="inlineStr">
        <is>
          <t>General</t>
        </is>
      </c>
      <c r="K515" t="inlineStr">
        <is>
          <t>unclassified</t>
        </is>
      </c>
      <c r="M515" t="n">
        <v>50</v>
      </c>
    </row>
    <row r="516">
      <c r="A516" t="inlineStr">
        <is>
          <t>Damiana</t>
        </is>
      </c>
      <c r="B516" t="inlineStr">
        <is>
          <t>Burdock</t>
        </is>
      </c>
      <c r="C516" t="n">
        <v>0</v>
      </c>
      <c r="D516" t="n">
        <v>1</v>
      </c>
      <c r="E516" t="n">
        <v>0</v>
      </c>
      <c r="F516" t="inlineStr">
        <is>
          <t>General</t>
        </is>
      </c>
      <c r="G516" t="inlineStr">
        <is>
          <t>General</t>
        </is>
      </c>
      <c r="H516" t="inlineStr">
        <is>
          <t>General</t>
        </is>
      </c>
      <c r="I516" t="inlineStr">
        <is>
          <t>General</t>
        </is>
      </c>
      <c r="K516" t="inlineStr">
        <is>
          <t>unclassified</t>
        </is>
      </c>
      <c r="M516" t="n">
        <v>50</v>
      </c>
    </row>
    <row r="517">
      <c r="A517" t="inlineStr">
        <is>
          <t>Damiana</t>
        </is>
      </c>
      <c r="B517" t="inlineStr">
        <is>
          <t>Butterbur</t>
        </is>
      </c>
      <c r="C517" t="n">
        <v>0</v>
      </c>
      <c r="D517" t="n">
        <v>1</v>
      </c>
      <c r="E517" t="n">
        <v>0</v>
      </c>
      <c r="F517" t="inlineStr">
        <is>
          <t>General</t>
        </is>
      </c>
      <c r="G517" t="inlineStr">
        <is>
          <t>General</t>
        </is>
      </c>
      <c r="H517" t="inlineStr">
        <is>
          <t>General</t>
        </is>
      </c>
      <c r="I517" t="inlineStr">
        <is>
          <t>General</t>
        </is>
      </c>
      <c r="K517" t="inlineStr">
        <is>
          <t>unclassified</t>
        </is>
      </c>
      <c r="M517" t="n">
        <v>50</v>
      </c>
    </row>
    <row r="518">
      <c r="A518" t="inlineStr">
        <is>
          <t>Damiana</t>
        </is>
      </c>
      <c r="B518" t="inlineStr">
        <is>
          <t>Calendula</t>
        </is>
      </c>
      <c r="C518" t="n">
        <v>0</v>
      </c>
      <c r="D518" t="n">
        <v>1</v>
      </c>
      <c r="E518" t="n">
        <v>0</v>
      </c>
      <c r="F518" t="inlineStr">
        <is>
          <t>General</t>
        </is>
      </c>
      <c r="G518" t="inlineStr">
        <is>
          <t>General</t>
        </is>
      </c>
      <c r="H518" t="inlineStr">
        <is>
          <t>General</t>
        </is>
      </c>
      <c r="I518" t="inlineStr">
        <is>
          <t>General</t>
        </is>
      </c>
      <c r="K518" t="inlineStr">
        <is>
          <t>unclassified</t>
        </is>
      </c>
      <c r="M518" t="n">
        <v>50</v>
      </c>
    </row>
    <row r="519">
      <c r="A519" t="inlineStr">
        <is>
          <t>Damiana</t>
        </is>
      </c>
      <c r="B519" t="inlineStr">
        <is>
          <t>Caraway</t>
        </is>
      </c>
      <c r="C519" t="n">
        <v>0</v>
      </c>
      <c r="D519" t="n">
        <v>1</v>
      </c>
      <c r="E519" t="n">
        <v>0</v>
      </c>
      <c r="F519" t="inlineStr">
        <is>
          <t>General</t>
        </is>
      </c>
      <c r="G519" t="inlineStr">
        <is>
          <t>General</t>
        </is>
      </c>
      <c r="H519" t="inlineStr">
        <is>
          <t>General</t>
        </is>
      </c>
      <c r="I519" t="inlineStr">
        <is>
          <t>General</t>
        </is>
      </c>
      <c r="K519" t="inlineStr">
        <is>
          <t>unclassified</t>
        </is>
      </c>
      <c r="M519" t="n">
        <v>50</v>
      </c>
    </row>
    <row r="520">
      <c r="A520" t="inlineStr">
        <is>
          <t>Damiana</t>
        </is>
      </c>
      <c r="B520" t="inlineStr">
        <is>
          <t>Cardamom</t>
        </is>
      </c>
      <c r="C520" t="n">
        <v>0</v>
      </c>
      <c r="D520" t="n">
        <v>1</v>
      </c>
      <c r="E520" t="n">
        <v>0</v>
      </c>
      <c r="F520" t="inlineStr">
        <is>
          <t>General</t>
        </is>
      </c>
      <c r="G520" t="inlineStr">
        <is>
          <t>General</t>
        </is>
      </c>
      <c r="H520" t="inlineStr">
        <is>
          <t>General</t>
        </is>
      </c>
      <c r="I520" t="inlineStr">
        <is>
          <t>General</t>
        </is>
      </c>
      <c r="K520" t="inlineStr">
        <is>
          <t>unclassified</t>
        </is>
      </c>
      <c r="M520" t="n">
        <v>50</v>
      </c>
    </row>
    <row r="521">
      <c r="A521" t="inlineStr">
        <is>
          <t>Damiana</t>
        </is>
      </c>
      <c r="B521" t="inlineStr">
        <is>
          <t>Celastrus Paniculatus</t>
        </is>
      </c>
      <c r="C521" t="n">
        <v>0</v>
      </c>
      <c r="D521" t="n">
        <v>1</v>
      </c>
      <c r="E521" t="n">
        <v>0</v>
      </c>
      <c r="F521" t="inlineStr">
        <is>
          <t>General</t>
        </is>
      </c>
      <c r="G521" t="inlineStr">
        <is>
          <t>General</t>
        </is>
      </c>
      <c r="H521" t="inlineStr">
        <is>
          <t>General</t>
        </is>
      </c>
      <c r="I521" t="inlineStr">
        <is>
          <t>General</t>
        </is>
      </c>
      <c r="K521" t="inlineStr">
        <is>
          <t>unclassified</t>
        </is>
      </c>
      <c r="M521" t="n">
        <v>50</v>
      </c>
    </row>
    <row r="522">
      <c r="A522" t="inlineStr">
        <is>
          <t>Damiana</t>
        </is>
      </c>
      <c r="B522" t="inlineStr">
        <is>
          <t>Cinnamon</t>
        </is>
      </c>
      <c r="C522" t="n">
        <v>0</v>
      </c>
      <c r="D522" t="n">
        <v>1</v>
      </c>
      <c r="E522" t="n">
        <v>0</v>
      </c>
      <c r="F522" t="inlineStr">
        <is>
          <t>General</t>
        </is>
      </c>
      <c r="G522" t="inlineStr">
        <is>
          <t>General</t>
        </is>
      </c>
      <c r="H522" t="inlineStr">
        <is>
          <t>General</t>
        </is>
      </c>
      <c r="I522" t="inlineStr">
        <is>
          <t>General</t>
        </is>
      </c>
      <c r="K522" t="inlineStr">
        <is>
          <t>unclassified</t>
        </is>
      </c>
      <c r="M522" t="n">
        <v>50</v>
      </c>
    </row>
    <row r="523">
      <c r="A523" t="inlineStr">
        <is>
          <t>Damiana</t>
        </is>
      </c>
      <c r="B523" t="inlineStr">
        <is>
          <t>Cistanche</t>
        </is>
      </c>
      <c r="C523" t="n">
        <v>0</v>
      </c>
      <c r="D523" t="n">
        <v>1</v>
      </c>
      <c r="E523" t="n">
        <v>0</v>
      </c>
      <c r="F523" t="inlineStr">
        <is>
          <t>General</t>
        </is>
      </c>
      <c r="G523" t="inlineStr">
        <is>
          <t>General</t>
        </is>
      </c>
      <c r="H523" t="inlineStr">
        <is>
          <t>General</t>
        </is>
      </c>
      <c r="I523" t="inlineStr">
        <is>
          <t>General</t>
        </is>
      </c>
      <c r="K523" t="inlineStr">
        <is>
          <t>unclassified</t>
        </is>
      </c>
      <c r="M523" t="n">
        <v>50</v>
      </c>
    </row>
    <row r="524">
      <c r="A524" t="inlineStr">
        <is>
          <t>Damiana</t>
        </is>
      </c>
      <c r="B524" t="inlineStr">
        <is>
          <t>Cordyceps</t>
        </is>
      </c>
      <c r="C524" t="n">
        <v>0</v>
      </c>
      <c r="D524" t="n">
        <v>1</v>
      </c>
      <c r="E524" t="n">
        <v>0</v>
      </c>
      <c r="F524" t="inlineStr">
        <is>
          <t>General</t>
        </is>
      </c>
      <c r="G524" t="inlineStr">
        <is>
          <t>General</t>
        </is>
      </c>
      <c r="H524" t="inlineStr">
        <is>
          <t>General</t>
        </is>
      </c>
      <c r="I524" t="inlineStr">
        <is>
          <t>General</t>
        </is>
      </c>
      <c r="K524" t="inlineStr">
        <is>
          <t>unclassified</t>
        </is>
      </c>
      <c r="M524" t="n">
        <v>50</v>
      </c>
    </row>
    <row r="525">
      <c r="A525" t="inlineStr">
        <is>
          <t>Damiana</t>
        </is>
      </c>
      <c r="B525" t="inlineStr">
        <is>
          <t>Dandelion</t>
        </is>
      </c>
      <c r="C525" t="n">
        <v>0</v>
      </c>
      <c r="D525" t="n">
        <v>1</v>
      </c>
      <c r="E525" t="n">
        <v>0</v>
      </c>
      <c r="F525" t="inlineStr">
        <is>
          <t>General</t>
        </is>
      </c>
      <c r="G525" t="inlineStr">
        <is>
          <t>General</t>
        </is>
      </c>
      <c r="H525" t="inlineStr">
        <is>
          <t>General</t>
        </is>
      </c>
      <c r="I525" t="inlineStr">
        <is>
          <t>General</t>
        </is>
      </c>
      <c r="K525" t="inlineStr">
        <is>
          <t>unclassified</t>
        </is>
      </c>
      <c r="M525" t="n">
        <v>50</v>
      </c>
    </row>
    <row r="526">
      <c r="A526" t="inlineStr">
        <is>
          <t>Damiana</t>
        </is>
      </c>
      <c r="B526" t="inlineStr">
        <is>
          <t>Dendrobium</t>
        </is>
      </c>
      <c r="C526" t="n">
        <v>0</v>
      </c>
      <c r="D526" t="n">
        <v>1</v>
      </c>
      <c r="E526" t="n">
        <v>0</v>
      </c>
      <c r="F526" t="inlineStr">
        <is>
          <t>General</t>
        </is>
      </c>
      <c r="G526" t="inlineStr">
        <is>
          <t>General</t>
        </is>
      </c>
      <c r="H526" t="inlineStr">
        <is>
          <t>General</t>
        </is>
      </c>
      <c r="I526" t="inlineStr">
        <is>
          <t>General</t>
        </is>
      </c>
      <c r="K526" t="inlineStr">
        <is>
          <t>unclassified</t>
        </is>
      </c>
      <c r="M526" t="n">
        <v>50</v>
      </c>
    </row>
    <row r="527">
      <c r="A527" t="inlineStr">
        <is>
          <t>Damiana</t>
        </is>
      </c>
      <c r="B527" t="inlineStr">
        <is>
          <t>Dong Quai</t>
        </is>
      </c>
      <c r="C527" t="n">
        <v>0</v>
      </c>
      <c r="D527" t="n">
        <v>1</v>
      </c>
      <c r="E527" t="n">
        <v>0</v>
      </c>
      <c r="F527" t="inlineStr">
        <is>
          <t>General</t>
        </is>
      </c>
      <c r="G527" t="inlineStr">
        <is>
          <t>General</t>
        </is>
      </c>
      <c r="H527" t="inlineStr">
        <is>
          <t>General</t>
        </is>
      </c>
      <c r="I527" t="inlineStr">
        <is>
          <t>General</t>
        </is>
      </c>
      <c r="K527" t="inlineStr">
        <is>
          <t>unclassified</t>
        </is>
      </c>
      <c r="M527" t="n">
        <v>50</v>
      </c>
    </row>
    <row r="528">
      <c r="A528" t="inlineStr">
        <is>
          <t>Damiana</t>
        </is>
      </c>
      <c r="B528" t="inlineStr">
        <is>
          <t>Elecampane</t>
        </is>
      </c>
      <c r="C528" t="n">
        <v>0</v>
      </c>
      <c r="D528" t="n">
        <v>1</v>
      </c>
      <c r="E528" t="n">
        <v>0</v>
      </c>
      <c r="F528" t="inlineStr">
        <is>
          <t>General</t>
        </is>
      </c>
      <c r="G528" t="inlineStr">
        <is>
          <t>General</t>
        </is>
      </c>
      <c r="H528" t="inlineStr">
        <is>
          <t>General</t>
        </is>
      </c>
      <c r="I528" t="inlineStr">
        <is>
          <t>General</t>
        </is>
      </c>
      <c r="K528" t="inlineStr">
        <is>
          <t>unclassified</t>
        </is>
      </c>
      <c r="M528" t="n">
        <v>50</v>
      </c>
    </row>
    <row r="529">
      <c r="A529" t="inlineStr">
        <is>
          <t>Damiana</t>
        </is>
      </c>
      <c r="B529" t="inlineStr">
        <is>
          <t>Eleuthero</t>
        </is>
      </c>
      <c r="C529" t="n">
        <v>0</v>
      </c>
      <c r="D529" t="n">
        <v>1</v>
      </c>
      <c r="E529" t="n">
        <v>0</v>
      </c>
      <c r="F529" t="inlineStr">
        <is>
          <t>General</t>
        </is>
      </c>
      <c r="G529" t="inlineStr">
        <is>
          <t>General</t>
        </is>
      </c>
      <c r="H529" t="inlineStr">
        <is>
          <t>General</t>
        </is>
      </c>
      <c r="I529" t="inlineStr">
        <is>
          <t>General</t>
        </is>
      </c>
      <c r="K529" t="inlineStr">
        <is>
          <t>unclassified</t>
        </is>
      </c>
      <c r="M529" t="n">
        <v>50</v>
      </c>
    </row>
    <row r="530">
      <c r="A530" t="inlineStr">
        <is>
          <t>Damiana</t>
        </is>
      </c>
      <c r="B530" t="inlineStr">
        <is>
          <t>Fennel</t>
        </is>
      </c>
      <c r="C530" t="n">
        <v>0</v>
      </c>
      <c r="D530" t="n">
        <v>1</v>
      </c>
      <c r="E530" t="n">
        <v>0</v>
      </c>
      <c r="F530" t="inlineStr">
        <is>
          <t>General</t>
        </is>
      </c>
      <c r="G530" t="inlineStr">
        <is>
          <t>General</t>
        </is>
      </c>
      <c r="H530" t="inlineStr">
        <is>
          <t>General</t>
        </is>
      </c>
      <c r="I530" t="inlineStr">
        <is>
          <t>General</t>
        </is>
      </c>
      <c r="K530" t="inlineStr">
        <is>
          <t>unclassified</t>
        </is>
      </c>
      <c r="M530" t="n">
        <v>50</v>
      </c>
    </row>
    <row r="531">
      <c r="A531" t="inlineStr">
        <is>
          <t>Damiana</t>
        </is>
      </c>
      <c r="B531" t="inlineStr">
        <is>
          <t>Feverfew</t>
        </is>
      </c>
      <c r="C531" t="n">
        <v>0</v>
      </c>
      <c r="D531" t="n">
        <v>1</v>
      </c>
      <c r="E531" t="n">
        <v>0</v>
      </c>
      <c r="F531" t="inlineStr">
        <is>
          <t>General</t>
        </is>
      </c>
      <c r="G531" t="inlineStr">
        <is>
          <t>General</t>
        </is>
      </c>
      <c r="H531" t="inlineStr">
        <is>
          <t>General</t>
        </is>
      </c>
      <c r="I531" t="inlineStr">
        <is>
          <t>General</t>
        </is>
      </c>
      <c r="K531" t="inlineStr">
        <is>
          <t>unclassified</t>
        </is>
      </c>
      <c r="M531" t="n">
        <v>50</v>
      </c>
    </row>
    <row r="532">
      <c r="A532" t="inlineStr">
        <is>
          <t>Damiana</t>
        </is>
      </c>
      <c r="B532" t="inlineStr">
        <is>
          <t>Galangal</t>
        </is>
      </c>
      <c r="C532" t="n">
        <v>0</v>
      </c>
      <c r="D532" t="n">
        <v>1</v>
      </c>
      <c r="E532" t="n">
        <v>0</v>
      </c>
      <c r="F532" t="inlineStr">
        <is>
          <t>General</t>
        </is>
      </c>
      <c r="G532" t="inlineStr">
        <is>
          <t>General</t>
        </is>
      </c>
      <c r="H532" t="inlineStr">
        <is>
          <t>General</t>
        </is>
      </c>
      <c r="I532" t="inlineStr">
        <is>
          <t>General</t>
        </is>
      </c>
      <c r="K532" t="inlineStr">
        <is>
          <t>unclassified</t>
        </is>
      </c>
      <c r="M532" t="n">
        <v>50</v>
      </c>
    </row>
    <row r="533">
      <c r="A533" t="inlineStr">
        <is>
          <t>Damiana</t>
        </is>
      </c>
      <c r="B533" t="inlineStr">
        <is>
          <t>Gastrodia</t>
        </is>
      </c>
      <c r="C533" t="n">
        <v>0</v>
      </c>
      <c r="D533" t="n">
        <v>1</v>
      </c>
      <c r="E533" t="n">
        <v>0</v>
      </c>
      <c r="F533" t="inlineStr">
        <is>
          <t>General</t>
        </is>
      </c>
      <c r="G533" t="inlineStr">
        <is>
          <t>General</t>
        </is>
      </c>
      <c r="H533" t="inlineStr">
        <is>
          <t>General</t>
        </is>
      </c>
      <c r="I533" t="inlineStr">
        <is>
          <t>General</t>
        </is>
      </c>
      <c r="K533" t="inlineStr">
        <is>
          <t>unclassified</t>
        </is>
      </c>
      <c r="M533" t="n">
        <v>50</v>
      </c>
    </row>
    <row r="534">
      <c r="A534" t="inlineStr">
        <is>
          <t>Damiana</t>
        </is>
      </c>
      <c r="B534" t="inlineStr">
        <is>
          <t>Gudmar</t>
        </is>
      </c>
      <c r="C534" t="n">
        <v>0</v>
      </c>
      <c r="D534" t="n">
        <v>1</v>
      </c>
      <c r="E534" t="n">
        <v>0</v>
      </c>
      <c r="F534" t="inlineStr">
        <is>
          <t>General</t>
        </is>
      </c>
      <c r="G534" t="inlineStr">
        <is>
          <t>General</t>
        </is>
      </c>
      <c r="H534" t="inlineStr">
        <is>
          <t>General</t>
        </is>
      </c>
      <c r="I534" t="inlineStr">
        <is>
          <t>General</t>
        </is>
      </c>
      <c r="K534" t="inlineStr">
        <is>
          <t>unclassified</t>
        </is>
      </c>
      <c r="M534" t="n">
        <v>50</v>
      </c>
    </row>
    <row r="535">
      <c r="A535" t="inlineStr">
        <is>
          <t>Damiana</t>
        </is>
      </c>
      <c r="B535" t="inlineStr">
        <is>
          <t>Gymnema</t>
        </is>
      </c>
      <c r="C535" t="n">
        <v>0</v>
      </c>
      <c r="D535" t="n">
        <v>1</v>
      </c>
      <c r="E535" t="n">
        <v>0</v>
      </c>
      <c r="F535" t="inlineStr">
        <is>
          <t>General</t>
        </is>
      </c>
      <c r="G535" t="inlineStr">
        <is>
          <t>General</t>
        </is>
      </c>
      <c r="H535" t="inlineStr">
        <is>
          <t>General</t>
        </is>
      </c>
      <c r="I535" t="inlineStr">
        <is>
          <t>General</t>
        </is>
      </c>
      <c r="K535" t="inlineStr">
        <is>
          <t>unclassified</t>
        </is>
      </c>
      <c r="M535" t="n">
        <v>50</v>
      </c>
    </row>
    <row r="536">
      <c r="A536" t="inlineStr">
        <is>
          <t>Damiana</t>
        </is>
      </c>
      <c r="B536" t="inlineStr">
        <is>
          <t>Hops</t>
        </is>
      </c>
      <c r="C536" t="n">
        <v>0</v>
      </c>
      <c r="D536" t="n">
        <v>1</v>
      </c>
      <c r="E536" t="n">
        <v>0</v>
      </c>
      <c r="F536" t="inlineStr">
        <is>
          <t>General</t>
        </is>
      </c>
      <c r="G536" t="inlineStr">
        <is>
          <t>General</t>
        </is>
      </c>
      <c r="H536" t="inlineStr">
        <is>
          <t>General</t>
        </is>
      </c>
      <c r="I536" t="inlineStr">
        <is>
          <t>General</t>
        </is>
      </c>
      <c r="K536" t="inlineStr">
        <is>
          <t>unclassified</t>
        </is>
      </c>
      <c r="M536" t="n">
        <v>50</v>
      </c>
    </row>
    <row r="537">
      <c r="A537" t="inlineStr">
        <is>
          <t>Damiana</t>
        </is>
      </c>
      <c r="B537" t="inlineStr">
        <is>
          <t>Houttuynia</t>
        </is>
      </c>
      <c r="C537" t="n">
        <v>0</v>
      </c>
      <c r="D537" t="n">
        <v>1</v>
      </c>
      <c r="E537" t="n">
        <v>0</v>
      </c>
      <c r="F537" t="inlineStr">
        <is>
          <t>General</t>
        </is>
      </c>
      <c r="G537" t="inlineStr">
        <is>
          <t>General</t>
        </is>
      </c>
      <c r="H537" t="inlineStr">
        <is>
          <t>General</t>
        </is>
      </c>
      <c r="I537" t="inlineStr">
        <is>
          <t>General</t>
        </is>
      </c>
      <c r="K537" t="inlineStr">
        <is>
          <t>unclassified</t>
        </is>
      </c>
      <c r="M537" t="n">
        <v>50</v>
      </c>
    </row>
    <row r="538">
      <c r="A538" t="inlineStr">
        <is>
          <t>Damiana</t>
        </is>
      </c>
      <c r="B538" t="inlineStr">
        <is>
          <t>Isatis</t>
        </is>
      </c>
      <c r="C538" t="n">
        <v>0</v>
      </c>
      <c r="D538" t="n">
        <v>1</v>
      </c>
      <c r="E538" t="n">
        <v>0</v>
      </c>
      <c r="F538" t="inlineStr">
        <is>
          <t>General</t>
        </is>
      </c>
      <c r="G538" t="inlineStr">
        <is>
          <t>General</t>
        </is>
      </c>
      <c r="H538" t="inlineStr">
        <is>
          <t>General</t>
        </is>
      </c>
      <c r="I538" t="inlineStr">
        <is>
          <t>General</t>
        </is>
      </c>
      <c r="K538" t="inlineStr">
        <is>
          <t>unclassified</t>
        </is>
      </c>
      <c r="M538" t="n">
        <v>50</v>
      </c>
    </row>
    <row r="539">
      <c r="A539" t="inlineStr">
        <is>
          <t>Damiana</t>
        </is>
      </c>
      <c r="B539" t="inlineStr">
        <is>
          <t>Jatamansi</t>
        </is>
      </c>
      <c r="C539" t="n">
        <v>0</v>
      </c>
      <c r="D539" t="n">
        <v>1</v>
      </c>
      <c r="E539" t="n">
        <v>0</v>
      </c>
      <c r="F539" t="inlineStr">
        <is>
          <t>General</t>
        </is>
      </c>
      <c r="G539" t="inlineStr">
        <is>
          <t>General</t>
        </is>
      </c>
      <c r="H539" t="inlineStr">
        <is>
          <t>General</t>
        </is>
      </c>
      <c r="I539" t="inlineStr">
        <is>
          <t>General</t>
        </is>
      </c>
      <c r="K539" t="inlineStr">
        <is>
          <t>unclassified</t>
        </is>
      </c>
      <c r="M539" t="n">
        <v>50</v>
      </c>
    </row>
    <row r="540">
      <c r="A540" t="inlineStr">
        <is>
          <t>Damiana</t>
        </is>
      </c>
      <c r="B540" t="inlineStr">
        <is>
          <t>Kudzu</t>
        </is>
      </c>
      <c r="C540" t="n">
        <v>0</v>
      </c>
      <c r="D540" t="n">
        <v>1</v>
      </c>
      <c r="E540" t="n">
        <v>0</v>
      </c>
      <c r="F540" t="inlineStr">
        <is>
          <t>General</t>
        </is>
      </c>
      <c r="G540" t="inlineStr">
        <is>
          <t>General</t>
        </is>
      </c>
      <c r="H540" t="inlineStr">
        <is>
          <t>General</t>
        </is>
      </c>
      <c r="I540" t="inlineStr">
        <is>
          <t>General</t>
        </is>
      </c>
      <c r="K540" t="inlineStr">
        <is>
          <t>unclassified</t>
        </is>
      </c>
      <c r="M540" t="n">
        <v>50</v>
      </c>
    </row>
    <row r="541">
      <c r="A541" t="inlineStr">
        <is>
          <t>Damiana</t>
        </is>
      </c>
      <c r="B541" t="inlineStr">
        <is>
          <t>Lemon Verbena</t>
        </is>
      </c>
      <c r="C541" t="n">
        <v>0</v>
      </c>
      <c r="D541" t="n">
        <v>1</v>
      </c>
      <c r="E541" t="n">
        <v>0</v>
      </c>
      <c r="F541" t="inlineStr">
        <is>
          <t>General</t>
        </is>
      </c>
      <c r="G541" t="inlineStr">
        <is>
          <t>General</t>
        </is>
      </c>
      <c r="H541" t="inlineStr">
        <is>
          <t>General</t>
        </is>
      </c>
      <c r="I541" t="inlineStr">
        <is>
          <t>General</t>
        </is>
      </c>
      <c r="K541" t="inlineStr">
        <is>
          <t>unclassified</t>
        </is>
      </c>
      <c r="M541" t="n">
        <v>50</v>
      </c>
    </row>
    <row r="542">
      <c r="A542" t="inlineStr">
        <is>
          <t>Damiana</t>
        </is>
      </c>
      <c r="B542" t="inlineStr">
        <is>
          <t>Lemongrass</t>
        </is>
      </c>
      <c r="C542" t="n">
        <v>0</v>
      </c>
      <c r="D542" t="n">
        <v>1</v>
      </c>
      <c r="E542" t="n">
        <v>0</v>
      </c>
      <c r="F542" t="inlineStr">
        <is>
          <t>General</t>
        </is>
      </c>
      <c r="G542" t="inlineStr">
        <is>
          <t>General</t>
        </is>
      </c>
      <c r="H542" t="inlineStr">
        <is>
          <t>General</t>
        </is>
      </c>
      <c r="I542" t="inlineStr">
        <is>
          <t>General</t>
        </is>
      </c>
      <c r="K542" t="inlineStr">
        <is>
          <t>unclassified</t>
        </is>
      </c>
      <c r="M542" t="n">
        <v>50</v>
      </c>
    </row>
    <row r="543">
      <c r="A543" t="inlineStr">
        <is>
          <t>Damiana</t>
        </is>
      </c>
      <c r="B543" t="inlineStr">
        <is>
          <t>Longan</t>
        </is>
      </c>
      <c r="C543" t="n">
        <v>0</v>
      </c>
      <c r="D543" t="n">
        <v>1</v>
      </c>
      <c r="E543" t="n">
        <v>0</v>
      </c>
      <c r="F543" t="inlineStr">
        <is>
          <t>General</t>
        </is>
      </c>
      <c r="G543" t="inlineStr">
        <is>
          <t>General</t>
        </is>
      </c>
      <c r="H543" t="inlineStr">
        <is>
          <t>General</t>
        </is>
      </c>
      <c r="I543" t="inlineStr">
        <is>
          <t>General</t>
        </is>
      </c>
      <c r="K543" t="inlineStr">
        <is>
          <t>unclassified</t>
        </is>
      </c>
      <c r="M543" t="n">
        <v>50</v>
      </c>
    </row>
    <row r="544">
      <c r="A544" t="inlineStr">
        <is>
          <t>Damiana</t>
        </is>
      </c>
      <c r="B544" t="inlineStr">
        <is>
          <t>Maitake D-Fraction</t>
        </is>
      </c>
      <c r="C544" t="n">
        <v>0</v>
      </c>
      <c r="D544" t="n">
        <v>1</v>
      </c>
      <c r="E544" t="n">
        <v>0</v>
      </c>
      <c r="F544" t="inlineStr">
        <is>
          <t>General</t>
        </is>
      </c>
      <c r="G544" t="inlineStr">
        <is>
          <t>General</t>
        </is>
      </c>
      <c r="H544" t="inlineStr">
        <is>
          <t>General</t>
        </is>
      </c>
      <c r="I544" t="inlineStr">
        <is>
          <t>General</t>
        </is>
      </c>
      <c r="K544" t="inlineStr">
        <is>
          <t>unclassified</t>
        </is>
      </c>
      <c r="M544" t="n">
        <v>50</v>
      </c>
    </row>
    <row r="545">
      <c r="A545" t="inlineStr">
        <is>
          <t>Damiana</t>
        </is>
      </c>
      <c r="B545" t="inlineStr">
        <is>
          <t>Milk Oats</t>
        </is>
      </c>
      <c r="C545" t="n">
        <v>0</v>
      </c>
      <c r="D545" t="n">
        <v>1</v>
      </c>
      <c r="E545" t="n">
        <v>0</v>
      </c>
      <c r="F545" t="inlineStr">
        <is>
          <t>General</t>
        </is>
      </c>
      <c r="G545" t="inlineStr">
        <is>
          <t>General</t>
        </is>
      </c>
      <c r="H545" t="inlineStr">
        <is>
          <t>General</t>
        </is>
      </c>
      <c r="I545" t="inlineStr">
        <is>
          <t>General</t>
        </is>
      </c>
      <c r="K545" t="inlineStr">
        <is>
          <t>unclassified</t>
        </is>
      </c>
      <c r="M545" t="n">
        <v>50</v>
      </c>
    </row>
    <row r="546">
      <c r="A546" t="inlineStr">
        <is>
          <t>Damiana</t>
        </is>
      </c>
      <c r="B546" t="inlineStr">
        <is>
          <t>Mugwort</t>
        </is>
      </c>
      <c r="C546" t="n">
        <v>0</v>
      </c>
      <c r="D546" t="n">
        <v>1</v>
      </c>
      <c r="E546" t="n">
        <v>0</v>
      </c>
      <c r="F546" t="inlineStr">
        <is>
          <t>General</t>
        </is>
      </c>
      <c r="G546" t="inlineStr">
        <is>
          <t>General</t>
        </is>
      </c>
      <c r="H546" t="inlineStr">
        <is>
          <t>General</t>
        </is>
      </c>
      <c r="I546" t="inlineStr">
        <is>
          <t>General</t>
        </is>
      </c>
      <c r="K546" t="inlineStr">
        <is>
          <t>unclassified</t>
        </is>
      </c>
      <c r="M546" t="n">
        <v>50</v>
      </c>
    </row>
    <row r="547">
      <c r="A547" t="inlineStr">
        <is>
          <t>Damiana</t>
        </is>
      </c>
      <c r="B547" t="inlineStr">
        <is>
          <t>Muira Puama</t>
        </is>
      </c>
      <c r="C547" t="n">
        <v>0</v>
      </c>
      <c r="D547" t="n">
        <v>1</v>
      </c>
      <c r="E547" t="n">
        <v>0</v>
      </c>
      <c r="F547" t="inlineStr">
        <is>
          <t>General</t>
        </is>
      </c>
      <c r="G547" t="inlineStr">
        <is>
          <t>General</t>
        </is>
      </c>
      <c r="H547" t="inlineStr">
        <is>
          <t>General</t>
        </is>
      </c>
      <c r="I547" t="inlineStr">
        <is>
          <t>General</t>
        </is>
      </c>
      <c r="K547" t="inlineStr">
        <is>
          <t>unclassified</t>
        </is>
      </c>
      <c r="M547" t="n">
        <v>50</v>
      </c>
    </row>
    <row r="548">
      <c r="A548" t="inlineStr">
        <is>
          <t>Damiana</t>
        </is>
      </c>
      <c r="B548" t="inlineStr">
        <is>
          <t>Mulberry Leaf</t>
        </is>
      </c>
      <c r="C548" t="n">
        <v>0</v>
      </c>
      <c r="D548" t="n">
        <v>1</v>
      </c>
      <c r="E548" t="n">
        <v>0</v>
      </c>
      <c r="F548" t="inlineStr">
        <is>
          <t>General</t>
        </is>
      </c>
      <c r="G548" t="inlineStr">
        <is>
          <t>General</t>
        </is>
      </c>
      <c r="H548" t="inlineStr">
        <is>
          <t>General</t>
        </is>
      </c>
      <c r="I548" t="inlineStr">
        <is>
          <t>General</t>
        </is>
      </c>
      <c r="K548" t="inlineStr">
        <is>
          <t>unclassified</t>
        </is>
      </c>
      <c r="M548" t="n">
        <v>50</v>
      </c>
    </row>
    <row r="549">
      <c r="A549" t="inlineStr">
        <is>
          <t>Damiana</t>
        </is>
      </c>
      <c r="B549" t="inlineStr">
        <is>
          <t>Myrtle</t>
        </is>
      </c>
      <c r="C549" t="n">
        <v>0</v>
      </c>
      <c r="D549" t="n">
        <v>1</v>
      </c>
      <c r="E549" t="n">
        <v>0</v>
      </c>
      <c r="F549" t="inlineStr">
        <is>
          <t>General</t>
        </is>
      </c>
      <c r="G549" t="inlineStr">
        <is>
          <t>General</t>
        </is>
      </c>
      <c r="H549" t="inlineStr">
        <is>
          <t>General</t>
        </is>
      </c>
      <c r="I549" t="inlineStr">
        <is>
          <t>General</t>
        </is>
      </c>
      <c r="K549" t="inlineStr">
        <is>
          <t>unclassified</t>
        </is>
      </c>
      <c r="M549" t="n">
        <v>50</v>
      </c>
    </row>
    <row r="550">
      <c r="A550" t="inlineStr">
        <is>
          <t>Damiana</t>
        </is>
      </c>
      <c r="B550" t="inlineStr">
        <is>
          <t>Neem</t>
        </is>
      </c>
      <c r="C550" t="n">
        <v>0</v>
      </c>
      <c r="D550" t="n">
        <v>1</v>
      </c>
      <c r="E550" t="n">
        <v>0</v>
      </c>
      <c r="F550" t="inlineStr">
        <is>
          <t>General</t>
        </is>
      </c>
      <c r="G550" t="inlineStr">
        <is>
          <t>General</t>
        </is>
      </c>
      <c r="H550" t="inlineStr">
        <is>
          <t>General</t>
        </is>
      </c>
      <c r="I550" t="inlineStr">
        <is>
          <t>General</t>
        </is>
      </c>
      <c r="K550" t="inlineStr">
        <is>
          <t>unclassified</t>
        </is>
      </c>
      <c r="M550" t="n">
        <v>50</v>
      </c>
    </row>
    <row r="551">
      <c r="A551" t="inlineStr">
        <is>
          <t>Damiana</t>
        </is>
      </c>
      <c r="B551" t="inlineStr">
        <is>
          <t>Nettle Root</t>
        </is>
      </c>
      <c r="C551" t="n">
        <v>0</v>
      </c>
      <c r="D551" t="n">
        <v>1</v>
      </c>
      <c r="E551" t="n">
        <v>0</v>
      </c>
      <c r="F551" t="inlineStr">
        <is>
          <t>General</t>
        </is>
      </c>
      <c r="G551" t="inlineStr">
        <is>
          <t>General</t>
        </is>
      </c>
      <c r="H551" t="inlineStr">
        <is>
          <t>General</t>
        </is>
      </c>
      <c r="I551" t="inlineStr">
        <is>
          <t>General</t>
        </is>
      </c>
      <c r="K551" t="inlineStr">
        <is>
          <t>unclassified</t>
        </is>
      </c>
      <c r="M551" t="n">
        <v>50</v>
      </c>
    </row>
    <row r="552">
      <c r="A552" t="inlineStr">
        <is>
          <t>Damiana</t>
        </is>
      </c>
      <c r="B552" t="inlineStr">
        <is>
          <t>Noni</t>
        </is>
      </c>
      <c r="C552" t="n">
        <v>0</v>
      </c>
      <c r="D552" t="n">
        <v>1</v>
      </c>
      <c r="E552" t="n">
        <v>0</v>
      </c>
      <c r="F552" t="inlineStr">
        <is>
          <t>General</t>
        </is>
      </c>
      <c r="G552" t="inlineStr">
        <is>
          <t>General</t>
        </is>
      </c>
      <c r="H552" t="inlineStr">
        <is>
          <t>General</t>
        </is>
      </c>
      <c r="I552" t="inlineStr">
        <is>
          <t>General</t>
        </is>
      </c>
      <c r="K552" t="inlineStr">
        <is>
          <t>unclassified</t>
        </is>
      </c>
      <c r="M552" t="n">
        <v>50</v>
      </c>
    </row>
    <row r="553">
      <c r="A553" t="inlineStr">
        <is>
          <t>Damiana</t>
        </is>
      </c>
      <c r="B553" t="inlineStr">
        <is>
          <t>Oatstraw</t>
        </is>
      </c>
      <c r="C553" t="n">
        <v>0</v>
      </c>
      <c r="D553" t="n">
        <v>1</v>
      </c>
      <c r="E553" t="n">
        <v>0</v>
      </c>
      <c r="F553" t="inlineStr">
        <is>
          <t>General</t>
        </is>
      </c>
      <c r="G553" t="inlineStr">
        <is>
          <t>General</t>
        </is>
      </c>
      <c r="H553" t="inlineStr">
        <is>
          <t>General</t>
        </is>
      </c>
      <c r="I553" t="inlineStr">
        <is>
          <t>General</t>
        </is>
      </c>
      <c r="K553" t="inlineStr">
        <is>
          <t>unclassified</t>
        </is>
      </c>
      <c r="M553" t="n">
        <v>50</v>
      </c>
    </row>
    <row r="554">
      <c r="A554" t="inlineStr">
        <is>
          <t>Damiana</t>
        </is>
      </c>
      <c r="B554" t="inlineStr">
        <is>
          <t>Passionflower</t>
        </is>
      </c>
      <c r="C554" t="n">
        <v>0</v>
      </c>
      <c r="D554" t="n">
        <v>1</v>
      </c>
      <c r="E554" t="n">
        <v>0</v>
      </c>
      <c r="F554" t="inlineStr">
        <is>
          <t>General</t>
        </is>
      </c>
      <c r="G554" t="inlineStr">
        <is>
          <t>General</t>
        </is>
      </c>
      <c r="H554" t="inlineStr">
        <is>
          <t>General</t>
        </is>
      </c>
      <c r="I554" t="inlineStr">
        <is>
          <t>General</t>
        </is>
      </c>
      <c r="K554" t="inlineStr">
        <is>
          <t>unclassified</t>
        </is>
      </c>
      <c r="M554" t="n">
        <v>50</v>
      </c>
    </row>
    <row r="555">
      <c r="A555" t="inlineStr">
        <is>
          <t>Damiana</t>
        </is>
      </c>
      <c r="B555" t="inlineStr">
        <is>
          <t>Pau d'Arco</t>
        </is>
      </c>
      <c r="C555" t="n">
        <v>0</v>
      </c>
      <c r="D555" t="n">
        <v>1</v>
      </c>
      <c r="E555" t="n">
        <v>0</v>
      </c>
      <c r="F555" t="inlineStr">
        <is>
          <t>General</t>
        </is>
      </c>
      <c r="G555" t="inlineStr">
        <is>
          <t>General</t>
        </is>
      </c>
      <c r="H555" t="inlineStr">
        <is>
          <t>General</t>
        </is>
      </c>
      <c r="I555" t="inlineStr">
        <is>
          <t>General</t>
        </is>
      </c>
      <c r="K555" t="inlineStr">
        <is>
          <t>unclassified</t>
        </is>
      </c>
      <c r="M555" t="n">
        <v>50</v>
      </c>
    </row>
    <row r="556">
      <c r="A556" t="inlineStr">
        <is>
          <t>Damiana</t>
        </is>
      </c>
      <c r="B556" t="inlineStr">
        <is>
          <t>Perilla</t>
        </is>
      </c>
      <c r="C556" t="n">
        <v>0</v>
      </c>
      <c r="D556" t="n">
        <v>1</v>
      </c>
      <c r="E556" t="n">
        <v>0</v>
      </c>
      <c r="F556" t="inlineStr">
        <is>
          <t>General</t>
        </is>
      </c>
      <c r="G556" t="inlineStr">
        <is>
          <t>General</t>
        </is>
      </c>
      <c r="H556" t="inlineStr">
        <is>
          <t>General</t>
        </is>
      </c>
      <c r="I556" t="inlineStr">
        <is>
          <t>General</t>
        </is>
      </c>
      <c r="K556" t="inlineStr">
        <is>
          <t>unclassified</t>
        </is>
      </c>
      <c r="M556" t="n">
        <v>50</v>
      </c>
    </row>
    <row r="557">
      <c r="A557" t="inlineStr">
        <is>
          <t>Damiana</t>
        </is>
      </c>
      <c r="B557" t="inlineStr">
        <is>
          <t>Pomegranate</t>
        </is>
      </c>
      <c r="C557" t="n">
        <v>0</v>
      </c>
      <c r="D557" t="n">
        <v>1</v>
      </c>
      <c r="E557" t="n">
        <v>0</v>
      </c>
      <c r="F557" t="inlineStr">
        <is>
          <t>General</t>
        </is>
      </c>
      <c r="G557" t="inlineStr">
        <is>
          <t>General</t>
        </is>
      </c>
      <c r="H557" t="inlineStr">
        <is>
          <t>General</t>
        </is>
      </c>
      <c r="I557" t="inlineStr">
        <is>
          <t>General</t>
        </is>
      </c>
      <c r="K557" t="inlineStr">
        <is>
          <t>unclassified</t>
        </is>
      </c>
      <c r="M557" t="n">
        <v>50</v>
      </c>
    </row>
    <row r="558">
      <c r="A558" t="inlineStr">
        <is>
          <t>Damiana</t>
        </is>
      </c>
      <c r="B558" t="inlineStr">
        <is>
          <t>Poria</t>
        </is>
      </c>
      <c r="C558" t="n">
        <v>0</v>
      </c>
      <c r="D558" t="n">
        <v>1</v>
      </c>
      <c r="E558" t="n">
        <v>0</v>
      </c>
      <c r="F558" t="inlineStr">
        <is>
          <t>General</t>
        </is>
      </c>
      <c r="G558" t="inlineStr">
        <is>
          <t>General</t>
        </is>
      </c>
      <c r="H558" t="inlineStr">
        <is>
          <t>General</t>
        </is>
      </c>
      <c r="I558" t="inlineStr">
        <is>
          <t>General</t>
        </is>
      </c>
      <c r="K558" t="inlineStr">
        <is>
          <t>unclassified</t>
        </is>
      </c>
      <c r="M558" t="n">
        <v>50</v>
      </c>
    </row>
    <row r="559">
      <c r="A559" t="inlineStr">
        <is>
          <t>Damiana</t>
        </is>
      </c>
      <c r="B559" t="inlineStr">
        <is>
          <t>Punarnava</t>
        </is>
      </c>
      <c r="C559" t="n">
        <v>0</v>
      </c>
      <c r="D559" t="n">
        <v>1</v>
      </c>
      <c r="E559" t="n">
        <v>0</v>
      </c>
      <c r="F559" t="inlineStr">
        <is>
          <t>General</t>
        </is>
      </c>
      <c r="G559" t="inlineStr">
        <is>
          <t>General</t>
        </is>
      </c>
      <c r="H559" t="inlineStr">
        <is>
          <t>General</t>
        </is>
      </c>
      <c r="I559" t="inlineStr">
        <is>
          <t>General</t>
        </is>
      </c>
      <c r="K559" t="inlineStr">
        <is>
          <t>unclassified</t>
        </is>
      </c>
      <c r="M559" t="n">
        <v>50</v>
      </c>
    </row>
    <row r="560">
      <c r="A560" t="inlineStr">
        <is>
          <t>Damiana</t>
        </is>
      </c>
      <c r="B560" t="inlineStr">
        <is>
          <t>Red Clover</t>
        </is>
      </c>
      <c r="C560" t="n">
        <v>0</v>
      </c>
      <c r="D560" t="n">
        <v>1</v>
      </c>
      <c r="E560" t="n">
        <v>0</v>
      </c>
      <c r="F560" t="inlineStr">
        <is>
          <t>General</t>
        </is>
      </c>
      <c r="G560" t="inlineStr">
        <is>
          <t>General</t>
        </is>
      </c>
      <c r="H560" t="inlineStr">
        <is>
          <t>General</t>
        </is>
      </c>
      <c r="I560" t="inlineStr">
        <is>
          <t>General</t>
        </is>
      </c>
      <c r="K560" t="inlineStr">
        <is>
          <t>unclassified</t>
        </is>
      </c>
      <c r="M560" t="n">
        <v>50</v>
      </c>
    </row>
    <row r="561">
      <c r="A561" t="inlineStr">
        <is>
          <t>Damiana</t>
        </is>
      </c>
      <c r="B561" t="inlineStr">
        <is>
          <t>Rehmannia Prepared</t>
        </is>
      </c>
      <c r="C561" t="n">
        <v>0</v>
      </c>
      <c r="D561" t="n">
        <v>1</v>
      </c>
      <c r="E561" t="n">
        <v>0</v>
      </c>
      <c r="F561" t="inlineStr">
        <is>
          <t>General</t>
        </is>
      </c>
      <c r="G561" t="inlineStr">
        <is>
          <t>General</t>
        </is>
      </c>
      <c r="H561" t="inlineStr">
        <is>
          <t>General</t>
        </is>
      </c>
      <c r="I561" t="inlineStr">
        <is>
          <t>General</t>
        </is>
      </c>
      <c r="K561" t="inlineStr">
        <is>
          <t>unclassified</t>
        </is>
      </c>
      <c r="M561" t="n">
        <v>50</v>
      </c>
    </row>
    <row r="562">
      <c r="A562" t="inlineStr">
        <is>
          <t>Damiana</t>
        </is>
      </c>
      <c r="B562" t="inlineStr">
        <is>
          <t>Reishi</t>
        </is>
      </c>
      <c r="C562" t="n">
        <v>0</v>
      </c>
      <c r="D562" t="n">
        <v>1</v>
      </c>
      <c r="E562" t="n">
        <v>0</v>
      </c>
      <c r="F562" t="inlineStr">
        <is>
          <t>General</t>
        </is>
      </c>
      <c r="G562" t="inlineStr">
        <is>
          <t>General</t>
        </is>
      </c>
      <c r="H562" t="inlineStr">
        <is>
          <t>General</t>
        </is>
      </c>
      <c r="I562" t="inlineStr">
        <is>
          <t>General</t>
        </is>
      </c>
      <c r="K562" t="inlineStr">
        <is>
          <t>unclassified</t>
        </is>
      </c>
      <c r="M562" t="n">
        <v>50</v>
      </c>
    </row>
    <row r="563">
      <c r="A563" t="inlineStr">
        <is>
          <t>Damiana</t>
        </is>
      </c>
      <c r="B563" t="inlineStr">
        <is>
          <t>Rose Hips</t>
        </is>
      </c>
      <c r="C563" t="n">
        <v>0</v>
      </c>
      <c r="D563" t="n">
        <v>1</v>
      </c>
      <c r="E563" t="n">
        <v>0</v>
      </c>
      <c r="F563" t="inlineStr">
        <is>
          <t>General</t>
        </is>
      </c>
      <c r="G563" t="inlineStr">
        <is>
          <t>General</t>
        </is>
      </c>
      <c r="H563" t="inlineStr">
        <is>
          <t>General</t>
        </is>
      </c>
      <c r="I563" t="inlineStr">
        <is>
          <t>General</t>
        </is>
      </c>
      <c r="K563" t="inlineStr">
        <is>
          <t>unclassified</t>
        </is>
      </c>
      <c r="M563" t="n">
        <v>50</v>
      </c>
    </row>
    <row r="564">
      <c r="A564" t="inlineStr">
        <is>
          <t>Damiana</t>
        </is>
      </c>
      <c r="B564" t="inlineStr">
        <is>
          <t>Rosemary</t>
        </is>
      </c>
      <c r="C564" t="n">
        <v>0</v>
      </c>
      <c r="D564" t="n">
        <v>1</v>
      </c>
      <c r="E564" t="n">
        <v>0</v>
      </c>
      <c r="F564" t="inlineStr">
        <is>
          <t>General</t>
        </is>
      </c>
      <c r="G564" t="inlineStr">
        <is>
          <t>General</t>
        </is>
      </c>
      <c r="H564" t="inlineStr">
        <is>
          <t>General</t>
        </is>
      </c>
      <c r="I564" t="inlineStr">
        <is>
          <t>General</t>
        </is>
      </c>
      <c r="K564" t="inlineStr">
        <is>
          <t>unclassified</t>
        </is>
      </c>
      <c r="M564" t="n">
        <v>50</v>
      </c>
    </row>
    <row r="565">
      <c r="A565" t="inlineStr">
        <is>
          <t>Damiana</t>
        </is>
      </c>
      <c r="B565" t="inlineStr">
        <is>
          <t>Sage</t>
        </is>
      </c>
      <c r="C565" t="n">
        <v>0</v>
      </c>
      <c r="D565" t="n">
        <v>1</v>
      </c>
      <c r="E565" t="n">
        <v>0</v>
      </c>
      <c r="F565" t="inlineStr">
        <is>
          <t>General</t>
        </is>
      </c>
      <c r="G565" t="inlineStr">
        <is>
          <t>General</t>
        </is>
      </c>
      <c r="H565" t="inlineStr">
        <is>
          <t>General</t>
        </is>
      </c>
      <c r="I565" t="inlineStr">
        <is>
          <t>General</t>
        </is>
      </c>
      <c r="K565" t="inlineStr">
        <is>
          <t>unclassified</t>
        </is>
      </c>
      <c r="M565" t="n">
        <v>50</v>
      </c>
    </row>
    <row r="566">
      <c r="A566" t="inlineStr">
        <is>
          <t>Damiana</t>
        </is>
      </c>
      <c r="B566" t="inlineStr">
        <is>
          <t>Sophora Flavescens</t>
        </is>
      </c>
      <c r="C566" t="n">
        <v>0</v>
      </c>
      <c r="D566" t="n">
        <v>1</v>
      </c>
      <c r="E566" t="n">
        <v>0</v>
      </c>
      <c r="F566" t="inlineStr">
        <is>
          <t>General</t>
        </is>
      </c>
      <c r="G566" t="inlineStr">
        <is>
          <t>General</t>
        </is>
      </c>
      <c r="H566" t="inlineStr">
        <is>
          <t>General</t>
        </is>
      </c>
      <c r="I566" t="inlineStr">
        <is>
          <t>General</t>
        </is>
      </c>
      <c r="K566" t="inlineStr">
        <is>
          <t>unclassified</t>
        </is>
      </c>
      <c r="M566" t="n">
        <v>50</v>
      </c>
    </row>
    <row r="567">
      <c r="A567" t="inlineStr">
        <is>
          <t>Damiana</t>
        </is>
      </c>
      <c r="B567" t="inlineStr">
        <is>
          <t>Soursop</t>
        </is>
      </c>
      <c r="C567" t="n">
        <v>0</v>
      </c>
      <c r="D567" t="n">
        <v>1</v>
      </c>
      <c r="E567" t="n">
        <v>0</v>
      </c>
      <c r="F567" t="inlineStr">
        <is>
          <t>General</t>
        </is>
      </c>
      <c r="G567" t="inlineStr">
        <is>
          <t>General</t>
        </is>
      </c>
      <c r="H567" t="inlineStr">
        <is>
          <t>General</t>
        </is>
      </c>
      <c r="I567" t="inlineStr">
        <is>
          <t>General</t>
        </is>
      </c>
      <c r="K567" t="inlineStr">
        <is>
          <t>unclassified</t>
        </is>
      </c>
      <c r="M567" t="n">
        <v>50</v>
      </c>
    </row>
    <row r="568">
      <c r="A568" t="inlineStr">
        <is>
          <t>Damiana</t>
        </is>
      </c>
      <c r="B568" t="inlineStr">
        <is>
          <t>Tamarind</t>
        </is>
      </c>
      <c r="C568" t="n">
        <v>0</v>
      </c>
      <c r="D568" t="n">
        <v>1</v>
      </c>
      <c r="E568" t="n">
        <v>0</v>
      </c>
      <c r="F568" t="inlineStr">
        <is>
          <t>General</t>
        </is>
      </c>
      <c r="G568" t="inlineStr">
        <is>
          <t>General</t>
        </is>
      </c>
      <c r="H568" t="inlineStr">
        <is>
          <t>General</t>
        </is>
      </c>
      <c r="I568" t="inlineStr">
        <is>
          <t>General</t>
        </is>
      </c>
      <c r="K568" t="inlineStr">
        <is>
          <t>unclassified</t>
        </is>
      </c>
      <c r="M568" t="n">
        <v>50</v>
      </c>
    </row>
    <row r="569">
      <c r="A569" t="inlineStr">
        <is>
          <t>Damiana</t>
        </is>
      </c>
      <c r="B569" t="inlineStr">
        <is>
          <t>Thyme</t>
        </is>
      </c>
      <c r="C569" t="n">
        <v>0</v>
      </c>
      <c r="D569" t="n">
        <v>1</v>
      </c>
      <c r="E569" t="n">
        <v>0</v>
      </c>
      <c r="F569" t="inlineStr">
        <is>
          <t>General</t>
        </is>
      </c>
      <c r="G569" t="inlineStr">
        <is>
          <t>General</t>
        </is>
      </c>
      <c r="H569" t="inlineStr">
        <is>
          <t>General</t>
        </is>
      </c>
      <c r="I569" t="inlineStr">
        <is>
          <t>General</t>
        </is>
      </c>
      <c r="K569" t="inlineStr">
        <is>
          <t>unclassified</t>
        </is>
      </c>
      <c r="M569" t="n">
        <v>50</v>
      </c>
    </row>
    <row r="570">
      <c r="A570" t="inlineStr">
        <is>
          <t>Damiana</t>
        </is>
      </c>
      <c r="B570" t="inlineStr">
        <is>
          <t>White Peony</t>
        </is>
      </c>
      <c r="C570" t="n">
        <v>0</v>
      </c>
      <c r="D570" t="n">
        <v>1</v>
      </c>
      <c r="E570" t="n">
        <v>0</v>
      </c>
      <c r="F570" t="inlineStr">
        <is>
          <t>General</t>
        </is>
      </c>
      <c r="G570" t="inlineStr">
        <is>
          <t>General</t>
        </is>
      </c>
      <c r="H570" t="inlineStr">
        <is>
          <t>General</t>
        </is>
      </c>
      <c r="I570" t="inlineStr">
        <is>
          <t>General</t>
        </is>
      </c>
      <c r="K570" t="inlineStr">
        <is>
          <t>unclassified</t>
        </is>
      </c>
      <c r="M570" t="n">
        <v>50</v>
      </c>
    </row>
    <row r="571">
      <c r="A571" t="inlineStr">
        <is>
          <t>Damiana</t>
        </is>
      </c>
      <c r="B571" t="inlineStr">
        <is>
          <t>Yarrow</t>
        </is>
      </c>
      <c r="C571" t="n">
        <v>0</v>
      </c>
      <c r="D571" t="n">
        <v>1</v>
      </c>
      <c r="E571" t="n">
        <v>0</v>
      </c>
      <c r="F571" t="inlineStr">
        <is>
          <t>General</t>
        </is>
      </c>
      <c r="G571" t="inlineStr">
        <is>
          <t>General</t>
        </is>
      </c>
      <c r="H571" t="inlineStr">
        <is>
          <t>General</t>
        </is>
      </c>
      <c r="I571" t="inlineStr">
        <is>
          <t>General</t>
        </is>
      </c>
      <c r="K571" t="inlineStr">
        <is>
          <t>unclassified</t>
        </is>
      </c>
      <c r="M571" t="n">
        <v>50</v>
      </c>
    </row>
    <row r="572">
      <c r="A572" t="inlineStr">
        <is>
          <t>Damiana</t>
        </is>
      </c>
      <c r="B572" t="inlineStr">
        <is>
          <t>Yohimbe</t>
        </is>
      </c>
      <c r="C572" t="n">
        <v>0</v>
      </c>
      <c r="D572" t="n">
        <v>1</v>
      </c>
      <c r="E572" t="n">
        <v>0</v>
      </c>
      <c r="F572" t="inlineStr">
        <is>
          <t>General</t>
        </is>
      </c>
      <c r="G572" t="inlineStr">
        <is>
          <t>General</t>
        </is>
      </c>
      <c r="H572" t="inlineStr">
        <is>
          <t>General</t>
        </is>
      </c>
      <c r="I572" t="inlineStr">
        <is>
          <t>General</t>
        </is>
      </c>
      <c r="K572" t="inlineStr">
        <is>
          <t>unclassified</t>
        </is>
      </c>
      <c r="M572" t="n">
        <v>50</v>
      </c>
    </row>
    <row r="573">
      <c r="A573" t="inlineStr">
        <is>
          <t>Dandelion</t>
        </is>
      </c>
      <c r="B573" t="inlineStr">
        <is>
          <t>Agarikon</t>
        </is>
      </c>
      <c r="C573" t="n">
        <v>0</v>
      </c>
      <c r="D573" t="n">
        <v>1</v>
      </c>
      <c r="E573" t="n">
        <v>0</v>
      </c>
      <c r="F573" t="inlineStr">
        <is>
          <t>General</t>
        </is>
      </c>
      <c r="G573" t="inlineStr">
        <is>
          <t>General</t>
        </is>
      </c>
      <c r="H573" t="inlineStr">
        <is>
          <t>General</t>
        </is>
      </c>
      <c r="I573" t="inlineStr">
        <is>
          <t>General</t>
        </is>
      </c>
      <c r="K573" t="inlineStr">
        <is>
          <t>unclassified</t>
        </is>
      </c>
      <c r="M573" t="n">
        <v>50</v>
      </c>
    </row>
    <row r="574">
      <c r="A574" t="inlineStr">
        <is>
          <t>Dandelion</t>
        </is>
      </c>
      <c r="B574" t="inlineStr">
        <is>
          <t>Ajwain</t>
        </is>
      </c>
      <c r="C574" t="n">
        <v>0</v>
      </c>
      <c r="D574" t="n">
        <v>1</v>
      </c>
      <c r="E574" t="n">
        <v>0</v>
      </c>
      <c r="F574" t="inlineStr">
        <is>
          <t>General</t>
        </is>
      </c>
      <c r="G574" t="inlineStr">
        <is>
          <t>General</t>
        </is>
      </c>
      <c r="H574" t="inlineStr">
        <is>
          <t>General</t>
        </is>
      </c>
      <c r="I574" t="inlineStr">
        <is>
          <t>General</t>
        </is>
      </c>
      <c r="K574" t="inlineStr">
        <is>
          <t>unclassified</t>
        </is>
      </c>
      <c r="M574" t="n">
        <v>50</v>
      </c>
    </row>
    <row r="575">
      <c r="A575" t="inlineStr">
        <is>
          <t>Dandelion</t>
        </is>
      </c>
      <c r="B575" t="inlineStr">
        <is>
          <t>Angelica Root</t>
        </is>
      </c>
      <c r="C575" t="n">
        <v>0</v>
      </c>
      <c r="D575" t="n">
        <v>1</v>
      </c>
      <c r="E575" t="n">
        <v>0</v>
      </c>
      <c r="F575" t="inlineStr">
        <is>
          <t>General</t>
        </is>
      </c>
      <c r="G575" t="inlineStr">
        <is>
          <t>General</t>
        </is>
      </c>
      <c r="H575" t="inlineStr">
        <is>
          <t>General</t>
        </is>
      </c>
      <c r="I575" t="inlineStr">
        <is>
          <t>General</t>
        </is>
      </c>
      <c r="K575" t="inlineStr">
        <is>
          <t>unclassified</t>
        </is>
      </c>
      <c r="M575" t="n">
        <v>50</v>
      </c>
    </row>
    <row r="576">
      <c r="A576" t="inlineStr">
        <is>
          <t>Dandelion</t>
        </is>
      </c>
      <c r="B576" t="inlineStr">
        <is>
          <t>Ashoka</t>
        </is>
      </c>
      <c r="C576" t="n">
        <v>0</v>
      </c>
      <c r="D576" t="n">
        <v>1</v>
      </c>
      <c r="E576" t="n">
        <v>0</v>
      </c>
      <c r="F576" t="inlineStr">
        <is>
          <t>General</t>
        </is>
      </c>
      <c r="G576" t="inlineStr">
        <is>
          <t>General</t>
        </is>
      </c>
      <c r="H576" t="inlineStr">
        <is>
          <t>General</t>
        </is>
      </c>
      <c r="I576" t="inlineStr">
        <is>
          <t>General</t>
        </is>
      </c>
      <c r="K576" t="inlineStr">
        <is>
          <t>unclassified</t>
        </is>
      </c>
      <c r="M576" t="n">
        <v>50</v>
      </c>
    </row>
    <row r="577">
      <c r="A577" t="inlineStr">
        <is>
          <t>Dandelion</t>
        </is>
      </c>
      <c r="B577" t="inlineStr">
        <is>
          <t>Boldo</t>
        </is>
      </c>
      <c r="C577" t="n">
        <v>0</v>
      </c>
      <c r="D577" t="n">
        <v>1</v>
      </c>
      <c r="E577" t="n">
        <v>0</v>
      </c>
      <c r="F577" t="inlineStr">
        <is>
          <t>General</t>
        </is>
      </c>
      <c r="G577" t="inlineStr">
        <is>
          <t>General</t>
        </is>
      </c>
      <c r="H577" t="inlineStr">
        <is>
          <t>General</t>
        </is>
      </c>
      <c r="I577" t="inlineStr">
        <is>
          <t>General</t>
        </is>
      </c>
      <c r="K577" t="inlineStr">
        <is>
          <t>unclassified</t>
        </is>
      </c>
      <c r="M577" t="n">
        <v>50</v>
      </c>
    </row>
    <row r="578">
      <c r="A578" t="inlineStr">
        <is>
          <t>Dandelion</t>
        </is>
      </c>
      <c r="B578" t="inlineStr">
        <is>
          <t>Burdock</t>
        </is>
      </c>
      <c r="C578" t="n">
        <v>0</v>
      </c>
      <c r="D578" t="n">
        <v>1</v>
      </c>
      <c r="E578" t="n">
        <v>0</v>
      </c>
      <c r="F578" t="inlineStr">
        <is>
          <t>General</t>
        </is>
      </c>
      <c r="G578" t="inlineStr">
        <is>
          <t>General</t>
        </is>
      </c>
      <c r="H578" t="inlineStr">
        <is>
          <t>General</t>
        </is>
      </c>
      <c r="I578" t="inlineStr">
        <is>
          <t>General</t>
        </is>
      </c>
      <c r="K578" t="inlineStr">
        <is>
          <t>unclassified</t>
        </is>
      </c>
      <c r="M578" t="n">
        <v>50</v>
      </c>
    </row>
    <row r="579">
      <c r="A579" t="inlineStr">
        <is>
          <t>Dandelion</t>
        </is>
      </c>
      <c r="B579" t="inlineStr">
        <is>
          <t>Calendula</t>
        </is>
      </c>
      <c r="C579" t="n">
        <v>0</v>
      </c>
      <c r="D579" t="n">
        <v>1</v>
      </c>
      <c r="E579" t="n">
        <v>0</v>
      </c>
      <c r="F579" t="inlineStr">
        <is>
          <t>General</t>
        </is>
      </c>
      <c r="G579" t="inlineStr">
        <is>
          <t>General</t>
        </is>
      </c>
      <c r="H579" t="inlineStr">
        <is>
          <t>General</t>
        </is>
      </c>
      <c r="I579" t="inlineStr">
        <is>
          <t>General</t>
        </is>
      </c>
      <c r="K579" t="inlineStr">
        <is>
          <t>unclassified</t>
        </is>
      </c>
      <c r="M579" t="n">
        <v>50</v>
      </c>
    </row>
    <row r="580">
      <c r="A580" t="inlineStr">
        <is>
          <t>Dandelion</t>
        </is>
      </c>
      <c r="B580" t="inlineStr">
        <is>
          <t>Caraway</t>
        </is>
      </c>
      <c r="C580" t="n">
        <v>0</v>
      </c>
      <c r="D580" t="n">
        <v>1</v>
      </c>
      <c r="E580" t="n">
        <v>0</v>
      </c>
      <c r="F580" t="inlineStr">
        <is>
          <t>General</t>
        </is>
      </c>
      <c r="G580" t="inlineStr">
        <is>
          <t>General</t>
        </is>
      </c>
      <c r="H580" t="inlineStr">
        <is>
          <t>General</t>
        </is>
      </c>
      <c r="I580" t="inlineStr">
        <is>
          <t>General</t>
        </is>
      </c>
      <c r="K580" t="inlineStr">
        <is>
          <t>unclassified</t>
        </is>
      </c>
      <c r="M580" t="n">
        <v>50</v>
      </c>
    </row>
    <row r="581">
      <c r="A581" t="inlineStr">
        <is>
          <t>Dandelion</t>
        </is>
      </c>
      <c r="B581" t="inlineStr">
        <is>
          <t>Cardamom</t>
        </is>
      </c>
      <c r="C581" t="n">
        <v>0</v>
      </c>
      <c r="D581" t="n">
        <v>1</v>
      </c>
      <c r="E581" t="n">
        <v>0</v>
      </c>
      <c r="F581" t="inlineStr">
        <is>
          <t>General</t>
        </is>
      </c>
      <c r="G581" t="inlineStr">
        <is>
          <t>General</t>
        </is>
      </c>
      <c r="H581" t="inlineStr">
        <is>
          <t>General</t>
        </is>
      </c>
      <c r="I581" t="inlineStr">
        <is>
          <t>General</t>
        </is>
      </c>
      <c r="K581" t="inlineStr">
        <is>
          <t>unclassified</t>
        </is>
      </c>
      <c r="M581" t="n">
        <v>50</v>
      </c>
    </row>
    <row r="582">
      <c r="A582" t="inlineStr">
        <is>
          <t>Dandelion</t>
        </is>
      </c>
      <c r="B582" t="inlineStr">
        <is>
          <t>Celastrus Paniculatus</t>
        </is>
      </c>
      <c r="C582" t="n">
        <v>0</v>
      </c>
      <c r="D582" t="n">
        <v>1</v>
      </c>
      <c r="E582" t="n">
        <v>0</v>
      </c>
      <c r="F582" t="inlineStr">
        <is>
          <t>General</t>
        </is>
      </c>
      <c r="G582" t="inlineStr">
        <is>
          <t>General</t>
        </is>
      </c>
      <c r="H582" t="inlineStr">
        <is>
          <t>General</t>
        </is>
      </c>
      <c r="I582" t="inlineStr">
        <is>
          <t>General</t>
        </is>
      </c>
      <c r="K582" t="inlineStr">
        <is>
          <t>unclassified</t>
        </is>
      </c>
      <c r="M582" t="n">
        <v>50</v>
      </c>
    </row>
    <row r="583">
      <c r="A583" t="inlineStr">
        <is>
          <t>Dandelion</t>
        </is>
      </c>
      <c r="B583" t="inlineStr">
        <is>
          <t>Cistanche</t>
        </is>
      </c>
      <c r="C583" t="n">
        <v>0</v>
      </c>
      <c r="D583" t="n">
        <v>1</v>
      </c>
      <c r="E583" t="n">
        <v>0</v>
      </c>
      <c r="F583" t="inlineStr">
        <is>
          <t>General</t>
        </is>
      </c>
      <c r="G583" t="inlineStr">
        <is>
          <t>General</t>
        </is>
      </c>
      <c r="H583" t="inlineStr">
        <is>
          <t>General</t>
        </is>
      </c>
      <c r="I583" t="inlineStr">
        <is>
          <t>General</t>
        </is>
      </c>
      <c r="K583" t="inlineStr">
        <is>
          <t>unclassified</t>
        </is>
      </c>
      <c r="M583" t="n">
        <v>50</v>
      </c>
    </row>
    <row r="584">
      <c r="A584" t="inlineStr">
        <is>
          <t>Dandelion</t>
        </is>
      </c>
      <c r="B584" t="inlineStr">
        <is>
          <t>Cordyceps</t>
        </is>
      </c>
      <c r="C584" t="n">
        <v>0</v>
      </c>
      <c r="D584" t="n">
        <v>1</v>
      </c>
      <c r="E584" t="n">
        <v>0</v>
      </c>
      <c r="F584" t="inlineStr">
        <is>
          <t>General</t>
        </is>
      </c>
      <c r="G584" t="inlineStr">
        <is>
          <t>General</t>
        </is>
      </c>
      <c r="H584" t="inlineStr">
        <is>
          <t>General</t>
        </is>
      </c>
      <c r="I584" t="inlineStr">
        <is>
          <t>General</t>
        </is>
      </c>
      <c r="K584" t="inlineStr">
        <is>
          <t>unclassified</t>
        </is>
      </c>
      <c r="M584" t="n">
        <v>50</v>
      </c>
    </row>
    <row r="585">
      <c r="A585" t="inlineStr">
        <is>
          <t>Dandelion</t>
        </is>
      </c>
      <c r="B585" t="inlineStr">
        <is>
          <t>Dendrobium</t>
        </is>
      </c>
      <c r="C585" t="n">
        <v>0</v>
      </c>
      <c r="D585" t="n">
        <v>1</v>
      </c>
      <c r="E585" t="n">
        <v>0</v>
      </c>
      <c r="F585" t="inlineStr">
        <is>
          <t>General</t>
        </is>
      </c>
      <c r="G585" t="inlineStr">
        <is>
          <t>General</t>
        </is>
      </c>
      <c r="H585" t="inlineStr">
        <is>
          <t>General</t>
        </is>
      </c>
      <c r="I585" t="inlineStr">
        <is>
          <t>General</t>
        </is>
      </c>
      <c r="K585" t="inlineStr">
        <is>
          <t>unclassified</t>
        </is>
      </c>
      <c r="M585" t="n">
        <v>50</v>
      </c>
    </row>
    <row r="586">
      <c r="A586" t="inlineStr">
        <is>
          <t>Dandelion</t>
        </is>
      </c>
      <c r="B586" t="inlineStr">
        <is>
          <t>Elecampane</t>
        </is>
      </c>
      <c r="C586" t="n">
        <v>0</v>
      </c>
      <c r="D586" t="n">
        <v>1</v>
      </c>
      <c r="E586" t="n">
        <v>0</v>
      </c>
      <c r="F586" t="inlineStr">
        <is>
          <t>General</t>
        </is>
      </c>
      <c r="G586" t="inlineStr">
        <is>
          <t>General</t>
        </is>
      </c>
      <c r="H586" t="inlineStr">
        <is>
          <t>General</t>
        </is>
      </c>
      <c r="I586" t="inlineStr">
        <is>
          <t>General</t>
        </is>
      </c>
      <c r="K586" t="inlineStr">
        <is>
          <t>unclassified</t>
        </is>
      </c>
      <c r="M586" t="n">
        <v>50</v>
      </c>
    </row>
    <row r="587">
      <c r="A587" t="inlineStr">
        <is>
          <t>Dandelion</t>
        </is>
      </c>
      <c r="B587" t="inlineStr">
        <is>
          <t>Eleuthero</t>
        </is>
      </c>
      <c r="C587" t="n">
        <v>0</v>
      </c>
      <c r="D587" t="n">
        <v>1</v>
      </c>
      <c r="E587" t="n">
        <v>0</v>
      </c>
      <c r="F587" t="inlineStr">
        <is>
          <t>General</t>
        </is>
      </c>
      <c r="G587" t="inlineStr">
        <is>
          <t>General</t>
        </is>
      </c>
      <c r="H587" t="inlineStr">
        <is>
          <t>General</t>
        </is>
      </c>
      <c r="I587" t="inlineStr">
        <is>
          <t>General</t>
        </is>
      </c>
      <c r="K587" t="inlineStr">
        <is>
          <t>unclassified</t>
        </is>
      </c>
      <c r="M587" t="n">
        <v>50</v>
      </c>
    </row>
    <row r="588">
      <c r="A588" t="inlineStr">
        <is>
          <t>Dandelion</t>
        </is>
      </c>
      <c r="B588" t="inlineStr">
        <is>
          <t>Galangal</t>
        </is>
      </c>
      <c r="C588" t="n">
        <v>0</v>
      </c>
      <c r="D588" t="n">
        <v>1</v>
      </c>
      <c r="E588" t="n">
        <v>0</v>
      </c>
      <c r="F588" t="inlineStr">
        <is>
          <t>General</t>
        </is>
      </c>
      <c r="G588" t="inlineStr">
        <is>
          <t>General</t>
        </is>
      </c>
      <c r="H588" t="inlineStr">
        <is>
          <t>General</t>
        </is>
      </c>
      <c r="I588" t="inlineStr">
        <is>
          <t>General</t>
        </is>
      </c>
      <c r="K588" t="inlineStr">
        <is>
          <t>unclassified</t>
        </is>
      </c>
      <c r="M588" t="n">
        <v>50</v>
      </c>
    </row>
    <row r="589">
      <c r="A589" t="inlineStr">
        <is>
          <t>Dandelion</t>
        </is>
      </c>
      <c r="B589" t="inlineStr">
        <is>
          <t>Gastrodia</t>
        </is>
      </c>
      <c r="C589" t="n">
        <v>0</v>
      </c>
      <c r="D589" t="n">
        <v>1</v>
      </c>
      <c r="E589" t="n">
        <v>0</v>
      </c>
      <c r="F589" t="inlineStr">
        <is>
          <t>General</t>
        </is>
      </c>
      <c r="G589" t="inlineStr">
        <is>
          <t>General</t>
        </is>
      </c>
      <c r="H589" t="inlineStr">
        <is>
          <t>General</t>
        </is>
      </c>
      <c r="I589" t="inlineStr">
        <is>
          <t>General</t>
        </is>
      </c>
      <c r="K589" t="inlineStr">
        <is>
          <t>unclassified</t>
        </is>
      </c>
      <c r="M589" t="n">
        <v>50</v>
      </c>
    </row>
    <row r="590">
      <c r="A590" t="inlineStr">
        <is>
          <t>Dandelion</t>
        </is>
      </c>
      <c r="B590" t="inlineStr">
        <is>
          <t>Gudmar</t>
        </is>
      </c>
      <c r="C590" t="n">
        <v>0</v>
      </c>
      <c r="D590" t="n">
        <v>1</v>
      </c>
      <c r="E590" t="n">
        <v>0</v>
      </c>
      <c r="F590" t="inlineStr">
        <is>
          <t>General</t>
        </is>
      </c>
      <c r="G590" t="inlineStr">
        <is>
          <t>General</t>
        </is>
      </c>
      <c r="H590" t="inlineStr">
        <is>
          <t>General</t>
        </is>
      </c>
      <c r="I590" t="inlineStr">
        <is>
          <t>General</t>
        </is>
      </c>
      <c r="K590" t="inlineStr">
        <is>
          <t>unclassified</t>
        </is>
      </c>
      <c r="M590" t="n">
        <v>50</v>
      </c>
    </row>
    <row r="591">
      <c r="A591" t="inlineStr">
        <is>
          <t>Dandelion</t>
        </is>
      </c>
      <c r="B591" t="inlineStr">
        <is>
          <t>Gymnema</t>
        </is>
      </c>
      <c r="C591" t="n">
        <v>0</v>
      </c>
      <c r="D591" t="n">
        <v>1</v>
      </c>
      <c r="E591" t="n">
        <v>0</v>
      </c>
      <c r="F591" t="inlineStr">
        <is>
          <t>General</t>
        </is>
      </c>
      <c r="G591" t="inlineStr">
        <is>
          <t>General</t>
        </is>
      </c>
      <c r="H591" t="inlineStr">
        <is>
          <t>General</t>
        </is>
      </c>
      <c r="I591" t="inlineStr">
        <is>
          <t>General</t>
        </is>
      </c>
      <c r="K591" t="inlineStr">
        <is>
          <t>unclassified</t>
        </is>
      </c>
      <c r="M591" t="n">
        <v>50</v>
      </c>
    </row>
    <row r="592">
      <c r="A592" t="inlineStr">
        <is>
          <t>Dandelion</t>
        </is>
      </c>
      <c r="B592" t="inlineStr">
        <is>
          <t>Hops</t>
        </is>
      </c>
      <c r="C592" t="n">
        <v>0</v>
      </c>
      <c r="D592" t="n">
        <v>1</v>
      </c>
      <c r="E592" t="n">
        <v>0</v>
      </c>
      <c r="F592" t="inlineStr">
        <is>
          <t>General</t>
        </is>
      </c>
      <c r="G592" t="inlineStr">
        <is>
          <t>General</t>
        </is>
      </c>
      <c r="H592" t="inlineStr">
        <is>
          <t>General</t>
        </is>
      </c>
      <c r="I592" t="inlineStr">
        <is>
          <t>General</t>
        </is>
      </c>
      <c r="K592" t="inlineStr">
        <is>
          <t>unclassified</t>
        </is>
      </c>
      <c r="M592" t="n">
        <v>50</v>
      </c>
    </row>
    <row r="593">
      <c r="A593" t="inlineStr">
        <is>
          <t>Dandelion</t>
        </is>
      </c>
      <c r="B593" t="inlineStr">
        <is>
          <t>Houttuynia</t>
        </is>
      </c>
      <c r="C593" t="n">
        <v>0</v>
      </c>
      <c r="D593" t="n">
        <v>1</v>
      </c>
      <c r="E593" t="n">
        <v>0</v>
      </c>
      <c r="F593" t="inlineStr">
        <is>
          <t>General</t>
        </is>
      </c>
      <c r="G593" t="inlineStr">
        <is>
          <t>General</t>
        </is>
      </c>
      <c r="H593" t="inlineStr">
        <is>
          <t>General</t>
        </is>
      </c>
      <c r="I593" t="inlineStr">
        <is>
          <t>General</t>
        </is>
      </c>
      <c r="K593" t="inlineStr">
        <is>
          <t>unclassified</t>
        </is>
      </c>
      <c r="M593" t="n">
        <v>50</v>
      </c>
    </row>
    <row r="594">
      <c r="A594" t="inlineStr">
        <is>
          <t>Dandelion</t>
        </is>
      </c>
      <c r="B594" t="inlineStr">
        <is>
          <t>Isatis</t>
        </is>
      </c>
      <c r="C594" t="n">
        <v>0</v>
      </c>
      <c r="D594" t="n">
        <v>1</v>
      </c>
      <c r="E594" t="n">
        <v>0</v>
      </c>
      <c r="F594" t="inlineStr">
        <is>
          <t>General</t>
        </is>
      </c>
      <c r="G594" t="inlineStr">
        <is>
          <t>General</t>
        </is>
      </c>
      <c r="H594" t="inlineStr">
        <is>
          <t>General</t>
        </is>
      </c>
      <c r="I594" t="inlineStr">
        <is>
          <t>General</t>
        </is>
      </c>
      <c r="K594" t="inlineStr">
        <is>
          <t>unclassified</t>
        </is>
      </c>
      <c r="M594" t="n">
        <v>50</v>
      </c>
    </row>
    <row r="595">
      <c r="A595" t="inlineStr">
        <is>
          <t>Dandelion</t>
        </is>
      </c>
      <c r="B595" t="inlineStr">
        <is>
          <t>Jatamansi</t>
        </is>
      </c>
      <c r="C595" t="n">
        <v>0</v>
      </c>
      <c r="D595" t="n">
        <v>1</v>
      </c>
      <c r="E595" t="n">
        <v>0</v>
      </c>
      <c r="F595" t="inlineStr">
        <is>
          <t>General</t>
        </is>
      </c>
      <c r="G595" t="inlineStr">
        <is>
          <t>General</t>
        </is>
      </c>
      <c r="H595" t="inlineStr">
        <is>
          <t>General</t>
        </is>
      </c>
      <c r="I595" t="inlineStr">
        <is>
          <t>General</t>
        </is>
      </c>
      <c r="K595" t="inlineStr">
        <is>
          <t>unclassified</t>
        </is>
      </c>
      <c r="M595" t="n">
        <v>50</v>
      </c>
    </row>
    <row r="596">
      <c r="A596" t="inlineStr">
        <is>
          <t>Dandelion</t>
        </is>
      </c>
      <c r="B596" t="inlineStr">
        <is>
          <t>Lemon Verbena</t>
        </is>
      </c>
      <c r="C596" t="n">
        <v>0</v>
      </c>
      <c r="D596" t="n">
        <v>1</v>
      </c>
      <c r="E596" t="n">
        <v>0</v>
      </c>
      <c r="F596" t="inlineStr">
        <is>
          <t>General</t>
        </is>
      </c>
      <c r="G596" t="inlineStr">
        <is>
          <t>General</t>
        </is>
      </c>
      <c r="H596" t="inlineStr">
        <is>
          <t>General</t>
        </is>
      </c>
      <c r="I596" t="inlineStr">
        <is>
          <t>General</t>
        </is>
      </c>
      <c r="K596" t="inlineStr">
        <is>
          <t>unclassified</t>
        </is>
      </c>
      <c r="M596" t="n">
        <v>50</v>
      </c>
    </row>
    <row r="597">
      <c r="A597" t="inlineStr">
        <is>
          <t>Dandelion</t>
        </is>
      </c>
      <c r="B597" t="inlineStr">
        <is>
          <t>Lemongrass</t>
        </is>
      </c>
      <c r="C597" t="n">
        <v>0</v>
      </c>
      <c r="D597" t="n">
        <v>1</v>
      </c>
      <c r="E597" t="n">
        <v>0</v>
      </c>
      <c r="F597" t="inlineStr">
        <is>
          <t>General</t>
        </is>
      </c>
      <c r="G597" t="inlineStr">
        <is>
          <t>General</t>
        </is>
      </c>
      <c r="H597" t="inlineStr">
        <is>
          <t>General</t>
        </is>
      </c>
      <c r="I597" t="inlineStr">
        <is>
          <t>General</t>
        </is>
      </c>
      <c r="K597" t="inlineStr">
        <is>
          <t>unclassified</t>
        </is>
      </c>
      <c r="M597" t="n">
        <v>50</v>
      </c>
    </row>
    <row r="598">
      <c r="A598" t="inlineStr">
        <is>
          <t>Dandelion</t>
        </is>
      </c>
      <c r="B598" t="inlineStr">
        <is>
          <t>Longan</t>
        </is>
      </c>
      <c r="C598" t="n">
        <v>0</v>
      </c>
      <c r="D598" t="n">
        <v>1</v>
      </c>
      <c r="E598" t="n">
        <v>0</v>
      </c>
      <c r="F598" t="inlineStr">
        <is>
          <t>General</t>
        </is>
      </c>
      <c r="G598" t="inlineStr">
        <is>
          <t>General</t>
        </is>
      </c>
      <c r="H598" t="inlineStr">
        <is>
          <t>General</t>
        </is>
      </c>
      <c r="I598" t="inlineStr">
        <is>
          <t>General</t>
        </is>
      </c>
      <c r="K598" t="inlineStr">
        <is>
          <t>unclassified</t>
        </is>
      </c>
      <c r="M598" t="n">
        <v>50</v>
      </c>
    </row>
    <row r="599">
      <c r="A599" t="inlineStr">
        <is>
          <t>Dandelion</t>
        </is>
      </c>
      <c r="B599" t="inlineStr">
        <is>
          <t>Maitake D-Fraction</t>
        </is>
      </c>
      <c r="C599" t="n">
        <v>0</v>
      </c>
      <c r="D599" t="n">
        <v>1</v>
      </c>
      <c r="E599" t="n">
        <v>0</v>
      </c>
      <c r="F599" t="inlineStr">
        <is>
          <t>General</t>
        </is>
      </c>
      <c r="G599" t="inlineStr">
        <is>
          <t>General</t>
        </is>
      </c>
      <c r="H599" t="inlineStr">
        <is>
          <t>General</t>
        </is>
      </c>
      <c r="I599" t="inlineStr">
        <is>
          <t>General</t>
        </is>
      </c>
      <c r="K599" t="inlineStr">
        <is>
          <t>unclassified</t>
        </is>
      </c>
      <c r="M599" t="n">
        <v>50</v>
      </c>
    </row>
    <row r="600">
      <c r="A600" t="inlineStr">
        <is>
          <t>Dandelion</t>
        </is>
      </c>
      <c r="B600" t="inlineStr">
        <is>
          <t>Milk Oats</t>
        </is>
      </c>
      <c r="C600" t="n">
        <v>0</v>
      </c>
      <c r="D600" t="n">
        <v>1</v>
      </c>
      <c r="E600" t="n">
        <v>0</v>
      </c>
      <c r="F600" t="inlineStr">
        <is>
          <t>General</t>
        </is>
      </c>
      <c r="G600" t="inlineStr">
        <is>
          <t>General</t>
        </is>
      </c>
      <c r="H600" t="inlineStr">
        <is>
          <t>General</t>
        </is>
      </c>
      <c r="I600" t="inlineStr">
        <is>
          <t>General</t>
        </is>
      </c>
      <c r="K600" t="inlineStr">
        <is>
          <t>unclassified</t>
        </is>
      </c>
      <c r="M600" t="n">
        <v>50</v>
      </c>
    </row>
    <row r="601">
      <c r="A601" t="inlineStr">
        <is>
          <t>Dandelion</t>
        </is>
      </c>
      <c r="B601" t="inlineStr">
        <is>
          <t>Mugwort</t>
        </is>
      </c>
      <c r="C601" t="n">
        <v>0</v>
      </c>
      <c r="D601" t="n">
        <v>1</v>
      </c>
      <c r="E601" t="n">
        <v>0</v>
      </c>
      <c r="F601" t="inlineStr">
        <is>
          <t>General</t>
        </is>
      </c>
      <c r="G601" t="inlineStr">
        <is>
          <t>General</t>
        </is>
      </c>
      <c r="H601" t="inlineStr">
        <is>
          <t>General</t>
        </is>
      </c>
      <c r="I601" t="inlineStr">
        <is>
          <t>General</t>
        </is>
      </c>
      <c r="K601" t="inlineStr">
        <is>
          <t>unclassified</t>
        </is>
      </c>
      <c r="M601" t="n">
        <v>50</v>
      </c>
    </row>
    <row r="602">
      <c r="A602" t="inlineStr">
        <is>
          <t>Dandelion</t>
        </is>
      </c>
      <c r="B602" t="inlineStr">
        <is>
          <t>Muira Puama</t>
        </is>
      </c>
      <c r="C602" t="n">
        <v>0</v>
      </c>
      <c r="D602" t="n">
        <v>1</v>
      </c>
      <c r="E602" t="n">
        <v>0</v>
      </c>
      <c r="F602" t="inlineStr">
        <is>
          <t>General</t>
        </is>
      </c>
      <c r="G602" t="inlineStr">
        <is>
          <t>General</t>
        </is>
      </c>
      <c r="H602" t="inlineStr">
        <is>
          <t>General</t>
        </is>
      </c>
      <c r="I602" t="inlineStr">
        <is>
          <t>General</t>
        </is>
      </c>
      <c r="K602" t="inlineStr">
        <is>
          <t>unclassified</t>
        </is>
      </c>
      <c r="M602" t="n">
        <v>50</v>
      </c>
    </row>
    <row r="603">
      <c r="A603" t="inlineStr">
        <is>
          <t>Dandelion</t>
        </is>
      </c>
      <c r="B603" t="inlineStr">
        <is>
          <t>Mulberry Leaf</t>
        </is>
      </c>
      <c r="C603" t="n">
        <v>0</v>
      </c>
      <c r="D603" t="n">
        <v>1</v>
      </c>
      <c r="E603" t="n">
        <v>0</v>
      </c>
      <c r="F603" t="inlineStr">
        <is>
          <t>General</t>
        </is>
      </c>
      <c r="G603" t="inlineStr">
        <is>
          <t>General</t>
        </is>
      </c>
      <c r="H603" t="inlineStr">
        <is>
          <t>General</t>
        </is>
      </c>
      <c r="I603" t="inlineStr">
        <is>
          <t>General</t>
        </is>
      </c>
      <c r="K603" t="inlineStr">
        <is>
          <t>unclassified</t>
        </is>
      </c>
      <c r="M603" t="n">
        <v>50</v>
      </c>
    </row>
    <row r="604">
      <c r="A604" t="inlineStr">
        <is>
          <t>Dandelion</t>
        </is>
      </c>
      <c r="B604" t="inlineStr">
        <is>
          <t>Myrtle</t>
        </is>
      </c>
      <c r="C604" t="n">
        <v>0</v>
      </c>
      <c r="D604" t="n">
        <v>1</v>
      </c>
      <c r="E604" t="n">
        <v>0</v>
      </c>
      <c r="F604" t="inlineStr">
        <is>
          <t>General</t>
        </is>
      </c>
      <c r="G604" t="inlineStr">
        <is>
          <t>General</t>
        </is>
      </c>
      <c r="H604" t="inlineStr">
        <is>
          <t>General</t>
        </is>
      </c>
      <c r="I604" t="inlineStr">
        <is>
          <t>General</t>
        </is>
      </c>
      <c r="K604" t="inlineStr">
        <is>
          <t>unclassified</t>
        </is>
      </c>
      <c r="M604" t="n">
        <v>50</v>
      </c>
    </row>
    <row r="605">
      <c r="A605" t="inlineStr">
        <is>
          <t>Dandelion</t>
        </is>
      </c>
      <c r="B605" t="inlineStr">
        <is>
          <t>Neem</t>
        </is>
      </c>
      <c r="C605" t="n">
        <v>0</v>
      </c>
      <c r="D605" t="n">
        <v>1</v>
      </c>
      <c r="E605" t="n">
        <v>0</v>
      </c>
      <c r="F605" t="inlineStr">
        <is>
          <t>General</t>
        </is>
      </c>
      <c r="G605" t="inlineStr">
        <is>
          <t>General</t>
        </is>
      </c>
      <c r="H605" t="inlineStr">
        <is>
          <t>General</t>
        </is>
      </c>
      <c r="I605" t="inlineStr">
        <is>
          <t>General</t>
        </is>
      </c>
      <c r="K605" t="inlineStr">
        <is>
          <t>unclassified</t>
        </is>
      </c>
      <c r="M605" t="n">
        <v>50</v>
      </c>
    </row>
    <row r="606">
      <c r="A606" t="inlineStr">
        <is>
          <t>Dandelion</t>
        </is>
      </c>
      <c r="B606" t="inlineStr">
        <is>
          <t>Nettle Root</t>
        </is>
      </c>
      <c r="C606" t="n">
        <v>0</v>
      </c>
      <c r="D606" t="n">
        <v>1</v>
      </c>
      <c r="E606" t="n">
        <v>0</v>
      </c>
      <c r="F606" t="inlineStr">
        <is>
          <t>General</t>
        </is>
      </c>
      <c r="G606" t="inlineStr">
        <is>
          <t>General</t>
        </is>
      </c>
      <c r="H606" t="inlineStr">
        <is>
          <t>General</t>
        </is>
      </c>
      <c r="I606" t="inlineStr">
        <is>
          <t>General</t>
        </is>
      </c>
      <c r="K606" t="inlineStr">
        <is>
          <t>unclassified</t>
        </is>
      </c>
      <c r="M606" t="n">
        <v>50</v>
      </c>
    </row>
    <row r="607">
      <c r="A607" t="inlineStr">
        <is>
          <t>Dandelion</t>
        </is>
      </c>
      <c r="B607" t="inlineStr">
        <is>
          <t>Noni</t>
        </is>
      </c>
      <c r="C607" t="n">
        <v>0</v>
      </c>
      <c r="D607" t="n">
        <v>1</v>
      </c>
      <c r="E607" t="n">
        <v>0</v>
      </c>
      <c r="F607" t="inlineStr">
        <is>
          <t>General</t>
        </is>
      </c>
      <c r="G607" t="inlineStr">
        <is>
          <t>General</t>
        </is>
      </c>
      <c r="H607" t="inlineStr">
        <is>
          <t>General</t>
        </is>
      </c>
      <c r="I607" t="inlineStr">
        <is>
          <t>General</t>
        </is>
      </c>
      <c r="K607" t="inlineStr">
        <is>
          <t>unclassified</t>
        </is>
      </c>
      <c r="M607" t="n">
        <v>50</v>
      </c>
    </row>
    <row r="608">
      <c r="A608" t="inlineStr">
        <is>
          <t>Dandelion</t>
        </is>
      </c>
      <c r="B608" t="inlineStr">
        <is>
          <t>Oatstraw</t>
        </is>
      </c>
      <c r="C608" t="n">
        <v>0</v>
      </c>
      <c r="D608" t="n">
        <v>1</v>
      </c>
      <c r="E608" t="n">
        <v>0</v>
      </c>
      <c r="F608" t="inlineStr">
        <is>
          <t>General</t>
        </is>
      </c>
      <c r="G608" t="inlineStr">
        <is>
          <t>General</t>
        </is>
      </c>
      <c r="H608" t="inlineStr">
        <is>
          <t>General</t>
        </is>
      </c>
      <c r="I608" t="inlineStr">
        <is>
          <t>General</t>
        </is>
      </c>
      <c r="K608" t="inlineStr">
        <is>
          <t>unclassified</t>
        </is>
      </c>
      <c r="M608" t="n">
        <v>50</v>
      </c>
    </row>
    <row r="609">
      <c r="A609" t="inlineStr">
        <is>
          <t>Dandelion</t>
        </is>
      </c>
      <c r="B609" t="inlineStr">
        <is>
          <t>Passionflower</t>
        </is>
      </c>
      <c r="C609" t="n">
        <v>0</v>
      </c>
      <c r="D609" t="n">
        <v>1</v>
      </c>
      <c r="E609" t="n">
        <v>0</v>
      </c>
      <c r="F609" t="inlineStr">
        <is>
          <t>General</t>
        </is>
      </c>
      <c r="G609" t="inlineStr">
        <is>
          <t>General</t>
        </is>
      </c>
      <c r="H609" t="inlineStr">
        <is>
          <t>General</t>
        </is>
      </c>
      <c r="I609" t="inlineStr">
        <is>
          <t>General</t>
        </is>
      </c>
      <c r="K609" t="inlineStr">
        <is>
          <t>unclassified</t>
        </is>
      </c>
      <c r="M609" t="n">
        <v>50</v>
      </c>
    </row>
    <row r="610">
      <c r="A610" t="inlineStr">
        <is>
          <t>Dandelion</t>
        </is>
      </c>
      <c r="B610" t="inlineStr">
        <is>
          <t>Pau d'Arco</t>
        </is>
      </c>
      <c r="C610" t="n">
        <v>0</v>
      </c>
      <c r="D610" t="n">
        <v>1</v>
      </c>
      <c r="E610" t="n">
        <v>0</v>
      </c>
      <c r="F610" t="inlineStr">
        <is>
          <t>General</t>
        </is>
      </c>
      <c r="G610" t="inlineStr">
        <is>
          <t>General</t>
        </is>
      </c>
      <c r="H610" t="inlineStr">
        <is>
          <t>General</t>
        </is>
      </c>
      <c r="I610" t="inlineStr">
        <is>
          <t>General</t>
        </is>
      </c>
      <c r="K610" t="inlineStr">
        <is>
          <t>unclassified</t>
        </is>
      </c>
      <c r="M610" t="n">
        <v>50</v>
      </c>
    </row>
    <row r="611">
      <c r="A611" t="inlineStr">
        <is>
          <t>Dandelion</t>
        </is>
      </c>
      <c r="B611" t="inlineStr">
        <is>
          <t>Perilla</t>
        </is>
      </c>
      <c r="C611" t="n">
        <v>0</v>
      </c>
      <c r="D611" t="n">
        <v>1</v>
      </c>
      <c r="E611" t="n">
        <v>0</v>
      </c>
      <c r="F611" t="inlineStr">
        <is>
          <t>General</t>
        </is>
      </c>
      <c r="G611" t="inlineStr">
        <is>
          <t>General</t>
        </is>
      </c>
      <c r="H611" t="inlineStr">
        <is>
          <t>General</t>
        </is>
      </c>
      <c r="I611" t="inlineStr">
        <is>
          <t>General</t>
        </is>
      </c>
      <c r="K611" t="inlineStr">
        <is>
          <t>unclassified</t>
        </is>
      </c>
      <c r="M611" t="n">
        <v>50</v>
      </c>
    </row>
    <row r="612">
      <c r="A612" t="inlineStr">
        <is>
          <t>Dandelion</t>
        </is>
      </c>
      <c r="B612" t="inlineStr">
        <is>
          <t>Pomegranate</t>
        </is>
      </c>
      <c r="C612" t="n">
        <v>0</v>
      </c>
      <c r="D612" t="n">
        <v>1</v>
      </c>
      <c r="E612" t="n">
        <v>0</v>
      </c>
      <c r="F612" t="inlineStr">
        <is>
          <t>General</t>
        </is>
      </c>
      <c r="G612" t="inlineStr">
        <is>
          <t>General</t>
        </is>
      </c>
      <c r="H612" t="inlineStr">
        <is>
          <t>General</t>
        </is>
      </c>
      <c r="I612" t="inlineStr">
        <is>
          <t>General</t>
        </is>
      </c>
      <c r="K612" t="inlineStr">
        <is>
          <t>unclassified</t>
        </is>
      </c>
      <c r="M612" t="n">
        <v>50</v>
      </c>
    </row>
    <row r="613">
      <c r="A613" t="inlineStr">
        <is>
          <t>Dandelion</t>
        </is>
      </c>
      <c r="B613" t="inlineStr">
        <is>
          <t>Poria</t>
        </is>
      </c>
      <c r="C613" t="n">
        <v>0</v>
      </c>
      <c r="D613" t="n">
        <v>1</v>
      </c>
      <c r="E613" t="n">
        <v>0</v>
      </c>
      <c r="F613" t="inlineStr">
        <is>
          <t>General</t>
        </is>
      </c>
      <c r="G613" t="inlineStr">
        <is>
          <t>General</t>
        </is>
      </c>
      <c r="H613" t="inlineStr">
        <is>
          <t>General</t>
        </is>
      </c>
      <c r="I613" t="inlineStr">
        <is>
          <t>General</t>
        </is>
      </c>
      <c r="K613" t="inlineStr">
        <is>
          <t>unclassified</t>
        </is>
      </c>
      <c r="M613" t="n">
        <v>50</v>
      </c>
    </row>
    <row r="614">
      <c r="A614" t="inlineStr">
        <is>
          <t>Dandelion</t>
        </is>
      </c>
      <c r="B614" t="inlineStr">
        <is>
          <t>Punarnava</t>
        </is>
      </c>
      <c r="C614" t="n">
        <v>0</v>
      </c>
      <c r="D614" t="n">
        <v>1</v>
      </c>
      <c r="E614" t="n">
        <v>0</v>
      </c>
      <c r="F614" t="inlineStr">
        <is>
          <t>General</t>
        </is>
      </c>
      <c r="G614" t="inlineStr">
        <is>
          <t>General</t>
        </is>
      </c>
      <c r="H614" t="inlineStr">
        <is>
          <t>General</t>
        </is>
      </c>
      <c r="I614" t="inlineStr">
        <is>
          <t>General</t>
        </is>
      </c>
      <c r="K614" t="inlineStr">
        <is>
          <t>unclassified</t>
        </is>
      </c>
      <c r="M614" t="n">
        <v>50</v>
      </c>
    </row>
    <row r="615">
      <c r="A615" t="inlineStr">
        <is>
          <t>Dandelion</t>
        </is>
      </c>
      <c r="B615" t="inlineStr">
        <is>
          <t>Red Clover</t>
        </is>
      </c>
      <c r="C615" t="n">
        <v>0</v>
      </c>
      <c r="D615" t="n">
        <v>1</v>
      </c>
      <c r="E615" t="n">
        <v>0</v>
      </c>
      <c r="F615" t="inlineStr">
        <is>
          <t>General</t>
        </is>
      </c>
      <c r="G615" t="inlineStr">
        <is>
          <t>General</t>
        </is>
      </c>
      <c r="H615" t="inlineStr">
        <is>
          <t>General</t>
        </is>
      </c>
      <c r="I615" t="inlineStr">
        <is>
          <t>General</t>
        </is>
      </c>
      <c r="K615" t="inlineStr">
        <is>
          <t>unclassified</t>
        </is>
      </c>
      <c r="M615" t="n">
        <v>50</v>
      </c>
    </row>
    <row r="616">
      <c r="A616" t="inlineStr">
        <is>
          <t>Dandelion</t>
        </is>
      </c>
      <c r="B616" t="inlineStr">
        <is>
          <t>Rehmannia Prepared</t>
        </is>
      </c>
      <c r="C616" t="n">
        <v>0</v>
      </c>
      <c r="D616" t="n">
        <v>1</v>
      </c>
      <c r="E616" t="n">
        <v>0</v>
      </c>
      <c r="F616" t="inlineStr">
        <is>
          <t>General</t>
        </is>
      </c>
      <c r="G616" t="inlineStr">
        <is>
          <t>General</t>
        </is>
      </c>
      <c r="H616" t="inlineStr">
        <is>
          <t>General</t>
        </is>
      </c>
      <c r="I616" t="inlineStr">
        <is>
          <t>General</t>
        </is>
      </c>
      <c r="K616" t="inlineStr">
        <is>
          <t>unclassified</t>
        </is>
      </c>
      <c r="M616" t="n">
        <v>50</v>
      </c>
    </row>
    <row r="617">
      <c r="A617" t="inlineStr">
        <is>
          <t>Dandelion</t>
        </is>
      </c>
      <c r="B617" t="inlineStr">
        <is>
          <t>Reishi</t>
        </is>
      </c>
      <c r="C617" t="n">
        <v>0</v>
      </c>
      <c r="D617" t="n">
        <v>1</v>
      </c>
      <c r="E617" t="n">
        <v>0</v>
      </c>
      <c r="F617" t="inlineStr">
        <is>
          <t>General</t>
        </is>
      </c>
      <c r="G617" t="inlineStr">
        <is>
          <t>General</t>
        </is>
      </c>
      <c r="H617" t="inlineStr">
        <is>
          <t>General</t>
        </is>
      </c>
      <c r="I617" t="inlineStr">
        <is>
          <t>General</t>
        </is>
      </c>
      <c r="K617" t="inlineStr">
        <is>
          <t>unclassified</t>
        </is>
      </c>
      <c r="M617" t="n">
        <v>50</v>
      </c>
    </row>
    <row r="618">
      <c r="A618" t="inlineStr">
        <is>
          <t>Dandelion</t>
        </is>
      </c>
      <c r="B618" t="inlineStr">
        <is>
          <t>Rose Hips</t>
        </is>
      </c>
      <c r="C618" t="n">
        <v>0</v>
      </c>
      <c r="D618" t="n">
        <v>1</v>
      </c>
      <c r="E618" t="n">
        <v>0</v>
      </c>
      <c r="F618" t="inlineStr">
        <is>
          <t>General</t>
        </is>
      </c>
      <c r="G618" t="inlineStr">
        <is>
          <t>General</t>
        </is>
      </c>
      <c r="H618" t="inlineStr">
        <is>
          <t>General</t>
        </is>
      </c>
      <c r="I618" t="inlineStr">
        <is>
          <t>General</t>
        </is>
      </c>
      <c r="K618" t="inlineStr">
        <is>
          <t>unclassified</t>
        </is>
      </c>
      <c r="M618" t="n">
        <v>50</v>
      </c>
    </row>
    <row r="619">
      <c r="A619" t="inlineStr">
        <is>
          <t>Dandelion</t>
        </is>
      </c>
      <c r="B619" t="inlineStr">
        <is>
          <t>Sophora Flavescens</t>
        </is>
      </c>
      <c r="C619" t="n">
        <v>0</v>
      </c>
      <c r="D619" t="n">
        <v>1</v>
      </c>
      <c r="E619" t="n">
        <v>0</v>
      </c>
      <c r="F619" t="inlineStr">
        <is>
          <t>General</t>
        </is>
      </c>
      <c r="G619" t="inlineStr">
        <is>
          <t>General</t>
        </is>
      </c>
      <c r="H619" t="inlineStr">
        <is>
          <t>General</t>
        </is>
      </c>
      <c r="I619" t="inlineStr">
        <is>
          <t>General</t>
        </is>
      </c>
      <c r="K619" t="inlineStr">
        <is>
          <t>unclassified</t>
        </is>
      </c>
      <c r="M619" t="n">
        <v>50</v>
      </c>
    </row>
    <row r="620">
      <c r="A620" t="inlineStr">
        <is>
          <t>Dandelion</t>
        </is>
      </c>
      <c r="B620" t="inlineStr">
        <is>
          <t>Soursop</t>
        </is>
      </c>
      <c r="C620" t="n">
        <v>0</v>
      </c>
      <c r="D620" t="n">
        <v>1</v>
      </c>
      <c r="E620" t="n">
        <v>0</v>
      </c>
      <c r="F620" t="inlineStr">
        <is>
          <t>General</t>
        </is>
      </c>
      <c r="G620" t="inlineStr">
        <is>
          <t>General</t>
        </is>
      </c>
      <c r="H620" t="inlineStr">
        <is>
          <t>General</t>
        </is>
      </c>
      <c r="I620" t="inlineStr">
        <is>
          <t>General</t>
        </is>
      </c>
      <c r="K620" t="inlineStr">
        <is>
          <t>unclassified</t>
        </is>
      </c>
      <c r="M620" t="n">
        <v>50</v>
      </c>
    </row>
    <row r="621">
      <c r="A621" t="inlineStr">
        <is>
          <t>Dandelion</t>
        </is>
      </c>
      <c r="B621" t="inlineStr">
        <is>
          <t>Tamarind</t>
        </is>
      </c>
      <c r="C621" t="n">
        <v>0</v>
      </c>
      <c r="D621" t="n">
        <v>1</v>
      </c>
      <c r="E621" t="n">
        <v>0</v>
      </c>
      <c r="F621" t="inlineStr">
        <is>
          <t>General</t>
        </is>
      </c>
      <c r="G621" t="inlineStr">
        <is>
          <t>General</t>
        </is>
      </c>
      <c r="H621" t="inlineStr">
        <is>
          <t>General</t>
        </is>
      </c>
      <c r="I621" t="inlineStr">
        <is>
          <t>General</t>
        </is>
      </c>
      <c r="K621" t="inlineStr">
        <is>
          <t>unclassified</t>
        </is>
      </c>
      <c r="M621" t="n">
        <v>50</v>
      </c>
    </row>
    <row r="622">
      <c r="A622" t="inlineStr">
        <is>
          <t>Dandelion</t>
        </is>
      </c>
      <c r="B622" t="inlineStr">
        <is>
          <t>White Peony</t>
        </is>
      </c>
      <c r="C622" t="n">
        <v>0</v>
      </c>
      <c r="D622" t="n">
        <v>1</v>
      </c>
      <c r="E622" t="n">
        <v>0</v>
      </c>
      <c r="F622" t="inlineStr">
        <is>
          <t>General</t>
        </is>
      </c>
      <c r="G622" t="inlineStr">
        <is>
          <t>General</t>
        </is>
      </c>
      <c r="H622" t="inlineStr">
        <is>
          <t>General</t>
        </is>
      </c>
      <c r="I622" t="inlineStr">
        <is>
          <t>General</t>
        </is>
      </c>
      <c r="K622" t="inlineStr">
        <is>
          <t>unclassified</t>
        </is>
      </c>
      <c r="M622" t="n">
        <v>50</v>
      </c>
    </row>
    <row r="623">
      <c r="A623" t="inlineStr">
        <is>
          <t>Dandelion</t>
        </is>
      </c>
      <c r="B623" t="inlineStr">
        <is>
          <t>Yohimbe</t>
        </is>
      </c>
      <c r="C623" t="n">
        <v>0</v>
      </c>
      <c r="D623" t="n">
        <v>1</v>
      </c>
      <c r="E623" t="n">
        <v>0</v>
      </c>
      <c r="F623" t="inlineStr">
        <is>
          <t>General</t>
        </is>
      </c>
      <c r="G623" t="inlineStr">
        <is>
          <t>General</t>
        </is>
      </c>
      <c r="H623" t="inlineStr">
        <is>
          <t>General</t>
        </is>
      </c>
      <c r="I623" t="inlineStr">
        <is>
          <t>General</t>
        </is>
      </c>
      <c r="K623" t="inlineStr">
        <is>
          <t>unclassified</t>
        </is>
      </c>
      <c r="M623" t="n">
        <v>50</v>
      </c>
    </row>
    <row r="624">
      <c r="A624" t="inlineStr">
        <is>
          <t>Dendrobium</t>
        </is>
      </c>
      <c r="B624" t="inlineStr">
        <is>
          <t>Agarikon</t>
        </is>
      </c>
      <c r="C624" t="n">
        <v>0</v>
      </c>
      <c r="D624" t="n">
        <v>1</v>
      </c>
      <c r="E624" t="n">
        <v>0</v>
      </c>
      <c r="F624" t="inlineStr">
        <is>
          <t>General</t>
        </is>
      </c>
      <c r="G624" t="inlineStr">
        <is>
          <t>General</t>
        </is>
      </c>
      <c r="H624" t="inlineStr">
        <is>
          <t>General</t>
        </is>
      </c>
      <c r="I624" t="inlineStr">
        <is>
          <t>General</t>
        </is>
      </c>
      <c r="K624" t="inlineStr">
        <is>
          <t>unclassified</t>
        </is>
      </c>
      <c r="M624" t="n">
        <v>50</v>
      </c>
    </row>
    <row r="625">
      <c r="A625" t="inlineStr">
        <is>
          <t>Dendrobium</t>
        </is>
      </c>
      <c r="B625" t="inlineStr">
        <is>
          <t>Ajwain</t>
        </is>
      </c>
      <c r="C625" t="n">
        <v>0</v>
      </c>
      <c r="D625" t="n">
        <v>1</v>
      </c>
      <c r="E625" t="n">
        <v>0</v>
      </c>
      <c r="F625" t="inlineStr">
        <is>
          <t>General</t>
        </is>
      </c>
      <c r="G625" t="inlineStr">
        <is>
          <t>General</t>
        </is>
      </c>
      <c r="H625" t="inlineStr">
        <is>
          <t>General</t>
        </is>
      </c>
      <c r="I625" t="inlineStr">
        <is>
          <t>General</t>
        </is>
      </c>
      <c r="K625" t="inlineStr">
        <is>
          <t>unclassified</t>
        </is>
      </c>
      <c r="M625" t="n">
        <v>50</v>
      </c>
    </row>
    <row r="626">
      <c r="A626" t="inlineStr">
        <is>
          <t>Dendrobium</t>
        </is>
      </c>
      <c r="B626" t="inlineStr">
        <is>
          <t>Angelica Root</t>
        </is>
      </c>
      <c r="C626" t="n">
        <v>0</v>
      </c>
      <c r="D626" t="n">
        <v>1</v>
      </c>
      <c r="E626" t="n">
        <v>0</v>
      </c>
      <c r="F626" t="inlineStr">
        <is>
          <t>General</t>
        </is>
      </c>
      <c r="G626" t="inlineStr">
        <is>
          <t>General</t>
        </is>
      </c>
      <c r="H626" t="inlineStr">
        <is>
          <t>General</t>
        </is>
      </c>
      <c r="I626" t="inlineStr">
        <is>
          <t>General</t>
        </is>
      </c>
      <c r="K626" t="inlineStr">
        <is>
          <t>unclassified</t>
        </is>
      </c>
      <c r="M626" t="n">
        <v>50</v>
      </c>
    </row>
    <row r="627">
      <c r="A627" t="inlineStr">
        <is>
          <t>Dendrobium</t>
        </is>
      </c>
      <c r="B627" t="inlineStr">
        <is>
          <t>Caraway</t>
        </is>
      </c>
      <c r="C627" t="n">
        <v>0</v>
      </c>
      <c r="D627" t="n">
        <v>1</v>
      </c>
      <c r="E627" t="n">
        <v>0</v>
      </c>
      <c r="F627" t="inlineStr">
        <is>
          <t>General</t>
        </is>
      </c>
      <c r="G627" t="inlineStr">
        <is>
          <t>General</t>
        </is>
      </c>
      <c r="H627" t="inlineStr">
        <is>
          <t>General</t>
        </is>
      </c>
      <c r="I627" t="inlineStr">
        <is>
          <t>General</t>
        </is>
      </c>
      <c r="K627" t="inlineStr">
        <is>
          <t>unclassified</t>
        </is>
      </c>
      <c r="M627" t="n">
        <v>50</v>
      </c>
    </row>
    <row r="628">
      <c r="A628" t="inlineStr">
        <is>
          <t>Dendrobium</t>
        </is>
      </c>
      <c r="B628" t="inlineStr">
        <is>
          <t>Cardamom</t>
        </is>
      </c>
      <c r="C628" t="n">
        <v>0</v>
      </c>
      <c r="D628" t="n">
        <v>1</v>
      </c>
      <c r="E628" t="n">
        <v>0</v>
      </c>
      <c r="F628" t="inlineStr">
        <is>
          <t>General</t>
        </is>
      </c>
      <c r="G628" t="inlineStr">
        <is>
          <t>General</t>
        </is>
      </c>
      <c r="H628" t="inlineStr">
        <is>
          <t>General</t>
        </is>
      </c>
      <c r="I628" t="inlineStr">
        <is>
          <t>General</t>
        </is>
      </c>
      <c r="K628" t="inlineStr">
        <is>
          <t>unclassified</t>
        </is>
      </c>
      <c r="M628" t="n">
        <v>50</v>
      </c>
    </row>
    <row r="629">
      <c r="A629" t="inlineStr">
        <is>
          <t>Dendrobium</t>
        </is>
      </c>
      <c r="B629" t="inlineStr">
        <is>
          <t>Celastrus Paniculatus</t>
        </is>
      </c>
      <c r="C629" t="n">
        <v>0</v>
      </c>
      <c r="D629" t="n">
        <v>1</v>
      </c>
      <c r="E629" t="n">
        <v>0</v>
      </c>
      <c r="F629" t="inlineStr">
        <is>
          <t>General</t>
        </is>
      </c>
      <c r="G629" t="inlineStr">
        <is>
          <t>General</t>
        </is>
      </c>
      <c r="H629" t="inlineStr">
        <is>
          <t>General</t>
        </is>
      </c>
      <c r="I629" t="inlineStr">
        <is>
          <t>General</t>
        </is>
      </c>
      <c r="K629" t="inlineStr">
        <is>
          <t>unclassified</t>
        </is>
      </c>
      <c r="M629" t="n">
        <v>50</v>
      </c>
    </row>
    <row r="630">
      <c r="A630" t="inlineStr">
        <is>
          <t>Dendrobium</t>
        </is>
      </c>
      <c r="B630" t="inlineStr">
        <is>
          <t>Cordyceps</t>
        </is>
      </c>
      <c r="C630" t="n">
        <v>0</v>
      </c>
      <c r="D630" t="n">
        <v>1</v>
      </c>
      <c r="E630" t="n">
        <v>0</v>
      </c>
      <c r="F630" t="inlineStr">
        <is>
          <t>General</t>
        </is>
      </c>
      <c r="G630" t="inlineStr">
        <is>
          <t>General</t>
        </is>
      </c>
      <c r="H630" t="inlineStr">
        <is>
          <t>General</t>
        </is>
      </c>
      <c r="I630" t="inlineStr">
        <is>
          <t>General</t>
        </is>
      </c>
      <c r="K630" t="inlineStr">
        <is>
          <t>unclassified</t>
        </is>
      </c>
      <c r="M630" t="n">
        <v>50</v>
      </c>
    </row>
    <row r="631">
      <c r="A631" t="inlineStr">
        <is>
          <t>Dendrobium</t>
        </is>
      </c>
      <c r="B631" t="inlineStr">
        <is>
          <t>Elecampane</t>
        </is>
      </c>
      <c r="C631" t="n">
        <v>0</v>
      </c>
      <c r="D631" t="n">
        <v>1</v>
      </c>
      <c r="E631" t="n">
        <v>0</v>
      </c>
      <c r="F631" t="inlineStr">
        <is>
          <t>General</t>
        </is>
      </c>
      <c r="G631" t="inlineStr">
        <is>
          <t>General</t>
        </is>
      </c>
      <c r="H631" t="inlineStr">
        <is>
          <t>General</t>
        </is>
      </c>
      <c r="I631" t="inlineStr">
        <is>
          <t>General</t>
        </is>
      </c>
      <c r="K631" t="inlineStr">
        <is>
          <t>unclassified</t>
        </is>
      </c>
      <c r="M631" t="n">
        <v>50</v>
      </c>
    </row>
    <row r="632">
      <c r="A632" t="inlineStr">
        <is>
          <t>Dendrobium</t>
        </is>
      </c>
      <c r="B632" t="inlineStr">
        <is>
          <t>Eleuthero</t>
        </is>
      </c>
      <c r="C632" t="n">
        <v>0</v>
      </c>
      <c r="D632" t="n">
        <v>1</v>
      </c>
      <c r="E632" t="n">
        <v>0</v>
      </c>
      <c r="F632" t="inlineStr">
        <is>
          <t>General</t>
        </is>
      </c>
      <c r="G632" t="inlineStr">
        <is>
          <t>General</t>
        </is>
      </c>
      <c r="H632" t="inlineStr">
        <is>
          <t>General</t>
        </is>
      </c>
      <c r="I632" t="inlineStr">
        <is>
          <t>General</t>
        </is>
      </c>
      <c r="K632" t="inlineStr">
        <is>
          <t>unclassified</t>
        </is>
      </c>
      <c r="M632" t="n">
        <v>50</v>
      </c>
    </row>
    <row r="633">
      <c r="A633" t="inlineStr">
        <is>
          <t>Dendrobium</t>
        </is>
      </c>
      <c r="B633" t="inlineStr">
        <is>
          <t>Galangal</t>
        </is>
      </c>
      <c r="C633" t="n">
        <v>0</v>
      </c>
      <c r="D633" t="n">
        <v>1</v>
      </c>
      <c r="E633" t="n">
        <v>0</v>
      </c>
      <c r="F633" t="inlineStr">
        <is>
          <t>General</t>
        </is>
      </c>
      <c r="G633" t="inlineStr">
        <is>
          <t>General</t>
        </is>
      </c>
      <c r="H633" t="inlineStr">
        <is>
          <t>General</t>
        </is>
      </c>
      <c r="I633" t="inlineStr">
        <is>
          <t>General</t>
        </is>
      </c>
      <c r="K633" t="inlineStr">
        <is>
          <t>unclassified</t>
        </is>
      </c>
      <c r="M633" t="n">
        <v>50</v>
      </c>
    </row>
    <row r="634">
      <c r="A634" t="inlineStr">
        <is>
          <t>Dendrobium</t>
        </is>
      </c>
      <c r="B634" t="inlineStr">
        <is>
          <t>Gudmar</t>
        </is>
      </c>
      <c r="C634" t="n">
        <v>0</v>
      </c>
      <c r="D634" t="n">
        <v>1</v>
      </c>
      <c r="E634" t="n">
        <v>0</v>
      </c>
      <c r="F634" t="inlineStr">
        <is>
          <t>General</t>
        </is>
      </c>
      <c r="G634" t="inlineStr">
        <is>
          <t>General</t>
        </is>
      </c>
      <c r="H634" t="inlineStr">
        <is>
          <t>General</t>
        </is>
      </c>
      <c r="I634" t="inlineStr">
        <is>
          <t>General</t>
        </is>
      </c>
      <c r="K634" t="inlineStr">
        <is>
          <t>unclassified</t>
        </is>
      </c>
      <c r="M634" t="n">
        <v>50</v>
      </c>
    </row>
    <row r="635">
      <c r="A635" t="inlineStr">
        <is>
          <t>Dendrobium</t>
        </is>
      </c>
      <c r="B635" t="inlineStr">
        <is>
          <t>Houttuynia</t>
        </is>
      </c>
      <c r="C635" t="n">
        <v>0</v>
      </c>
      <c r="D635" t="n">
        <v>1</v>
      </c>
      <c r="E635" t="n">
        <v>0</v>
      </c>
      <c r="F635" t="inlineStr">
        <is>
          <t>General</t>
        </is>
      </c>
      <c r="G635" t="inlineStr">
        <is>
          <t>General</t>
        </is>
      </c>
      <c r="H635" t="inlineStr">
        <is>
          <t>General</t>
        </is>
      </c>
      <c r="I635" t="inlineStr">
        <is>
          <t>General</t>
        </is>
      </c>
      <c r="K635" t="inlineStr">
        <is>
          <t>unclassified</t>
        </is>
      </c>
      <c r="M635" t="n">
        <v>50</v>
      </c>
    </row>
    <row r="636">
      <c r="A636" t="inlineStr">
        <is>
          <t>Dendrobium</t>
        </is>
      </c>
      <c r="B636" t="inlineStr">
        <is>
          <t>Isatis</t>
        </is>
      </c>
      <c r="C636" t="n">
        <v>0</v>
      </c>
      <c r="D636" t="n">
        <v>1</v>
      </c>
      <c r="E636" t="n">
        <v>0</v>
      </c>
      <c r="F636" t="inlineStr">
        <is>
          <t>General</t>
        </is>
      </c>
      <c r="G636" t="inlineStr">
        <is>
          <t>General</t>
        </is>
      </c>
      <c r="H636" t="inlineStr">
        <is>
          <t>General</t>
        </is>
      </c>
      <c r="I636" t="inlineStr">
        <is>
          <t>General</t>
        </is>
      </c>
      <c r="K636" t="inlineStr">
        <is>
          <t>unclassified</t>
        </is>
      </c>
      <c r="M636" t="n">
        <v>50</v>
      </c>
    </row>
    <row r="637">
      <c r="A637" t="inlineStr">
        <is>
          <t>Dendrobium</t>
        </is>
      </c>
      <c r="B637" t="inlineStr">
        <is>
          <t>Maitake D-Fraction</t>
        </is>
      </c>
      <c r="C637" t="n">
        <v>0</v>
      </c>
      <c r="D637" t="n">
        <v>1</v>
      </c>
      <c r="E637" t="n">
        <v>0</v>
      </c>
      <c r="F637" t="inlineStr">
        <is>
          <t>General</t>
        </is>
      </c>
      <c r="G637" t="inlineStr">
        <is>
          <t>General</t>
        </is>
      </c>
      <c r="H637" t="inlineStr">
        <is>
          <t>General</t>
        </is>
      </c>
      <c r="I637" t="inlineStr">
        <is>
          <t>General</t>
        </is>
      </c>
      <c r="K637" t="inlineStr">
        <is>
          <t>unclassified</t>
        </is>
      </c>
      <c r="M637" t="n">
        <v>50</v>
      </c>
    </row>
    <row r="638">
      <c r="A638" t="inlineStr">
        <is>
          <t>Dendrobium</t>
        </is>
      </c>
      <c r="B638" t="inlineStr">
        <is>
          <t>Muira Puama</t>
        </is>
      </c>
      <c r="C638" t="n">
        <v>0</v>
      </c>
      <c r="D638" t="n">
        <v>1</v>
      </c>
      <c r="E638" t="n">
        <v>0</v>
      </c>
      <c r="F638" t="inlineStr">
        <is>
          <t>General</t>
        </is>
      </c>
      <c r="G638" t="inlineStr">
        <is>
          <t>General</t>
        </is>
      </c>
      <c r="H638" t="inlineStr">
        <is>
          <t>General</t>
        </is>
      </c>
      <c r="I638" t="inlineStr">
        <is>
          <t>General</t>
        </is>
      </c>
      <c r="K638" t="inlineStr">
        <is>
          <t>unclassified</t>
        </is>
      </c>
      <c r="M638" t="n">
        <v>50</v>
      </c>
    </row>
    <row r="639">
      <c r="A639" t="inlineStr">
        <is>
          <t>Dendrobium</t>
        </is>
      </c>
      <c r="B639" t="inlineStr">
        <is>
          <t>Nettle Root</t>
        </is>
      </c>
      <c r="C639" t="n">
        <v>0</v>
      </c>
      <c r="D639" t="n">
        <v>1</v>
      </c>
      <c r="E639" t="n">
        <v>0</v>
      </c>
      <c r="F639" t="inlineStr">
        <is>
          <t>General</t>
        </is>
      </c>
      <c r="G639" t="inlineStr">
        <is>
          <t>General</t>
        </is>
      </c>
      <c r="H639" t="inlineStr">
        <is>
          <t>General</t>
        </is>
      </c>
      <c r="I639" t="inlineStr">
        <is>
          <t>General</t>
        </is>
      </c>
      <c r="K639" t="inlineStr">
        <is>
          <t>unclassified</t>
        </is>
      </c>
      <c r="M639" t="n">
        <v>50</v>
      </c>
    </row>
    <row r="640">
      <c r="A640" t="inlineStr">
        <is>
          <t>Dendrobium</t>
        </is>
      </c>
      <c r="B640" t="inlineStr">
        <is>
          <t>Passionflower</t>
        </is>
      </c>
      <c r="C640" t="n">
        <v>0</v>
      </c>
      <c r="D640" t="n">
        <v>1</v>
      </c>
      <c r="E640" t="n">
        <v>0</v>
      </c>
      <c r="F640" t="inlineStr">
        <is>
          <t>General</t>
        </is>
      </c>
      <c r="G640" t="inlineStr">
        <is>
          <t>General</t>
        </is>
      </c>
      <c r="H640" t="inlineStr">
        <is>
          <t>General</t>
        </is>
      </c>
      <c r="I640" t="inlineStr">
        <is>
          <t>General</t>
        </is>
      </c>
      <c r="K640" t="inlineStr">
        <is>
          <t>unclassified</t>
        </is>
      </c>
      <c r="M640" t="n">
        <v>50</v>
      </c>
    </row>
    <row r="641">
      <c r="A641" t="inlineStr">
        <is>
          <t>Dendrobium</t>
        </is>
      </c>
      <c r="B641" t="inlineStr">
        <is>
          <t>Poria</t>
        </is>
      </c>
      <c r="C641" t="n">
        <v>0</v>
      </c>
      <c r="D641" t="n">
        <v>1</v>
      </c>
      <c r="E641" t="n">
        <v>0</v>
      </c>
      <c r="F641" t="inlineStr">
        <is>
          <t>General</t>
        </is>
      </c>
      <c r="G641" t="inlineStr">
        <is>
          <t>General</t>
        </is>
      </c>
      <c r="H641" t="inlineStr">
        <is>
          <t>General</t>
        </is>
      </c>
      <c r="I641" t="inlineStr">
        <is>
          <t>General</t>
        </is>
      </c>
      <c r="K641" t="inlineStr">
        <is>
          <t>unclassified</t>
        </is>
      </c>
      <c r="M641" t="n">
        <v>50</v>
      </c>
    </row>
    <row r="642">
      <c r="A642" t="inlineStr">
        <is>
          <t>Dendrobium</t>
        </is>
      </c>
      <c r="B642" t="inlineStr">
        <is>
          <t>Punarnava</t>
        </is>
      </c>
      <c r="C642" t="n">
        <v>0</v>
      </c>
      <c r="D642" t="n">
        <v>1</v>
      </c>
      <c r="E642" t="n">
        <v>0</v>
      </c>
      <c r="F642" t="inlineStr">
        <is>
          <t>General</t>
        </is>
      </c>
      <c r="G642" t="inlineStr">
        <is>
          <t>General</t>
        </is>
      </c>
      <c r="H642" t="inlineStr">
        <is>
          <t>General</t>
        </is>
      </c>
      <c r="I642" t="inlineStr">
        <is>
          <t>General</t>
        </is>
      </c>
      <c r="K642" t="inlineStr">
        <is>
          <t>unclassified</t>
        </is>
      </c>
      <c r="M642" t="n">
        <v>50</v>
      </c>
    </row>
    <row r="643">
      <c r="A643" t="inlineStr">
        <is>
          <t>Dendrobium</t>
        </is>
      </c>
      <c r="B643" t="inlineStr">
        <is>
          <t>Rehmannia Prepared</t>
        </is>
      </c>
      <c r="C643" t="n">
        <v>0</v>
      </c>
      <c r="D643" t="n">
        <v>1</v>
      </c>
      <c r="E643" t="n">
        <v>0</v>
      </c>
      <c r="F643" t="inlineStr">
        <is>
          <t>General</t>
        </is>
      </c>
      <c r="G643" t="inlineStr">
        <is>
          <t>General</t>
        </is>
      </c>
      <c r="H643" t="inlineStr">
        <is>
          <t>General</t>
        </is>
      </c>
      <c r="I643" t="inlineStr">
        <is>
          <t>General</t>
        </is>
      </c>
      <c r="K643" t="inlineStr">
        <is>
          <t>unclassified</t>
        </is>
      </c>
      <c r="M643" t="n">
        <v>50</v>
      </c>
    </row>
    <row r="644">
      <c r="A644" t="inlineStr">
        <is>
          <t>Dendrobium</t>
        </is>
      </c>
      <c r="B644" t="inlineStr">
        <is>
          <t>Reishi</t>
        </is>
      </c>
      <c r="C644" t="n">
        <v>0</v>
      </c>
      <c r="D644" t="n">
        <v>1</v>
      </c>
      <c r="E644" t="n">
        <v>0</v>
      </c>
      <c r="F644" t="inlineStr">
        <is>
          <t>General</t>
        </is>
      </c>
      <c r="G644" t="inlineStr">
        <is>
          <t>General</t>
        </is>
      </c>
      <c r="H644" t="inlineStr">
        <is>
          <t>General</t>
        </is>
      </c>
      <c r="I644" t="inlineStr">
        <is>
          <t>General</t>
        </is>
      </c>
      <c r="K644" t="inlineStr">
        <is>
          <t>unclassified</t>
        </is>
      </c>
      <c r="M644" t="n">
        <v>50</v>
      </c>
    </row>
    <row r="645">
      <c r="A645" t="inlineStr">
        <is>
          <t>Dendrobium</t>
        </is>
      </c>
      <c r="B645" t="inlineStr">
        <is>
          <t>Sophora Flavescens</t>
        </is>
      </c>
      <c r="C645" t="n">
        <v>0</v>
      </c>
      <c r="D645" t="n">
        <v>1</v>
      </c>
      <c r="E645" t="n">
        <v>0</v>
      </c>
      <c r="F645" t="inlineStr">
        <is>
          <t>General</t>
        </is>
      </c>
      <c r="G645" t="inlineStr">
        <is>
          <t>General</t>
        </is>
      </c>
      <c r="H645" t="inlineStr">
        <is>
          <t>General</t>
        </is>
      </c>
      <c r="I645" t="inlineStr">
        <is>
          <t>General</t>
        </is>
      </c>
      <c r="K645" t="inlineStr">
        <is>
          <t>unclassified</t>
        </is>
      </c>
      <c r="M645" t="n">
        <v>50</v>
      </c>
    </row>
    <row r="646">
      <c r="A646" t="inlineStr">
        <is>
          <t>Dendrobium</t>
        </is>
      </c>
      <c r="B646" t="inlineStr">
        <is>
          <t>Tamarind</t>
        </is>
      </c>
      <c r="C646" t="n">
        <v>0</v>
      </c>
      <c r="D646" t="n">
        <v>1</v>
      </c>
      <c r="E646" t="n">
        <v>0</v>
      </c>
      <c r="F646" t="inlineStr">
        <is>
          <t>General</t>
        </is>
      </c>
      <c r="G646" t="inlineStr">
        <is>
          <t>General</t>
        </is>
      </c>
      <c r="H646" t="inlineStr">
        <is>
          <t>General</t>
        </is>
      </c>
      <c r="I646" t="inlineStr">
        <is>
          <t>General</t>
        </is>
      </c>
      <c r="K646" t="inlineStr">
        <is>
          <t>unclassified</t>
        </is>
      </c>
      <c r="M646" t="n">
        <v>50</v>
      </c>
    </row>
    <row r="647">
      <c r="A647" t="inlineStr">
        <is>
          <t>Dendrobium</t>
        </is>
      </c>
      <c r="B647" t="inlineStr">
        <is>
          <t>Yohimbe</t>
        </is>
      </c>
      <c r="C647" t="n">
        <v>0</v>
      </c>
      <c r="D647" t="n">
        <v>1</v>
      </c>
      <c r="E647" t="n">
        <v>0</v>
      </c>
      <c r="F647" t="inlineStr">
        <is>
          <t>General</t>
        </is>
      </c>
      <c r="G647" t="inlineStr">
        <is>
          <t>General</t>
        </is>
      </c>
      <c r="H647" t="inlineStr">
        <is>
          <t>General</t>
        </is>
      </c>
      <c r="I647" t="inlineStr">
        <is>
          <t>General</t>
        </is>
      </c>
      <c r="K647" t="inlineStr">
        <is>
          <t>unclassified</t>
        </is>
      </c>
      <c r="M647" t="n">
        <v>50</v>
      </c>
    </row>
    <row r="648">
      <c r="A648" t="inlineStr">
        <is>
          <t>Dong Quai</t>
        </is>
      </c>
      <c r="B648" t="inlineStr">
        <is>
          <t>Agarikon</t>
        </is>
      </c>
      <c r="C648" t="n">
        <v>0</v>
      </c>
      <c r="D648" t="n">
        <v>1</v>
      </c>
      <c r="E648" t="n">
        <v>0</v>
      </c>
      <c r="F648" t="inlineStr">
        <is>
          <t>General</t>
        </is>
      </c>
      <c r="G648" t="inlineStr">
        <is>
          <t>General</t>
        </is>
      </c>
      <c r="H648" t="inlineStr">
        <is>
          <t>General</t>
        </is>
      </c>
      <c r="I648" t="inlineStr">
        <is>
          <t>General</t>
        </is>
      </c>
      <c r="K648" t="inlineStr">
        <is>
          <t>unclassified</t>
        </is>
      </c>
      <c r="M648" t="n">
        <v>50</v>
      </c>
    </row>
    <row r="649">
      <c r="A649" t="inlineStr">
        <is>
          <t>Dong Quai</t>
        </is>
      </c>
      <c r="B649" t="inlineStr">
        <is>
          <t>Ajwain</t>
        </is>
      </c>
      <c r="C649" t="n">
        <v>0</v>
      </c>
      <c r="D649" t="n">
        <v>1</v>
      </c>
      <c r="E649" t="n">
        <v>0</v>
      </c>
      <c r="F649" t="inlineStr">
        <is>
          <t>General</t>
        </is>
      </c>
      <c r="G649" t="inlineStr">
        <is>
          <t>General</t>
        </is>
      </c>
      <c r="H649" t="inlineStr">
        <is>
          <t>General</t>
        </is>
      </c>
      <c r="I649" t="inlineStr">
        <is>
          <t>General</t>
        </is>
      </c>
      <c r="K649" t="inlineStr">
        <is>
          <t>unclassified</t>
        </is>
      </c>
      <c r="M649" t="n">
        <v>50</v>
      </c>
    </row>
    <row r="650">
      <c r="A650" t="inlineStr">
        <is>
          <t>Dong Quai</t>
        </is>
      </c>
      <c r="B650" t="inlineStr">
        <is>
          <t>Angelica Root</t>
        </is>
      </c>
      <c r="C650" t="n">
        <v>0</v>
      </c>
      <c r="D650" t="n">
        <v>1</v>
      </c>
      <c r="E650" t="n">
        <v>0</v>
      </c>
      <c r="F650" t="inlineStr">
        <is>
          <t>General</t>
        </is>
      </c>
      <c r="G650" t="inlineStr">
        <is>
          <t>General</t>
        </is>
      </c>
      <c r="H650" t="inlineStr">
        <is>
          <t>General</t>
        </is>
      </c>
      <c r="I650" t="inlineStr">
        <is>
          <t>General</t>
        </is>
      </c>
      <c r="K650" t="inlineStr">
        <is>
          <t>unclassified</t>
        </is>
      </c>
      <c r="M650" t="n">
        <v>50</v>
      </c>
    </row>
    <row r="651">
      <c r="A651" t="inlineStr">
        <is>
          <t>Dong Quai</t>
        </is>
      </c>
      <c r="B651" t="inlineStr">
        <is>
          <t>Artichoke</t>
        </is>
      </c>
      <c r="C651" t="n">
        <v>0</v>
      </c>
      <c r="D651" t="n">
        <v>1</v>
      </c>
      <c r="E651" t="n">
        <v>0</v>
      </c>
      <c r="F651" t="inlineStr">
        <is>
          <t>General</t>
        </is>
      </c>
      <c r="G651" t="inlineStr">
        <is>
          <t>General</t>
        </is>
      </c>
      <c r="H651" t="inlineStr">
        <is>
          <t>General</t>
        </is>
      </c>
      <c r="I651" t="inlineStr">
        <is>
          <t>General</t>
        </is>
      </c>
      <c r="K651" t="inlineStr">
        <is>
          <t>unclassified</t>
        </is>
      </c>
      <c r="M651" t="n">
        <v>50</v>
      </c>
    </row>
    <row r="652">
      <c r="A652" t="inlineStr">
        <is>
          <t>Dong Quai</t>
        </is>
      </c>
      <c r="B652" t="inlineStr">
        <is>
          <t>Ashoka</t>
        </is>
      </c>
      <c r="C652" t="n">
        <v>0</v>
      </c>
      <c r="D652" t="n">
        <v>1</v>
      </c>
      <c r="E652" t="n">
        <v>0</v>
      </c>
      <c r="F652" t="inlineStr">
        <is>
          <t>General</t>
        </is>
      </c>
      <c r="G652" t="inlineStr">
        <is>
          <t>General</t>
        </is>
      </c>
      <c r="H652" t="inlineStr">
        <is>
          <t>General</t>
        </is>
      </c>
      <c r="I652" t="inlineStr">
        <is>
          <t>General</t>
        </is>
      </c>
      <c r="K652" t="inlineStr">
        <is>
          <t>unclassified</t>
        </is>
      </c>
      <c r="M652" t="n">
        <v>50</v>
      </c>
    </row>
    <row r="653">
      <c r="A653" t="inlineStr">
        <is>
          <t>Dong Quai</t>
        </is>
      </c>
      <c r="B653" t="inlineStr">
        <is>
          <t>Boldo</t>
        </is>
      </c>
      <c r="C653" t="n">
        <v>0</v>
      </c>
      <c r="D653" t="n">
        <v>1</v>
      </c>
      <c r="E653" t="n">
        <v>0</v>
      </c>
      <c r="F653" t="inlineStr">
        <is>
          <t>General</t>
        </is>
      </c>
      <c r="G653" t="inlineStr">
        <is>
          <t>General</t>
        </is>
      </c>
      <c r="H653" t="inlineStr">
        <is>
          <t>General</t>
        </is>
      </c>
      <c r="I653" t="inlineStr">
        <is>
          <t>General</t>
        </is>
      </c>
      <c r="K653" t="inlineStr">
        <is>
          <t>unclassified</t>
        </is>
      </c>
      <c r="M653" t="n">
        <v>50</v>
      </c>
    </row>
    <row r="654">
      <c r="A654" t="inlineStr">
        <is>
          <t>Dong Quai</t>
        </is>
      </c>
      <c r="B654" t="inlineStr">
        <is>
          <t>Burdock</t>
        </is>
      </c>
      <c r="C654" t="n">
        <v>0</v>
      </c>
      <c r="D654" t="n">
        <v>1</v>
      </c>
      <c r="E654" t="n">
        <v>0</v>
      </c>
      <c r="F654" t="inlineStr">
        <is>
          <t>General</t>
        </is>
      </c>
      <c r="G654" t="inlineStr">
        <is>
          <t>General</t>
        </is>
      </c>
      <c r="H654" t="inlineStr">
        <is>
          <t>General</t>
        </is>
      </c>
      <c r="I654" t="inlineStr">
        <is>
          <t>General</t>
        </is>
      </c>
      <c r="K654" t="inlineStr">
        <is>
          <t>unclassified</t>
        </is>
      </c>
      <c r="M654" t="n">
        <v>50</v>
      </c>
    </row>
    <row r="655">
      <c r="A655" t="inlineStr">
        <is>
          <t>Dong Quai</t>
        </is>
      </c>
      <c r="B655" t="inlineStr">
        <is>
          <t>Calendula</t>
        </is>
      </c>
      <c r="C655" t="n">
        <v>0</v>
      </c>
      <c r="D655" t="n">
        <v>1</v>
      </c>
      <c r="E655" t="n">
        <v>0</v>
      </c>
      <c r="F655" t="inlineStr">
        <is>
          <t>General</t>
        </is>
      </c>
      <c r="G655" t="inlineStr">
        <is>
          <t>General</t>
        </is>
      </c>
      <c r="H655" t="inlineStr">
        <is>
          <t>General</t>
        </is>
      </c>
      <c r="I655" t="inlineStr">
        <is>
          <t>General</t>
        </is>
      </c>
      <c r="K655" t="inlineStr">
        <is>
          <t>unclassified</t>
        </is>
      </c>
      <c r="M655" t="n">
        <v>50</v>
      </c>
    </row>
    <row r="656">
      <c r="A656" t="inlineStr">
        <is>
          <t>Dong Quai</t>
        </is>
      </c>
      <c r="B656" t="inlineStr">
        <is>
          <t>Caraway</t>
        </is>
      </c>
      <c r="C656" t="n">
        <v>0</v>
      </c>
      <c r="D656" t="n">
        <v>1</v>
      </c>
      <c r="E656" t="n">
        <v>0</v>
      </c>
      <c r="F656" t="inlineStr">
        <is>
          <t>General</t>
        </is>
      </c>
      <c r="G656" t="inlineStr">
        <is>
          <t>General</t>
        </is>
      </c>
      <c r="H656" t="inlineStr">
        <is>
          <t>General</t>
        </is>
      </c>
      <c r="I656" t="inlineStr">
        <is>
          <t>General</t>
        </is>
      </c>
      <c r="K656" t="inlineStr">
        <is>
          <t>unclassified</t>
        </is>
      </c>
      <c r="M656" t="n">
        <v>50</v>
      </c>
    </row>
    <row r="657">
      <c r="A657" t="inlineStr">
        <is>
          <t>Dong Quai</t>
        </is>
      </c>
      <c r="B657" t="inlineStr">
        <is>
          <t>Cardamom</t>
        </is>
      </c>
      <c r="C657" t="n">
        <v>0</v>
      </c>
      <c r="D657" t="n">
        <v>1</v>
      </c>
      <c r="E657" t="n">
        <v>0</v>
      </c>
      <c r="F657" t="inlineStr">
        <is>
          <t>General</t>
        </is>
      </c>
      <c r="G657" t="inlineStr">
        <is>
          <t>General</t>
        </is>
      </c>
      <c r="H657" t="inlineStr">
        <is>
          <t>General</t>
        </is>
      </c>
      <c r="I657" t="inlineStr">
        <is>
          <t>General</t>
        </is>
      </c>
      <c r="K657" t="inlineStr">
        <is>
          <t>unclassified</t>
        </is>
      </c>
      <c r="M657" t="n">
        <v>50</v>
      </c>
    </row>
    <row r="658">
      <c r="A658" t="inlineStr">
        <is>
          <t>Dong Quai</t>
        </is>
      </c>
      <c r="B658" t="inlineStr">
        <is>
          <t>Celastrus Paniculatus</t>
        </is>
      </c>
      <c r="C658" t="n">
        <v>0</v>
      </c>
      <c r="D658" t="n">
        <v>1</v>
      </c>
      <c r="E658" t="n">
        <v>0</v>
      </c>
      <c r="F658" t="inlineStr">
        <is>
          <t>General</t>
        </is>
      </c>
      <c r="G658" t="inlineStr">
        <is>
          <t>General</t>
        </is>
      </c>
      <c r="H658" t="inlineStr">
        <is>
          <t>General</t>
        </is>
      </c>
      <c r="I658" t="inlineStr">
        <is>
          <t>General</t>
        </is>
      </c>
      <c r="K658" t="inlineStr">
        <is>
          <t>unclassified</t>
        </is>
      </c>
      <c r="M658" t="n">
        <v>50</v>
      </c>
    </row>
    <row r="659">
      <c r="A659" t="inlineStr">
        <is>
          <t>Dong Quai</t>
        </is>
      </c>
      <c r="B659" t="inlineStr">
        <is>
          <t>Cinnamon</t>
        </is>
      </c>
      <c r="C659" t="n">
        <v>0</v>
      </c>
      <c r="D659" t="n">
        <v>1</v>
      </c>
      <c r="E659" t="n">
        <v>0</v>
      </c>
      <c r="F659" t="inlineStr">
        <is>
          <t>General</t>
        </is>
      </c>
      <c r="G659" t="inlineStr">
        <is>
          <t>General</t>
        </is>
      </c>
      <c r="H659" t="inlineStr">
        <is>
          <t>General</t>
        </is>
      </c>
      <c r="I659" t="inlineStr">
        <is>
          <t>General</t>
        </is>
      </c>
      <c r="K659" t="inlineStr">
        <is>
          <t>unclassified</t>
        </is>
      </c>
      <c r="M659" t="n">
        <v>50</v>
      </c>
    </row>
    <row r="660">
      <c r="A660" t="inlineStr">
        <is>
          <t>Dong Quai</t>
        </is>
      </c>
      <c r="B660" t="inlineStr">
        <is>
          <t>Cistanche</t>
        </is>
      </c>
      <c r="C660" t="n">
        <v>0</v>
      </c>
      <c r="D660" t="n">
        <v>1</v>
      </c>
      <c r="E660" t="n">
        <v>0</v>
      </c>
      <c r="F660" t="inlineStr">
        <is>
          <t>General</t>
        </is>
      </c>
      <c r="G660" t="inlineStr">
        <is>
          <t>General</t>
        </is>
      </c>
      <c r="H660" t="inlineStr">
        <is>
          <t>General</t>
        </is>
      </c>
      <c r="I660" t="inlineStr">
        <is>
          <t>General</t>
        </is>
      </c>
      <c r="K660" t="inlineStr">
        <is>
          <t>unclassified</t>
        </is>
      </c>
      <c r="M660" t="n">
        <v>50</v>
      </c>
    </row>
    <row r="661">
      <c r="A661" t="inlineStr">
        <is>
          <t>Dong Quai</t>
        </is>
      </c>
      <c r="B661" t="inlineStr">
        <is>
          <t>Cordyceps</t>
        </is>
      </c>
      <c r="C661" t="n">
        <v>0</v>
      </c>
      <c r="D661" t="n">
        <v>1</v>
      </c>
      <c r="E661" t="n">
        <v>0</v>
      </c>
      <c r="F661" t="inlineStr">
        <is>
          <t>General</t>
        </is>
      </c>
      <c r="G661" t="inlineStr">
        <is>
          <t>General</t>
        </is>
      </c>
      <c r="H661" t="inlineStr">
        <is>
          <t>General</t>
        </is>
      </c>
      <c r="I661" t="inlineStr">
        <is>
          <t>General</t>
        </is>
      </c>
      <c r="K661" t="inlineStr">
        <is>
          <t>unclassified</t>
        </is>
      </c>
      <c r="M661" t="n">
        <v>50</v>
      </c>
    </row>
    <row r="662">
      <c r="A662" t="inlineStr">
        <is>
          <t>Dong Quai</t>
        </is>
      </c>
      <c r="B662" t="inlineStr">
        <is>
          <t>Dandelion</t>
        </is>
      </c>
      <c r="C662" t="n">
        <v>0</v>
      </c>
      <c r="D662" t="n">
        <v>1</v>
      </c>
      <c r="E662" t="n">
        <v>0</v>
      </c>
      <c r="F662" t="inlineStr">
        <is>
          <t>General</t>
        </is>
      </c>
      <c r="G662" t="inlineStr">
        <is>
          <t>General</t>
        </is>
      </c>
      <c r="H662" t="inlineStr">
        <is>
          <t>General</t>
        </is>
      </c>
      <c r="I662" t="inlineStr">
        <is>
          <t>General</t>
        </is>
      </c>
      <c r="K662" t="inlineStr">
        <is>
          <t>unclassified</t>
        </is>
      </c>
      <c r="M662" t="n">
        <v>50</v>
      </c>
    </row>
    <row r="663">
      <c r="A663" t="inlineStr">
        <is>
          <t>Dong Quai</t>
        </is>
      </c>
      <c r="B663" t="inlineStr">
        <is>
          <t>Dendrobium</t>
        </is>
      </c>
      <c r="C663" t="n">
        <v>0</v>
      </c>
      <c r="D663" t="n">
        <v>1</v>
      </c>
      <c r="E663" t="n">
        <v>0</v>
      </c>
      <c r="F663" t="inlineStr">
        <is>
          <t>General</t>
        </is>
      </c>
      <c r="G663" t="inlineStr">
        <is>
          <t>General</t>
        </is>
      </c>
      <c r="H663" t="inlineStr">
        <is>
          <t>General</t>
        </is>
      </c>
      <c r="I663" t="inlineStr">
        <is>
          <t>General</t>
        </is>
      </c>
      <c r="K663" t="inlineStr">
        <is>
          <t>unclassified</t>
        </is>
      </c>
      <c r="M663" t="n">
        <v>50</v>
      </c>
    </row>
    <row r="664">
      <c r="A664" t="inlineStr">
        <is>
          <t>Dong Quai</t>
        </is>
      </c>
      <c r="B664" t="inlineStr">
        <is>
          <t>Elecampane</t>
        </is>
      </c>
      <c r="C664" t="n">
        <v>0</v>
      </c>
      <c r="D664" t="n">
        <v>1</v>
      </c>
      <c r="E664" t="n">
        <v>0</v>
      </c>
      <c r="F664" t="inlineStr">
        <is>
          <t>General</t>
        </is>
      </c>
      <c r="G664" t="inlineStr">
        <is>
          <t>General</t>
        </is>
      </c>
      <c r="H664" t="inlineStr">
        <is>
          <t>General</t>
        </is>
      </c>
      <c r="I664" t="inlineStr">
        <is>
          <t>General</t>
        </is>
      </c>
      <c r="K664" t="inlineStr">
        <is>
          <t>unclassified</t>
        </is>
      </c>
      <c r="M664" t="n">
        <v>50</v>
      </c>
    </row>
    <row r="665">
      <c r="A665" t="inlineStr">
        <is>
          <t>Dong Quai</t>
        </is>
      </c>
      <c r="B665" t="inlineStr">
        <is>
          <t>Eleuthero</t>
        </is>
      </c>
      <c r="C665" t="n">
        <v>0</v>
      </c>
      <c r="D665" t="n">
        <v>1</v>
      </c>
      <c r="E665" t="n">
        <v>0</v>
      </c>
      <c r="F665" t="inlineStr">
        <is>
          <t>General</t>
        </is>
      </c>
      <c r="G665" t="inlineStr">
        <is>
          <t>General</t>
        </is>
      </c>
      <c r="H665" t="inlineStr">
        <is>
          <t>General</t>
        </is>
      </c>
      <c r="I665" t="inlineStr">
        <is>
          <t>General</t>
        </is>
      </c>
      <c r="K665" t="inlineStr">
        <is>
          <t>unclassified</t>
        </is>
      </c>
      <c r="M665" t="n">
        <v>50</v>
      </c>
    </row>
    <row r="666">
      <c r="A666" t="inlineStr">
        <is>
          <t>Dong Quai</t>
        </is>
      </c>
      <c r="B666" t="inlineStr">
        <is>
          <t>Fennel</t>
        </is>
      </c>
      <c r="C666" t="n">
        <v>0</v>
      </c>
      <c r="D666" t="n">
        <v>1</v>
      </c>
      <c r="E666" t="n">
        <v>0</v>
      </c>
      <c r="F666" t="inlineStr">
        <is>
          <t>General</t>
        </is>
      </c>
      <c r="G666" t="inlineStr">
        <is>
          <t>General</t>
        </is>
      </c>
      <c r="H666" t="inlineStr">
        <is>
          <t>General</t>
        </is>
      </c>
      <c r="I666" t="inlineStr">
        <is>
          <t>General</t>
        </is>
      </c>
      <c r="K666" t="inlineStr">
        <is>
          <t>unclassified</t>
        </is>
      </c>
      <c r="M666" t="n">
        <v>50</v>
      </c>
    </row>
    <row r="667">
      <c r="A667" t="inlineStr">
        <is>
          <t>Dong Quai</t>
        </is>
      </c>
      <c r="B667" t="inlineStr">
        <is>
          <t>Galangal</t>
        </is>
      </c>
      <c r="C667" t="n">
        <v>0</v>
      </c>
      <c r="D667" t="n">
        <v>1</v>
      </c>
      <c r="E667" t="n">
        <v>0</v>
      </c>
      <c r="F667" t="inlineStr">
        <is>
          <t>General</t>
        </is>
      </c>
      <c r="G667" t="inlineStr">
        <is>
          <t>General</t>
        </is>
      </c>
      <c r="H667" t="inlineStr">
        <is>
          <t>General</t>
        </is>
      </c>
      <c r="I667" t="inlineStr">
        <is>
          <t>General</t>
        </is>
      </c>
      <c r="K667" t="inlineStr">
        <is>
          <t>unclassified</t>
        </is>
      </c>
      <c r="M667" t="n">
        <v>50</v>
      </c>
    </row>
    <row r="668">
      <c r="A668" t="inlineStr">
        <is>
          <t>Dong Quai</t>
        </is>
      </c>
      <c r="B668" t="inlineStr">
        <is>
          <t>Gastrodia</t>
        </is>
      </c>
      <c r="C668" t="n">
        <v>0</v>
      </c>
      <c r="D668" t="n">
        <v>1</v>
      </c>
      <c r="E668" t="n">
        <v>0</v>
      </c>
      <c r="F668" t="inlineStr">
        <is>
          <t>General</t>
        </is>
      </c>
      <c r="G668" t="inlineStr">
        <is>
          <t>General</t>
        </is>
      </c>
      <c r="H668" t="inlineStr">
        <is>
          <t>General</t>
        </is>
      </c>
      <c r="I668" t="inlineStr">
        <is>
          <t>General</t>
        </is>
      </c>
      <c r="K668" t="inlineStr">
        <is>
          <t>unclassified</t>
        </is>
      </c>
      <c r="M668" t="n">
        <v>50</v>
      </c>
    </row>
    <row r="669">
      <c r="A669" t="inlineStr">
        <is>
          <t>Dong Quai</t>
        </is>
      </c>
      <c r="B669" t="inlineStr">
        <is>
          <t>Gudmar</t>
        </is>
      </c>
      <c r="C669" t="n">
        <v>0</v>
      </c>
      <c r="D669" t="n">
        <v>1</v>
      </c>
      <c r="E669" t="n">
        <v>0</v>
      </c>
      <c r="F669" t="inlineStr">
        <is>
          <t>General</t>
        </is>
      </c>
      <c r="G669" t="inlineStr">
        <is>
          <t>General</t>
        </is>
      </c>
      <c r="H669" t="inlineStr">
        <is>
          <t>General</t>
        </is>
      </c>
      <c r="I669" t="inlineStr">
        <is>
          <t>General</t>
        </is>
      </c>
      <c r="K669" t="inlineStr">
        <is>
          <t>unclassified</t>
        </is>
      </c>
      <c r="M669" t="n">
        <v>50</v>
      </c>
    </row>
    <row r="670">
      <c r="A670" t="inlineStr">
        <is>
          <t>Dong Quai</t>
        </is>
      </c>
      <c r="B670" t="inlineStr">
        <is>
          <t>Gymnema</t>
        </is>
      </c>
      <c r="C670" t="n">
        <v>0</v>
      </c>
      <c r="D670" t="n">
        <v>1</v>
      </c>
      <c r="E670" t="n">
        <v>0</v>
      </c>
      <c r="F670" t="inlineStr">
        <is>
          <t>General</t>
        </is>
      </c>
      <c r="G670" t="inlineStr">
        <is>
          <t>General</t>
        </is>
      </c>
      <c r="H670" t="inlineStr">
        <is>
          <t>General</t>
        </is>
      </c>
      <c r="I670" t="inlineStr">
        <is>
          <t>General</t>
        </is>
      </c>
      <c r="K670" t="inlineStr">
        <is>
          <t>unclassified</t>
        </is>
      </c>
      <c r="M670" t="n">
        <v>50</v>
      </c>
    </row>
    <row r="671">
      <c r="A671" t="inlineStr">
        <is>
          <t>Dong Quai</t>
        </is>
      </c>
      <c r="B671" t="inlineStr">
        <is>
          <t>Hops</t>
        </is>
      </c>
      <c r="C671" t="n">
        <v>0</v>
      </c>
      <c r="D671" t="n">
        <v>1</v>
      </c>
      <c r="E671" t="n">
        <v>0</v>
      </c>
      <c r="F671" t="inlineStr">
        <is>
          <t>General</t>
        </is>
      </c>
      <c r="G671" t="inlineStr">
        <is>
          <t>General</t>
        </is>
      </c>
      <c r="H671" t="inlineStr">
        <is>
          <t>General</t>
        </is>
      </c>
      <c r="I671" t="inlineStr">
        <is>
          <t>General</t>
        </is>
      </c>
      <c r="K671" t="inlineStr">
        <is>
          <t>unclassified</t>
        </is>
      </c>
      <c r="M671" t="n">
        <v>50</v>
      </c>
    </row>
    <row r="672">
      <c r="A672" t="inlineStr">
        <is>
          <t>Dong Quai</t>
        </is>
      </c>
      <c r="B672" t="inlineStr">
        <is>
          <t>Houttuynia</t>
        </is>
      </c>
      <c r="C672" t="n">
        <v>0</v>
      </c>
      <c r="D672" t="n">
        <v>1</v>
      </c>
      <c r="E672" t="n">
        <v>0</v>
      </c>
      <c r="F672" t="inlineStr">
        <is>
          <t>General</t>
        </is>
      </c>
      <c r="G672" t="inlineStr">
        <is>
          <t>General</t>
        </is>
      </c>
      <c r="H672" t="inlineStr">
        <is>
          <t>General</t>
        </is>
      </c>
      <c r="I672" t="inlineStr">
        <is>
          <t>General</t>
        </is>
      </c>
      <c r="K672" t="inlineStr">
        <is>
          <t>unclassified</t>
        </is>
      </c>
      <c r="M672" t="n">
        <v>50</v>
      </c>
    </row>
    <row r="673">
      <c r="A673" t="inlineStr">
        <is>
          <t>Dong Quai</t>
        </is>
      </c>
      <c r="B673" t="inlineStr">
        <is>
          <t>Isatis</t>
        </is>
      </c>
      <c r="C673" t="n">
        <v>0</v>
      </c>
      <c r="D673" t="n">
        <v>1</v>
      </c>
      <c r="E673" t="n">
        <v>0</v>
      </c>
      <c r="F673" t="inlineStr">
        <is>
          <t>General</t>
        </is>
      </c>
      <c r="G673" t="inlineStr">
        <is>
          <t>General</t>
        </is>
      </c>
      <c r="H673" t="inlineStr">
        <is>
          <t>General</t>
        </is>
      </c>
      <c r="I673" t="inlineStr">
        <is>
          <t>General</t>
        </is>
      </c>
      <c r="K673" t="inlineStr">
        <is>
          <t>unclassified</t>
        </is>
      </c>
      <c r="M673" t="n">
        <v>50</v>
      </c>
    </row>
    <row r="674">
      <c r="A674" t="inlineStr">
        <is>
          <t>Dong Quai</t>
        </is>
      </c>
      <c r="B674" t="inlineStr">
        <is>
          <t>Jatamansi</t>
        </is>
      </c>
      <c r="C674" t="n">
        <v>0</v>
      </c>
      <c r="D674" t="n">
        <v>1</v>
      </c>
      <c r="E674" t="n">
        <v>0</v>
      </c>
      <c r="F674" t="inlineStr">
        <is>
          <t>General</t>
        </is>
      </c>
      <c r="G674" t="inlineStr">
        <is>
          <t>General</t>
        </is>
      </c>
      <c r="H674" t="inlineStr">
        <is>
          <t>General</t>
        </is>
      </c>
      <c r="I674" t="inlineStr">
        <is>
          <t>General</t>
        </is>
      </c>
      <c r="K674" t="inlineStr">
        <is>
          <t>unclassified</t>
        </is>
      </c>
      <c r="M674" t="n">
        <v>50</v>
      </c>
    </row>
    <row r="675">
      <c r="A675" t="inlineStr">
        <is>
          <t>Dong Quai</t>
        </is>
      </c>
      <c r="B675" t="inlineStr">
        <is>
          <t>Lemon Verbena</t>
        </is>
      </c>
      <c r="C675" t="n">
        <v>0</v>
      </c>
      <c r="D675" t="n">
        <v>1</v>
      </c>
      <c r="E675" t="n">
        <v>0</v>
      </c>
      <c r="F675" t="inlineStr">
        <is>
          <t>General</t>
        </is>
      </c>
      <c r="G675" t="inlineStr">
        <is>
          <t>General</t>
        </is>
      </c>
      <c r="H675" t="inlineStr">
        <is>
          <t>General</t>
        </is>
      </c>
      <c r="I675" t="inlineStr">
        <is>
          <t>General</t>
        </is>
      </c>
      <c r="K675" t="inlineStr">
        <is>
          <t>unclassified</t>
        </is>
      </c>
      <c r="M675" t="n">
        <v>50</v>
      </c>
    </row>
    <row r="676">
      <c r="A676" t="inlineStr">
        <is>
          <t>Dong Quai</t>
        </is>
      </c>
      <c r="B676" t="inlineStr">
        <is>
          <t>Lemongrass</t>
        </is>
      </c>
      <c r="C676" t="n">
        <v>0</v>
      </c>
      <c r="D676" t="n">
        <v>1</v>
      </c>
      <c r="E676" t="n">
        <v>0</v>
      </c>
      <c r="F676" t="inlineStr">
        <is>
          <t>General</t>
        </is>
      </c>
      <c r="G676" t="inlineStr">
        <is>
          <t>General</t>
        </is>
      </c>
      <c r="H676" t="inlineStr">
        <is>
          <t>General</t>
        </is>
      </c>
      <c r="I676" t="inlineStr">
        <is>
          <t>General</t>
        </is>
      </c>
      <c r="K676" t="inlineStr">
        <is>
          <t>unclassified</t>
        </is>
      </c>
      <c r="M676" t="n">
        <v>50</v>
      </c>
    </row>
    <row r="677">
      <c r="A677" t="inlineStr">
        <is>
          <t>Dong Quai</t>
        </is>
      </c>
      <c r="B677" t="inlineStr">
        <is>
          <t>Longan</t>
        </is>
      </c>
      <c r="C677" t="n">
        <v>0</v>
      </c>
      <c r="D677" t="n">
        <v>1</v>
      </c>
      <c r="E677" t="n">
        <v>0</v>
      </c>
      <c r="F677" t="inlineStr">
        <is>
          <t>General</t>
        </is>
      </c>
      <c r="G677" t="inlineStr">
        <is>
          <t>General</t>
        </is>
      </c>
      <c r="H677" t="inlineStr">
        <is>
          <t>General</t>
        </is>
      </c>
      <c r="I677" t="inlineStr">
        <is>
          <t>General</t>
        </is>
      </c>
      <c r="K677" t="inlineStr">
        <is>
          <t>unclassified</t>
        </is>
      </c>
      <c r="M677" t="n">
        <v>50</v>
      </c>
    </row>
    <row r="678">
      <c r="A678" t="inlineStr">
        <is>
          <t>Dong Quai</t>
        </is>
      </c>
      <c r="B678" t="inlineStr">
        <is>
          <t>Maitake D-Fraction</t>
        </is>
      </c>
      <c r="C678" t="n">
        <v>0</v>
      </c>
      <c r="D678" t="n">
        <v>1</v>
      </c>
      <c r="E678" t="n">
        <v>0</v>
      </c>
      <c r="F678" t="inlineStr">
        <is>
          <t>General</t>
        </is>
      </c>
      <c r="G678" t="inlineStr">
        <is>
          <t>General</t>
        </is>
      </c>
      <c r="H678" t="inlineStr">
        <is>
          <t>General</t>
        </is>
      </c>
      <c r="I678" t="inlineStr">
        <is>
          <t>General</t>
        </is>
      </c>
      <c r="K678" t="inlineStr">
        <is>
          <t>unclassified</t>
        </is>
      </c>
      <c r="M678" t="n">
        <v>50</v>
      </c>
    </row>
    <row r="679">
      <c r="A679" t="inlineStr">
        <is>
          <t>Dong Quai</t>
        </is>
      </c>
      <c r="B679" t="inlineStr">
        <is>
          <t>Milk Oats</t>
        </is>
      </c>
      <c r="C679" t="n">
        <v>0</v>
      </c>
      <c r="D679" t="n">
        <v>1</v>
      </c>
      <c r="E679" t="n">
        <v>0</v>
      </c>
      <c r="F679" t="inlineStr">
        <is>
          <t>General</t>
        </is>
      </c>
      <c r="G679" t="inlineStr">
        <is>
          <t>General</t>
        </is>
      </c>
      <c r="H679" t="inlineStr">
        <is>
          <t>General</t>
        </is>
      </c>
      <c r="I679" t="inlineStr">
        <is>
          <t>General</t>
        </is>
      </c>
      <c r="K679" t="inlineStr">
        <is>
          <t>unclassified</t>
        </is>
      </c>
      <c r="M679" t="n">
        <v>50</v>
      </c>
    </row>
    <row r="680">
      <c r="A680" t="inlineStr">
        <is>
          <t>Dong Quai</t>
        </is>
      </c>
      <c r="B680" t="inlineStr">
        <is>
          <t>Mugwort</t>
        </is>
      </c>
      <c r="C680" t="n">
        <v>0</v>
      </c>
      <c r="D680" t="n">
        <v>1</v>
      </c>
      <c r="E680" t="n">
        <v>0</v>
      </c>
      <c r="F680" t="inlineStr">
        <is>
          <t>General</t>
        </is>
      </c>
      <c r="G680" t="inlineStr">
        <is>
          <t>General</t>
        </is>
      </c>
      <c r="H680" t="inlineStr">
        <is>
          <t>General</t>
        </is>
      </c>
      <c r="I680" t="inlineStr">
        <is>
          <t>General</t>
        </is>
      </c>
      <c r="K680" t="inlineStr">
        <is>
          <t>unclassified</t>
        </is>
      </c>
      <c r="M680" t="n">
        <v>50</v>
      </c>
    </row>
    <row r="681">
      <c r="A681" t="inlineStr">
        <is>
          <t>Dong Quai</t>
        </is>
      </c>
      <c r="B681" t="inlineStr">
        <is>
          <t>Muira Puama</t>
        </is>
      </c>
      <c r="C681" t="n">
        <v>0</v>
      </c>
      <c r="D681" t="n">
        <v>1</v>
      </c>
      <c r="E681" t="n">
        <v>0</v>
      </c>
      <c r="F681" t="inlineStr">
        <is>
          <t>General</t>
        </is>
      </c>
      <c r="G681" t="inlineStr">
        <is>
          <t>General</t>
        </is>
      </c>
      <c r="H681" t="inlineStr">
        <is>
          <t>General</t>
        </is>
      </c>
      <c r="I681" t="inlineStr">
        <is>
          <t>General</t>
        </is>
      </c>
      <c r="K681" t="inlineStr">
        <is>
          <t>unclassified</t>
        </is>
      </c>
      <c r="M681" t="n">
        <v>50</v>
      </c>
    </row>
    <row r="682">
      <c r="A682" t="inlineStr">
        <is>
          <t>Dong Quai</t>
        </is>
      </c>
      <c r="B682" t="inlineStr">
        <is>
          <t>Mulberry Leaf</t>
        </is>
      </c>
      <c r="C682" t="n">
        <v>0</v>
      </c>
      <c r="D682" t="n">
        <v>1</v>
      </c>
      <c r="E682" t="n">
        <v>0</v>
      </c>
      <c r="F682" t="inlineStr">
        <is>
          <t>General</t>
        </is>
      </c>
      <c r="G682" t="inlineStr">
        <is>
          <t>General</t>
        </is>
      </c>
      <c r="H682" t="inlineStr">
        <is>
          <t>General</t>
        </is>
      </c>
      <c r="I682" t="inlineStr">
        <is>
          <t>General</t>
        </is>
      </c>
      <c r="K682" t="inlineStr">
        <is>
          <t>unclassified</t>
        </is>
      </c>
      <c r="M682" t="n">
        <v>50</v>
      </c>
    </row>
    <row r="683">
      <c r="A683" t="inlineStr">
        <is>
          <t>Dong Quai</t>
        </is>
      </c>
      <c r="B683" t="inlineStr">
        <is>
          <t>Myrtle</t>
        </is>
      </c>
      <c r="C683" t="n">
        <v>0</v>
      </c>
      <c r="D683" t="n">
        <v>1</v>
      </c>
      <c r="E683" t="n">
        <v>0</v>
      </c>
      <c r="F683" t="inlineStr">
        <is>
          <t>General</t>
        </is>
      </c>
      <c r="G683" t="inlineStr">
        <is>
          <t>General</t>
        </is>
      </c>
      <c r="H683" t="inlineStr">
        <is>
          <t>General</t>
        </is>
      </c>
      <c r="I683" t="inlineStr">
        <is>
          <t>General</t>
        </is>
      </c>
      <c r="K683" t="inlineStr">
        <is>
          <t>unclassified</t>
        </is>
      </c>
      <c r="M683" t="n">
        <v>50</v>
      </c>
    </row>
    <row r="684">
      <c r="A684" t="inlineStr">
        <is>
          <t>Dong Quai</t>
        </is>
      </c>
      <c r="B684" t="inlineStr">
        <is>
          <t>Neem</t>
        </is>
      </c>
      <c r="C684" t="n">
        <v>0</v>
      </c>
      <c r="D684" t="n">
        <v>1</v>
      </c>
      <c r="E684" t="n">
        <v>0</v>
      </c>
      <c r="F684" t="inlineStr">
        <is>
          <t>General</t>
        </is>
      </c>
      <c r="G684" t="inlineStr">
        <is>
          <t>General</t>
        </is>
      </c>
      <c r="H684" t="inlineStr">
        <is>
          <t>General</t>
        </is>
      </c>
      <c r="I684" t="inlineStr">
        <is>
          <t>General</t>
        </is>
      </c>
      <c r="K684" t="inlineStr">
        <is>
          <t>unclassified</t>
        </is>
      </c>
      <c r="M684" t="n">
        <v>50</v>
      </c>
    </row>
    <row r="685">
      <c r="A685" t="inlineStr">
        <is>
          <t>Dong Quai</t>
        </is>
      </c>
      <c r="B685" t="inlineStr">
        <is>
          <t>Nettle Root</t>
        </is>
      </c>
      <c r="C685" t="n">
        <v>0</v>
      </c>
      <c r="D685" t="n">
        <v>1</v>
      </c>
      <c r="E685" t="n">
        <v>0</v>
      </c>
      <c r="F685" t="inlineStr">
        <is>
          <t>General</t>
        </is>
      </c>
      <c r="G685" t="inlineStr">
        <is>
          <t>General</t>
        </is>
      </c>
      <c r="H685" t="inlineStr">
        <is>
          <t>General</t>
        </is>
      </c>
      <c r="I685" t="inlineStr">
        <is>
          <t>General</t>
        </is>
      </c>
      <c r="K685" t="inlineStr">
        <is>
          <t>unclassified</t>
        </is>
      </c>
      <c r="M685" t="n">
        <v>50</v>
      </c>
    </row>
    <row r="686">
      <c r="A686" t="inlineStr">
        <is>
          <t>Dong Quai</t>
        </is>
      </c>
      <c r="B686" t="inlineStr">
        <is>
          <t>Noni</t>
        </is>
      </c>
      <c r="C686" t="n">
        <v>0</v>
      </c>
      <c r="D686" t="n">
        <v>1</v>
      </c>
      <c r="E686" t="n">
        <v>0</v>
      </c>
      <c r="F686" t="inlineStr">
        <is>
          <t>General</t>
        </is>
      </c>
      <c r="G686" t="inlineStr">
        <is>
          <t>General</t>
        </is>
      </c>
      <c r="H686" t="inlineStr">
        <is>
          <t>General</t>
        </is>
      </c>
      <c r="I686" t="inlineStr">
        <is>
          <t>General</t>
        </is>
      </c>
      <c r="K686" t="inlineStr">
        <is>
          <t>unclassified</t>
        </is>
      </c>
      <c r="M686" t="n">
        <v>50</v>
      </c>
    </row>
    <row r="687">
      <c r="A687" t="inlineStr">
        <is>
          <t>Dong Quai</t>
        </is>
      </c>
      <c r="B687" t="inlineStr">
        <is>
          <t>Oatstraw</t>
        </is>
      </c>
      <c r="C687" t="n">
        <v>0</v>
      </c>
      <c r="D687" t="n">
        <v>1</v>
      </c>
      <c r="E687" t="n">
        <v>0</v>
      </c>
      <c r="F687" t="inlineStr">
        <is>
          <t>General</t>
        </is>
      </c>
      <c r="G687" t="inlineStr">
        <is>
          <t>General</t>
        </is>
      </c>
      <c r="H687" t="inlineStr">
        <is>
          <t>General</t>
        </is>
      </c>
      <c r="I687" t="inlineStr">
        <is>
          <t>General</t>
        </is>
      </c>
      <c r="K687" t="inlineStr">
        <is>
          <t>unclassified</t>
        </is>
      </c>
      <c r="M687" t="n">
        <v>50</v>
      </c>
    </row>
    <row r="688">
      <c r="A688" t="inlineStr">
        <is>
          <t>Dong Quai</t>
        </is>
      </c>
      <c r="B688" t="inlineStr">
        <is>
          <t>Passionflower</t>
        </is>
      </c>
      <c r="C688" t="n">
        <v>0</v>
      </c>
      <c r="D688" t="n">
        <v>1</v>
      </c>
      <c r="E688" t="n">
        <v>0</v>
      </c>
      <c r="F688" t="inlineStr">
        <is>
          <t>General</t>
        </is>
      </c>
      <c r="G688" t="inlineStr">
        <is>
          <t>General</t>
        </is>
      </c>
      <c r="H688" t="inlineStr">
        <is>
          <t>General</t>
        </is>
      </c>
      <c r="I688" t="inlineStr">
        <is>
          <t>General</t>
        </is>
      </c>
      <c r="K688" t="inlineStr">
        <is>
          <t>unclassified</t>
        </is>
      </c>
      <c r="M688" t="n">
        <v>50</v>
      </c>
    </row>
    <row r="689">
      <c r="A689" t="inlineStr">
        <is>
          <t>Dong Quai</t>
        </is>
      </c>
      <c r="B689" t="inlineStr">
        <is>
          <t>Pau d'Arco</t>
        </is>
      </c>
      <c r="C689" t="n">
        <v>0</v>
      </c>
      <c r="D689" t="n">
        <v>1</v>
      </c>
      <c r="E689" t="n">
        <v>0</v>
      </c>
      <c r="F689" t="inlineStr">
        <is>
          <t>General</t>
        </is>
      </c>
      <c r="G689" t="inlineStr">
        <is>
          <t>General</t>
        </is>
      </c>
      <c r="H689" t="inlineStr">
        <is>
          <t>General</t>
        </is>
      </c>
      <c r="I689" t="inlineStr">
        <is>
          <t>General</t>
        </is>
      </c>
      <c r="K689" t="inlineStr">
        <is>
          <t>unclassified</t>
        </is>
      </c>
      <c r="M689" t="n">
        <v>50</v>
      </c>
    </row>
    <row r="690">
      <c r="A690" t="inlineStr">
        <is>
          <t>Dong Quai</t>
        </is>
      </c>
      <c r="B690" t="inlineStr">
        <is>
          <t>Perilla</t>
        </is>
      </c>
      <c r="C690" t="n">
        <v>0</v>
      </c>
      <c r="D690" t="n">
        <v>1</v>
      </c>
      <c r="E690" t="n">
        <v>0</v>
      </c>
      <c r="F690" t="inlineStr">
        <is>
          <t>General</t>
        </is>
      </c>
      <c r="G690" t="inlineStr">
        <is>
          <t>General</t>
        </is>
      </c>
      <c r="H690" t="inlineStr">
        <is>
          <t>General</t>
        </is>
      </c>
      <c r="I690" t="inlineStr">
        <is>
          <t>General</t>
        </is>
      </c>
      <c r="K690" t="inlineStr">
        <is>
          <t>unclassified</t>
        </is>
      </c>
      <c r="M690" t="n">
        <v>50</v>
      </c>
    </row>
    <row r="691">
      <c r="A691" t="inlineStr">
        <is>
          <t>Dong Quai</t>
        </is>
      </c>
      <c r="B691" t="inlineStr">
        <is>
          <t>Pomegranate</t>
        </is>
      </c>
      <c r="C691" t="n">
        <v>0</v>
      </c>
      <c r="D691" t="n">
        <v>1</v>
      </c>
      <c r="E691" t="n">
        <v>0</v>
      </c>
      <c r="F691" t="inlineStr">
        <is>
          <t>General</t>
        </is>
      </c>
      <c r="G691" t="inlineStr">
        <is>
          <t>General</t>
        </is>
      </c>
      <c r="H691" t="inlineStr">
        <is>
          <t>General</t>
        </is>
      </c>
      <c r="I691" t="inlineStr">
        <is>
          <t>General</t>
        </is>
      </c>
      <c r="K691" t="inlineStr">
        <is>
          <t>unclassified</t>
        </is>
      </c>
      <c r="M691" t="n">
        <v>50</v>
      </c>
    </row>
    <row r="692">
      <c r="A692" t="inlineStr">
        <is>
          <t>Dong Quai</t>
        </is>
      </c>
      <c r="B692" t="inlineStr">
        <is>
          <t>Poria</t>
        </is>
      </c>
      <c r="C692" t="n">
        <v>0</v>
      </c>
      <c r="D692" t="n">
        <v>1</v>
      </c>
      <c r="E692" t="n">
        <v>0</v>
      </c>
      <c r="F692" t="inlineStr">
        <is>
          <t>General</t>
        </is>
      </c>
      <c r="G692" t="inlineStr">
        <is>
          <t>General</t>
        </is>
      </c>
      <c r="H692" t="inlineStr">
        <is>
          <t>General</t>
        </is>
      </c>
      <c r="I692" t="inlineStr">
        <is>
          <t>General</t>
        </is>
      </c>
      <c r="K692" t="inlineStr">
        <is>
          <t>unclassified</t>
        </is>
      </c>
      <c r="M692" t="n">
        <v>50</v>
      </c>
    </row>
    <row r="693">
      <c r="A693" t="inlineStr">
        <is>
          <t>Dong Quai</t>
        </is>
      </c>
      <c r="B693" t="inlineStr">
        <is>
          <t>Punarnava</t>
        </is>
      </c>
      <c r="C693" t="n">
        <v>0</v>
      </c>
      <c r="D693" t="n">
        <v>1</v>
      </c>
      <c r="E693" t="n">
        <v>0</v>
      </c>
      <c r="F693" t="inlineStr">
        <is>
          <t>General</t>
        </is>
      </c>
      <c r="G693" t="inlineStr">
        <is>
          <t>General</t>
        </is>
      </c>
      <c r="H693" t="inlineStr">
        <is>
          <t>General</t>
        </is>
      </c>
      <c r="I693" t="inlineStr">
        <is>
          <t>General</t>
        </is>
      </c>
      <c r="K693" t="inlineStr">
        <is>
          <t>unclassified</t>
        </is>
      </c>
      <c r="M693" t="n">
        <v>50</v>
      </c>
    </row>
    <row r="694">
      <c r="A694" t="inlineStr">
        <is>
          <t>Dong Quai</t>
        </is>
      </c>
      <c r="B694" t="inlineStr">
        <is>
          <t>Red Clover</t>
        </is>
      </c>
      <c r="C694" t="n">
        <v>0</v>
      </c>
      <c r="D694" t="n">
        <v>1</v>
      </c>
      <c r="E694" t="n">
        <v>0</v>
      </c>
      <c r="F694" t="inlineStr">
        <is>
          <t>General</t>
        </is>
      </c>
      <c r="G694" t="inlineStr">
        <is>
          <t>General</t>
        </is>
      </c>
      <c r="H694" t="inlineStr">
        <is>
          <t>General</t>
        </is>
      </c>
      <c r="I694" t="inlineStr">
        <is>
          <t>General</t>
        </is>
      </c>
      <c r="K694" t="inlineStr">
        <is>
          <t>unclassified</t>
        </is>
      </c>
      <c r="M694" t="n">
        <v>50</v>
      </c>
    </row>
    <row r="695">
      <c r="A695" t="inlineStr">
        <is>
          <t>Dong Quai</t>
        </is>
      </c>
      <c r="B695" t="inlineStr">
        <is>
          <t>Rehmannia Prepared</t>
        </is>
      </c>
      <c r="C695" t="n">
        <v>0</v>
      </c>
      <c r="D695" t="n">
        <v>1</v>
      </c>
      <c r="E695" t="n">
        <v>0</v>
      </c>
      <c r="F695" t="inlineStr">
        <is>
          <t>General</t>
        </is>
      </c>
      <c r="G695" t="inlineStr">
        <is>
          <t>General</t>
        </is>
      </c>
      <c r="H695" t="inlineStr">
        <is>
          <t>General</t>
        </is>
      </c>
      <c r="I695" t="inlineStr">
        <is>
          <t>General</t>
        </is>
      </c>
      <c r="K695" t="inlineStr">
        <is>
          <t>unclassified</t>
        </is>
      </c>
      <c r="M695" t="n">
        <v>50</v>
      </c>
    </row>
    <row r="696">
      <c r="A696" t="inlineStr">
        <is>
          <t>Dong Quai</t>
        </is>
      </c>
      <c r="B696" t="inlineStr">
        <is>
          <t>Reishi</t>
        </is>
      </c>
      <c r="C696" t="n">
        <v>0</v>
      </c>
      <c r="D696" t="n">
        <v>1</v>
      </c>
      <c r="E696" t="n">
        <v>0</v>
      </c>
      <c r="F696" t="inlineStr">
        <is>
          <t>General</t>
        </is>
      </c>
      <c r="G696" t="inlineStr">
        <is>
          <t>General</t>
        </is>
      </c>
      <c r="H696" t="inlineStr">
        <is>
          <t>General</t>
        </is>
      </c>
      <c r="I696" t="inlineStr">
        <is>
          <t>General</t>
        </is>
      </c>
      <c r="K696" t="inlineStr">
        <is>
          <t>unclassified</t>
        </is>
      </c>
      <c r="M696" t="n">
        <v>50</v>
      </c>
    </row>
    <row r="697">
      <c r="A697" t="inlineStr">
        <is>
          <t>Dong Quai</t>
        </is>
      </c>
      <c r="B697" t="inlineStr">
        <is>
          <t>Rose Hips</t>
        </is>
      </c>
      <c r="C697" t="n">
        <v>0</v>
      </c>
      <c r="D697" t="n">
        <v>1</v>
      </c>
      <c r="E697" t="n">
        <v>0</v>
      </c>
      <c r="F697" t="inlineStr">
        <is>
          <t>General</t>
        </is>
      </c>
      <c r="G697" t="inlineStr">
        <is>
          <t>General</t>
        </is>
      </c>
      <c r="H697" t="inlineStr">
        <is>
          <t>General</t>
        </is>
      </c>
      <c r="I697" t="inlineStr">
        <is>
          <t>General</t>
        </is>
      </c>
      <c r="K697" t="inlineStr">
        <is>
          <t>unclassified</t>
        </is>
      </c>
      <c r="M697" t="n">
        <v>50</v>
      </c>
    </row>
    <row r="698">
      <c r="A698" t="inlineStr">
        <is>
          <t>Dong Quai</t>
        </is>
      </c>
      <c r="B698" t="inlineStr">
        <is>
          <t>Rosemary</t>
        </is>
      </c>
      <c r="C698" t="n">
        <v>0</v>
      </c>
      <c r="D698" t="n">
        <v>1</v>
      </c>
      <c r="E698" t="n">
        <v>0</v>
      </c>
      <c r="F698" t="inlineStr">
        <is>
          <t>General</t>
        </is>
      </c>
      <c r="G698" t="inlineStr">
        <is>
          <t>General</t>
        </is>
      </c>
      <c r="H698" t="inlineStr">
        <is>
          <t>General</t>
        </is>
      </c>
      <c r="I698" t="inlineStr">
        <is>
          <t>General</t>
        </is>
      </c>
      <c r="K698" t="inlineStr">
        <is>
          <t>unclassified</t>
        </is>
      </c>
      <c r="M698" t="n">
        <v>50</v>
      </c>
    </row>
    <row r="699">
      <c r="A699" t="inlineStr">
        <is>
          <t>Dong Quai</t>
        </is>
      </c>
      <c r="B699" t="inlineStr">
        <is>
          <t>Sage</t>
        </is>
      </c>
      <c r="C699" t="n">
        <v>0</v>
      </c>
      <c r="D699" t="n">
        <v>1</v>
      </c>
      <c r="E699" t="n">
        <v>0</v>
      </c>
      <c r="F699" t="inlineStr">
        <is>
          <t>General</t>
        </is>
      </c>
      <c r="G699" t="inlineStr">
        <is>
          <t>General</t>
        </is>
      </c>
      <c r="H699" t="inlineStr">
        <is>
          <t>General</t>
        </is>
      </c>
      <c r="I699" t="inlineStr">
        <is>
          <t>General</t>
        </is>
      </c>
      <c r="K699" t="inlineStr">
        <is>
          <t>unclassified</t>
        </is>
      </c>
      <c r="M699" t="n">
        <v>50</v>
      </c>
    </row>
    <row r="700">
      <c r="A700" t="inlineStr">
        <is>
          <t>Dong Quai</t>
        </is>
      </c>
      <c r="B700" t="inlineStr">
        <is>
          <t>Sophora Flavescens</t>
        </is>
      </c>
      <c r="C700" t="n">
        <v>0</v>
      </c>
      <c r="D700" t="n">
        <v>1</v>
      </c>
      <c r="E700" t="n">
        <v>0</v>
      </c>
      <c r="F700" t="inlineStr">
        <is>
          <t>General</t>
        </is>
      </c>
      <c r="G700" t="inlineStr">
        <is>
          <t>General</t>
        </is>
      </c>
      <c r="H700" t="inlineStr">
        <is>
          <t>General</t>
        </is>
      </c>
      <c r="I700" t="inlineStr">
        <is>
          <t>General</t>
        </is>
      </c>
      <c r="K700" t="inlineStr">
        <is>
          <t>unclassified</t>
        </is>
      </c>
      <c r="M700" t="n">
        <v>50</v>
      </c>
    </row>
    <row r="701">
      <c r="A701" t="inlineStr">
        <is>
          <t>Dong Quai</t>
        </is>
      </c>
      <c r="B701" t="inlineStr">
        <is>
          <t>Soursop</t>
        </is>
      </c>
      <c r="C701" t="n">
        <v>0</v>
      </c>
      <c r="D701" t="n">
        <v>1</v>
      </c>
      <c r="E701" t="n">
        <v>0</v>
      </c>
      <c r="F701" t="inlineStr">
        <is>
          <t>General</t>
        </is>
      </c>
      <c r="G701" t="inlineStr">
        <is>
          <t>General</t>
        </is>
      </c>
      <c r="H701" t="inlineStr">
        <is>
          <t>General</t>
        </is>
      </c>
      <c r="I701" t="inlineStr">
        <is>
          <t>General</t>
        </is>
      </c>
      <c r="K701" t="inlineStr">
        <is>
          <t>unclassified</t>
        </is>
      </c>
      <c r="M701" t="n">
        <v>50</v>
      </c>
    </row>
    <row r="702">
      <c r="A702" t="inlineStr">
        <is>
          <t>Dong Quai</t>
        </is>
      </c>
      <c r="B702" t="inlineStr">
        <is>
          <t>Tamarind</t>
        </is>
      </c>
      <c r="C702" t="n">
        <v>0</v>
      </c>
      <c r="D702" t="n">
        <v>1</v>
      </c>
      <c r="E702" t="n">
        <v>0</v>
      </c>
      <c r="F702" t="inlineStr">
        <is>
          <t>General</t>
        </is>
      </c>
      <c r="G702" t="inlineStr">
        <is>
          <t>General</t>
        </is>
      </c>
      <c r="H702" t="inlineStr">
        <is>
          <t>General</t>
        </is>
      </c>
      <c r="I702" t="inlineStr">
        <is>
          <t>General</t>
        </is>
      </c>
      <c r="K702" t="inlineStr">
        <is>
          <t>unclassified</t>
        </is>
      </c>
      <c r="M702" t="n">
        <v>50</v>
      </c>
    </row>
    <row r="703">
      <c r="A703" t="inlineStr">
        <is>
          <t>Dong Quai</t>
        </is>
      </c>
      <c r="B703" t="inlineStr">
        <is>
          <t>Thyme</t>
        </is>
      </c>
      <c r="C703" t="n">
        <v>0</v>
      </c>
      <c r="D703" t="n">
        <v>1</v>
      </c>
      <c r="E703" t="n">
        <v>0</v>
      </c>
      <c r="F703" t="inlineStr">
        <is>
          <t>General</t>
        </is>
      </c>
      <c r="G703" t="inlineStr">
        <is>
          <t>General</t>
        </is>
      </c>
      <c r="H703" t="inlineStr">
        <is>
          <t>General</t>
        </is>
      </c>
      <c r="I703" t="inlineStr">
        <is>
          <t>General</t>
        </is>
      </c>
      <c r="K703" t="inlineStr">
        <is>
          <t>unclassified</t>
        </is>
      </c>
      <c r="M703" t="n">
        <v>50</v>
      </c>
    </row>
    <row r="704">
      <c r="A704" t="inlineStr">
        <is>
          <t>Dong Quai</t>
        </is>
      </c>
      <c r="B704" t="inlineStr">
        <is>
          <t>White Peony</t>
        </is>
      </c>
      <c r="C704" t="n">
        <v>0</v>
      </c>
      <c r="D704" t="n">
        <v>1</v>
      </c>
      <c r="E704" t="n">
        <v>0</v>
      </c>
      <c r="F704" t="inlineStr">
        <is>
          <t>General</t>
        </is>
      </c>
      <c r="G704" t="inlineStr">
        <is>
          <t>General</t>
        </is>
      </c>
      <c r="H704" t="inlineStr">
        <is>
          <t>General</t>
        </is>
      </c>
      <c r="I704" t="inlineStr">
        <is>
          <t>General</t>
        </is>
      </c>
      <c r="K704" t="inlineStr">
        <is>
          <t>unclassified</t>
        </is>
      </c>
      <c r="M704" t="n">
        <v>50</v>
      </c>
    </row>
    <row r="705">
      <c r="A705" t="inlineStr">
        <is>
          <t>Dong Quai</t>
        </is>
      </c>
      <c r="B705" t="inlineStr">
        <is>
          <t>Yohimbe</t>
        </is>
      </c>
      <c r="C705" t="n">
        <v>0</v>
      </c>
      <c r="D705" t="n">
        <v>1</v>
      </c>
      <c r="E705" t="n">
        <v>0</v>
      </c>
      <c r="F705" t="inlineStr">
        <is>
          <t>General</t>
        </is>
      </c>
      <c r="G705" t="inlineStr">
        <is>
          <t>General</t>
        </is>
      </c>
      <c r="H705" t="inlineStr">
        <is>
          <t>General</t>
        </is>
      </c>
      <c r="I705" t="inlineStr">
        <is>
          <t>General</t>
        </is>
      </c>
      <c r="K705" t="inlineStr">
        <is>
          <t>unclassified</t>
        </is>
      </c>
      <c r="M705" t="n">
        <v>50</v>
      </c>
    </row>
    <row r="706">
      <c r="A706" t="inlineStr">
        <is>
          <t>Elecampane</t>
        </is>
      </c>
      <c r="B706" t="inlineStr">
        <is>
          <t>Ajwain</t>
        </is>
      </c>
      <c r="C706" t="n">
        <v>0</v>
      </c>
      <c r="D706" t="n">
        <v>1</v>
      </c>
      <c r="E706" t="n">
        <v>0</v>
      </c>
      <c r="F706" t="inlineStr">
        <is>
          <t>General</t>
        </is>
      </c>
      <c r="G706" t="inlineStr">
        <is>
          <t>General</t>
        </is>
      </c>
      <c r="H706" t="inlineStr">
        <is>
          <t>General</t>
        </is>
      </c>
      <c r="I706" t="inlineStr">
        <is>
          <t>General</t>
        </is>
      </c>
      <c r="K706" t="inlineStr">
        <is>
          <t>unclassified</t>
        </is>
      </c>
      <c r="M706" t="n">
        <v>50</v>
      </c>
    </row>
    <row r="707">
      <c r="A707" t="inlineStr">
        <is>
          <t>Elecampane</t>
        </is>
      </c>
      <c r="B707" t="inlineStr">
        <is>
          <t>Angelica Root</t>
        </is>
      </c>
      <c r="C707" t="n">
        <v>0</v>
      </c>
      <c r="D707" t="n">
        <v>1</v>
      </c>
      <c r="E707" t="n">
        <v>0</v>
      </c>
      <c r="F707" t="inlineStr">
        <is>
          <t>General</t>
        </is>
      </c>
      <c r="G707" t="inlineStr">
        <is>
          <t>General</t>
        </is>
      </c>
      <c r="H707" t="inlineStr">
        <is>
          <t>General</t>
        </is>
      </c>
      <c r="I707" t="inlineStr">
        <is>
          <t>General</t>
        </is>
      </c>
      <c r="K707" t="inlineStr">
        <is>
          <t>unclassified</t>
        </is>
      </c>
      <c r="M707" t="n">
        <v>50</v>
      </c>
    </row>
    <row r="708">
      <c r="A708" t="inlineStr">
        <is>
          <t>Elecampane</t>
        </is>
      </c>
      <c r="B708" t="inlineStr">
        <is>
          <t>Caraway</t>
        </is>
      </c>
      <c r="C708" t="n">
        <v>0</v>
      </c>
      <c r="D708" t="n">
        <v>1</v>
      </c>
      <c r="E708" t="n">
        <v>0</v>
      </c>
      <c r="F708" t="inlineStr">
        <is>
          <t>General</t>
        </is>
      </c>
      <c r="G708" t="inlineStr">
        <is>
          <t>General</t>
        </is>
      </c>
      <c r="H708" t="inlineStr">
        <is>
          <t>General</t>
        </is>
      </c>
      <c r="I708" t="inlineStr">
        <is>
          <t>General</t>
        </is>
      </c>
      <c r="K708" t="inlineStr">
        <is>
          <t>unclassified</t>
        </is>
      </c>
      <c r="M708" t="n">
        <v>50</v>
      </c>
    </row>
    <row r="709">
      <c r="A709" t="inlineStr">
        <is>
          <t>Elecampane</t>
        </is>
      </c>
      <c r="B709" t="inlineStr">
        <is>
          <t>Cardamom</t>
        </is>
      </c>
      <c r="C709" t="n">
        <v>0</v>
      </c>
      <c r="D709" t="n">
        <v>1</v>
      </c>
      <c r="E709" t="n">
        <v>0</v>
      </c>
      <c r="F709" t="inlineStr">
        <is>
          <t>General</t>
        </is>
      </c>
      <c r="G709" t="inlineStr">
        <is>
          <t>General</t>
        </is>
      </c>
      <c r="H709" t="inlineStr">
        <is>
          <t>General</t>
        </is>
      </c>
      <c r="I709" t="inlineStr">
        <is>
          <t>General</t>
        </is>
      </c>
      <c r="K709" t="inlineStr">
        <is>
          <t>unclassified</t>
        </is>
      </c>
      <c r="M709" t="n">
        <v>50</v>
      </c>
    </row>
    <row r="710">
      <c r="A710" t="inlineStr">
        <is>
          <t>Elecampane</t>
        </is>
      </c>
      <c r="B710" t="inlineStr">
        <is>
          <t>Celastrus Paniculatus</t>
        </is>
      </c>
      <c r="C710" t="n">
        <v>0</v>
      </c>
      <c r="D710" t="n">
        <v>1</v>
      </c>
      <c r="E710" t="n">
        <v>0</v>
      </c>
      <c r="F710" t="inlineStr">
        <is>
          <t>General</t>
        </is>
      </c>
      <c r="G710" t="inlineStr">
        <is>
          <t>General</t>
        </is>
      </c>
      <c r="H710" t="inlineStr">
        <is>
          <t>General</t>
        </is>
      </c>
      <c r="I710" t="inlineStr">
        <is>
          <t>General</t>
        </is>
      </c>
      <c r="K710" t="inlineStr">
        <is>
          <t>unclassified</t>
        </is>
      </c>
      <c r="M710" t="n">
        <v>50</v>
      </c>
    </row>
    <row r="711">
      <c r="A711" t="inlineStr">
        <is>
          <t>Elecampane</t>
        </is>
      </c>
      <c r="B711" t="inlineStr">
        <is>
          <t>Cordyceps</t>
        </is>
      </c>
      <c r="C711" t="n">
        <v>0</v>
      </c>
      <c r="D711" t="n">
        <v>1</v>
      </c>
      <c r="E711" t="n">
        <v>0</v>
      </c>
      <c r="F711" t="inlineStr">
        <is>
          <t>General</t>
        </is>
      </c>
      <c r="G711" t="inlineStr">
        <is>
          <t>General</t>
        </is>
      </c>
      <c r="H711" t="inlineStr">
        <is>
          <t>General</t>
        </is>
      </c>
      <c r="I711" t="inlineStr">
        <is>
          <t>General</t>
        </is>
      </c>
      <c r="K711" t="inlineStr">
        <is>
          <t>unclassified</t>
        </is>
      </c>
      <c r="M711" t="n">
        <v>50</v>
      </c>
    </row>
    <row r="712">
      <c r="A712" t="inlineStr">
        <is>
          <t>Elecampane</t>
        </is>
      </c>
      <c r="B712" t="inlineStr">
        <is>
          <t>Eleuthero</t>
        </is>
      </c>
      <c r="C712" t="n">
        <v>0</v>
      </c>
      <c r="D712" t="n">
        <v>1</v>
      </c>
      <c r="E712" t="n">
        <v>0</v>
      </c>
      <c r="F712" t="inlineStr">
        <is>
          <t>General</t>
        </is>
      </c>
      <c r="G712" t="inlineStr">
        <is>
          <t>General</t>
        </is>
      </c>
      <c r="H712" t="inlineStr">
        <is>
          <t>General</t>
        </is>
      </c>
      <c r="I712" t="inlineStr">
        <is>
          <t>General</t>
        </is>
      </c>
      <c r="K712" t="inlineStr">
        <is>
          <t>unclassified</t>
        </is>
      </c>
      <c r="M712" t="n">
        <v>50</v>
      </c>
    </row>
    <row r="713">
      <c r="A713" t="inlineStr">
        <is>
          <t>Elecampane</t>
        </is>
      </c>
      <c r="B713" t="inlineStr">
        <is>
          <t>Galangal</t>
        </is>
      </c>
      <c r="C713" t="n">
        <v>0</v>
      </c>
      <c r="D713" t="n">
        <v>1</v>
      </c>
      <c r="E713" t="n">
        <v>0</v>
      </c>
      <c r="F713" t="inlineStr">
        <is>
          <t>General</t>
        </is>
      </c>
      <c r="G713" t="inlineStr">
        <is>
          <t>General</t>
        </is>
      </c>
      <c r="H713" t="inlineStr">
        <is>
          <t>General</t>
        </is>
      </c>
      <c r="I713" t="inlineStr">
        <is>
          <t>General</t>
        </is>
      </c>
      <c r="K713" t="inlineStr">
        <is>
          <t>unclassified</t>
        </is>
      </c>
      <c r="M713" t="n">
        <v>50</v>
      </c>
    </row>
    <row r="714">
      <c r="A714" t="inlineStr">
        <is>
          <t>Elecampane</t>
        </is>
      </c>
      <c r="B714" t="inlineStr">
        <is>
          <t>Gudmar</t>
        </is>
      </c>
      <c r="C714" t="n">
        <v>0</v>
      </c>
      <c r="D714" t="n">
        <v>1</v>
      </c>
      <c r="E714" t="n">
        <v>0</v>
      </c>
      <c r="F714" t="inlineStr">
        <is>
          <t>General</t>
        </is>
      </c>
      <c r="G714" t="inlineStr">
        <is>
          <t>General</t>
        </is>
      </c>
      <c r="H714" t="inlineStr">
        <is>
          <t>General</t>
        </is>
      </c>
      <c r="I714" t="inlineStr">
        <is>
          <t>General</t>
        </is>
      </c>
      <c r="K714" t="inlineStr">
        <is>
          <t>unclassified</t>
        </is>
      </c>
      <c r="M714" t="n">
        <v>50</v>
      </c>
    </row>
    <row r="715">
      <c r="A715" t="inlineStr">
        <is>
          <t>Elecampane</t>
        </is>
      </c>
      <c r="B715" t="inlineStr">
        <is>
          <t>Nettle Root</t>
        </is>
      </c>
      <c r="C715" t="n">
        <v>0</v>
      </c>
      <c r="D715" t="n">
        <v>1</v>
      </c>
      <c r="E715" t="n">
        <v>0</v>
      </c>
      <c r="F715" t="inlineStr">
        <is>
          <t>General</t>
        </is>
      </c>
      <c r="G715" t="inlineStr">
        <is>
          <t>General</t>
        </is>
      </c>
      <c r="H715" t="inlineStr">
        <is>
          <t>General</t>
        </is>
      </c>
      <c r="I715" t="inlineStr">
        <is>
          <t>General</t>
        </is>
      </c>
      <c r="K715" t="inlineStr">
        <is>
          <t>unclassified</t>
        </is>
      </c>
      <c r="M715" t="n">
        <v>50</v>
      </c>
    </row>
    <row r="716">
      <c r="A716" t="inlineStr">
        <is>
          <t>Elecampane</t>
        </is>
      </c>
      <c r="B716" t="inlineStr">
        <is>
          <t>Passionflower</t>
        </is>
      </c>
      <c r="C716" t="n">
        <v>0</v>
      </c>
      <c r="D716" t="n">
        <v>1</v>
      </c>
      <c r="E716" t="n">
        <v>0</v>
      </c>
      <c r="F716" t="inlineStr">
        <is>
          <t>General</t>
        </is>
      </c>
      <c r="G716" t="inlineStr">
        <is>
          <t>General</t>
        </is>
      </c>
      <c r="H716" t="inlineStr">
        <is>
          <t>General</t>
        </is>
      </c>
      <c r="I716" t="inlineStr">
        <is>
          <t>General</t>
        </is>
      </c>
      <c r="K716" t="inlineStr">
        <is>
          <t>unclassified</t>
        </is>
      </c>
      <c r="M716" t="n">
        <v>50</v>
      </c>
    </row>
    <row r="717">
      <c r="A717" t="inlineStr">
        <is>
          <t>Elecampane</t>
        </is>
      </c>
      <c r="B717" t="inlineStr">
        <is>
          <t>Punarnava</t>
        </is>
      </c>
      <c r="C717" t="n">
        <v>0</v>
      </c>
      <c r="D717" t="n">
        <v>1</v>
      </c>
      <c r="E717" t="n">
        <v>0</v>
      </c>
      <c r="F717" t="inlineStr">
        <is>
          <t>General</t>
        </is>
      </c>
      <c r="G717" t="inlineStr">
        <is>
          <t>General</t>
        </is>
      </c>
      <c r="H717" t="inlineStr">
        <is>
          <t>General</t>
        </is>
      </c>
      <c r="I717" t="inlineStr">
        <is>
          <t>General</t>
        </is>
      </c>
      <c r="K717" t="inlineStr">
        <is>
          <t>unclassified</t>
        </is>
      </c>
      <c r="M717" t="n">
        <v>50</v>
      </c>
    </row>
    <row r="718">
      <c r="A718" t="inlineStr">
        <is>
          <t>Elecampane</t>
        </is>
      </c>
      <c r="B718" t="inlineStr">
        <is>
          <t>Reishi</t>
        </is>
      </c>
      <c r="C718" t="n">
        <v>0</v>
      </c>
      <c r="D718" t="n">
        <v>1</v>
      </c>
      <c r="E718" t="n">
        <v>0</v>
      </c>
      <c r="F718" t="inlineStr">
        <is>
          <t>General</t>
        </is>
      </c>
      <c r="G718" t="inlineStr">
        <is>
          <t>General</t>
        </is>
      </c>
      <c r="H718" t="inlineStr">
        <is>
          <t>General</t>
        </is>
      </c>
      <c r="I718" t="inlineStr">
        <is>
          <t>General</t>
        </is>
      </c>
      <c r="K718" t="inlineStr">
        <is>
          <t>unclassified</t>
        </is>
      </c>
      <c r="M718" t="n">
        <v>50</v>
      </c>
    </row>
    <row r="719">
      <c r="A719" t="inlineStr">
        <is>
          <t>Elecampane</t>
        </is>
      </c>
      <c r="B719" t="inlineStr">
        <is>
          <t>Tamarind</t>
        </is>
      </c>
      <c r="C719" t="n">
        <v>0</v>
      </c>
      <c r="D719" t="n">
        <v>1</v>
      </c>
      <c r="E719" t="n">
        <v>0</v>
      </c>
      <c r="F719" t="inlineStr">
        <is>
          <t>General</t>
        </is>
      </c>
      <c r="G719" t="inlineStr">
        <is>
          <t>General</t>
        </is>
      </c>
      <c r="H719" t="inlineStr">
        <is>
          <t>General</t>
        </is>
      </c>
      <c r="I719" t="inlineStr">
        <is>
          <t>General</t>
        </is>
      </c>
      <c r="K719" t="inlineStr">
        <is>
          <t>unclassified</t>
        </is>
      </c>
      <c r="M719" t="n">
        <v>50</v>
      </c>
    </row>
    <row r="720">
      <c r="A720" t="inlineStr">
        <is>
          <t>Elecampane</t>
        </is>
      </c>
      <c r="B720" t="inlineStr">
        <is>
          <t>Yohimbe</t>
        </is>
      </c>
      <c r="C720" t="n">
        <v>0</v>
      </c>
      <c r="D720" t="n">
        <v>1</v>
      </c>
      <c r="E720" t="n">
        <v>0</v>
      </c>
      <c r="F720" t="inlineStr">
        <is>
          <t>General</t>
        </is>
      </c>
      <c r="G720" t="inlineStr">
        <is>
          <t>General</t>
        </is>
      </c>
      <c r="H720" t="inlineStr">
        <is>
          <t>General</t>
        </is>
      </c>
      <c r="I720" t="inlineStr">
        <is>
          <t>General</t>
        </is>
      </c>
      <c r="K720" t="inlineStr">
        <is>
          <t>unclassified</t>
        </is>
      </c>
      <c r="M720" t="n">
        <v>50</v>
      </c>
    </row>
    <row r="721">
      <c r="A721" t="inlineStr">
        <is>
          <t>Eleuthero</t>
        </is>
      </c>
      <c r="B721" t="inlineStr">
        <is>
          <t>Celastrus Paniculatus</t>
        </is>
      </c>
      <c r="C721" t="n">
        <v>0</v>
      </c>
      <c r="D721" t="n">
        <v>1</v>
      </c>
      <c r="E721" t="n">
        <v>0</v>
      </c>
      <c r="F721" t="inlineStr">
        <is>
          <t>General</t>
        </is>
      </c>
      <c r="G721" t="inlineStr">
        <is>
          <t>General</t>
        </is>
      </c>
      <c r="H721" t="inlineStr">
        <is>
          <t>General</t>
        </is>
      </c>
      <c r="I721" t="inlineStr">
        <is>
          <t>General</t>
        </is>
      </c>
      <c r="K721" t="inlineStr">
        <is>
          <t>unclassified</t>
        </is>
      </c>
      <c r="M721" t="n">
        <v>50</v>
      </c>
    </row>
    <row r="722">
      <c r="A722" t="inlineStr">
        <is>
          <t>Eleuthero</t>
        </is>
      </c>
      <c r="B722" t="inlineStr">
        <is>
          <t>Nettle Root</t>
        </is>
      </c>
      <c r="C722" t="n">
        <v>0</v>
      </c>
      <c r="D722" t="n">
        <v>1</v>
      </c>
      <c r="E722" t="n">
        <v>0</v>
      </c>
      <c r="F722" t="inlineStr">
        <is>
          <t>General</t>
        </is>
      </c>
      <c r="G722" t="inlineStr">
        <is>
          <t>General</t>
        </is>
      </c>
      <c r="H722" t="inlineStr">
        <is>
          <t>General</t>
        </is>
      </c>
      <c r="I722" t="inlineStr">
        <is>
          <t>General</t>
        </is>
      </c>
      <c r="K722" t="inlineStr">
        <is>
          <t>unclassified</t>
        </is>
      </c>
      <c r="M722" t="n">
        <v>50</v>
      </c>
    </row>
    <row r="723">
      <c r="A723" t="inlineStr">
        <is>
          <t>Eleuthero</t>
        </is>
      </c>
      <c r="B723" t="inlineStr">
        <is>
          <t>Punarnava</t>
        </is>
      </c>
      <c r="C723" t="n">
        <v>0</v>
      </c>
      <c r="D723" t="n">
        <v>1</v>
      </c>
      <c r="E723" t="n">
        <v>0</v>
      </c>
      <c r="F723" t="inlineStr">
        <is>
          <t>General</t>
        </is>
      </c>
      <c r="G723" t="inlineStr">
        <is>
          <t>General</t>
        </is>
      </c>
      <c r="H723" t="inlineStr">
        <is>
          <t>General</t>
        </is>
      </c>
      <c r="I723" t="inlineStr">
        <is>
          <t>General</t>
        </is>
      </c>
      <c r="K723" t="inlineStr">
        <is>
          <t>unclassified</t>
        </is>
      </c>
      <c r="M723" t="n">
        <v>50</v>
      </c>
    </row>
    <row r="724">
      <c r="A724" t="inlineStr">
        <is>
          <t>Eleuthero</t>
        </is>
      </c>
      <c r="B724" t="inlineStr">
        <is>
          <t>Reishi</t>
        </is>
      </c>
      <c r="C724" t="n">
        <v>0</v>
      </c>
      <c r="D724" t="n">
        <v>1</v>
      </c>
      <c r="E724" t="n">
        <v>0</v>
      </c>
      <c r="F724" t="inlineStr">
        <is>
          <t>General</t>
        </is>
      </c>
      <c r="G724" t="inlineStr">
        <is>
          <t>General</t>
        </is>
      </c>
      <c r="H724" t="inlineStr">
        <is>
          <t>General</t>
        </is>
      </c>
      <c r="I724" t="inlineStr">
        <is>
          <t>General</t>
        </is>
      </c>
      <c r="K724" t="inlineStr">
        <is>
          <t>unclassified</t>
        </is>
      </c>
      <c r="M724" t="n">
        <v>50</v>
      </c>
    </row>
    <row r="725">
      <c r="A725" t="inlineStr">
        <is>
          <t>Eucommia</t>
        </is>
      </c>
      <c r="B725" t="inlineStr">
        <is>
          <t>Curry Leaf</t>
        </is>
      </c>
      <c r="C725" t="n">
        <v>0</v>
      </c>
      <c r="D725" t="n">
        <v>1</v>
      </c>
      <c r="E725" t="n">
        <v>0</v>
      </c>
      <c r="F725" t="inlineStr">
        <is>
          <t>Metabolic</t>
        </is>
      </c>
      <c r="G725" t="inlineStr">
        <is>
          <t>Metabolic</t>
        </is>
      </c>
      <c r="H725" t="inlineStr">
        <is>
          <t>Metabolic Support</t>
        </is>
      </c>
      <c r="I725" t="inlineStr">
        <is>
          <t>Metabolic Support</t>
        </is>
      </c>
      <c r="K725" t="inlineStr">
        <is>
          <t>unclassified</t>
        </is>
      </c>
      <c r="M725" t="n">
        <v>50</v>
      </c>
    </row>
    <row r="726">
      <c r="A726" t="inlineStr">
        <is>
          <t>Eucommia</t>
        </is>
      </c>
      <c r="B726" t="inlineStr">
        <is>
          <t>Kuding Tea</t>
        </is>
      </c>
      <c r="C726" t="n">
        <v>0</v>
      </c>
      <c r="D726" t="n">
        <v>1</v>
      </c>
      <c r="E726" t="n">
        <v>0</v>
      </c>
      <c r="F726" t="inlineStr">
        <is>
          <t>Metabolic</t>
        </is>
      </c>
      <c r="G726" t="inlineStr">
        <is>
          <t>Metabolic</t>
        </is>
      </c>
      <c r="H726" t="inlineStr">
        <is>
          <t>Metabolic Support</t>
        </is>
      </c>
      <c r="I726" t="inlineStr">
        <is>
          <t>Metabolic Support</t>
        </is>
      </c>
      <c r="K726" t="inlineStr">
        <is>
          <t>unclassified</t>
        </is>
      </c>
      <c r="M726" t="n">
        <v>50</v>
      </c>
    </row>
    <row r="727">
      <c r="A727" t="inlineStr">
        <is>
          <t>Fennel</t>
        </is>
      </c>
      <c r="B727" t="inlineStr">
        <is>
          <t>Agarikon</t>
        </is>
      </c>
      <c r="C727" t="n">
        <v>0</v>
      </c>
      <c r="D727" t="n">
        <v>1</v>
      </c>
      <c r="E727" t="n">
        <v>0</v>
      </c>
      <c r="F727" t="inlineStr">
        <is>
          <t>General</t>
        </is>
      </c>
      <c r="G727" t="inlineStr">
        <is>
          <t>General</t>
        </is>
      </c>
      <c r="H727" t="inlineStr">
        <is>
          <t>General</t>
        </is>
      </c>
      <c r="I727" t="inlineStr">
        <is>
          <t>General</t>
        </is>
      </c>
      <c r="K727" t="inlineStr">
        <is>
          <t>unclassified</t>
        </is>
      </c>
      <c r="M727" t="n">
        <v>50</v>
      </c>
    </row>
    <row r="728">
      <c r="A728" t="inlineStr">
        <is>
          <t>Fennel</t>
        </is>
      </c>
      <c r="B728" t="inlineStr">
        <is>
          <t>Ajwain</t>
        </is>
      </c>
      <c r="C728" t="n">
        <v>0</v>
      </c>
      <c r="D728" t="n">
        <v>1</v>
      </c>
      <c r="E728" t="n">
        <v>0</v>
      </c>
      <c r="F728" t="inlineStr">
        <is>
          <t>General</t>
        </is>
      </c>
      <c r="G728" t="inlineStr">
        <is>
          <t>General</t>
        </is>
      </c>
      <c r="H728" t="inlineStr">
        <is>
          <t>General</t>
        </is>
      </c>
      <c r="I728" t="inlineStr">
        <is>
          <t>General</t>
        </is>
      </c>
      <c r="K728" t="inlineStr">
        <is>
          <t>unclassified</t>
        </is>
      </c>
      <c r="M728" t="n">
        <v>50</v>
      </c>
    </row>
    <row r="729">
      <c r="A729" t="inlineStr">
        <is>
          <t>Fennel</t>
        </is>
      </c>
      <c r="B729" t="inlineStr">
        <is>
          <t>Angelica Root</t>
        </is>
      </c>
      <c r="C729" t="n">
        <v>0</v>
      </c>
      <c r="D729" t="n">
        <v>1</v>
      </c>
      <c r="E729" t="n">
        <v>0</v>
      </c>
      <c r="F729" t="inlineStr">
        <is>
          <t>General</t>
        </is>
      </c>
      <c r="G729" t="inlineStr">
        <is>
          <t>General</t>
        </is>
      </c>
      <c r="H729" t="inlineStr">
        <is>
          <t>General</t>
        </is>
      </c>
      <c r="I729" t="inlineStr">
        <is>
          <t>General</t>
        </is>
      </c>
      <c r="K729" t="inlineStr">
        <is>
          <t>unclassified</t>
        </is>
      </c>
      <c r="M729" t="n">
        <v>50</v>
      </c>
    </row>
    <row r="730">
      <c r="A730" t="inlineStr">
        <is>
          <t>Fennel</t>
        </is>
      </c>
      <c r="B730" t="inlineStr">
        <is>
          <t>Ashoka</t>
        </is>
      </c>
      <c r="C730" t="n">
        <v>0</v>
      </c>
      <c r="D730" t="n">
        <v>1</v>
      </c>
      <c r="E730" t="n">
        <v>0</v>
      </c>
      <c r="F730" t="inlineStr">
        <is>
          <t>General</t>
        </is>
      </c>
      <c r="G730" t="inlineStr">
        <is>
          <t>General</t>
        </is>
      </c>
      <c r="H730" t="inlineStr">
        <is>
          <t>General</t>
        </is>
      </c>
      <c r="I730" t="inlineStr">
        <is>
          <t>General</t>
        </is>
      </c>
      <c r="K730" t="inlineStr">
        <is>
          <t>unclassified</t>
        </is>
      </c>
      <c r="M730" t="n">
        <v>50</v>
      </c>
    </row>
    <row r="731">
      <c r="A731" t="inlineStr">
        <is>
          <t>Fennel</t>
        </is>
      </c>
      <c r="B731" t="inlineStr">
        <is>
          <t>Boldo</t>
        </is>
      </c>
      <c r="C731" t="n">
        <v>0</v>
      </c>
      <c r="D731" t="n">
        <v>1</v>
      </c>
      <c r="E731" t="n">
        <v>0</v>
      </c>
      <c r="F731" t="inlineStr">
        <is>
          <t>General</t>
        </is>
      </c>
      <c r="G731" t="inlineStr">
        <is>
          <t>General</t>
        </is>
      </c>
      <c r="H731" t="inlineStr">
        <is>
          <t>General</t>
        </is>
      </c>
      <c r="I731" t="inlineStr">
        <is>
          <t>General</t>
        </is>
      </c>
      <c r="K731" t="inlineStr">
        <is>
          <t>unclassified</t>
        </is>
      </c>
      <c r="M731" t="n">
        <v>50</v>
      </c>
    </row>
    <row r="732">
      <c r="A732" t="inlineStr">
        <is>
          <t>Fennel</t>
        </is>
      </c>
      <c r="B732" t="inlineStr">
        <is>
          <t>Burdock</t>
        </is>
      </c>
      <c r="C732" t="n">
        <v>0</v>
      </c>
      <c r="D732" t="n">
        <v>1</v>
      </c>
      <c r="E732" t="n">
        <v>0</v>
      </c>
      <c r="F732" t="inlineStr">
        <is>
          <t>General</t>
        </is>
      </c>
      <c r="G732" t="inlineStr">
        <is>
          <t>General</t>
        </is>
      </c>
      <c r="H732" t="inlineStr">
        <is>
          <t>General</t>
        </is>
      </c>
      <c r="I732" t="inlineStr">
        <is>
          <t>General</t>
        </is>
      </c>
      <c r="K732" t="inlineStr">
        <is>
          <t>unclassified</t>
        </is>
      </c>
      <c r="M732" t="n">
        <v>50</v>
      </c>
    </row>
    <row r="733">
      <c r="A733" t="inlineStr">
        <is>
          <t>Fennel</t>
        </is>
      </c>
      <c r="B733" t="inlineStr">
        <is>
          <t>Calendula</t>
        </is>
      </c>
      <c r="C733" t="n">
        <v>0</v>
      </c>
      <c r="D733" t="n">
        <v>1</v>
      </c>
      <c r="E733" t="n">
        <v>0</v>
      </c>
      <c r="F733" t="inlineStr">
        <is>
          <t>General</t>
        </is>
      </c>
      <c r="G733" t="inlineStr">
        <is>
          <t>General</t>
        </is>
      </c>
      <c r="H733" t="inlineStr">
        <is>
          <t>General</t>
        </is>
      </c>
      <c r="I733" t="inlineStr">
        <is>
          <t>General</t>
        </is>
      </c>
      <c r="K733" t="inlineStr">
        <is>
          <t>unclassified</t>
        </is>
      </c>
      <c r="M733" t="n">
        <v>50</v>
      </c>
    </row>
    <row r="734">
      <c r="A734" t="inlineStr">
        <is>
          <t>Fennel</t>
        </is>
      </c>
      <c r="B734" t="inlineStr">
        <is>
          <t>Caraway</t>
        </is>
      </c>
      <c r="C734" t="n">
        <v>0</v>
      </c>
      <c r="D734" t="n">
        <v>1</v>
      </c>
      <c r="E734" t="n">
        <v>0</v>
      </c>
      <c r="F734" t="inlineStr">
        <is>
          <t>General</t>
        </is>
      </c>
      <c r="G734" t="inlineStr">
        <is>
          <t>General</t>
        </is>
      </c>
      <c r="H734" t="inlineStr">
        <is>
          <t>General</t>
        </is>
      </c>
      <c r="I734" t="inlineStr">
        <is>
          <t>General</t>
        </is>
      </c>
      <c r="K734" t="inlineStr">
        <is>
          <t>unclassified</t>
        </is>
      </c>
      <c r="M734" t="n">
        <v>50</v>
      </c>
    </row>
    <row r="735">
      <c r="A735" t="inlineStr">
        <is>
          <t>Fennel</t>
        </is>
      </c>
      <c r="B735" t="inlineStr">
        <is>
          <t>Cardamom</t>
        </is>
      </c>
      <c r="C735" t="n">
        <v>0</v>
      </c>
      <c r="D735" t="n">
        <v>1</v>
      </c>
      <c r="E735" t="n">
        <v>0</v>
      </c>
      <c r="F735" t="inlineStr">
        <is>
          <t>General</t>
        </is>
      </c>
      <c r="G735" t="inlineStr">
        <is>
          <t>General</t>
        </is>
      </c>
      <c r="H735" t="inlineStr">
        <is>
          <t>General</t>
        </is>
      </c>
      <c r="I735" t="inlineStr">
        <is>
          <t>General</t>
        </is>
      </c>
      <c r="K735" t="inlineStr">
        <is>
          <t>unclassified</t>
        </is>
      </c>
      <c r="M735" t="n">
        <v>50</v>
      </c>
    </row>
    <row r="736">
      <c r="A736" t="inlineStr">
        <is>
          <t>Fennel</t>
        </is>
      </c>
      <c r="B736" t="inlineStr">
        <is>
          <t>Celastrus Paniculatus</t>
        </is>
      </c>
      <c r="C736" t="n">
        <v>0</v>
      </c>
      <c r="D736" t="n">
        <v>1</v>
      </c>
      <c r="E736" t="n">
        <v>0</v>
      </c>
      <c r="F736" t="inlineStr">
        <is>
          <t>General</t>
        </is>
      </c>
      <c r="G736" t="inlineStr">
        <is>
          <t>General</t>
        </is>
      </c>
      <c r="H736" t="inlineStr">
        <is>
          <t>General</t>
        </is>
      </c>
      <c r="I736" t="inlineStr">
        <is>
          <t>General</t>
        </is>
      </c>
      <c r="K736" t="inlineStr">
        <is>
          <t>unclassified</t>
        </is>
      </c>
      <c r="M736" t="n">
        <v>50</v>
      </c>
    </row>
    <row r="737">
      <c r="A737" t="inlineStr">
        <is>
          <t>Fennel</t>
        </is>
      </c>
      <c r="B737" t="inlineStr">
        <is>
          <t>Cinnamon</t>
        </is>
      </c>
      <c r="C737" t="n">
        <v>0</v>
      </c>
      <c r="D737" t="n">
        <v>1</v>
      </c>
      <c r="E737" t="n">
        <v>0</v>
      </c>
      <c r="F737" t="inlineStr">
        <is>
          <t>General</t>
        </is>
      </c>
      <c r="G737" t="inlineStr">
        <is>
          <t>General</t>
        </is>
      </c>
      <c r="H737" t="inlineStr">
        <is>
          <t>General</t>
        </is>
      </c>
      <c r="I737" t="inlineStr">
        <is>
          <t>General</t>
        </is>
      </c>
      <c r="K737" t="inlineStr">
        <is>
          <t>unclassified</t>
        </is>
      </c>
      <c r="M737" t="n">
        <v>50</v>
      </c>
    </row>
    <row r="738">
      <c r="A738" t="inlineStr">
        <is>
          <t>Fennel</t>
        </is>
      </c>
      <c r="B738" t="inlineStr">
        <is>
          <t>Cistanche</t>
        </is>
      </c>
      <c r="C738" t="n">
        <v>0</v>
      </c>
      <c r="D738" t="n">
        <v>1</v>
      </c>
      <c r="E738" t="n">
        <v>0</v>
      </c>
      <c r="F738" t="inlineStr">
        <is>
          <t>General</t>
        </is>
      </c>
      <c r="G738" t="inlineStr">
        <is>
          <t>General</t>
        </is>
      </c>
      <c r="H738" t="inlineStr">
        <is>
          <t>General</t>
        </is>
      </c>
      <c r="I738" t="inlineStr">
        <is>
          <t>General</t>
        </is>
      </c>
      <c r="K738" t="inlineStr">
        <is>
          <t>unclassified</t>
        </is>
      </c>
      <c r="M738" t="n">
        <v>50</v>
      </c>
    </row>
    <row r="739">
      <c r="A739" t="inlineStr">
        <is>
          <t>Fennel</t>
        </is>
      </c>
      <c r="B739" t="inlineStr">
        <is>
          <t>Cordyceps</t>
        </is>
      </c>
      <c r="C739" t="n">
        <v>0</v>
      </c>
      <c r="D739" t="n">
        <v>1</v>
      </c>
      <c r="E739" t="n">
        <v>0</v>
      </c>
      <c r="F739" t="inlineStr">
        <is>
          <t>General</t>
        </is>
      </c>
      <c r="G739" t="inlineStr">
        <is>
          <t>General</t>
        </is>
      </c>
      <c r="H739" t="inlineStr">
        <is>
          <t>General</t>
        </is>
      </c>
      <c r="I739" t="inlineStr">
        <is>
          <t>General</t>
        </is>
      </c>
      <c r="K739" t="inlineStr">
        <is>
          <t>unclassified</t>
        </is>
      </c>
      <c r="M739" t="n">
        <v>50</v>
      </c>
    </row>
    <row r="740">
      <c r="A740" t="inlineStr">
        <is>
          <t>Fennel</t>
        </is>
      </c>
      <c r="B740" t="inlineStr">
        <is>
          <t>Dandelion</t>
        </is>
      </c>
      <c r="C740" t="n">
        <v>0</v>
      </c>
      <c r="D740" t="n">
        <v>1</v>
      </c>
      <c r="E740" t="n">
        <v>0</v>
      </c>
      <c r="F740" t="inlineStr">
        <is>
          <t>General</t>
        </is>
      </c>
      <c r="G740" t="inlineStr">
        <is>
          <t>General</t>
        </is>
      </c>
      <c r="H740" t="inlineStr">
        <is>
          <t>General</t>
        </is>
      </c>
      <c r="I740" t="inlineStr">
        <is>
          <t>General</t>
        </is>
      </c>
      <c r="K740" t="inlineStr">
        <is>
          <t>unclassified</t>
        </is>
      </c>
      <c r="M740" t="n">
        <v>50</v>
      </c>
    </row>
    <row r="741">
      <c r="A741" t="inlineStr">
        <is>
          <t>Fennel</t>
        </is>
      </c>
      <c r="B741" t="inlineStr">
        <is>
          <t>Dendrobium</t>
        </is>
      </c>
      <c r="C741" t="n">
        <v>0</v>
      </c>
      <c r="D741" t="n">
        <v>1</v>
      </c>
      <c r="E741" t="n">
        <v>0</v>
      </c>
      <c r="F741" t="inlineStr">
        <is>
          <t>General</t>
        </is>
      </c>
      <c r="G741" t="inlineStr">
        <is>
          <t>General</t>
        </is>
      </c>
      <c r="H741" t="inlineStr">
        <is>
          <t>General</t>
        </is>
      </c>
      <c r="I741" t="inlineStr">
        <is>
          <t>General</t>
        </is>
      </c>
      <c r="K741" t="inlineStr">
        <is>
          <t>unclassified</t>
        </is>
      </c>
      <c r="M741" t="n">
        <v>50</v>
      </c>
    </row>
    <row r="742">
      <c r="A742" t="inlineStr">
        <is>
          <t>Fennel</t>
        </is>
      </c>
      <c r="B742" t="inlineStr">
        <is>
          <t>Elecampane</t>
        </is>
      </c>
      <c r="C742" t="n">
        <v>0</v>
      </c>
      <c r="D742" t="n">
        <v>1</v>
      </c>
      <c r="E742" t="n">
        <v>0</v>
      </c>
      <c r="F742" t="inlineStr">
        <is>
          <t>General</t>
        </is>
      </c>
      <c r="G742" t="inlineStr">
        <is>
          <t>General</t>
        </is>
      </c>
      <c r="H742" t="inlineStr">
        <is>
          <t>General</t>
        </is>
      </c>
      <c r="I742" t="inlineStr">
        <is>
          <t>General</t>
        </is>
      </c>
      <c r="K742" t="inlineStr">
        <is>
          <t>unclassified</t>
        </is>
      </c>
      <c r="M742" t="n">
        <v>50</v>
      </c>
    </row>
    <row r="743">
      <c r="A743" t="inlineStr">
        <is>
          <t>Fennel</t>
        </is>
      </c>
      <c r="B743" t="inlineStr">
        <is>
          <t>Eleuthero</t>
        </is>
      </c>
      <c r="C743" t="n">
        <v>0</v>
      </c>
      <c r="D743" t="n">
        <v>1</v>
      </c>
      <c r="E743" t="n">
        <v>0</v>
      </c>
      <c r="F743" t="inlineStr">
        <is>
          <t>General</t>
        </is>
      </c>
      <c r="G743" t="inlineStr">
        <is>
          <t>General</t>
        </is>
      </c>
      <c r="H743" t="inlineStr">
        <is>
          <t>General</t>
        </is>
      </c>
      <c r="I743" t="inlineStr">
        <is>
          <t>General</t>
        </is>
      </c>
      <c r="K743" t="inlineStr">
        <is>
          <t>unclassified</t>
        </is>
      </c>
      <c r="M743" t="n">
        <v>50</v>
      </c>
    </row>
    <row r="744">
      <c r="A744" t="inlineStr">
        <is>
          <t>Fennel</t>
        </is>
      </c>
      <c r="B744" t="inlineStr">
        <is>
          <t>Galangal</t>
        </is>
      </c>
      <c r="C744" t="n">
        <v>0</v>
      </c>
      <c r="D744" t="n">
        <v>1</v>
      </c>
      <c r="E744" t="n">
        <v>0</v>
      </c>
      <c r="F744" t="inlineStr">
        <is>
          <t>General</t>
        </is>
      </c>
      <c r="G744" t="inlineStr">
        <is>
          <t>General</t>
        </is>
      </c>
      <c r="H744" t="inlineStr">
        <is>
          <t>General</t>
        </is>
      </c>
      <c r="I744" t="inlineStr">
        <is>
          <t>General</t>
        </is>
      </c>
      <c r="K744" t="inlineStr">
        <is>
          <t>unclassified</t>
        </is>
      </c>
      <c r="M744" t="n">
        <v>50</v>
      </c>
    </row>
    <row r="745">
      <c r="A745" t="inlineStr">
        <is>
          <t>Fennel</t>
        </is>
      </c>
      <c r="B745" t="inlineStr">
        <is>
          <t>Gastrodia</t>
        </is>
      </c>
      <c r="C745" t="n">
        <v>0</v>
      </c>
      <c r="D745" t="n">
        <v>1</v>
      </c>
      <c r="E745" t="n">
        <v>0</v>
      </c>
      <c r="F745" t="inlineStr">
        <is>
          <t>General</t>
        </is>
      </c>
      <c r="G745" t="inlineStr">
        <is>
          <t>General</t>
        </is>
      </c>
      <c r="H745" t="inlineStr">
        <is>
          <t>General</t>
        </is>
      </c>
      <c r="I745" t="inlineStr">
        <is>
          <t>General</t>
        </is>
      </c>
      <c r="K745" t="inlineStr">
        <is>
          <t>unclassified</t>
        </is>
      </c>
      <c r="M745" t="n">
        <v>50</v>
      </c>
    </row>
    <row r="746">
      <c r="A746" t="inlineStr">
        <is>
          <t>Fennel</t>
        </is>
      </c>
      <c r="B746" t="inlineStr">
        <is>
          <t>Gudmar</t>
        </is>
      </c>
      <c r="C746" t="n">
        <v>0</v>
      </c>
      <c r="D746" t="n">
        <v>1</v>
      </c>
      <c r="E746" t="n">
        <v>0</v>
      </c>
      <c r="F746" t="inlineStr">
        <is>
          <t>General</t>
        </is>
      </c>
      <c r="G746" t="inlineStr">
        <is>
          <t>General</t>
        </is>
      </c>
      <c r="H746" t="inlineStr">
        <is>
          <t>General</t>
        </is>
      </c>
      <c r="I746" t="inlineStr">
        <is>
          <t>General</t>
        </is>
      </c>
      <c r="K746" t="inlineStr">
        <is>
          <t>unclassified</t>
        </is>
      </c>
      <c r="M746" t="n">
        <v>50</v>
      </c>
    </row>
    <row r="747">
      <c r="A747" t="inlineStr">
        <is>
          <t>Fennel</t>
        </is>
      </c>
      <c r="B747" t="inlineStr">
        <is>
          <t>Gymnema</t>
        </is>
      </c>
      <c r="C747" t="n">
        <v>0</v>
      </c>
      <c r="D747" t="n">
        <v>1</v>
      </c>
      <c r="E747" t="n">
        <v>0</v>
      </c>
      <c r="F747" t="inlineStr">
        <is>
          <t>General</t>
        </is>
      </c>
      <c r="G747" t="inlineStr">
        <is>
          <t>General</t>
        </is>
      </c>
      <c r="H747" t="inlineStr">
        <is>
          <t>General</t>
        </is>
      </c>
      <c r="I747" t="inlineStr">
        <is>
          <t>General</t>
        </is>
      </c>
      <c r="K747" t="inlineStr">
        <is>
          <t>unclassified</t>
        </is>
      </c>
      <c r="M747" t="n">
        <v>50</v>
      </c>
    </row>
    <row r="748">
      <c r="A748" t="inlineStr">
        <is>
          <t>Fennel</t>
        </is>
      </c>
      <c r="B748" t="inlineStr">
        <is>
          <t>Hops</t>
        </is>
      </c>
      <c r="C748" t="n">
        <v>0</v>
      </c>
      <c r="D748" t="n">
        <v>1</v>
      </c>
      <c r="E748" t="n">
        <v>0</v>
      </c>
      <c r="F748" t="inlineStr">
        <is>
          <t>General</t>
        </is>
      </c>
      <c r="G748" t="inlineStr">
        <is>
          <t>General</t>
        </is>
      </c>
      <c r="H748" t="inlineStr">
        <is>
          <t>General</t>
        </is>
      </c>
      <c r="I748" t="inlineStr">
        <is>
          <t>General</t>
        </is>
      </c>
      <c r="K748" t="inlineStr">
        <is>
          <t>unclassified</t>
        </is>
      </c>
      <c r="M748" t="n">
        <v>50</v>
      </c>
    </row>
    <row r="749">
      <c r="A749" t="inlineStr">
        <is>
          <t>Fennel</t>
        </is>
      </c>
      <c r="B749" t="inlineStr">
        <is>
          <t>Houttuynia</t>
        </is>
      </c>
      <c r="C749" t="n">
        <v>0</v>
      </c>
      <c r="D749" t="n">
        <v>1</v>
      </c>
      <c r="E749" t="n">
        <v>0</v>
      </c>
      <c r="F749" t="inlineStr">
        <is>
          <t>General</t>
        </is>
      </c>
      <c r="G749" t="inlineStr">
        <is>
          <t>General</t>
        </is>
      </c>
      <c r="H749" t="inlineStr">
        <is>
          <t>General</t>
        </is>
      </c>
      <c r="I749" t="inlineStr">
        <is>
          <t>General</t>
        </is>
      </c>
      <c r="K749" t="inlineStr">
        <is>
          <t>unclassified</t>
        </is>
      </c>
      <c r="M749" t="n">
        <v>50</v>
      </c>
    </row>
    <row r="750">
      <c r="A750" t="inlineStr">
        <is>
          <t>Fennel</t>
        </is>
      </c>
      <c r="B750" t="inlineStr">
        <is>
          <t>Isatis</t>
        </is>
      </c>
      <c r="C750" t="n">
        <v>0</v>
      </c>
      <c r="D750" t="n">
        <v>1</v>
      </c>
      <c r="E750" t="n">
        <v>0</v>
      </c>
      <c r="F750" t="inlineStr">
        <is>
          <t>General</t>
        </is>
      </c>
      <c r="G750" t="inlineStr">
        <is>
          <t>General</t>
        </is>
      </c>
      <c r="H750" t="inlineStr">
        <is>
          <t>General</t>
        </is>
      </c>
      <c r="I750" t="inlineStr">
        <is>
          <t>General</t>
        </is>
      </c>
      <c r="K750" t="inlineStr">
        <is>
          <t>unclassified</t>
        </is>
      </c>
      <c r="M750" t="n">
        <v>50</v>
      </c>
    </row>
    <row r="751">
      <c r="A751" t="inlineStr">
        <is>
          <t>Fennel</t>
        </is>
      </c>
      <c r="B751" t="inlineStr">
        <is>
          <t>Jatamansi</t>
        </is>
      </c>
      <c r="C751" t="n">
        <v>0</v>
      </c>
      <c r="D751" t="n">
        <v>1</v>
      </c>
      <c r="E751" t="n">
        <v>0</v>
      </c>
      <c r="F751" t="inlineStr">
        <is>
          <t>General</t>
        </is>
      </c>
      <c r="G751" t="inlineStr">
        <is>
          <t>General</t>
        </is>
      </c>
      <c r="H751" t="inlineStr">
        <is>
          <t>General</t>
        </is>
      </c>
      <c r="I751" t="inlineStr">
        <is>
          <t>General</t>
        </is>
      </c>
      <c r="K751" t="inlineStr">
        <is>
          <t>unclassified</t>
        </is>
      </c>
      <c r="M751" t="n">
        <v>50</v>
      </c>
    </row>
    <row r="752">
      <c r="A752" t="inlineStr">
        <is>
          <t>Fennel</t>
        </is>
      </c>
      <c r="B752" t="inlineStr">
        <is>
          <t>Lemon Verbena</t>
        </is>
      </c>
      <c r="C752" t="n">
        <v>0</v>
      </c>
      <c r="D752" t="n">
        <v>1</v>
      </c>
      <c r="E752" t="n">
        <v>0</v>
      </c>
      <c r="F752" t="inlineStr">
        <is>
          <t>General</t>
        </is>
      </c>
      <c r="G752" t="inlineStr">
        <is>
          <t>General</t>
        </is>
      </c>
      <c r="H752" t="inlineStr">
        <is>
          <t>General</t>
        </is>
      </c>
      <c r="I752" t="inlineStr">
        <is>
          <t>General</t>
        </is>
      </c>
      <c r="K752" t="inlineStr">
        <is>
          <t>unclassified</t>
        </is>
      </c>
      <c r="M752" t="n">
        <v>50</v>
      </c>
    </row>
    <row r="753">
      <c r="A753" t="inlineStr">
        <is>
          <t>Fennel</t>
        </is>
      </c>
      <c r="B753" t="inlineStr">
        <is>
          <t>Lemongrass</t>
        </is>
      </c>
      <c r="C753" t="n">
        <v>0</v>
      </c>
      <c r="D753" t="n">
        <v>1</v>
      </c>
      <c r="E753" t="n">
        <v>0</v>
      </c>
      <c r="F753" t="inlineStr">
        <is>
          <t>General</t>
        </is>
      </c>
      <c r="G753" t="inlineStr">
        <is>
          <t>General</t>
        </is>
      </c>
      <c r="H753" t="inlineStr">
        <is>
          <t>General</t>
        </is>
      </c>
      <c r="I753" t="inlineStr">
        <is>
          <t>General</t>
        </is>
      </c>
      <c r="K753" t="inlineStr">
        <is>
          <t>unclassified</t>
        </is>
      </c>
      <c r="M753" t="n">
        <v>50</v>
      </c>
    </row>
    <row r="754">
      <c r="A754" t="inlineStr">
        <is>
          <t>Fennel</t>
        </is>
      </c>
      <c r="B754" t="inlineStr">
        <is>
          <t>Longan</t>
        </is>
      </c>
      <c r="C754" t="n">
        <v>0</v>
      </c>
      <c r="D754" t="n">
        <v>1</v>
      </c>
      <c r="E754" t="n">
        <v>0</v>
      </c>
      <c r="F754" t="inlineStr">
        <is>
          <t>General</t>
        </is>
      </c>
      <c r="G754" t="inlineStr">
        <is>
          <t>General</t>
        </is>
      </c>
      <c r="H754" t="inlineStr">
        <is>
          <t>General</t>
        </is>
      </c>
      <c r="I754" t="inlineStr">
        <is>
          <t>General</t>
        </is>
      </c>
      <c r="K754" t="inlineStr">
        <is>
          <t>unclassified</t>
        </is>
      </c>
      <c r="M754" t="n">
        <v>50</v>
      </c>
    </row>
    <row r="755">
      <c r="A755" t="inlineStr">
        <is>
          <t>Fennel</t>
        </is>
      </c>
      <c r="B755" t="inlineStr">
        <is>
          <t>Maitake D-Fraction</t>
        </is>
      </c>
      <c r="C755" t="n">
        <v>0</v>
      </c>
      <c r="D755" t="n">
        <v>1</v>
      </c>
      <c r="E755" t="n">
        <v>0</v>
      </c>
      <c r="F755" t="inlineStr">
        <is>
          <t>General</t>
        </is>
      </c>
      <c r="G755" t="inlineStr">
        <is>
          <t>General</t>
        </is>
      </c>
      <c r="H755" t="inlineStr">
        <is>
          <t>General</t>
        </is>
      </c>
      <c r="I755" t="inlineStr">
        <is>
          <t>General</t>
        </is>
      </c>
      <c r="K755" t="inlineStr">
        <is>
          <t>unclassified</t>
        </is>
      </c>
      <c r="M755" t="n">
        <v>50</v>
      </c>
    </row>
    <row r="756">
      <c r="A756" t="inlineStr">
        <is>
          <t>Fennel</t>
        </is>
      </c>
      <c r="B756" t="inlineStr">
        <is>
          <t>Milk Oats</t>
        </is>
      </c>
      <c r="C756" t="n">
        <v>0</v>
      </c>
      <c r="D756" t="n">
        <v>1</v>
      </c>
      <c r="E756" t="n">
        <v>0</v>
      </c>
      <c r="F756" t="inlineStr">
        <is>
          <t>General</t>
        </is>
      </c>
      <c r="G756" t="inlineStr">
        <is>
          <t>General</t>
        </is>
      </c>
      <c r="H756" t="inlineStr">
        <is>
          <t>General</t>
        </is>
      </c>
      <c r="I756" t="inlineStr">
        <is>
          <t>General</t>
        </is>
      </c>
      <c r="K756" t="inlineStr">
        <is>
          <t>unclassified</t>
        </is>
      </c>
      <c r="M756" t="n">
        <v>50</v>
      </c>
    </row>
    <row r="757">
      <c r="A757" t="inlineStr">
        <is>
          <t>Fennel</t>
        </is>
      </c>
      <c r="B757" t="inlineStr">
        <is>
          <t>Mugwort</t>
        </is>
      </c>
      <c r="C757" t="n">
        <v>0</v>
      </c>
      <c r="D757" t="n">
        <v>1</v>
      </c>
      <c r="E757" t="n">
        <v>0</v>
      </c>
      <c r="F757" t="inlineStr">
        <is>
          <t>General</t>
        </is>
      </c>
      <c r="G757" t="inlineStr">
        <is>
          <t>General</t>
        </is>
      </c>
      <c r="H757" t="inlineStr">
        <is>
          <t>General</t>
        </is>
      </c>
      <c r="I757" t="inlineStr">
        <is>
          <t>General</t>
        </is>
      </c>
      <c r="K757" t="inlineStr">
        <is>
          <t>unclassified</t>
        </is>
      </c>
      <c r="M757" t="n">
        <v>50</v>
      </c>
    </row>
    <row r="758">
      <c r="A758" t="inlineStr">
        <is>
          <t>Fennel</t>
        </is>
      </c>
      <c r="B758" t="inlineStr">
        <is>
          <t>Muira Puama</t>
        </is>
      </c>
      <c r="C758" t="n">
        <v>0</v>
      </c>
      <c r="D758" t="n">
        <v>1</v>
      </c>
      <c r="E758" t="n">
        <v>0</v>
      </c>
      <c r="F758" t="inlineStr">
        <is>
          <t>General</t>
        </is>
      </c>
      <c r="G758" t="inlineStr">
        <is>
          <t>General</t>
        </is>
      </c>
      <c r="H758" t="inlineStr">
        <is>
          <t>General</t>
        </is>
      </c>
      <c r="I758" t="inlineStr">
        <is>
          <t>General</t>
        </is>
      </c>
      <c r="K758" t="inlineStr">
        <is>
          <t>unclassified</t>
        </is>
      </c>
      <c r="M758" t="n">
        <v>50</v>
      </c>
    </row>
    <row r="759">
      <c r="A759" t="inlineStr">
        <is>
          <t>Fennel</t>
        </is>
      </c>
      <c r="B759" t="inlineStr">
        <is>
          <t>Mulberry Leaf</t>
        </is>
      </c>
      <c r="C759" t="n">
        <v>0</v>
      </c>
      <c r="D759" t="n">
        <v>1</v>
      </c>
      <c r="E759" t="n">
        <v>0</v>
      </c>
      <c r="F759" t="inlineStr">
        <is>
          <t>General</t>
        </is>
      </c>
      <c r="G759" t="inlineStr">
        <is>
          <t>General</t>
        </is>
      </c>
      <c r="H759" t="inlineStr">
        <is>
          <t>General</t>
        </is>
      </c>
      <c r="I759" t="inlineStr">
        <is>
          <t>General</t>
        </is>
      </c>
      <c r="K759" t="inlineStr">
        <is>
          <t>unclassified</t>
        </is>
      </c>
      <c r="M759" t="n">
        <v>50</v>
      </c>
    </row>
    <row r="760">
      <c r="A760" t="inlineStr">
        <is>
          <t>Fennel</t>
        </is>
      </c>
      <c r="B760" t="inlineStr">
        <is>
          <t>Myrtle</t>
        </is>
      </c>
      <c r="C760" t="n">
        <v>0</v>
      </c>
      <c r="D760" t="n">
        <v>1</v>
      </c>
      <c r="E760" t="n">
        <v>0</v>
      </c>
      <c r="F760" t="inlineStr">
        <is>
          <t>General</t>
        </is>
      </c>
      <c r="G760" t="inlineStr">
        <is>
          <t>General</t>
        </is>
      </c>
      <c r="H760" t="inlineStr">
        <is>
          <t>General</t>
        </is>
      </c>
      <c r="I760" t="inlineStr">
        <is>
          <t>General</t>
        </is>
      </c>
      <c r="K760" t="inlineStr">
        <is>
          <t>unclassified</t>
        </is>
      </c>
      <c r="M760" t="n">
        <v>50</v>
      </c>
    </row>
    <row r="761">
      <c r="A761" t="inlineStr">
        <is>
          <t>Fennel</t>
        </is>
      </c>
      <c r="B761" t="inlineStr">
        <is>
          <t>Neem</t>
        </is>
      </c>
      <c r="C761" t="n">
        <v>0</v>
      </c>
      <c r="D761" t="n">
        <v>1</v>
      </c>
      <c r="E761" t="n">
        <v>0</v>
      </c>
      <c r="F761" t="inlineStr">
        <is>
          <t>General</t>
        </is>
      </c>
      <c r="G761" t="inlineStr">
        <is>
          <t>General</t>
        </is>
      </c>
      <c r="H761" t="inlineStr">
        <is>
          <t>General</t>
        </is>
      </c>
      <c r="I761" t="inlineStr">
        <is>
          <t>General</t>
        </is>
      </c>
      <c r="K761" t="inlineStr">
        <is>
          <t>unclassified</t>
        </is>
      </c>
      <c r="M761" t="n">
        <v>50</v>
      </c>
    </row>
    <row r="762">
      <c r="A762" t="inlineStr">
        <is>
          <t>Fennel</t>
        </is>
      </c>
      <c r="B762" t="inlineStr">
        <is>
          <t>Nettle Root</t>
        </is>
      </c>
      <c r="C762" t="n">
        <v>0</v>
      </c>
      <c r="D762" t="n">
        <v>1</v>
      </c>
      <c r="E762" t="n">
        <v>0</v>
      </c>
      <c r="F762" t="inlineStr">
        <is>
          <t>General</t>
        </is>
      </c>
      <c r="G762" t="inlineStr">
        <is>
          <t>General</t>
        </is>
      </c>
      <c r="H762" t="inlineStr">
        <is>
          <t>General</t>
        </is>
      </c>
      <c r="I762" t="inlineStr">
        <is>
          <t>General</t>
        </is>
      </c>
      <c r="K762" t="inlineStr">
        <is>
          <t>unclassified</t>
        </is>
      </c>
      <c r="M762" t="n">
        <v>50</v>
      </c>
    </row>
    <row r="763">
      <c r="A763" t="inlineStr">
        <is>
          <t>Fennel</t>
        </is>
      </c>
      <c r="B763" t="inlineStr">
        <is>
          <t>Noni</t>
        </is>
      </c>
      <c r="C763" t="n">
        <v>0</v>
      </c>
      <c r="D763" t="n">
        <v>1</v>
      </c>
      <c r="E763" t="n">
        <v>0</v>
      </c>
      <c r="F763" t="inlineStr">
        <is>
          <t>General</t>
        </is>
      </c>
      <c r="G763" t="inlineStr">
        <is>
          <t>General</t>
        </is>
      </c>
      <c r="H763" t="inlineStr">
        <is>
          <t>General</t>
        </is>
      </c>
      <c r="I763" t="inlineStr">
        <is>
          <t>General</t>
        </is>
      </c>
      <c r="K763" t="inlineStr">
        <is>
          <t>unclassified</t>
        </is>
      </c>
      <c r="M763" t="n">
        <v>50</v>
      </c>
    </row>
    <row r="764">
      <c r="A764" t="inlineStr">
        <is>
          <t>Fennel</t>
        </is>
      </c>
      <c r="B764" t="inlineStr">
        <is>
          <t>Oatstraw</t>
        </is>
      </c>
      <c r="C764" t="n">
        <v>0</v>
      </c>
      <c r="D764" t="n">
        <v>1</v>
      </c>
      <c r="E764" t="n">
        <v>0</v>
      </c>
      <c r="F764" t="inlineStr">
        <is>
          <t>General</t>
        </is>
      </c>
      <c r="G764" t="inlineStr">
        <is>
          <t>General</t>
        </is>
      </c>
      <c r="H764" t="inlineStr">
        <is>
          <t>General</t>
        </is>
      </c>
      <c r="I764" t="inlineStr">
        <is>
          <t>General</t>
        </is>
      </c>
      <c r="K764" t="inlineStr">
        <is>
          <t>unclassified</t>
        </is>
      </c>
      <c r="M764" t="n">
        <v>50</v>
      </c>
    </row>
    <row r="765">
      <c r="A765" t="inlineStr">
        <is>
          <t>Fennel</t>
        </is>
      </c>
      <c r="B765" t="inlineStr">
        <is>
          <t>Passionflower</t>
        </is>
      </c>
      <c r="C765" t="n">
        <v>0</v>
      </c>
      <c r="D765" t="n">
        <v>1</v>
      </c>
      <c r="E765" t="n">
        <v>0</v>
      </c>
      <c r="F765" t="inlineStr">
        <is>
          <t>General</t>
        </is>
      </c>
      <c r="G765" t="inlineStr">
        <is>
          <t>General</t>
        </is>
      </c>
      <c r="H765" t="inlineStr">
        <is>
          <t>General</t>
        </is>
      </c>
      <c r="I765" t="inlineStr">
        <is>
          <t>General</t>
        </is>
      </c>
      <c r="K765" t="inlineStr">
        <is>
          <t>unclassified</t>
        </is>
      </c>
      <c r="M765" t="n">
        <v>50</v>
      </c>
    </row>
    <row r="766">
      <c r="A766" t="inlineStr">
        <is>
          <t>Fennel</t>
        </is>
      </c>
      <c r="B766" t="inlineStr">
        <is>
          <t>Pau d'Arco</t>
        </is>
      </c>
      <c r="C766" t="n">
        <v>0</v>
      </c>
      <c r="D766" t="n">
        <v>1</v>
      </c>
      <c r="E766" t="n">
        <v>0</v>
      </c>
      <c r="F766" t="inlineStr">
        <is>
          <t>General</t>
        </is>
      </c>
      <c r="G766" t="inlineStr">
        <is>
          <t>General</t>
        </is>
      </c>
      <c r="H766" t="inlineStr">
        <is>
          <t>General</t>
        </is>
      </c>
      <c r="I766" t="inlineStr">
        <is>
          <t>General</t>
        </is>
      </c>
      <c r="K766" t="inlineStr">
        <is>
          <t>unclassified</t>
        </is>
      </c>
      <c r="M766" t="n">
        <v>50</v>
      </c>
    </row>
    <row r="767">
      <c r="A767" t="inlineStr">
        <is>
          <t>Fennel</t>
        </is>
      </c>
      <c r="B767" t="inlineStr">
        <is>
          <t>Perilla</t>
        </is>
      </c>
      <c r="C767" t="n">
        <v>0</v>
      </c>
      <c r="D767" t="n">
        <v>1</v>
      </c>
      <c r="E767" t="n">
        <v>0</v>
      </c>
      <c r="F767" t="inlineStr">
        <is>
          <t>General</t>
        </is>
      </c>
      <c r="G767" t="inlineStr">
        <is>
          <t>General</t>
        </is>
      </c>
      <c r="H767" t="inlineStr">
        <is>
          <t>General</t>
        </is>
      </c>
      <c r="I767" t="inlineStr">
        <is>
          <t>General</t>
        </is>
      </c>
      <c r="K767" t="inlineStr">
        <is>
          <t>unclassified</t>
        </is>
      </c>
      <c r="M767" t="n">
        <v>50</v>
      </c>
    </row>
    <row r="768">
      <c r="A768" t="inlineStr">
        <is>
          <t>Fennel</t>
        </is>
      </c>
      <c r="B768" t="inlineStr">
        <is>
          <t>Pomegranate</t>
        </is>
      </c>
      <c r="C768" t="n">
        <v>0</v>
      </c>
      <c r="D768" t="n">
        <v>1</v>
      </c>
      <c r="E768" t="n">
        <v>0</v>
      </c>
      <c r="F768" t="inlineStr">
        <is>
          <t>General</t>
        </is>
      </c>
      <c r="G768" t="inlineStr">
        <is>
          <t>General</t>
        </is>
      </c>
      <c r="H768" t="inlineStr">
        <is>
          <t>General</t>
        </is>
      </c>
      <c r="I768" t="inlineStr">
        <is>
          <t>General</t>
        </is>
      </c>
      <c r="K768" t="inlineStr">
        <is>
          <t>unclassified</t>
        </is>
      </c>
      <c r="M768" t="n">
        <v>50</v>
      </c>
    </row>
    <row r="769">
      <c r="A769" t="inlineStr">
        <is>
          <t>Fennel</t>
        </is>
      </c>
      <c r="B769" t="inlineStr">
        <is>
          <t>Poria</t>
        </is>
      </c>
      <c r="C769" t="n">
        <v>0</v>
      </c>
      <c r="D769" t="n">
        <v>1</v>
      </c>
      <c r="E769" t="n">
        <v>0</v>
      </c>
      <c r="F769" t="inlineStr">
        <is>
          <t>General</t>
        </is>
      </c>
      <c r="G769" t="inlineStr">
        <is>
          <t>General</t>
        </is>
      </c>
      <c r="H769" t="inlineStr">
        <is>
          <t>General</t>
        </is>
      </c>
      <c r="I769" t="inlineStr">
        <is>
          <t>General</t>
        </is>
      </c>
      <c r="K769" t="inlineStr">
        <is>
          <t>unclassified</t>
        </is>
      </c>
      <c r="M769" t="n">
        <v>50</v>
      </c>
    </row>
    <row r="770">
      <c r="A770" t="inlineStr">
        <is>
          <t>Fennel</t>
        </is>
      </c>
      <c r="B770" t="inlineStr">
        <is>
          <t>Punarnava</t>
        </is>
      </c>
      <c r="C770" t="n">
        <v>0</v>
      </c>
      <c r="D770" t="n">
        <v>1</v>
      </c>
      <c r="E770" t="n">
        <v>0</v>
      </c>
      <c r="F770" t="inlineStr">
        <is>
          <t>General</t>
        </is>
      </c>
      <c r="G770" t="inlineStr">
        <is>
          <t>General</t>
        </is>
      </c>
      <c r="H770" t="inlineStr">
        <is>
          <t>General</t>
        </is>
      </c>
      <c r="I770" t="inlineStr">
        <is>
          <t>General</t>
        </is>
      </c>
      <c r="K770" t="inlineStr">
        <is>
          <t>unclassified</t>
        </is>
      </c>
      <c r="M770" t="n">
        <v>50</v>
      </c>
    </row>
    <row r="771">
      <c r="A771" t="inlineStr">
        <is>
          <t>Fennel</t>
        </is>
      </c>
      <c r="B771" t="inlineStr">
        <is>
          <t>Red Clover</t>
        </is>
      </c>
      <c r="C771" t="n">
        <v>0</v>
      </c>
      <c r="D771" t="n">
        <v>1</v>
      </c>
      <c r="E771" t="n">
        <v>0</v>
      </c>
      <c r="F771" t="inlineStr">
        <is>
          <t>General</t>
        </is>
      </c>
      <c r="G771" t="inlineStr">
        <is>
          <t>General</t>
        </is>
      </c>
      <c r="H771" t="inlineStr">
        <is>
          <t>General</t>
        </is>
      </c>
      <c r="I771" t="inlineStr">
        <is>
          <t>General</t>
        </is>
      </c>
      <c r="K771" t="inlineStr">
        <is>
          <t>unclassified</t>
        </is>
      </c>
      <c r="M771" t="n">
        <v>50</v>
      </c>
    </row>
    <row r="772">
      <c r="A772" t="inlineStr">
        <is>
          <t>Fennel</t>
        </is>
      </c>
      <c r="B772" t="inlineStr">
        <is>
          <t>Rehmannia Prepared</t>
        </is>
      </c>
      <c r="C772" t="n">
        <v>0</v>
      </c>
      <c r="D772" t="n">
        <v>1</v>
      </c>
      <c r="E772" t="n">
        <v>0</v>
      </c>
      <c r="F772" t="inlineStr">
        <is>
          <t>General</t>
        </is>
      </c>
      <c r="G772" t="inlineStr">
        <is>
          <t>General</t>
        </is>
      </c>
      <c r="H772" t="inlineStr">
        <is>
          <t>General</t>
        </is>
      </c>
      <c r="I772" t="inlineStr">
        <is>
          <t>General</t>
        </is>
      </c>
      <c r="K772" t="inlineStr">
        <is>
          <t>unclassified</t>
        </is>
      </c>
      <c r="M772" t="n">
        <v>50</v>
      </c>
    </row>
    <row r="773">
      <c r="A773" t="inlineStr">
        <is>
          <t>Fennel</t>
        </is>
      </c>
      <c r="B773" t="inlineStr">
        <is>
          <t>Reishi</t>
        </is>
      </c>
      <c r="C773" t="n">
        <v>0</v>
      </c>
      <c r="D773" t="n">
        <v>1</v>
      </c>
      <c r="E773" t="n">
        <v>0</v>
      </c>
      <c r="F773" t="inlineStr">
        <is>
          <t>General</t>
        </is>
      </c>
      <c r="G773" t="inlineStr">
        <is>
          <t>General</t>
        </is>
      </c>
      <c r="H773" t="inlineStr">
        <is>
          <t>General</t>
        </is>
      </c>
      <c r="I773" t="inlineStr">
        <is>
          <t>General</t>
        </is>
      </c>
      <c r="K773" t="inlineStr">
        <is>
          <t>unclassified</t>
        </is>
      </c>
      <c r="M773" t="n">
        <v>50</v>
      </c>
    </row>
    <row r="774">
      <c r="A774" t="inlineStr">
        <is>
          <t>Fennel</t>
        </is>
      </c>
      <c r="B774" t="inlineStr">
        <is>
          <t>Rose Hips</t>
        </is>
      </c>
      <c r="C774" t="n">
        <v>0</v>
      </c>
      <c r="D774" t="n">
        <v>1</v>
      </c>
      <c r="E774" t="n">
        <v>0</v>
      </c>
      <c r="F774" t="inlineStr">
        <is>
          <t>General</t>
        </is>
      </c>
      <c r="G774" t="inlineStr">
        <is>
          <t>General</t>
        </is>
      </c>
      <c r="H774" t="inlineStr">
        <is>
          <t>General</t>
        </is>
      </c>
      <c r="I774" t="inlineStr">
        <is>
          <t>General</t>
        </is>
      </c>
      <c r="K774" t="inlineStr">
        <is>
          <t>unclassified</t>
        </is>
      </c>
      <c r="M774" t="n">
        <v>50</v>
      </c>
    </row>
    <row r="775">
      <c r="A775" t="inlineStr">
        <is>
          <t>Fennel</t>
        </is>
      </c>
      <c r="B775" t="inlineStr">
        <is>
          <t>Sophora Flavescens</t>
        </is>
      </c>
      <c r="C775" t="n">
        <v>0</v>
      </c>
      <c r="D775" t="n">
        <v>1</v>
      </c>
      <c r="E775" t="n">
        <v>0</v>
      </c>
      <c r="F775" t="inlineStr">
        <is>
          <t>General</t>
        </is>
      </c>
      <c r="G775" t="inlineStr">
        <is>
          <t>General</t>
        </is>
      </c>
      <c r="H775" t="inlineStr">
        <is>
          <t>General</t>
        </is>
      </c>
      <c r="I775" t="inlineStr">
        <is>
          <t>General</t>
        </is>
      </c>
      <c r="K775" t="inlineStr">
        <is>
          <t>unclassified</t>
        </is>
      </c>
      <c r="M775" t="n">
        <v>50</v>
      </c>
    </row>
    <row r="776">
      <c r="A776" t="inlineStr">
        <is>
          <t>Fennel</t>
        </is>
      </c>
      <c r="B776" t="inlineStr">
        <is>
          <t>Soursop</t>
        </is>
      </c>
      <c r="C776" t="n">
        <v>0</v>
      </c>
      <c r="D776" t="n">
        <v>1</v>
      </c>
      <c r="E776" t="n">
        <v>0</v>
      </c>
      <c r="F776" t="inlineStr">
        <is>
          <t>General</t>
        </is>
      </c>
      <c r="G776" t="inlineStr">
        <is>
          <t>General</t>
        </is>
      </c>
      <c r="H776" t="inlineStr">
        <is>
          <t>General</t>
        </is>
      </c>
      <c r="I776" t="inlineStr">
        <is>
          <t>General</t>
        </is>
      </c>
      <c r="K776" t="inlineStr">
        <is>
          <t>unclassified</t>
        </is>
      </c>
      <c r="M776" t="n">
        <v>50</v>
      </c>
    </row>
    <row r="777">
      <c r="A777" t="inlineStr">
        <is>
          <t>Fennel</t>
        </is>
      </c>
      <c r="B777" t="inlineStr">
        <is>
          <t>Tamarind</t>
        </is>
      </c>
      <c r="C777" t="n">
        <v>0</v>
      </c>
      <c r="D777" t="n">
        <v>1</v>
      </c>
      <c r="E777" t="n">
        <v>0</v>
      </c>
      <c r="F777" t="inlineStr">
        <is>
          <t>General</t>
        </is>
      </c>
      <c r="G777" t="inlineStr">
        <is>
          <t>General</t>
        </is>
      </c>
      <c r="H777" t="inlineStr">
        <is>
          <t>General</t>
        </is>
      </c>
      <c r="I777" t="inlineStr">
        <is>
          <t>General</t>
        </is>
      </c>
      <c r="K777" t="inlineStr">
        <is>
          <t>unclassified</t>
        </is>
      </c>
      <c r="M777" t="n">
        <v>50</v>
      </c>
    </row>
    <row r="778">
      <c r="A778" t="inlineStr">
        <is>
          <t>Fennel</t>
        </is>
      </c>
      <c r="B778" t="inlineStr">
        <is>
          <t>White Peony</t>
        </is>
      </c>
      <c r="C778" t="n">
        <v>0</v>
      </c>
      <c r="D778" t="n">
        <v>1</v>
      </c>
      <c r="E778" t="n">
        <v>0</v>
      </c>
      <c r="F778" t="inlineStr">
        <is>
          <t>General</t>
        </is>
      </c>
      <c r="G778" t="inlineStr">
        <is>
          <t>General</t>
        </is>
      </c>
      <c r="H778" t="inlineStr">
        <is>
          <t>General</t>
        </is>
      </c>
      <c r="I778" t="inlineStr">
        <is>
          <t>General</t>
        </is>
      </c>
      <c r="K778" t="inlineStr">
        <is>
          <t>unclassified</t>
        </is>
      </c>
      <c r="M778" t="n">
        <v>50</v>
      </c>
    </row>
    <row r="779">
      <c r="A779" t="inlineStr">
        <is>
          <t>Fennel</t>
        </is>
      </c>
      <c r="B779" t="inlineStr">
        <is>
          <t>Yohimbe</t>
        </is>
      </c>
      <c r="C779" t="n">
        <v>0</v>
      </c>
      <c r="D779" t="n">
        <v>1</v>
      </c>
      <c r="E779" t="n">
        <v>0</v>
      </c>
      <c r="F779" t="inlineStr">
        <is>
          <t>General</t>
        </is>
      </c>
      <c r="G779" t="inlineStr">
        <is>
          <t>General</t>
        </is>
      </c>
      <c r="H779" t="inlineStr">
        <is>
          <t>General</t>
        </is>
      </c>
      <c r="I779" t="inlineStr">
        <is>
          <t>General</t>
        </is>
      </c>
      <c r="K779" t="inlineStr">
        <is>
          <t>unclassified</t>
        </is>
      </c>
      <c r="M779" t="n">
        <v>50</v>
      </c>
    </row>
    <row r="780">
      <c r="A780" t="inlineStr">
        <is>
          <t>Feverfew</t>
        </is>
      </c>
      <c r="B780" t="inlineStr">
        <is>
          <t>Agarikon</t>
        </is>
      </c>
      <c r="C780" t="n">
        <v>0</v>
      </c>
      <c r="D780" t="n">
        <v>1</v>
      </c>
      <c r="E780" t="n">
        <v>0</v>
      </c>
      <c r="F780" t="inlineStr">
        <is>
          <t>General</t>
        </is>
      </c>
      <c r="G780" t="inlineStr">
        <is>
          <t>General</t>
        </is>
      </c>
      <c r="H780" t="inlineStr">
        <is>
          <t>General</t>
        </is>
      </c>
      <c r="I780" t="inlineStr">
        <is>
          <t>General</t>
        </is>
      </c>
      <c r="K780" t="inlineStr">
        <is>
          <t>unclassified</t>
        </is>
      </c>
      <c r="M780" t="n">
        <v>50</v>
      </c>
    </row>
    <row r="781">
      <c r="A781" t="inlineStr">
        <is>
          <t>Feverfew</t>
        </is>
      </c>
      <c r="B781" t="inlineStr">
        <is>
          <t>Ajwain</t>
        </is>
      </c>
      <c r="C781" t="n">
        <v>0</v>
      </c>
      <c r="D781" t="n">
        <v>1</v>
      </c>
      <c r="E781" t="n">
        <v>0</v>
      </c>
      <c r="F781" t="inlineStr">
        <is>
          <t>General</t>
        </is>
      </c>
      <c r="G781" t="inlineStr">
        <is>
          <t>General</t>
        </is>
      </c>
      <c r="H781" t="inlineStr">
        <is>
          <t>General</t>
        </is>
      </c>
      <c r="I781" t="inlineStr">
        <is>
          <t>General</t>
        </is>
      </c>
      <c r="K781" t="inlineStr">
        <is>
          <t>unclassified</t>
        </is>
      </c>
      <c r="M781" t="n">
        <v>50</v>
      </c>
    </row>
    <row r="782">
      <c r="A782" t="inlineStr">
        <is>
          <t>Feverfew</t>
        </is>
      </c>
      <c r="B782" t="inlineStr">
        <is>
          <t>Angelica Root</t>
        </is>
      </c>
      <c r="C782" t="n">
        <v>0</v>
      </c>
      <c r="D782" t="n">
        <v>1</v>
      </c>
      <c r="E782" t="n">
        <v>0</v>
      </c>
      <c r="F782" t="inlineStr">
        <is>
          <t>General</t>
        </is>
      </c>
      <c r="G782" t="inlineStr">
        <is>
          <t>General</t>
        </is>
      </c>
      <c r="H782" t="inlineStr">
        <is>
          <t>General</t>
        </is>
      </c>
      <c r="I782" t="inlineStr">
        <is>
          <t>General</t>
        </is>
      </c>
      <c r="K782" t="inlineStr">
        <is>
          <t>unclassified</t>
        </is>
      </c>
      <c r="M782" t="n">
        <v>50</v>
      </c>
    </row>
    <row r="783">
      <c r="A783" t="inlineStr">
        <is>
          <t>Feverfew</t>
        </is>
      </c>
      <c r="B783" t="inlineStr">
        <is>
          <t>Artichoke</t>
        </is>
      </c>
      <c r="C783" t="n">
        <v>0</v>
      </c>
      <c r="D783" t="n">
        <v>1</v>
      </c>
      <c r="E783" t="n">
        <v>0</v>
      </c>
      <c r="F783" t="inlineStr">
        <is>
          <t>General</t>
        </is>
      </c>
      <c r="G783" t="inlineStr">
        <is>
          <t>General</t>
        </is>
      </c>
      <c r="H783" t="inlineStr">
        <is>
          <t>General</t>
        </is>
      </c>
      <c r="I783" t="inlineStr">
        <is>
          <t>General</t>
        </is>
      </c>
      <c r="K783" t="inlineStr">
        <is>
          <t>unclassified</t>
        </is>
      </c>
      <c r="M783" t="n">
        <v>50</v>
      </c>
    </row>
    <row r="784">
      <c r="A784" t="inlineStr">
        <is>
          <t>Feverfew</t>
        </is>
      </c>
      <c r="B784" t="inlineStr">
        <is>
          <t>Ashoka</t>
        </is>
      </c>
      <c r="C784" t="n">
        <v>0</v>
      </c>
      <c r="D784" t="n">
        <v>1</v>
      </c>
      <c r="E784" t="n">
        <v>0</v>
      </c>
      <c r="F784" t="inlineStr">
        <is>
          <t>General</t>
        </is>
      </c>
      <c r="G784" t="inlineStr">
        <is>
          <t>General</t>
        </is>
      </c>
      <c r="H784" t="inlineStr">
        <is>
          <t>General</t>
        </is>
      </c>
      <c r="I784" t="inlineStr">
        <is>
          <t>General</t>
        </is>
      </c>
      <c r="K784" t="inlineStr">
        <is>
          <t>unclassified</t>
        </is>
      </c>
      <c r="M784" t="n">
        <v>50</v>
      </c>
    </row>
    <row r="785">
      <c r="A785" t="inlineStr">
        <is>
          <t>Feverfew</t>
        </is>
      </c>
      <c r="B785" t="inlineStr">
        <is>
          <t>Boldo</t>
        </is>
      </c>
      <c r="C785" t="n">
        <v>0</v>
      </c>
      <c r="D785" t="n">
        <v>1</v>
      </c>
      <c r="E785" t="n">
        <v>0</v>
      </c>
      <c r="F785" t="inlineStr">
        <is>
          <t>General</t>
        </is>
      </c>
      <c r="G785" t="inlineStr">
        <is>
          <t>General</t>
        </is>
      </c>
      <c r="H785" t="inlineStr">
        <is>
          <t>General</t>
        </is>
      </c>
      <c r="I785" t="inlineStr">
        <is>
          <t>General</t>
        </is>
      </c>
      <c r="K785" t="inlineStr">
        <is>
          <t>unclassified</t>
        </is>
      </c>
      <c r="M785" t="n">
        <v>50</v>
      </c>
    </row>
    <row r="786">
      <c r="A786" t="inlineStr">
        <is>
          <t>Feverfew</t>
        </is>
      </c>
      <c r="B786" t="inlineStr">
        <is>
          <t>Burdock</t>
        </is>
      </c>
      <c r="C786" t="n">
        <v>0</v>
      </c>
      <c r="D786" t="n">
        <v>1</v>
      </c>
      <c r="E786" t="n">
        <v>0</v>
      </c>
      <c r="F786" t="inlineStr">
        <is>
          <t>General</t>
        </is>
      </c>
      <c r="G786" t="inlineStr">
        <is>
          <t>General</t>
        </is>
      </c>
      <c r="H786" t="inlineStr">
        <is>
          <t>General</t>
        </is>
      </c>
      <c r="I786" t="inlineStr">
        <is>
          <t>General</t>
        </is>
      </c>
      <c r="K786" t="inlineStr">
        <is>
          <t>unclassified</t>
        </is>
      </c>
      <c r="M786" t="n">
        <v>50</v>
      </c>
    </row>
    <row r="787">
      <c r="A787" t="inlineStr">
        <is>
          <t>Feverfew</t>
        </is>
      </c>
      <c r="B787" t="inlineStr">
        <is>
          <t>Butterbur</t>
        </is>
      </c>
      <c r="C787" t="n">
        <v>0</v>
      </c>
      <c r="D787" t="n">
        <v>1</v>
      </c>
      <c r="E787" t="n">
        <v>0</v>
      </c>
      <c r="F787" t="inlineStr">
        <is>
          <t>General</t>
        </is>
      </c>
      <c r="G787" t="inlineStr">
        <is>
          <t>General</t>
        </is>
      </c>
      <c r="H787" t="inlineStr">
        <is>
          <t>General</t>
        </is>
      </c>
      <c r="I787" t="inlineStr">
        <is>
          <t>General</t>
        </is>
      </c>
      <c r="K787" t="inlineStr">
        <is>
          <t>unclassified</t>
        </is>
      </c>
      <c r="M787" t="n">
        <v>50</v>
      </c>
    </row>
    <row r="788">
      <c r="A788" t="inlineStr">
        <is>
          <t>Feverfew</t>
        </is>
      </c>
      <c r="B788" t="inlineStr">
        <is>
          <t>Calendula</t>
        </is>
      </c>
      <c r="C788" t="n">
        <v>0</v>
      </c>
      <c r="D788" t="n">
        <v>1</v>
      </c>
      <c r="E788" t="n">
        <v>0</v>
      </c>
      <c r="F788" t="inlineStr">
        <is>
          <t>General</t>
        </is>
      </c>
      <c r="G788" t="inlineStr">
        <is>
          <t>General</t>
        </is>
      </c>
      <c r="H788" t="inlineStr">
        <is>
          <t>General</t>
        </is>
      </c>
      <c r="I788" t="inlineStr">
        <is>
          <t>General</t>
        </is>
      </c>
      <c r="K788" t="inlineStr">
        <is>
          <t>unclassified</t>
        </is>
      </c>
      <c r="M788" t="n">
        <v>50</v>
      </c>
    </row>
    <row r="789">
      <c r="A789" t="inlineStr">
        <is>
          <t>Feverfew</t>
        </is>
      </c>
      <c r="B789" t="inlineStr">
        <is>
          <t>Caraway</t>
        </is>
      </c>
      <c r="C789" t="n">
        <v>0</v>
      </c>
      <c r="D789" t="n">
        <v>1</v>
      </c>
      <c r="E789" t="n">
        <v>0</v>
      </c>
      <c r="F789" t="inlineStr">
        <is>
          <t>General</t>
        </is>
      </c>
      <c r="G789" t="inlineStr">
        <is>
          <t>General</t>
        </is>
      </c>
      <c r="H789" t="inlineStr">
        <is>
          <t>General</t>
        </is>
      </c>
      <c r="I789" t="inlineStr">
        <is>
          <t>General</t>
        </is>
      </c>
      <c r="K789" t="inlineStr">
        <is>
          <t>unclassified</t>
        </is>
      </c>
      <c r="M789" t="n">
        <v>50</v>
      </c>
    </row>
    <row r="790">
      <c r="A790" t="inlineStr">
        <is>
          <t>Feverfew</t>
        </is>
      </c>
      <c r="B790" t="inlineStr">
        <is>
          <t>Cardamom</t>
        </is>
      </c>
      <c r="C790" t="n">
        <v>0</v>
      </c>
      <c r="D790" t="n">
        <v>1</v>
      </c>
      <c r="E790" t="n">
        <v>0</v>
      </c>
      <c r="F790" t="inlineStr">
        <is>
          <t>General</t>
        </is>
      </c>
      <c r="G790" t="inlineStr">
        <is>
          <t>General</t>
        </is>
      </c>
      <c r="H790" t="inlineStr">
        <is>
          <t>General</t>
        </is>
      </c>
      <c r="I790" t="inlineStr">
        <is>
          <t>General</t>
        </is>
      </c>
      <c r="K790" t="inlineStr">
        <is>
          <t>unclassified</t>
        </is>
      </c>
      <c r="M790" t="n">
        <v>50</v>
      </c>
    </row>
    <row r="791">
      <c r="A791" t="inlineStr">
        <is>
          <t>Feverfew</t>
        </is>
      </c>
      <c r="B791" t="inlineStr">
        <is>
          <t>Celastrus Paniculatus</t>
        </is>
      </c>
      <c r="C791" t="n">
        <v>0</v>
      </c>
      <c r="D791" t="n">
        <v>1</v>
      </c>
      <c r="E791" t="n">
        <v>0</v>
      </c>
      <c r="F791" t="inlineStr">
        <is>
          <t>General</t>
        </is>
      </c>
      <c r="G791" t="inlineStr">
        <is>
          <t>General</t>
        </is>
      </c>
      <c r="H791" t="inlineStr">
        <is>
          <t>General</t>
        </is>
      </c>
      <c r="I791" t="inlineStr">
        <is>
          <t>General</t>
        </is>
      </c>
      <c r="K791" t="inlineStr">
        <is>
          <t>unclassified</t>
        </is>
      </c>
      <c r="M791" t="n">
        <v>50</v>
      </c>
    </row>
    <row r="792">
      <c r="A792" t="inlineStr">
        <is>
          <t>Feverfew</t>
        </is>
      </c>
      <c r="B792" t="inlineStr">
        <is>
          <t>Cinnamon</t>
        </is>
      </c>
      <c r="C792" t="n">
        <v>0</v>
      </c>
      <c r="D792" t="n">
        <v>1</v>
      </c>
      <c r="E792" t="n">
        <v>0</v>
      </c>
      <c r="F792" t="inlineStr">
        <is>
          <t>General</t>
        </is>
      </c>
      <c r="G792" t="inlineStr">
        <is>
          <t>General</t>
        </is>
      </c>
      <c r="H792" t="inlineStr">
        <is>
          <t>General</t>
        </is>
      </c>
      <c r="I792" t="inlineStr">
        <is>
          <t>General</t>
        </is>
      </c>
      <c r="K792" t="inlineStr">
        <is>
          <t>unclassified</t>
        </is>
      </c>
      <c r="M792" t="n">
        <v>50</v>
      </c>
    </row>
    <row r="793">
      <c r="A793" t="inlineStr">
        <is>
          <t>Feverfew</t>
        </is>
      </c>
      <c r="B793" t="inlineStr">
        <is>
          <t>Cistanche</t>
        </is>
      </c>
      <c r="C793" t="n">
        <v>0</v>
      </c>
      <c r="D793" t="n">
        <v>1</v>
      </c>
      <c r="E793" t="n">
        <v>0</v>
      </c>
      <c r="F793" t="inlineStr">
        <is>
          <t>General</t>
        </is>
      </c>
      <c r="G793" t="inlineStr">
        <is>
          <t>General</t>
        </is>
      </c>
      <c r="H793" t="inlineStr">
        <is>
          <t>General</t>
        </is>
      </c>
      <c r="I793" t="inlineStr">
        <is>
          <t>General</t>
        </is>
      </c>
      <c r="K793" t="inlineStr">
        <is>
          <t>unclassified</t>
        </is>
      </c>
      <c r="M793" t="n">
        <v>50</v>
      </c>
    </row>
    <row r="794">
      <c r="A794" t="inlineStr">
        <is>
          <t>Feverfew</t>
        </is>
      </c>
      <c r="B794" t="inlineStr">
        <is>
          <t>Cordyceps</t>
        </is>
      </c>
      <c r="C794" t="n">
        <v>0</v>
      </c>
      <c r="D794" t="n">
        <v>1</v>
      </c>
      <c r="E794" t="n">
        <v>0</v>
      </c>
      <c r="F794" t="inlineStr">
        <is>
          <t>General</t>
        </is>
      </c>
      <c r="G794" t="inlineStr">
        <is>
          <t>General</t>
        </is>
      </c>
      <c r="H794" t="inlineStr">
        <is>
          <t>General</t>
        </is>
      </c>
      <c r="I794" t="inlineStr">
        <is>
          <t>General</t>
        </is>
      </c>
      <c r="K794" t="inlineStr">
        <is>
          <t>unclassified</t>
        </is>
      </c>
      <c r="M794" t="n">
        <v>50</v>
      </c>
    </row>
    <row r="795">
      <c r="A795" t="inlineStr">
        <is>
          <t>Feverfew</t>
        </is>
      </c>
      <c r="B795" t="inlineStr">
        <is>
          <t>Dandelion</t>
        </is>
      </c>
      <c r="C795" t="n">
        <v>0</v>
      </c>
      <c r="D795" t="n">
        <v>1</v>
      </c>
      <c r="E795" t="n">
        <v>0</v>
      </c>
      <c r="F795" t="inlineStr">
        <is>
          <t>General</t>
        </is>
      </c>
      <c r="G795" t="inlineStr">
        <is>
          <t>General</t>
        </is>
      </c>
      <c r="H795" t="inlineStr">
        <is>
          <t>General</t>
        </is>
      </c>
      <c r="I795" t="inlineStr">
        <is>
          <t>General</t>
        </is>
      </c>
      <c r="K795" t="inlineStr">
        <is>
          <t>unclassified</t>
        </is>
      </c>
      <c r="M795" t="n">
        <v>50</v>
      </c>
    </row>
    <row r="796">
      <c r="A796" t="inlineStr">
        <is>
          <t>Feverfew</t>
        </is>
      </c>
      <c r="B796" t="inlineStr">
        <is>
          <t>Dendrobium</t>
        </is>
      </c>
      <c r="C796" t="n">
        <v>0</v>
      </c>
      <c r="D796" t="n">
        <v>1</v>
      </c>
      <c r="E796" t="n">
        <v>0</v>
      </c>
      <c r="F796" t="inlineStr">
        <is>
          <t>General</t>
        </is>
      </c>
      <c r="G796" t="inlineStr">
        <is>
          <t>General</t>
        </is>
      </c>
      <c r="H796" t="inlineStr">
        <is>
          <t>General</t>
        </is>
      </c>
      <c r="I796" t="inlineStr">
        <is>
          <t>General</t>
        </is>
      </c>
      <c r="K796" t="inlineStr">
        <is>
          <t>unclassified</t>
        </is>
      </c>
      <c r="M796" t="n">
        <v>50</v>
      </c>
    </row>
    <row r="797">
      <c r="A797" t="inlineStr">
        <is>
          <t>Feverfew</t>
        </is>
      </c>
      <c r="B797" t="inlineStr">
        <is>
          <t>Dong Quai</t>
        </is>
      </c>
      <c r="C797" t="n">
        <v>0</v>
      </c>
      <c r="D797" t="n">
        <v>1</v>
      </c>
      <c r="E797" t="n">
        <v>0</v>
      </c>
      <c r="F797" t="inlineStr">
        <is>
          <t>General</t>
        </is>
      </c>
      <c r="G797" t="inlineStr">
        <is>
          <t>General</t>
        </is>
      </c>
      <c r="H797" t="inlineStr">
        <is>
          <t>General</t>
        </is>
      </c>
      <c r="I797" t="inlineStr">
        <is>
          <t>General</t>
        </is>
      </c>
      <c r="K797" t="inlineStr">
        <is>
          <t>unclassified</t>
        </is>
      </c>
      <c r="M797" t="n">
        <v>50</v>
      </c>
    </row>
    <row r="798">
      <c r="A798" t="inlineStr">
        <is>
          <t>Feverfew</t>
        </is>
      </c>
      <c r="B798" t="inlineStr">
        <is>
          <t>Elecampane</t>
        </is>
      </c>
      <c r="C798" t="n">
        <v>0</v>
      </c>
      <c r="D798" t="n">
        <v>1</v>
      </c>
      <c r="E798" t="n">
        <v>0</v>
      </c>
      <c r="F798" t="inlineStr">
        <is>
          <t>General</t>
        </is>
      </c>
      <c r="G798" t="inlineStr">
        <is>
          <t>General</t>
        </is>
      </c>
      <c r="H798" t="inlineStr">
        <is>
          <t>General</t>
        </is>
      </c>
      <c r="I798" t="inlineStr">
        <is>
          <t>General</t>
        </is>
      </c>
      <c r="K798" t="inlineStr">
        <is>
          <t>unclassified</t>
        </is>
      </c>
      <c r="M798" t="n">
        <v>50</v>
      </c>
    </row>
    <row r="799">
      <c r="A799" t="inlineStr">
        <is>
          <t>Feverfew</t>
        </is>
      </c>
      <c r="B799" t="inlineStr">
        <is>
          <t>Eleuthero</t>
        </is>
      </c>
      <c r="C799" t="n">
        <v>0</v>
      </c>
      <c r="D799" t="n">
        <v>1</v>
      </c>
      <c r="E799" t="n">
        <v>0</v>
      </c>
      <c r="F799" t="inlineStr">
        <is>
          <t>General</t>
        </is>
      </c>
      <c r="G799" t="inlineStr">
        <is>
          <t>General</t>
        </is>
      </c>
      <c r="H799" t="inlineStr">
        <is>
          <t>General</t>
        </is>
      </c>
      <c r="I799" t="inlineStr">
        <is>
          <t>General</t>
        </is>
      </c>
      <c r="K799" t="inlineStr">
        <is>
          <t>unclassified</t>
        </is>
      </c>
      <c r="M799" t="n">
        <v>50</v>
      </c>
    </row>
    <row r="800">
      <c r="A800" t="inlineStr">
        <is>
          <t>Feverfew</t>
        </is>
      </c>
      <c r="B800" t="inlineStr">
        <is>
          <t>Fennel</t>
        </is>
      </c>
      <c r="C800" t="n">
        <v>0</v>
      </c>
      <c r="D800" t="n">
        <v>1</v>
      </c>
      <c r="E800" t="n">
        <v>0</v>
      </c>
      <c r="F800" t="inlineStr">
        <is>
          <t>General</t>
        </is>
      </c>
      <c r="G800" t="inlineStr">
        <is>
          <t>General</t>
        </is>
      </c>
      <c r="H800" t="inlineStr">
        <is>
          <t>General</t>
        </is>
      </c>
      <c r="I800" t="inlineStr">
        <is>
          <t>General</t>
        </is>
      </c>
      <c r="K800" t="inlineStr">
        <is>
          <t>unclassified</t>
        </is>
      </c>
      <c r="M800" t="n">
        <v>50</v>
      </c>
    </row>
    <row r="801">
      <c r="A801" t="inlineStr">
        <is>
          <t>Feverfew</t>
        </is>
      </c>
      <c r="B801" t="inlineStr">
        <is>
          <t>Galangal</t>
        </is>
      </c>
      <c r="C801" t="n">
        <v>0</v>
      </c>
      <c r="D801" t="n">
        <v>1</v>
      </c>
      <c r="E801" t="n">
        <v>0</v>
      </c>
      <c r="F801" t="inlineStr">
        <is>
          <t>General</t>
        </is>
      </c>
      <c r="G801" t="inlineStr">
        <is>
          <t>General</t>
        </is>
      </c>
      <c r="H801" t="inlineStr">
        <is>
          <t>General</t>
        </is>
      </c>
      <c r="I801" t="inlineStr">
        <is>
          <t>General</t>
        </is>
      </c>
      <c r="K801" t="inlineStr">
        <is>
          <t>unclassified</t>
        </is>
      </c>
      <c r="M801" t="n">
        <v>50</v>
      </c>
    </row>
    <row r="802">
      <c r="A802" t="inlineStr">
        <is>
          <t>Feverfew</t>
        </is>
      </c>
      <c r="B802" t="inlineStr">
        <is>
          <t>Gastrodia</t>
        </is>
      </c>
      <c r="C802" t="n">
        <v>0</v>
      </c>
      <c r="D802" t="n">
        <v>1</v>
      </c>
      <c r="E802" t="n">
        <v>0</v>
      </c>
      <c r="F802" t="inlineStr">
        <is>
          <t>General</t>
        </is>
      </c>
      <c r="G802" t="inlineStr">
        <is>
          <t>General</t>
        </is>
      </c>
      <c r="H802" t="inlineStr">
        <is>
          <t>General</t>
        </is>
      </c>
      <c r="I802" t="inlineStr">
        <is>
          <t>General</t>
        </is>
      </c>
      <c r="K802" t="inlineStr">
        <is>
          <t>unclassified</t>
        </is>
      </c>
      <c r="M802" t="n">
        <v>50</v>
      </c>
    </row>
    <row r="803">
      <c r="A803" t="inlineStr">
        <is>
          <t>Feverfew</t>
        </is>
      </c>
      <c r="B803" t="inlineStr">
        <is>
          <t>Gudmar</t>
        </is>
      </c>
      <c r="C803" t="n">
        <v>0</v>
      </c>
      <c r="D803" t="n">
        <v>1</v>
      </c>
      <c r="E803" t="n">
        <v>0</v>
      </c>
      <c r="F803" t="inlineStr">
        <is>
          <t>General</t>
        </is>
      </c>
      <c r="G803" t="inlineStr">
        <is>
          <t>General</t>
        </is>
      </c>
      <c r="H803" t="inlineStr">
        <is>
          <t>General</t>
        </is>
      </c>
      <c r="I803" t="inlineStr">
        <is>
          <t>General</t>
        </is>
      </c>
      <c r="K803" t="inlineStr">
        <is>
          <t>unclassified</t>
        </is>
      </c>
      <c r="M803" t="n">
        <v>50</v>
      </c>
    </row>
    <row r="804">
      <c r="A804" t="inlineStr">
        <is>
          <t>Feverfew</t>
        </is>
      </c>
      <c r="B804" t="inlineStr">
        <is>
          <t>Gymnema</t>
        </is>
      </c>
      <c r="C804" t="n">
        <v>0</v>
      </c>
      <c r="D804" t="n">
        <v>1</v>
      </c>
      <c r="E804" t="n">
        <v>0</v>
      </c>
      <c r="F804" t="inlineStr">
        <is>
          <t>General</t>
        </is>
      </c>
      <c r="G804" t="inlineStr">
        <is>
          <t>General</t>
        </is>
      </c>
      <c r="H804" t="inlineStr">
        <is>
          <t>General</t>
        </is>
      </c>
      <c r="I804" t="inlineStr">
        <is>
          <t>General</t>
        </is>
      </c>
      <c r="K804" t="inlineStr">
        <is>
          <t>unclassified</t>
        </is>
      </c>
      <c r="M804" t="n">
        <v>50</v>
      </c>
    </row>
    <row r="805">
      <c r="A805" t="inlineStr">
        <is>
          <t>Feverfew</t>
        </is>
      </c>
      <c r="B805" t="inlineStr">
        <is>
          <t>Hops</t>
        </is>
      </c>
      <c r="C805" t="n">
        <v>0</v>
      </c>
      <c r="D805" t="n">
        <v>1</v>
      </c>
      <c r="E805" t="n">
        <v>0</v>
      </c>
      <c r="F805" t="inlineStr">
        <is>
          <t>General</t>
        </is>
      </c>
      <c r="G805" t="inlineStr">
        <is>
          <t>General</t>
        </is>
      </c>
      <c r="H805" t="inlineStr">
        <is>
          <t>General</t>
        </is>
      </c>
      <c r="I805" t="inlineStr">
        <is>
          <t>General</t>
        </is>
      </c>
      <c r="K805" t="inlineStr">
        <is>
          <t>unclassified</t>
        </is>
      </c>
      <c r="M805" t="n">
        <v>50</v>
      </c>
    </row>
    <row r="806">
      <c r="A806" t="inlineStr">
        <is>
          <t>Feverfew</t>
        </is>
      </c>
      <c r="B806" t="inlineStr">
        <is>
          <t>Houttuynia</t>
        </is>
      </c>
      <c r="C806" t="n">
        <v>0</v>
      </c>
      <c r="D806" t="n">
        <v>1</v>
      </c>
      <c r="E806" t="n">
        <v>0</v>
      </c>
      <c r="F806" t="inlineStr">
        <is>
          <t>General</t>
        </is>
      </c>
      <c r="G806" t="inlineStr">
        <is>
          <t>General</t>
        </is>
      </c>
      <c r="H806" t="inlineStr">
        <is>
          <t>General</t>
        </is>
      </c>
      <c r="I806" t="inlineStr">
        <is>
          <t>General</t>
        </is>
      </c>
      <c r="K806" t="inlineStr">
        <is>
          <t>unclassified</t>
        </is>
      </c>
      <c r="M806" t="n">
        <v>50</v>
      </c>
    </row>
    <row r="807">
      <c r="A807" t="inlineStr">
        <is>
          <t>Feverfew</t>
        </is>
      </c>
      <c r="B807" t="inlineStr">
        <is>
          <t>Isatis</t>
        </is>
      </c>
      <c r="C807" t="n">
        <v>0</v>
      </c>
      <c r="D807" t="n">
        <v>1</v>
      </c>
      <c r="E807" t="n">
        <v>0</v>
      </c>
      <c r="F807" t="inlineStr">
        <is>
          <t>General</t>
        </is>
      </c>
      <c r="G807" t="inlineStr">
        <is>
          <t>General</t>
        </is>
      </c>
      <c r="H807" t="inlineStr">
        <is>
          <t>General</t>
        </is>
      </c>
      <c r="I807" t="inlineStr">
        <is>
          <t>General</t>
        </is>
      </c>
      <c r="K807" t="inlineStr">
        <is>
          <t>unclassified</t>
        </is>
      </c>
      <c r="M807" t="n">
        <v>50</v>
      </c>
    </row>
    <row r="808">
      <c r="A808" t="inlineStr">
        <is>
          <t>Feverfew</t>
        </is>
      </c>
      <c r="B808" t="inlineStr">
        <is>
          <t>Jatamansi</t>
        </is>
      </c>
      <c r="C808" t="n">
        <v>0</v>
      </c>
      <c r="D808" t="n">
        <v>1</v>
      </c>
      <c r="E808" t="n">
        <v>0</v>
      </c>
      <c r="F808" t="inlineStr">
        <is>
          <t>General</t>
        </is>
      </c>
      <c r="G808" t="inlineStr">
        <is>
          <t>General</t>
        </is>
      </c>
      <c r="H808" t="inlineStr">
        <is>
          <t>General</t>
        </is>
      </c>
      <c r="I808" t="inlineStr">
        <is>
          <t>General</t>
        </is>
      </c>
      <c r="K808" t="inlineStr">
        <is>
          <t>unclassified</t>
        </is>
      </c>
      <c r="M808" t="n">
        <v>50</v>
      </c>
    </row>
    <row r="809">
      <c r="A809" t="inlineStr">
        <is>
          <t>Feverfew</t>
        </is>
      </c>
      <c r="B809" t="inlineStr">
        <is>
          <t>Lemon Verbena</t>
        </is>
      </c>
      <c r="C809" t="n">
        <v>0</v>
      </c>
      <c r="D809" t="n">
        <v>1</v>
      </c>
      <c r="E809" t="n">
        <v>0</v>
      </c>
      <c r="F809" t="inlineStr">
        <is>
          <t>General</t>
        </is>
      </c>
      <c r="G809" t="inlineStr">
        <is>
          <t>General</t>
        </is>
      </c>
      <c r="H809" t="inlineStr">
        <is>
          <t>General</t>
        </is>
      </c>
      <c r="I809" t="inlineStr">
        <is>
          <t>General</t>
        </is>
      </c>
      <c r="K809" t="inlineStr">
        <is>
          <t>unclassified</t>
        </is>
      </c>
      <c r="M809" t="n">
        <v>50</v>
      </c>
    </row>
    <row r="810">
      <c r="A810" t="inlineStr">
        <is>
          <t>Feverfew</t>
        </is>
      </c>
      <c r="B810" t="inlineStr">
        <is>
          <t>Lemongrass</t>
        </is>
      </c>
      <c r="C810" t="n">
        <v>0</v>
      </c>
      <c r="D810" t="n">
        <v>1</v>
      </c>
      <c r="E810" t="n">
        <v>0</v>
      </c>
      <c r="F810" t="inlineStr">
        <is>
          <t>General</t>
        </is>
      </c>
      <c r="G810" t="inlineStr">
        <is>
          <t>General</t>
        </is>
      </c>
      <c r="H810" t="inlineStr">
        <is>
          <t>General</t>
        </is>
      </c>
      <c r="I810" t="inlineStr">
        <is>
          <t>General</t>
        </is>
      </c>
      <c r="K810" t="inlineStr">
        <is>
          <t>unclassified</t>
        </is>
      </c>
      <c r="M810" t="n">
        <v>50</v>
      </c>
    </row>
    <row r="811">
      <c r="A811" t="inlineStr">
        <is>
          <t>Feverfew</t>
        </is>
      </c>
      <c r="B811" t="inlineStr">
        <is>
          <t>Longan</t>
        </is>
      </c>
      <c r="C811" t="n">
        <v>0</v>
      </c>
      <c r="D811" t="n">
        <v>1</v>
      </c>
      <c r="E811" t="n">
        <v>0</v>
      </c>
      <c r="F811" t="inlineStr">
        <is>
          <t>General</t>
        </is>
      </c>
      <c r="G811" t="inlineStr">
        <is>
          <t>General</t>
        </is>
      </c>
      <c r="H811" t="inlineStr">
        <is>
          <t>General</t>
        </is>
      </c>
      <c r="I811" t="inlineStr">
        <is>
          <t>General</t>
        </is>
      </c>
      <c r="K811" t="inlineStr">
        <is>
          <t>unclassified</t>
        </is>
      </c>
      <c r="M811" t="n">
        <v>50</v>
      </c>
    </row>
    <row r="812">
      <c r="A812" t="inlineStr">
        <is>
          <t>Feverfew</t>
        </is>
      </c>
      <c r="B812" t="inlineStr">
        <is>
          <t>Maitake D-Fraction</t>
        </is>
      </c>
      <c r="C812" t="n">
        <v>0</v>
      </c>
      <c r="D812" t="n">
        <v>1</v>
      </c>
      <c r="E812" t="n">
        <v>0</v>
      </c>
      <c r="F812" t="inlineStr">
        <is>
          <t>General</t>
        </is>
      </c>
      <c r="G812" t="inlineStr">
        <is>
          <t>General</t>
        </is>
      </c>
      <c r="H812" t="inlineStr">
        <is>
          <t>General</t>
        </is>
      </c>
      <c r="I812" t="inlineStr">
        <is>
          <t>General</t>
        </is>
      </c>
      <c r="K812" t="inlineStr">
        <is>
          <t>unclassified</t>
        </is>
      </c>
      <c r="M812" t="n">
        <v>50</v>
      </c>
    </row>
    <row r="813">
      <c r="A813" t="inlineStr">
        <is>
          <t>Feverfew</t>
        </is>
      </c>
      <c r="B813" t="inlineStr">
        <is>
          <t>Milk Oats</t>
        </is>
      </c>
      <c r="C813" t="n">
        <v>0</v>
      </c>
      <c r="D813" t="n">
        <v>1</v>
      </c>
      <c r="E813" t="n">
        <v>0</v>
      </c>
      <c r="F813" t="inlineStr">
        <is>
          <t>General</t>
        </is>
      </c>
      <c r="G813" t="inlineStr">
        <is>
          <t>General</t>
        </is>
      </c>
      <c r="H813" t="inlineStr">
        <is>
          <t>General</t>
        </is>
      </c>
      <c r="I813" t="inlineStr">
        <is>
          <t>General</t>
        </is>
      </c>
      <c r="K813" t="inlineStr">
        <is>
          <t>unclassified</t>
        </is>
      </c>
      <c r="M813" t="n">
        <v>50</v>
      </c>
    </row>
    <row r="814">
      <c r="A814" t="inlineStr">
        <is>
          <t>Feverfew</t>
        </is>
      </c>
      <c r="B814" t="inlineStr">
        <is>
          <t>Mugwort</t>
        </is>
      </c>
      <c r="C814" t="n">
        <v>0</v>
      </c>
      <c r="D814" t="n">
        <v>1</v>
      </c>
      <c r="E814" t="n">
        <v>0</v>
      </c>
      <c r="F814" t="inlineStr">
        <is>
          <t>General</t>
        </is>
      </c>
      <c r="G814" t="inlineStr">
        <is>
          <t>General</t>
        </is>
      </c>
      <c r="H814" t="inlineStr">
        <is>
          <t>General</t>
        </is>
      </c>
      <c r="I814" t="inlineStr">
        <is>
          <t>General</t>
        </is>
      </c>
      <c r="K814" t="inlineStr">
        <is>
          <t>unclassified</t>
        </is>
      </c>
      <c r="M814" t="n">
        <v>50</v>
      </c>
    </row>
    <row r="815">
      <c r="A815" t="inlineStr">
        <is>
          <t>Feverfew</t>
        </is>
      </c>
      <c r="B815" t="inlineStr">
        <is>
          <t>Muira Puama</t>
        </is>
      </c>
      <c r="C815" t="n">
        <v>0</v>
      </c>
      <c r="D815" t="n">
        <v>1</v>
      </c>
      <c r="E815" t="n">
        <v>0</v>
      </c>
      <c r="F815" t="inlineStr">
        <is>
          <t>General</t>
        </is>
      </c>
      <c r="G815" t="inlineStr">
        <is>
          <t>General</t>
        </is>
      </c>
      <c r="H815" t="inlineStr">
        <is>
          <t>General</t>
        </is>
      </c>
      <c r="I815" t="inlineStr">
        <is>
          <t>General</t>
        </is>
      </c>
      <c r="K815" t="inlineStr">
        <is>
          <t>unclassified</t>
        </is>
      </c>
      <c r="M815" t="n">
        <v>50</v>
      </c>
    </row>
    <row r="816">
      <c r="A816" t="inlineStr">
        <is>
          <t>Feverfew</t>
        </is>
      </c>
      <c r="B816" t="inlineStr">
        <is>
          <t>Mulberry Leaf</t>
        </is>
      </c>
      <c r="C816" t="n">
        <v>0</v>
      </c>
      <c r="D816" t="n">
        <v>1</v>
      </c>
      <c r="E816" t="n">
        <v>0</v>
      </c>
      <c r="F816" t="inlineStr">
        <is>
          <t>General</t>
        </is>
      </c>
      <c r="G816" t="inlineStr">
        <is>
          <t>General</t>
        </is>
      </c>
      <c r="H816" t="inlineStr">
        <is>
          <t>General</t>
        </is>
      </c>
      <c r="I816" t="inlineStr">
        <is>
          <t>General</t>
        </is>
      </c>
      <c r="K816" t="inlineStr">
        <is>
          <t>unclassified</t>
        </is>
      </c>
      <c r="M816" t="n">
        <v>50</v>
      </c>
    </row>
    <row r="817">
      <c r="A817" t="inlineStr">
        <is>
          <t>Feverfew</t>
        </is>
      </c>
      <c r="B817" t="inlineStr">
        <is>
          <t>Myrtle</t>
        </is>
      </c>
      <c r="C817" t="n">
        <v>0</v>
      </c>
      <c r="D817" t="n">
        <v>1</v>
      </c>
      <c r="E817" t="n">
        <v>0</v>
      </c>
      <c r="F817" t="inlineStr">
        <is>
          <t>General</t>
        </is>
      </c>
      <c r="G817" t="inlineStr">
        <is>
          <t>General</t>
        </is>
      </c>
      <c r="H817" t="inlineStr">
        <is>
          <t>General</t>
        </is>
      </c>
      <c r="I817" t="inlineStr">
        <is>
          <t>General</t>
        </is>
      </c>
      <c r="K817" t="inlineStr">
        <is>
          <t>unclassified</t>
        </is>
      </c>
      <c r="M817" t="n">
        <v>50</v>
      </c>
    </row>
    <row r="818">
      <c r="A818" t="inlineStr">
        <is>
          <t>Feverfew</t>
        </is>
      </c>
      <c r="B818" t="inlineStr">
        <is>
          <t>Neem</t>
        </is>
      </c>
      <c r="C818" t="n">
        <v>0</v>
      </c>
      <c r="D818" t="n">
        <v>1</v>
      </c>
      <c r="E818" t="n">
        <v>0</v>
      </c>
      <c r="F818" t="inlineStr">
        <is>
          <t>General</t>
        </is>
      </c>
      <c r="G818" t="inlineStr">
        <is>
          <t>General</t>
        </is>
      </c>
      <c r="H818" t="inlineStr">
        <is>
          <t>General</t>
        </is>
      </c>
      <c r="I818" t="inlineStr">
        <is>
          <t>General</t>
        </is>
      </c>
      <c r="K818" t="inlineStr">
        <is>
          <t>unclassified</t>
        </is>
      </c>
      <c r="M818" t="n">
        <v>50</v>
      </c>
    </row>
    <row r="819">
      <c r="A819" t="inlineStr">
        <is>
          <t>Feverfew</t>
        </is>
      </c>
      <c r="B819" t="inlineStr">
        <is>
          <t>Nettle Root</t>
        </is>
      </c>
      <c r="C819" t="n">
        <v>0</v>
      </c>
      <c r="D819" t="n">
        <v>1</v>
      </c>
      <c r="E819" t="n">
        <v>0</v>
      </c>
      <c r="F819" t="inlineStr">
        <is>
          <t>General</t>
        </is>
      </c>
      <c r="G819" t="inlineStr">
        <is>
          <t>General</t>
        </is>
      </c>
      <c r="H819" t="inlineStr">
        <is>
          <t>General</t>
        </is>
      </c>
      <c r="I819" t="inlineStr">
        <is>
          <t>General</t>
        </is>
      </c>
      <c r="K819" t="inlineStr">
        <is>
          <t>unclassified</t>
        </is>
      </c>
      <c r="M819" t="n">
        <v>50</v>
      </c>
    </row>
    <row r="820">
      <c r="A820" t="inlineStr">
        <is>
          <t>Feverfew</t>
        </is>
      </c>
      <c r="B820" t="inlineStr">
        <is>
          <t>Noni</t>
        </is>
      </c>
      <c r="C820" t="n">
        <v>0</v>
      </c>
      <c r="D820" t="n">
        <v>1</v>
      </c>
      <c r="E820" t="n">
        <v>0</v>
      </c>
      <c r="F820" t="inlineStr">
        <is>
          <t>General</t>
        </is>
      </c>
      <c r="G820" t="inlineStr">
        <is>
          <t>General</t>
        </is>
      </c>
      <c r="H820" t="inlineStr">
        <is>
          <t>General</t>
        </is>
      </c>
      <c r="I820" t="inlineStr">
        <is>
          <t>General</t>
        </is>
      </c>
      <c r="K820" t="inlineStr">
        <is>
          <t>unclassified</t>
        </is>
      </c>
      <c r="M820" t="n">
        <v>50</v>
      </c>
    </row>
    <row r="821">
      <c r="A821" t="inlineStr">
        <is>
          <t>Feverfew</t>
        </is>
      </c>
      <c r="B821" t="inlineStr">
        <is>
          <t>Oatstraw</t>
        </is>
      </c>
      <c r="C821" t="n">
        <v>0</v>
      </c>
      <c r="D821" t="n">
        <v>1</v>
      </c>
      <c r="E821" t="n">
        <v>0</v>
      </c>
      <c r="F821" t="inlineStr">
        <is>
          <t>General</t>
        </is>
      </c>
      <c r="G821" t="inlineStr">
        <is>
          <t>General</t>
        </is>
      </c>
      <c r="H821" t="inlineStr">
        <is>
          <t>General</t>
        </is>
      </c>
      <c r="I821" t="inlineStr">
        <is>
          <t>General</t>
        </is>
      </c>
      <c r="K821" t="inlineStr">
        <is>
          <t>unclassified</t>
        </is>
      </c>
      <c r="M821" t="n">
        <v>50</v>
      </c>
    </row>
    <row r="822">
      <c r="A822" t="inlineStr">
        <is>
          <t>Feverfew</t>
        </is>
      </c>
      <c r="B822" t="inlineStr">
        <is>
          <t>Passionflower</t>
        </is>
      </c>
      <c r="C822" t="n">
        <v>0</v>
      </c>
      <c r="D822" t="n">
        <v>1</v>
      </c>
      <c r="E822" t="n">
        <v>0</v>
      </c>
      <c r="F822" t="inlineStr">
        <is>
          <t>General</t>
        </is>
      </c>
      <c r="G822" t="inlineStr">
        <is>
          <t>General</t>
        </is>
      </c>
      <c r="H822" t="inlineStr">
        <is>
          <t>General</t>
        </is>
      </c>
      <c r="I822" t="inlineStr">
        <is>
          <t>General</t>
        </is>
      </c>
      <c r="K822" t="inlineStr">
        <is>
          <t>unclassified</t>
        </is>
      </c>
      <c r="M822" t="n">
        <v>50</v>
      </c>
    </row>
    <row r="823">
      <c r="A823" t="inlineStr">
        <is>
          <t>Feverfew</t>
        </is>
      </c>
      <c r="B823" t="inlineStr">
        <is>
          <t>Pau d'Arco</t>
        </is>
      </c>
      <c r="C823" t="n">
        <v>0</v>
      </c>
      <c r="D823" t="n">
        <v>1</v>
      </c>
      <c r="E823" t="n">
        <v>0</v>
      </c>
      <c r="F823" t="inlineStr">
        <is>
          <t>General</t>
        </is>
      </c>
      <c r="G823" t="inlineStr">
        <is>
          <t>General</t>
        </is>
      </c>
      <c r="H823" t="inlineStr">
        <is>
          <t>General</t>
        </is>
      </c>
      <c r="I823" t="inlineStr">
        <is>
          <t>General</t>
        </is>
      </c>
      <c r="K823" t="inlineStr">
        <is>
          <t>unclassified</t>
        </is>
      </c>
      <c r="M823" t="n">
        <v>50</v>
      </c>
    </row>
    <row r="824">
      <c r="A824" t="inlineStr">
        <is>
          <t>Feverfew</t>
        </is>
      </c>
      <c r="B824" t="inlineStr">
        <is>
          <t>Perilla</t>
        </is>
      </c>
      <c r="C824" t="n">
        <v>0</v>
      </c>
      <c r="D824" t="n">
        <v>1</v>
      </c>
      <c r="E824" t="n">
        <v>0</v>
      </c>
      <c r="F824" t="inlineStr">
        <is>
          <t>General</t>
        </is>
      </c>
      <c r="G824" t="inlineStr">
        <is>
          <t>General</t>
        </is>
      </c>
      <c r="H824" t="inlineStr">
        <is>
          <t>General</t>
        </is>
      </c>
      <c r="I824" t="inlineStr">
        <is>
          <t>General</t>
        </is>
      </c>
      <c r="K824" t="inlineStr">
        <is>
          <t>unclassified</t>
        </is>
      </c>
      <c r="M824" t="n">
        <v>50</v>
      </c>
    </row>
    <row r="825">
      <c r="A825" t="inlineStr">
        <is>
          <t>Feverfew</t>
        </is>
      </c>
      <c r="B825" t="inlineStr">
        <is>
          <t>Pomegranate</t>
        </is>
      </c>
      <c r="C825" t="n">
        <v>0</v>
      </c>
      <c r="D825" t="n">
        <v>1</v>
      </c>
      <c r="E825" t="n">
        <v>0</v>
      </c>
      <c r="F825" t="inlineStr">
        <is>
          <t>General</t>
        </is>
      </c>
      <c r="G825" t="inlineStr">
        <is>
          <t>General</t>
        </is>
      </c>
      <c r="H825" t="inlineStr">
        <is>
          <t>General</t>
        </is>
      </c>
      <c r="I825" t="inlineStr">
        <is>
          <t>General</t>
        </is>
      </c>
      <c r="K825" t="inlineStr">
        <is>
          <t>unclassified</t>
        </is>
      </c>
      <c r="M825" t="n">
        <v>50</v>
      </c>
    </row>
    <row r="826">
      <c r="A826" t="inlineStr">
        <is>
          <t>Feverfew</t>
        </is>
      </c>
      <c r="B826" t="inlineStr">
        <is>
          <t>Poria</t>
        </is>
      </c>
      <c r="C826" t="n">
        <v>0</v>
      </c>
      <c r="D826" t="n">
        <v>1</v>
      </c>
      <c r="E826" t="n">
        <v>0</v>
      </c>
      <c r="F826" t="inlineStr">
        <is>
          <t>General</t>
        </is>
      </c>
      <c r="G826" t="inlineStr">
        <is>
          <t>General</t>
        </is>
      </c>
      <c r="H826" t="inlineStr">
        <is>
          <t>General</t>
        </is>
      </c>
      <c r="I826" t="inlineStr">
        <is>
          <t>General</t>
        </is>
      </c>
      <c r="K826" t="inlineStr">
        <is>
          <t>unclassified</t>
        </is>
      </c>
      <c r="M826" t="n">
        <v>50</v>
      </c>
    </row>
    <row r="827">
      <c r="A827" t="inlineStr">
        <is>
          <t>Feverfew</t>
        </is>
      </c>
      <c r="B827" t="inlineStr">
        <is>
          <t>Punarnava</t>
        </is>
      </c>
      <c r="C827" t="n">
        <v>0</v>
      </c>
      <c r="D827" t="n">
        <v>1</v>
      </c>
      <c r="E827" t="n">
        <v>0</v>
      </c>
      <c r="F827" t="inlineStr">
        <is>
          <t>General</t>
        </is>
      </c>
      <c r="G827" t="inlineStr">
        <is>
          <t>General</t>
        </is>
      </c>
      <c r="H827" t="inlineStr">
        <is>
          <t>General</t>
        </is>
      </c>
      <c r="I827" t="inlineStr">
        <is>
          <t>General</t>
        </is>
      </c>
      <c r="K827" t="inlineStr">
        <is>
          <t>unclassified</t>
        </is>
      </c>
      <c r="M827" t="n">
        <v>50</v>
      </c>
    </row>
    <row r="828">
      <c r="A828" t="inlineStr">
        <is>
          <t>Feverfew</t>
        </is>
      </c>
      <c r="B828" t="inlineStr">
        <is>
          <t>Red Clover</t>
        </is>
      </c>
      <c r="C828" t="n">
        <v>0</v>
      </c>
      <c r="D828" t="n">
        <v>1</v>
      </c>
      <c r="E828" t="n">
        <v>0</v>
      </c>
      <c r="F828" t="inlineStr">
        <is>
          <t>General</t>
        </is>
      </c>
      <c r="G828" t="inlineStr">
        <is>
          <t>General</t>
        </is>
      </c>
      <c r="H828" t="inlineStr">
        <is>
          <t>General</t>
        </is>
      </c>
      <c r="I828" t="inlineStr">
        <is>
          <t>General</t>
        </is>
      </c>
      <c r="K828" t="inlineStr">
        <is>
          <t>unclassified</t>
        </is>
      </c>
      <c r="M828" t="n">
        <v>50</v>
      </c>
    </row>
    <row r="829">
      <c r="A829" t="inlineStr">
        <is>
          <t>Feverfew</t>
        </is>
      </c>
      <c r="B829" t="inlineStr">
        <is>
          <t>Rehmannia Prepared</t>
        </is>
      </c>
      <c r="C829" t="n">
        <v>0</v>
      </c>
      <c r="D829" t="n">
        <v>1</v>
      </c>
      <c r="E829" t="n">
        <v>0</v>
      </c>
      <c r="F829" t="inlineStr">
        <is>
          <t>General</t>
        </is>
      </c>
      <c r="G829" t="inlineStr">
        <is>
          <t>General</t>
        </is>
      </c>
      <c r="H829" t="inlineStr">
        <is>
          <t>General</t>
        </is>
      </c>
      <c r="I829" t="inlineStr">
        <is>
          <t>General</t>
        </is>
      </c>
      <c r="K829" t="inlineStr">
        <is>
          <t>unclassified</t>
        </is>
      </c>
      <c r="M829" t="n">
        <v>50</v>
      </c>
    </row>
    <row r="830">
      <c r="A830" t="inlineStr">
        <is>
          <t>Feverfew</t>
        </is>
      </c>
      <c r="B830" t="inlineStr">
        <is>
          <t>Reishi</t>
        </is>
      </c>
      <c r="C830" t="n">
        <v>0</v>
      </c>
      <c r="D830" t="n">
        <v>1</v>
      </c>
      <c r="E830" t="n">
        <v>0</v>
      </c>
      <c r="F830" t="inlineStr">
        <is>
          <t>General</t>
        </is>
      </c>
      <c r="G830" t="inlineStr">
        <is>
          <t>General</t>
        </is>
      </c>
      <c r="H830" t="inlineStr">
        <is>
          <t>General</t>
        </is>
      </c>
      <c r="I830" t="inlineStr">
        <is>
          <t>General</t>
        </is>
      </c>
      <c r="K830" t="inlineStr">
        <is>
          <t>unclassified</t>
        </is>
      </c>
      <c r="M830" t="n">
        <v>50</v>
      </c>
    </row>
    <row r="831">
      <c r="A831" t="inlineStr">
        <is>
          <t>Feverfew</t>
        </is>
      </c>
      <c r="B831" t="inlineStr">
        <is>
          <t>Rose Hips</t>
        </is>
      </c>
      <c r="C831" t="n">
        <v>0</v>
      </c>
      <c r="D831" t="n">
        <v>1</v>
      </c>
      <c r="E831" t="n">
        <v>0</v>
      </c>
      <c r="F831" t="inlineStr">
        <is>
          <t>General</t>
        </is>
      </c>
      <c r="G831" t="inlineStr">
        <is>
          <t>General</t>
        </is>
      </c>
      <c r="H831" t="inlineStr">
        <is>
          <t>General</t>
        </is>
      </c>
      <c r="I831" t="inlineStr">
        <is>
          <t>General</t>
        </is>
      </c>
      <c r="K831" t="inlineStr">
        <is>
          <t>unclassified</t>
        </is>
      </c>
      <c r="M831" t="n">
        <v>50</v>
      </c>
    </row>
    <row r="832">
      <c r="A832" t="inlineStr">
        <is>
          <t>Feverfew</t>
        </is>
      </c>
      <c r="B832" t="inlineStr">
        <is>
          <t>Rosemary</t>
        </is>
      </c>
      <c r="C832" t="n">
        <v>0</v>
      </c>
      <c r="D832" t="n">
        <v>1</v>
      </c>
      <c r="E832" t="n">
        <v>0</v>
      </c>
      <c r="F832" t="inlineStr">
        <is>
          <t>General</t>
        </is>
      </c>
      <c r="G832" t="inlineStr">
        <is>
          <t>General</t>
        </is>
      </c>
      <c r="H832" t="inlineStr">
        <is>
          <t>General</t>
        </is>
      </c>
      <c r="I832" t="inlineStr">
        <is>
          <t>General</t>
        </is>
      </c>
      <c r="K832" t="inlineStr">
        <is>
          <t>unclassified</t>
        </is>
      </c>
      <c r="M832" t="n">
        <v>50</v>
      </c>
    </row>
    <row r="833">
      <c r="A833" t="inlineStr">
        <is>
          <t>Feverfew</t>
        </is>
      </c>
      <c r="B833" t="inlineStr">
        <is>
          <t>Sage</t>
        </is>
      </c>
      <c r="C833" t="n">
        <v>0</v>
      </c>
      <c r="D833" t="n">
        <v>1</v>
      </c>
      <c r="E833" t="n">
        <v>0</v>
      </c>
      <c r="F833" t="inlineStr">
        <is>
          <t>General</t>
        </is>
      </c>
      <c r="G833" t="inlineStr">
        <is>
          <t>General</t>
        </is>
      </c>
      <c r="H833" t="inlineStr">
        <is>
          <t>General</t>
        </is>
      </c>
      <c r="I833" t="inlineStr">
        <is>
          <t>General</t>
        </is>
      </c>
      <c r="K833" t="inlineStr">
        <is>
          <t>unclassified</t>
        </is>
      </c>
      <c r="M833" t="n">
        <v>50</v>
      </c>
    </row>
    <row r="834">
      <c r="A834" t="inlineStr">
        <is>
          <t>Feverfew</t>
        </is>
      </c>
      <c r="B834" t="inlineStr">
        <is>
          <t>Sophora Flavescens</t>
        </is>
      </c>
      <c r="C834" t="n">
        <v>0</v>
      </c>
      <c r="D834" t="n">
        <v>1</v>
      </c>
      <c r="E834" t="n">
        <v>0</v>
      </c>
      <c r="F834" t="inlineStr">
        <is>
          <t>General</t>
        </is>
      </c>
      <c r="G834" t="inlineStr">
        <is>
          <t>General</t>
        </is>
      </c>
      <c r="H834" t="inlineStr">
        <is>
          <t>General</t>
        </is>
      </c>
      <c r="I834" t="inlineStr">
        <is>
          <t>General</t>
        </is>
      </c>
      <c r="K834" t="inlineStr">
        <is>
          <t>unclassified</t>
        </is>
      </c>
      <c r="M834" t="n">
        <v>50</v>
      </c>
    </row>
    <row r="835">
      <c r="A835" t="inlineStr">
        <is>
          <t>Feverfew</t>
        </is>
      </c>
      <c r="B835" t="inlineStr">
        <is>
          <t>Soursop</t>
        </is>
      </c>
      <c r="C835" t="n">
        <v>0</v>
      </c>
      <c r="D835" t="n">
        <v>1</v>
      </c>
      <c r="E835" t="n">
        <v>0</v>
      </c>
      <c r="F835" t="inlineStr">
        <is>
          <t>General</t>
        </is>
      </c>
      <c r="G835" t="inlineStr">
        <is>
          <t>General</t>
        </is>
      </c>
      <c r="H835" t="inlineStr">
        <is>
          <t>General</t>
        </is>
      </c>
      <c r="I835" t="inlineStr">
        <is>
          <t>General</t>
        </is>
      </c>
      <c r="K835" t="inlineStr">
        <is>
          <t>unclassified</t>
        </is>
      </c>
      <c r="M835" t="n">
        <v>50</v>
      </c>
    </row>
    <row r="836">
      <c r="A836" t="inlineStr">
        <is>
          <t>Feverfew</t>
        </is>
      </c>
      <c r="B836" t="inlineStr">
        <is>
          <t>Tamarind</t>
        </is>
      </c>
      <c r="C836" t="n">
        <v>0</v>
      </c>
      <c r="D836" t="n">
        <v>1</v>
      </c>
      <c r="E836" t="n">
        <v>0</v>
      </c>
      <c r="F836" t="inlineStr">
        <is>
          <t>General</t>
        </is>
      </c>
      <c r="G836" t="inlineStr">
        <is>
          <t>General</t>
        </is>
      </c>
      <c r="H836" t="inlineStr">
        <is>
          <t>General</t>
        </is>
      </c>
      <c r="I836" t="inlineStr">
        <is>
          <t>General</t>
        </is>
      </c>
      <c r="K836" t="inlineStr">
        <is>
          <t>unclassified</t>
        </is>
      </c>
      <c r="M836" t="n">
        <v>50</v>
      </c>
    </row>
    <row r="837">
      <c r="A837" t="inlineStr">
        <is>
          <t>Feverfew</t>
        </is>
      </c>
      <c r="B837" t="inlineStr">
        <is>
          <t>Thyme</t>
        </is>
      </c>
      <c r="C837" t="n">
        <v>0</v>
      </c>
      <c r="D837" t="n">
        <v>1</v>
      </c>
      <c r="E837" t="n">
        <v>0</v>
      </c>
      <c r="F837" t="inlineStr">
        <is>
          <t>General</t>
        </is>
      </c>
      <c r="G837" t="inlineStr">
        <is>
          <t>General</t>
        </is>
      </c>
      <c r="H837" t="inlineStr">
        <is>
          <t>General</t>
        </is>
      </c>
      <c r="I837" t="inlineStr">
        <is>
          <t>General</t>
        </is>
      </c>
      <c r="K837" t="inlineStr">
        <is>
          <t>unclassified</t>
        </is>
      </c>
      <c r="M837" t="n">
        <v>50</v>
      </c>
    </row>
    <row r="838">
      <c r="A838" t="inlineStr">
        <is>
          <t>Feverfew</t>
        </is>
      </c>
      <c r="B838" t="inlineStr">
        <is>
          <t>White Peony</t>
        </is>
      </c>
      <c r="C838" t="n">
        <v>0</v>
      </c>
      <c r="D838" t="n">
        <v>1</v>
      </c>
      <c r="E838" t="n">
        <v>0</v>
      </c>
      <c r="F838" t="inlineStr">
        <is>
          <t>General</t>
        </is>
      </c>
      <c r="G838" t="inlineStr">
        <is>
          <t>General</t>
        </is>
      </c>
      <c r="H838" t="inlineStr">
        <is>
          <t>General</t>
        </is>
      </c>
      <c r="I838" t="inlineStr">
        <is>
          <t>General</t>
        </is>
      </c>
      <c r="K838" t="inlineStr">
        <is>
          <t>unclassified</t>
        </is>
      </c>
      <c r="M838" t="n">
        <v>50</v>
      </c>
    </row>
    <row r="839">
      <c r="A839" t="inlineStr">
        <is>
          <t>Feverfew</t>
        </is>
      </c>
      <c r="B839" t="inlineStr">
        <is>
          <t>Yohimbe</t>
        </is>
      </c>
      <c r="C839" t="n">
        <v>0</v>
      </c>
      <c r="D839" t="n">
        <v>1</v>
      </c>
      <c r="E839" t="n">
        <v>0</v>
      </c>
      <c r="F839" t="inlineStr">
        <is>
          <t>General</t>
        </is>
      </c>
      <c r="G839" t="inlineStr">
        <is>
          <t>General</t>
        </is>
      </c>
      <c r="H839" t="inlineStr">
        <is>
          <t>General</t>
        </is>
      </c>
      <c r="I839" t="inlineStr">
        <is>
          <t>General</t>
        </is>
      </c>
      <c r="K839" t="inlineStr">
        <is>
          <t>unclassified</t>
        </is>
      </c>
      <c r="M839" t="n">
        <v>50</v>
      </c>
    </row>
    <row r="840">
      <c r="A840" t="inlineStr">
        <is>
          <t>Galangal</t>
        </is>
      </c>
      <c r="B840" t="inlineStr">
        <is>
          <t>Ajwain</t>
        </is>
      </c>
      <c r="C840" t="n">
        <v>0</v>
      </c>
      <c r="D840" t="n">
        <v>1</v>
      </c>
      <c r="E840" t="n">
        <v>0</v>
      </c>
      <c r="F840" t="inlineStr">
        <is>
          <t>General</t>
        </is>
      </c>
      <c r="G840" t="inlineStr">
        <is>
          <t>General</t>
        </is>
      </c>
      <c r="H840" t="inlineStr">
        <is>
          <t>General</t>
        </is>
      </c>
      <c r="I840" t="inlineStr">
        <is>
          <t>General</t>
        </is>
      </c>
      <c r="K840" t="inlineStr">
        <is>
          <t>unclassified</t>
        </is>
      </c>
      <c r="M840" t="n">
        <v>50</v>
      </c>
    </row>
    <row r="841">
      <c r="A841" t="inlineStr">
        <is>
          <t>Galangal</t>
        </is>
      </c>
      <c r="B841" t="inlineStr">
        <is>
          <t>Caraway</t>
        </is>
      </c>
      <c r="C841" t="n">
        <v>0</v>
      </c>
      <c r="D841" t="n">
        <v>1</v>
      </c>
      <c r="E841" t="n">
        <v>0</v>
      </c>
      <c r="F841" t="inlineStr">
        <is>
          <t>General</t>
        </is>
      </c>
      <c r="G841" t="inlineStr">
        <is>
          <t>General</t>
        </is>
      </c>
      <c r="H841" t="inlineStr">
        <is>
          <t>General</t>
        </is>
      </c>
      <c r="I841" t="inlineStr">
        <is>
          <t>General</t>
        </is>
      </c>
      <c r="K841" t="inlineStr">
        <is>
          <t>unclassified</t>
        </is>
      </c>
      <c r="M841" t="n">
        <v>50</v>
      </c>
    </row>
    <row r="842">
      <c r="A842" t="inlineStr">
        <is>
          <t>Galangal</t>
        </is>
      </c>
      <c r="B842" t="inlineStr">
        <is>
          <t>Cardamom</t>
        </is>
      </c>
      <c r="C842" t="n">
        <v>0</v>
      </c>
      <c r="D842" t="n">
        <v>1</v>
      </c>
      <c r="E842" t="n">
        <v>0</v>
      </c>
      <c r="F842" t="inlineStr">
        <is>
          <t>General</t>
        </is>
      </c>
      <c r="G842" t="inlineStr">
        <is>
          <t>General</t>
        </is>
      </c>
      <c r="H842" t="inlineStr">
        <is>
          <t>General</t>
        </is>
      </c>
      <c r="I842" t="inlineStr">
        <is>
          <t>General</t>
        </is>
      </c>
      <c r="K842" t="inlineStr">
        <is>
          <t>unclassified</t>
        </is>
      </c>
      <c r="M842" t="n">
        <v>50</v>
      </c>
    </row>
    <row r="843">
      <c r="A843" t="inlineStr">
        <is>
          <t>Galangal</t>
        </is>
      </c>
      <c r="B843" t="inlineStr">
        <is>
          <t>Celastrus Paniculatus</t>
        </is>
      </c>
      <c r="C843" t="n">
        <v>0</v>
      </c>
      <c r="D843" t="n">
        <v>1</v>
      </c>
      <c r="E843" t="n">
        <v>0</v>
      </c>
      <c r="F843" t="inlineStr">
        <is>
          <t>General</t>
        </is>
      </c>
      <c r="G843" t="inlineStr">
        <is>
          <t>General</t>
        </is>
      </c>
      <c r="H843" t="inlineStr">
        <is>
          <t>General</t>
        </is>
      </c>
      <c r="I843" t="inlineStr">
        <is>
          <t>General</t>
        </is>
      </c>
      <c r="K843" t="inlineStr">
        <is>
          <t>unclassified</t>
        </is>
      </c>
      <c r="M843" t="n">
        <v>50</v>
      </c>
    </row>
    <row r="844">
      <c r="A844" t="inlineStr">
        <is>
          <t>Galangal</t>
        </is>
      </c>
      <c r="B844" t="inlineStr">
        <is>
          <t>Cordyceps</t>
        </is>
      </c>
      <c r="C844" t="n">
        <v>0</v>
      </c>
      <c r="D844" t="n">
        <v>1</v>
      </c>
      <c r="E844" t="n">
        <v>0</v>
      </c>
      <c r="F844" t="inlineStr">
        <is>
          <t>General</t>
        </is>
      </c>
      <c r="G844" t="inlineStr">
        <is>
          <t>General</t>
        </is>
      </c>
      <c r="H844" t="inlineStr">
        <is>
          <t>General</t>
        </is>
      </c>
      <c r="I844" t="inlineStr">
        <is>
          <t>General</t>
        </is>
      </c>
      <c r="K844" t="inlineStr">
        <is>
          <t>unclassified</t>
        </is>
      </c>
      <c r="M844" t="n">
        <v>50</v>
      </c>
    </row>
    <row r="845">
      <c r="A845" t="inlineStr">
        <is>
          <t>Galangal</t>
        </is>
      </c>
      <c r="B845" t="inlineStr">
        <is>
          <t>Eleuthero</t>
        </is>
      </c>
      <c r="C845" t="n">
        <v>0</v>
      </c>
      <c r="D845" t="n">
        <v>1</v>
      </c>
      <c r="E845" t="n">
        <v>0</v>
      </c>
      <c r="F845" t="inlineStr">
        <is>
          <t>General</t>
        </is>
      </c>
      <c r="G845" t="inlineStr">
        <is>
          <t>General</t>
        </is>
      </c>
      <c r="H845" t="inlineStr">
        <is>
          <t>General</t>
        </is>
      </c>
      <c r="I845" t="inlineStr">
        <is>
          <t>General</t>
        </is>
      </c>
      <c r="K845" t="inlineStr">
        <is>
          <t>unclassified</t>
        </is>
      </c>
      <c r="M845" t="n">
        <v>50</v>
      </c>
    </row>
    <row r="846">
      <c r="A846" t="inlineStr">
        <is>
          <t>Galangal</t>
        </is>
      </c>
      <c r="B846" t="inlineStr">
        <is>
          <t>Gudmar</t>
        </is>
      </c>
      <c r="C846" t="n">
        <v>0</v>
      </c>
      <c r="D846" t="n">
        <v>1</v>
      </c>
      <c r="E846" t="n">
        <v>0</v>
      </c>
      <c r="F846" t="inlineStr">
        <is>
          <t>General</t>
        </is>
      </c>
      <c r="G846" t="inlineStr">
        <is>
          <t>General</t>
        </is>
      </c>
      <c r="H846" t="inlineStr">
        <is>
          <t>General</t>
        </is>
      </c>
      <c r="I846" t="inlineStr">
        <is>
          <t>General</t>
        </is>
      </c>
      <c r="K846" t="inlineStr">
        <is>
          <t>unclassified</t>
        </is>
      </c>
      <c r="M846" t="n">
        <v>50</v>
      </c>
    </row>
    <row r="847">
      <c r="A847" t="inlineStr">
        <is>
          <t>Galangal</t>
        </is>
      </c>
      <c r="B847" t="inlineStr">
        <is>
          <t>Nettle Root</t>
        </is>
      </c>
      <c r="C847" t="n">
        <v>0</v>
      </c>
      <c r="D847" t="n">
        <v>1</v>
      </c>
      <c r="E847" t="n">
        <v>0</v>
      </c>
      <c r="F847" t="inlineStr">
        <is>
          <t>General</t>
        </is>
      </c>
      <c r="G847" t="inlineStr">
        <is>
          <t>General</t>
        </is>
      </c>
      <c r="H847" t="inlineStr">
        <is>
          <t>General</t>
        </is>
      </c>
      <c r="I847" t="inlineStr">
        <is>
          <t>General</t>
        </is>
      </c>
      <c r="K847" t="inlineStr">
        <is>
          <t>unclassified</t>
        </is>
      </c>
      <c r="M847" t="n">
        <v>50</v>
      </c>
    </row>
    <row r="848">
      <c r="A848" t="inlineStr">
        <is>
          <t>Galangal</t>
        </is>
      </c>
      <c r="B848" t="inlineStr">
        <is>
          <t>Passionflower</t>
        </is>
      </c>
      <c r="C848" t="n">
        <v>0</v>
      </c>
      <c r="D848" t="n">
        <v>1</v>
      </c>
      <c r="E848" t="n">
        <v>0</v>
      </c>
      <c r="F848" t="inlineStr">
        <is>
          <t>General</t>
        </is>
      </c>
      <c r="G848" t="inlineStr">
        <is>
          <t>General</t>
        </is>
      </c>
      <c r="H848" t="inlineStr">
        <is>
          <t>General</t>
        </is>
      </c>
      <c r="I848" t="inlineStr">
        <is>
          <t>General</t>
        </is>
      </c>
      <c r="K848" t="inlineStr">
        <is>
          <t>unclassified</t>
        </is>
      </c>
      <c r="M848" t="n">
        <v>50</v>
      </c>
    </row>
    <row r="849">
      <c r="A849" t="inlineStr">
        <is>
          <t>Galangal</t>
        </is>
      </c>
      <c r="B849" t="inlineStr">
        <is>
          <t>Punarnava</t>
        </is>
      </c>
      <c r="C849" t="n">
        <v>0</v>
      </c>
      <c r="D849" t="n">
        <v>1</v>
      </c>
      <c r="E849" t="n">
        <v>0</v>
      </c>
      <c r="F849" t="inlineStr">
        <is>
          <t>General</t>
        </is>
      </c>
      <c r="G849" t="inlineStr">
        <is>
          <t>General</t>
        </is>
      </c>
      <c r="H849" t="inlineStr">
        <is>
          <t>General</t>
        </is>
      </c>
      <c r="I849" t="inlineStr">
        <is>
          <t>General</t>
        </is>
      </c>
      <c r="K849" t="inlineStr">
        <is>
          <t>unclassified</t>
        </is>
      </c>
      <c r="M849" t="n">
        <v>50</v>
      </c>
    </row>
    <row r="850">
      <c r="A850" t="inlineStr">
        <is>
          <t>Galangal</t>
        </is>
      </c>
      <c r="B850" t="inlineStr">
        <is>
          <t>Reishi</t>
        </is>
      </c>
      <c r="C850" t="n">
        <v>0</v>
      </c>
      <c r="D850" t="n">
        <v>1</v>
      </c>
      <c r="E850" t="n">
        <v>0</v>
      </c>
      <c r="F850" t="inlineStr">
        <is>
          <t>General</t>
        </is>
      </c>
      <c r="G850" t="inlineStr">
        <is>
          <t>General</t>
        </is>
      </c>
      <c r="H850" t="inlineStr">
        <is>
          <t>General</t>
        </is>
      </c>
      <c r="I850" t="inlineStr">
        <is>
          <t>General</t>
        </is>
      </c>
      <c r="K850" t="inlineStr">
        <is>
          <t>unclassified</t>
        </is>
      </c>
      <c r="M850" t="n">
        <v>50</v>
      </c>
    </row>
    <row r="851">
      <c r="A851" t="inlineStr">
        <is>
          <t>Galangal</t>
        </is>
      </c>
      <c r="B851" t="inlineStr">
        <is>
          <t>Tamarind</t>
        </is>
      </c>
      <c r="C851" t="n">
        <v>0</v>
      </c>
      <c r="D851" t="n">
        <v>1</v>
      </c>
      <c r="E851" t="n">
        <v>0</v>
      </c>
      <c r="F851" t="inlineStr">
        <is>
          <t>General</t>
        </is>
      </c>
      <c r="G851" t="inlineStr">
        <is>
          <t>General</t>
        </is>
      </c>
      <c r="H851" t="inlineStr">
        <is>
          <t>General</t>
        </is>
      </c>
      <c r="I851" t="inlineStr">
        <is>
          <t>General</t>
        </is>
      </c>
      <c r="K851" t="inlineStr">
        <is>
          <t>unclassified</t>
        </is>
      </c>
      <c r="M851" t="n">
        <v>50</v>
      </c>
    </row>
    <row r="852">
      <c r="A852" t="inlineStr">
        <is>
          <t>Galangal</t>
        </is>
      </c>
      <c r="B852" t="inlineStr">
        <is>
          <t>Yohimbe</t>
        </is>
      </c>
      <c r="C852" t="n">
        <v>0</v>
      </c>
      <c r="D852" t="n">
        <v>1</v>
      </c>
      <c r="E852" t="n">
        <v>0</v>
      </c>
      <c r="F852" t="inlineStr">
        <is>
          <t>General</t>
        </is>
      </c>
      <c r="G852" t="inlineStr">
        <is>
          <t>General</t>
        </is>
      </c>
      <c r="H852" t="inlineStr">
        <is>
          <t>General</t>
        </is>
      </c>
      <c r="I852" t="inlineStr">
        <is>
          <t>General</t>
        </is>
      </c>
      <c r="K852" t="inlineStr">
        <is>
          <t>unclassified</t>
        </is>
      </c>
      <c r="M852" t="n">
        <v>50</v>
      </c>
    </row>
    <row r="853">
      <c r="A853" t="inlineStr">
        <is>
          <t>Garlic</t>
        </is>
      </c>
      <c r="B853" t="inlineStr">
        <is>
          <t>Agarikon</t>
        </is>
      </c>
      <c r="C853" t="n">
        <v>0</v>
      </c>
      <c r="D853" t="n">
        <v>1</v>
      </c>
      <c r="E853" t="n">
        <v>0</v>
      </c>
      <c r="F853" t="inlineStr">
        <is>
          <t>General</t>
        </is>
      </c>
      <c r="G853" t="inlineStr">
        <is>
          <t>General</t>
        </is>
      </c>
      <c r="H853" t="inlineStr">
        <is>
          <t>General</t>
        </is>
      </c>
      <c r="I853" t="inlineStr">
        <is>
          <t>General</t>
        </is>
      </c>
      <c r="K853" t="inlineStr">
        <is>
          <t>unclassified</t>
        </is>
      </c>
      <c r="M853" t="n">
        <v>50</v>
      </c>
    </row>
    <row r="854">
      <c r="A854" t="inlineStr">
        <is>
          <t>Garlic</t>
        </is>
      </c>
      <c r="B854" t="inlineStr">
        <is>
          <t>Ajwain</t>
        </is>
      </c>
      <c r="C854" t="n">
        <v>0</v>
      </c>
      <c r="D854" t="n">
        <v>1</v>
      </c>
      <c r="E854" t="n">
        <v>0</v>
      </c>
      <c r="F854" t="inlineStr">
        <is>
          <t>General</t>
        </is>
      </c>
      <c r="G854" t="inlineStr">
        <is>
          <t>General</t>
        </is>
      </c>
      <c r="H854" t="inlineStr">
        <is>
          <t>General</t>
        </is>
      </c>
      <c r="I854" t="inlineStr">
        <is>
          <t>General</t>
        </is>
      </c>
      <c r="K854" t="inlineStr">
        <is>
          <t>unclassified</t>
        </is>
      </c>
      <c r="M854" t="n">
        <v>50</v>
      </c>
    </row>
    <row r="855">
      <c r="A855" t="inlineStr">
        <is>
          <t>Garlic</t>
        </is>
      </c>
      <c r="B855" t="inlineStr">
        <is>
          <t>Angelica Root</t>
        </is>
      </c>
      <c r="C855" t="n">
        <v>0</v>
      </c>
      <c r="D855" t="n">
        <v>1</v>
      </c>
      <c r="E855" t="n">
        <v>0</v>
      </c>
      <c r="F855" t="inlineStr">
        <is>
          <t>General</t>
        </is>
      </c>
      <c r="G855" t="inlineStr">
        <is>
          <t>General</t>
        </is>
      </c>
      <c r="H855" t="inlineStr">
        <is>
          <t>General</t>
        </is>
      </c>
      <c r="I855" t="inlineStr">
        <is>
          <t>General</t>
        </is>
      </c>
      <c r="K855" t="inlineStr">
        <is>
          <t>unclassified</t>
        </is>
      </c>
      <c r="M855" t="n">
        <v>50</v>
      </c>
    </row>
    <row r="856">
      <c r="A856" t="inlineStr">
        <is>
          <t>Garlic</t>
        </is>
      </c>
      <c r="B856" t="inlineStr">
        <is>
          <t>Artichoke</t>
        </is>
      </c>
      <c r="C856" t="n">
        <v>0</v>
      </c>
      <c r="D856" t="n">
        <v>1</v>
      </c>
      <c r="E856" t="n">
        <v>0</v>
      </c>
      <c r="F856" t="inlineStr">
        <is>
          <t>General</t>
        </is>
      </c>
      <c r="G856" t="inlineStr">
        <is>
          <t>General</t>
        </is>
      </c>
      <c r="H856" t="inlineStr">
        <is>
          <t>General</t>
        </is>
      </c>
      <c r="I856" t="inlineStr">
        <is>
          <t>General</t>
        </is>
      </c>
      <c r="K856" t="inlineStr">
        <is>
          <t>unclassified</t>
        </is>
      </c>
      <c r="M856" t="n">
        <v>50</v>
      </c>
    </row>
    <row r="857">
      <c r="A857" t="inlineStr">
        <is>
          <t>Garlic</t>
        </is>
      </c>
      <c r="B857" t="inlineStr">
        <is>
          <t>Ashoka</t>
        </is>
      </c>
      <c r="C857" t="n">
        <v>0</v>
      </c>
      <c r="D857" t="n">
        <v>1</v>
      </c>
      <c r="E857" t="n">
        <v>0</v>
      </c>
      <c r="F857" t="inlineStr">
        <is>
          <t>General</t>
        </is>
      </c>
      <c r="G857" t="inlineStr">
        <is>
          <t>General</t>
        </is>
      </c>
      <c r="H857" t="inlineStr">
        <is>
          <t>General</t>
        </is>
      </c>
      <c r="I857" t="inlineStr">
        <is>
          <t>General</t>
        </is>
      </c>
      <c r="K857" t="inlineStr">
        <is>
          <t>unclassified</t>
        </is>
      </c>
      <c r="M857" t="n">
        <v>50</v>
      </c>
    </row>
    <row r="858">
      <c r="A858" t="inlineStr">
        <is>
          <t>Garlic</t>
        </is>
      </c>
      <c r="B858" t="inlineStr">
        <is>
          <t>Blue Lotus</t>
        </is>
      </c>
      <c r="C858" t="n">
        <v>0</v>
      </c>
      <c r="D858" t="n">
        <v>1</v>
      </c>
      <c r="E858" t="n">
        <v>0</v>
      </c>
      <c r="F858" t="inlineStr">
        <is>
          <t>General</t>
        </is>
      </c>
      <c r="G858" t="inlineStr">
        <is>
          <t>General</t>
        </is>
      </c>
      <c r="H858" t="inlineStr">
        <is>
          <t>General</t>
        </is>
      </c>
      <c r="I858" t="inlineStr">
        <is>
          <t>General</t>
        </is>
      </c>
      <c r="K858" t="inlineStr">
        <is>
          <t>unclassified</t>
        </is>
      </c>
      <c r="M858" t="n">
        <v>50</v>
      </c>
    </row>
    <row r="859">
      <c r="A859" t="inlineStr">
        <is>
          <t>Garlic</t>
        </is>
      </c>
      <c r="B859" t="inlineStr">
        <is>
          <t>Boldo</t>
        </is>
      </c>
      <c r="C859" t="n">
        <v>0</v>
      </c>
      <c r="D859" t="n">
        <v>1</v>
      </c>
      <c r="E859" t="n">
        <v>0</v>
      </c>
      <c r="F859" t="inlineStr">
        <is>
          <t>General</t>
        </is>
      </c>
      <c r="G859" t="inlineStr">
        <is>
          <t>General</t>
        </is>
      </c>
      <c r="H859" t="inlineStr">
        <is>
          <t>General</t>
        </is>
      </c>
      <c r="I859" t="inlineStr">
        <is>
          <t>General</t>
        </is>
      </c>
      <c r="K859" t="inlineStr">
        <is>
          <t>unclassified</t>
        </is>
      </c>
      <c r="M859" t="n">
        <v>50</v>
      </c>
    </row>
    <row r="860">
      <c r="A860" t="inlineStr">
        <is>
          <t>Garlic</t>
        </is>
      </c>
      <c r="B860" t="inlineStr">
        <is>
          <t>Burdock</t>
        </is>
      </c>
      <c r="C860" t="n">
        <v>0</v>
      </c>
      <c r="D860" t="n">
        <v>1</v>
      </c>
      <c r="E860" t="n">
        <v>0</v>
      </c>
      <c r="F860" t="inlineStr">
        <is>
          <t>General</t>
        </is>
      </c>
      <c r="G860" t="inlineStr">
        <is>
          <t>General</t>
        </is>
      </c>
      <c r="H860" t="inlineStr">
        <is>
          <t>General</t>
        </is>
      </c>
      <c r="I860" t="inlineStr">
        <is>
          <t>General</t>
        </is>
      </c>
      <c r="K860" t="inlineStr">
        <is>
          <t>unclassified</t>
        </is>
      </c>
      <c r="M860" t="n">
        <v>50</v>
      </c>
    </row>
    <row r="861">
      <c r="A861" t="inlineStr">
        <is>
          <t>Garlic</t>
        </is>
      </c>
      <c r="B861" t="inlineStr">
        <is>
          <t>Butterbur</t>
        </is>
      </c>
      <c r="C861" t="n">
        <v>0</v>
      </c>
      <c r="D861" t="n">
        <v>1</v>
      </c>
      <c r="E861" t="n">
        <v>0</v>
      </c>
      <c r="F861" t="inlineStr">
        <is>
          <t>General</t>
        </is>
      </c>
      <c r="G861" t="inlineStr">
        <is>
          <t>General</t>
        </is>
      </c>
      <c r="H861" t="inlineStr">
        <is>
          <t>General</t>
        </is>
      </c>
      <c r="I861" t="inlineStr">
        <is>
          <t>General</t>
        </is>
      </c>
      <c r="K861" t="inlineStr">
        <is>
          <t>unclassified</t>
        </is>
      </c>
      <c r="M861" t="n">
        <v>50</v>
      </c>
    </row>
    <row r="862">
      <c r="A862" t="inlineStr">
        <is>
          <t>Garlic</t>
        </is>
      </c>
      <c r="B862" t="inlineStr">
        <is>
          <t>Calendula</t>
        </is>
      </c>
      <c r="C862" t="n">
        <v>0</v>
      </c>
      <c r="D862" t="n">
        <v>1</v>
      </c>
      <c r="E862" t="n">
        <v>0</v>
      </c>
      <c r="F862" t="inlineStr">
        <is>
          <t>General</t>
        </is>
      </c>
      <c r="G862" t="inlineStr">
        <is>
          <t>General</t>
        </is>
      </c>
      <c r="H862" t="inlineStr">
        <is>
          <t>General</t>
        </is>
      </c>
      <c r="I862" t="inlineStr">
        <is>
          <t>General</t>
        </is>
      </c>
      <c r="K862" t="inlineStr">
        <is>
          <t>unclassified</t>
        </is>
      </c>
      <c r="M862" t="n">
        <v>50</v>
      </c>
    </row>
    <row r="863">
      <c r="A863" t="inlineStr">
        <is>
          <t>Garlic</t>
        </is>
      </c>
      <c r="B863" t="inlineStr">
        <is>
          <t>Caraway</t>
        </is>
      </c>
      <c r="C863" t="n">
        <v>0</v>
      </c>
      <c r="D863" t="n">
        <v>1</v>
      </c>
      <c r="E863" t="n">
        <v>0</v>
      </c>
      <c r="F863" t="inlineStr">
        <is>
          <t>General</t>
        </is>
      </c>
      <c r="G863" t="inlineStr">
        <is>
          <t>General</t>
        </is>
      </c>
      <c r="H863" t="inlineStr">
        <is>
          <t>General</t>
        </is>
      </c>
      <c r="I863" t="inlineStr">
        <is>
          <t>General</t>
        </is>
      </c>
      <c r="K863" t="inlineStr">
        <is>
          <t>unclassified</t>
        </is>
      </c>
      <c r="M863" t="n">
        <v>50</v>
      </c>
    </row>
    <row r="864">
      <c r="A864" t="inlineStr">
        <is>
          <t>Garlic</t>
        </is>
      </c>
      <c r="B864" t="inlineStr">
        <is>
          <t>Cardamom</t>
        </is>
      </c>
      <c r="C864" t="n">
        <v>0</v>
      </c>
      <c r="D864" t="n">
        <v>1</v>
      </c>
      <c r="E864" t="n">
        <v>0</v>
      </c>
      <c r="F864" t="inlineStr">
        <is>
          <t>General</t>
        </is>
      </c>
      <c r="G864" t="inlineStr">
        <is>
          <t>General</t>
        </is>
      </c>
      <c r="H864" t="inlineStr">
        <is>
          <t>General</t>
        </is>
      </c>
      <c r="I864" t="inlineStr">
        <is>
          <t>General</t>
        </is>
      </c>
      <c r="K864" t="inlineStr">
        <is>
          <t>unclassified</t>
        </is>
      </c>
      <c r="M864" t="n">
        <v>50</v>
      </c>
    </row>
    <row r="865">
      <c r="A865" t="inlineStr">
        <is>
          <t>Garlic</t>
        </is>
      </c>
      <c r="B865" t="inlineStr">
        <is>
          <t>Celastrus Paniculatus</t>
        </is>
      </c>
      <c r="C865" t="n">
        <v>0</v>
      </c>
      <c r="D865" t="n">
        <v>1</v>
      </c>
      <c r="E865" t="n">
        <v>0</v>
      </c>
      <c r="F865" t="inlineStr">
        <is>
          <t>General</t>
        </is>
      </c>
      <c r="G865" t="inlineStr">
        <is>
          <t>General</t>
        </is>
      </c>
      <c r="H865" t="inlineStr">
        <is>
          <t>General</t>
        </is>
      </c>
      <c r="I865" t="inlineStr">
        <is>
          <t>General</t>
        </is>
      </c>
      <c r="K865" t="inlineStr">
        <is>
          <t>unclassified</t>
        </is>
      </c>
      <c r="M865" t="n">
        <v>50</v>
      </c>
    </row>
    <row r="866">
      <c r="A866" t="inlineStr">
        <is>
          <t>Garlic</t>
        </is>
      </c>
      <c r="B866" t="inlineStr">
        <is>
          <t>Cinnamon</t>
        </is>
      </c>
      <c r="C866" t="n">
        <v>0</v>
      </c>
      <c r="D866" t="n">
        <v>1</v>
      </c>
      <c r="E866" t="n">
        <v>0</v>
      </c>
      <c r="F866" t="inlineStr">
        <is>
          <t>General</t>
        </is>
      </c>
      <c r="G866" t="inlineStr">
        <is>
          <t>General</t>
        </is>
      </c>
      <c r="H866" t="inlineStr">
        <is>
          <t>General</t>
        </is>
      </c>
      <c r="I866" t="inlineStr">
        <is>
          <t>General</t>
        </is>
      </c>
      <c r="K866" t="inlineStr">
        <is>
          <t>unclassified</t>
        </is>
      </c>
      <c r="M866" t="n">
        <v>50</v>
      </c>
    </row>
    <row r="867">
      <c r="A867" t="inlineStr">
        <is>
          <t>Garlic</t>
        </is>
      </c>
      <c r="B867" t="inlineStr">
        <is>
          <t>Cistanche</t>
        </is>
      </c>
      <c r="C867" t="n">
        <v>0</v>
      </c>
      <c r="D867" t="n">
        <v>1</v>
      </c>
      <c r="E867" t="n">
        <v>0</v>
      </c>
      <c r="F867" t="inlineStr">
        <is>
          <t>General</t>
        </is>
      </c>
      <c r="G867" t="inlineStr">
        <is>
          <t>General</t>
        </is>
      </c>
      <c r="H867" t="inlineStr">
        <is>
          <t>General</t>
        </is>
      </c>
      <c r="I867" t="inlineStr">
        <is>
          <t>General</t>
        </is>
      </c>
      <c r="K867" t="inlineStr">
        <is>
          <t>unclassified</t>
        </is>
      </c>
      <c r="M867" t="n">
        <v>50</v>
      </c>
    </row>
    <row r="868">
      <c r="A868" t="inlineStr">
        <is>
          <t>Garlic</t>
        </is>
      </c>
      <c r="B868" t="inlineStr">
        <is>
          <t>Cordyceps</t>
        </is>
      </c>
      <c r="C868" t="n">
        <v>0</v>
      </c>
      <c r="D868" t="n">
        <v>1</v>
      </c>
      <c r="E868" t="n">
        <v>0</v>
      </c>
      <c r="F868" t="inlineStr">
        <is>
          <t>General</t>
        </is>
      </c>
      <c r="G868" t="inlineStr">
        <is>
          <t>General</t>
        </is>
      </c>
      <c r="H868" t="inlineStr">
        <is>
          <t>General</t>
        </is>
      </c>
      <c r="I868" t="inlineStr">
        <is>
          <t>General</t>
        </is>
      </c>
      <c r="K868" t="inlineStr">
        <is>
          <t>unclassified</t>
        </is>
      </c>
      <c r="M868" t="n">
        <v>50</v>
      </c>
    </row>
    <row r="869">
      <c r="A869" t="inlineStr">
        <is>
          <t>Garlic</t>
        </is>
      </c>
      <c r="B869" t="inlineStr">
        <is>
          <t>Damiana</t>
        </is>
      </c>
      <c r="C869" t="n">
        <v>0</v>
      </c>
      <c r="D869" t="n">
        <v>1</v>
      </c>
      <c r="E869" t="n">
        <v>0</v>
      </c>
      <c r="F869" t="inlineStr">
        <is>
          <t>General</t>
        </is>
      </c>
      <c r="G869" t="inlineStr">
        <is>
          <t>General</t>
        </is>
      </c>
      <c r="H869" t="inlineStr">
        <is>
          <t>General</t>
        </is>
      </c>
      <c r="I869" t="inlineStr">
        <is>
          <t>General</t>
        </is>
      </c>
      <c r="K869" t="inlineStr">
        <is>
          <t>unclassified</t>
        </is>
      </c>
      <c r="M869" t="n">
        <v>50</v>
      </c>
    </row>
    <row r="870">
      <c r="A870" t="inlineStr">
        <is>
          <t>Garlic</t>
        </is>
      </c>
      <c r="B870" t="inlineStr">
        <is>
          <t>Dandelion</t>
        </is>
      </c>
      <c r="C870" t="n">
        <v>0</v>
      </c>
      <c r="D870" t="n">
        <v>1</v>
      </c>
      <c r="E870" t="n">
        <v>0</v>
      </c>
      <c r="F870" t="inlineStr">
        <is>
          <t>General</t>
        </is>
      </c>
      <c r="G870" t="inlineStr">
        <is>
          <t>General</t>
        </is>
      </c>
      <c r="H870" t="inlineStr">
        <is>
          <t>General</t>
        </is>
      </c>
      <c r="I870" t="inlineStr">
        <is>
          <t>General</t>
        </is>
      </c>
      <c r="K870" t="inlineStr">
        <is>
          <t>unclassified</t>
        </is>
      </c>
      <c r="M870" t="n">
        <v>50</v>
      </c>
    </row>
    <row r="871">
      <c r="A871" t="inlineStr">
        <is>
          <t>Garlic</t>
        </is>
      </c>
      <c r="B871" t="inlineStr">
        <is>
          <t>Dendrobium</t>
        </is>
      </c>
      <c r="C871" t="n">
        <v>0</v>
      </c>
      <c r="D871" t="n">
        <v>1</v>
      </c>
      <c r="E871" t="n">
        <v>0</v>
      </c>
      <c r="F871" t="inlineStr">
        <is>
          <t>General</t>
        </is>
      </c>
      <c r="G871" t="inlineStr">
        <is>
          <t>General</t>
        </is>
      </c>
      <c r="H871" t="inlineStr">
        <is>
          <t>General</t>
        </is>
      </c>
      <c r="I871" t="inlineStr">
        <is>
          <t>General</t>
        </is>
      </c>
      <c r="K871" t="inlineStr">
        <is>
          <t>unclassified</t>
        </is>
      </c>
      <c r="M871" t="n">
        <v>50</v>
      </c>
    </row>
    <row r="872">
      <c r="A872" t="inlineStr">
        <is>
          <t>Garlic</t>
        </is>
      </c>
      <c r="B872" t="inlineStr">
        <is>
          <t>Dong Quai</t>
        </is>
      </c>
      <c r="C872" t="n">
        <v>0</v>
      </c>
      <c r="D872" t="n">
        <v>1</v>
      </c>
      <c r="E872" t="n">
        <v>0</v>
      </c>
      <c r="F872" t="inlineStr">
        <is>
          <t>General</t>
        </is>
      </c>
      <c r="G872" t="inlineStr">
        <is>
          <t>General</t>
        </is>
      </c>
      <c r="H872" t="inlineStr">
        <is>
          <t>General</t>
        </is>
      </c>
      <c r="I872" t="inlineStr">
        <is>
          <t>General</t>
        </is>
      </c>
      <c r="K872" t="inlineStr">
        <is>
          <t>unclassified</t>
        </is>
      </c>
      <c r="M872" t="n">
        <v>50</v>
      </c>
    </row>
    <row r="873">
      <c r="A873" t="inlineStr">
        <is>
          <t>Garlic</t>
        </is>
      </c>
      <c r="B873" t="inlineStr">
        <is>
          <t>Elecampane</t>
        </is>
      </c>
      <c r="C873" t="n">
        <v>0</v>
      </c>
      <c r="D873" t="n">
        <v>1</v>
      </c>
      <c r="E873" t="n">
        <v>0</v>
      </c>
      <c r="F873" t="inlineStr">
        <is>
          <t>General</t>
        </is>
      </c>
      <c r="G873" t="inlineStr">
        <is>
          <t>General</t>
        </is>
      </c>
      <c r="H873" t="inlineStr">
        <is>
          <t>General</t>
        </is>
      </c>
      <c r="I873" t="inlineStr">
        <is>
          <t>General</t>
        </is>
      </c>
      <c r="K873" t="inlineStr">
        <is>
          <t>unclassified</t>
        </is>
      </c>
      <c r="M873" t="n">
        <v>50</v>
      </c>
    </row>
    <row r="874">
      <c r="A874" t="inlineStr">
        <is>
          <t>Garlic</t>
        </is>
      </c>
      <c r="B874" t="inlineStr">
        <is>
          <t>Eleuthero</t>
        </is>
      </c>
      <c r="C874" t="n">
        <v>0</v>
      </c>
      <c r="D874" t="n">
        <v>1</v>
      </c>
      <c r="E874" t="n">
        <v>0</v>
      </c>
      <c r="F874" t="inlineStr">
        <is>
          <t>General</t>
        </is>
      </c>
      <c r="G874" t="inlineStr">
        <is>
          <t>General</t>
        </is>
      </c>
      <c r="H874" t="inlineStr">
        <is>
          <t>General</t>
        </is>
      </c>
      <c r="I874" t="inlineStr">
        <is>
          <t>General</t>
        </is>
      </c>
      <c r="K874" t="inlineStr">
        <is>
          <t>unclassified</t>
        </is>
      </c>
      <c r="M874" t="n">
        <v>50</v>
      </c>
    </row>
    <row r="875">
      <c r="A875" t="inlineStr">
        <is>
          <t>Garlic</t>
        </is>
      </c>
      <c r="B875" t="inlineStr">
        <is>
          <t>Fennel</t>
        </is>
      </c>
      <c r="C875" t="n">
        <v>0</v>
      </c>
      <c r="D875" t="n">
        <v>1</v>
      </c>
      <c r="E875" t="n">
        <v>0</v>
      </c>
      <c r="F875" t="inlineStr">
        <is>
          <t>General</t>
        </is>
      </c>
      <c r="G875" t="inlineStr">
        <is>
          <t>General</t>
        </is>
      </c>
      <c r="H875" t="inlineStr">
        <is>
          <t>General</t>
        </is>
      </c>
      <c r="I875" t="inlineStr">
        <is>
          <t>General</t>
        </is>
      </c>
      <c r="K875" t="inlineStr">
        <is>
          <t>unclassified</t>
        </is>
      </c>
      <c r="M875" t="n">
        <v>50</v>
      </c>
    </row>
    <row r="876">
      <c r="A876" t="inlineStr">
        <is>
          <t>Garlic</t>
        </is>
      </c>
      <c r="B876" t="inlineStr">
        <is>
          <t>Feverfew</t>
        </is>
      </c>
      <c r="C876" t="n">
        <v>0</v>
      </c>
      <c r="D876" t="n">
        <v>1</v>
      </c>
      <c r="E876" t="n">
        <v>0</v>
      </c>
      <c r="F876" t="inlineStr">
        <is>
          <t>General</t>
        </is>
      </c>
      <c r="G876" t="inlineStr">
        <is>
          <t>General</t>
        </is>
      </c>
      <c r="H876" t="inlineStr">
        <is>
          <t>General</t>
        </is>
      </c>
      <c r="I876" t="inlineStr">
        <is>
          <t>General</t>
        </is>
      </c>
      <c r="K876" t="inlineStr">
        <is>
          <t>unclassified</t>
        </is>
      </c>
      <c r="M876" t="n">
        <v>50</v>
      </c>
    </row>
    <row r="877">
      <c r="A877" t="inlineStr">
        <is>
          <t>Garlic</t>
        </is>
      </c>
      <c r="B877" t="inlineStr">
        <is>
          <t>Galangal</t>
        </is>
      </c>
      <c r="C877" t="n">
        <v>0</v>
      </c>
      <c r="D877" t="n">
        <v>1</v>
      </c>
      <c r="E877" t="n">
        <v>0</v>
      </c>
      <c r="F877" t="inlineStr">
        <is>
          <t>General</t>
        </is>
      </c>
      <c r="G877" t="inlineStr">
        <is>
          <t>General</t>
        </is>
      </c>
      <c r="H877" t="inlineStr">
        <is>
          <t>General</t>
        </is>
      </c>
      <c r="I877" t="inlineStr">
        <is>
          <t>General</t>
        </is>
      </c>
      <c r="K877" t="inlineStr">
        <is>
          <t>unclassified</t>
        </is>
      </c>
      <c r="M877" t="n">
        <v>50</v>
      </c>
    </row>
    <row r="878">
      <c r="A878" t="inlineStr">
        <is>
          <t>Garlic</t>
        </is>
      </c>
      <c r="B878" t="inlineStr">
        <is>
          <t>Gastrodia</t>
        </is>
      </c>
      <c r="C878" t="n">
        <v>0</v>
      </c>
      <c r="D878" t="n">
        <v>1</v>
      </c>
      <c r="E878" t="n">
        <v>0</v>
      </c>
      <c r="F878" t="inlineStr">
        <is>
          <t>General</t>
        </is>
      </c>
      <c r="G878" t="inlineStr">
        <is>
          <t>General</t>
        </is>
      </c>
      <c r="H878" t="inlineStr">
        <is>
          <t>General</t>
        </is>
      </c>
      <c r="I878" t="inlineStr">
        <is>
          <t>General</t>
        </is>
      </c>
      <c r="K878" t="inlineStr">
        <is>
          <t>unclassified</t>
        </is>
      </c>
      <c r="M878" t="n">
        <v>50</v>
      </c>
    </row>
    <row r="879">
      <c r="A879" t="inlineStr">
        <is>
          <t>Garlic</t>
        </is>
      </c>
      <c r="B879" t="inlineStr">
        <is>
          <t>Ginger</t>
        </is>
      </c>
      <c r="C879" t="n">
        <v>0</v>
      </c>
      <c r="D879" t="n">
        <v>1</v>
      </c>
      <c r="E879" t="n">
        <v>0</v>
      </c>
      <c r="F879" t="inlineStr">
        <is>
          <t>General</t>
        </is>
      </c>
      <c r="G879" t="inlineStr">
        <is>
          <t>General</t>
        </is>
      </c>
      <c r="H879" t="inlineStr">
        <is>
          <t>General</t>
        </is>
      </c>
      <c r="I879" t="inlineStr">
        <is>
          <t>General</t>
        </is>
      </c>
      <c r="K879" t="inlineStr">
        <is>
          <t>unclassified</t>
        </is>
      </c>
      <c r="M879" t="n">
        <v>50</v>
      </c>
    </row>
    <row r="880">
      <c r="A880" t="inlineStr">
        <is>
          <t>Garlic</t>
        </is>
      </c>
      <c r="B880" t="inlineStr">
        <is>
          <t>Gudmar</t>
        </is>
      </c>
      <c r="C880" t="n">
        <v>0</v>
      </c>
      <c r="D880" t="n">
        <v>1</v>
      </c>
      <c r="E880" t="n">
        <v>0</v>
      </c>
      <c r="F880" t="inlineStr">
        <is>
          <t>General</t>
        </is>
      </c>
      <c r="G880" t="inlineStr">
        <is>
          <t>General</t>
        </is>
      </c>
      <c r="H880" t="inlineStr">
        <is>
          <t>General</t>
        </is>
      </c>
      <c r="I880" t="inlineStr">
        <is>
          <t>General</t>
        </is>
      </c>
      <c r="K880" t="inlineStr">
        <is>
          <t>unclassified</t>
        </is>
      </c>
      <c r="M880" t="n">
        <v>50</v>
      </c>
    </row>
    <row r="881">
      <c r="A881" t="inlineStr">
        <is>
          <t>Garlic</t>
        </is>
      </c>
      <c r="B881" t="inlineStr">
        <is>
          <t>Gymnema</t>
        </is>
      </c>
      <c r="C881" t="n">
        <v>0</v>
      </c>
      <c r="D881" t="n">
        <v>1</v>
      </c>
      <c r="E881" t="n">
        <v>0</v>
      </c>
      <c r="F881" t="inlineStr">
        <is>
          <t>General</t>
        </is>
      </c>
      <c r="G881" t="inlineStr">
        <is>
          <t>General</t>
        </is>
      </c>
      <c r="H881" t="inlineStr">
        <is>
          <t>General</t>
        </is>
      </c>
      <c r="I881" t="inlineStr">
        <is>
          <t>General</t>
        </is>
      </c>
      <c r="K881" t="inlineStr">
        <is>
          <t>unclassified</t>
        </is>
      </c>
      <c r="M881" t="n">
        <v>50</v>
      </c>
    </row>
    <row r="882">
      <c r="A882" t="inlineStr">
        <is>
          <t>Garlic</t>
        </is>
      </c>
      <c r="B882" t="inlineStr">
        <is>
          <t>Hops</t>
        </is>
      </c>
      <c r="C882" t="n">
        <v>0</v>
      </c>
      <c r="D882" t="n">
        <v>1</v>
      </c>
      <c r="E882" t="n">
        <v>0</v>
      </c>
      <c r="F882" t="inlineStr">
        <is>
          <t>General</t>
        </is>
      </c>
      <c r="G882" t="inlineStr">
        <is>
          <t>General</t>
        </is>
      </c>
      <c r="H882" t="inlineStr">
        <is>
          <t>General</t>
        </is>
      </c>
      <c r="I882" t="inlineStr">
        <is>
          <t>General</t>
        </is>
      </c>
      <c r="K882" t="inlineStr">
        <is>
          <t>unclassified</t>
        </is>
      </c>
      <c r="M882" t="n">
        <v>50</v>
      </c>
    </row>
    <row r="883">
      <c r="A883" t="inlineStr">
        <is>
          <t>Garlic</t>
        </is>
      </c>
      <c r="B883" t="inlineStr">
        <is>
          <t>Houttuynia</t>
        </is>
      </c>
      <c r="C883" t="n">
        <v>0</v>
      </c>
      <c r="D883" t="n">
        <v>1</v>
      </c>
      <c r="E883" t="n">
        <v>0</v>
      </c>
      <c r="F883" t="inlineStr">
        <is>
          <t>General</t>
        </is>
      </c>
      <c r="G883" t="inlineStr">
        <is>
          <t>General</t>
        </is>
      </c>
      <c r="H883" t="inlineStr">
        <is>
          <t>General</t>
        </is>
      </c>
      <c r="I883" t="inlineStr">
        <is>
          <t>General</t>
        </is>
      </c>
      <c r="K883" t="inlineStr">
        <is>
          <t>unclassified</t>
        </is>
      </c>
      <c r="M883" t="n">
        <v>50</v>
      </c>
    </row>
    <row r="884">
      <c r="A884" t="inlineStr">
        <is>
          <t>Garlic</t>
        </is>
      </c>
      <c r="B884" t="inlineStr">
        <is>
          <t>Isatis</t>
        </is>
      </c>
      <c r="C884" t="n">
        <v>0</v>
      </c>
      <c r="D884" t="n">
        <v>1</v>
      </c>
      <c r="E884" t="n">
        <v>0</v>
      </c>
      <c r="F884" t="inlineStr">
        <is>
          <t>General</t>
        </is>
      </c>
      <c r="G884" t="inlineStr">
        <is>
          <t>General</t>
        </is>
      </c>
      <c r="H884" t="inlineStr">
        <is>
          <t>General</t>
        </is>
      </c>
      <c r="I884" t="inlineStr">
        <is>
          <t>General</t>
        </is>
      </c>
      <c r="K884" t="inlineStr">
        <is>
          <t>unclassified</t>
        </is>
      </c>
      <c r="M884" t="n">
        <v>50</v>
      </c>
    </row>
    <row r="885">
      <c r="A885" t="inlineStr">
        <is>
          <t>Garlic</t>
        </is>
      </c>
      <c r="B885" t="inlineStr">
        <is>
          <t>Jatamansi</t>
        </is>
      </c>
      <c r="C885" t="n">
        <v>0</v>
      </c>
      <c r="D885" t="n">
        <v>1</v>
      </c>
      <c r="E885" t="n">
        <v>0</v>
      </c>
      <c r="F885" t="inlineStr">
        <is>
          <t>General</t>
        </is>
      </c>
      <c r="G885" t="inlineStr">
        <is>
          <t>General</t>
        </is>
      </c>
      <c r="H885" t="inlineStr">
        <is>
          <t>General</t>
        </is>
      </c>
      <c r="I885" t="inlineStr">
        <is>
          <t>General</t>
        </is>
      </c>
      <c r="K885" t="inlineStr">
        <is>
          <t>unclassified</t>
        </is>
      </c>
      <c r="M885" t="n">
        <v>50</v>
      </c>
    </row>
    <row r="886">
      <c r="A886" t="inlineStr">
        <is>
          <t>Garlic</t>
        </is>
      </c>
      <c r="B886" t="inlineStr">
        <is>
          <t>Kava</t>
        </is>
      </c>
      <c r="C886" t="n">
        <v>0</v>
      </c>
      <c r="D886" t="n">
        <v>1</v>
      </c>
      <c r="E886" t="n">
        <v>0</v>
      </c>
      <c r="F886" t="inlineStr">
        <is>
          <t>General</t>
        </is>
      </c>
      <c r="G886" t="inlineStr">
        <is>
          <t>General</t>
        </is>
      </c>
      <c r="H886" t="inlineStr">
        <is>
          <t>General</t>
        </is>
      </c>
      <c r="I886" t="inlineStr">
        <is>
          <t>General</t>
        </is>
      </c>
      <c r="K886" t="inlineStr">
        <is>
          <t>unclassified</t>
        </is>
      </c>
      <c r="M886" t="n">
        <v>50</v>
      </c>
    </row>
    <row r="887">
      <c r="A887" t="inlineStr">
        <is>
          <t>Garlic</t>
        </is>
      </c>
      <c r="B887" t="inlineStr">
        <is>
          <t>Kudzu</t>
        </is>
      </c>
      <c r="C887" t="n">
        <v>0</v>
      </c>
      <c r="D887" t="n">
        <v>1</v>
      </c>
      <c r="E887" t="n">
        <v>0</v>
      </c>
      <c r="F887" t="inlineStr">
        <is>
          <t>General</t>
        </is>
      </c>
      <c r="G887" t="inlineStr">
        <is>
          <t>General</t>
        </is>
      </c>
      <c r="H887" t="inlineStr">
        <is>
          <t>General</t>
        </is>
      </c>
      <c r="I887" t="inlineStr">
        <is>
          <t>General</t>
        </is>
      </c>
      <c r="K887" t="inlineStr">
        <is>
          <t>unclassified</t>
        </is>
      </c>
      <c r="M887" t="n">
        <v>50</v>
      </c>
    </row>
    <row r="888">
      <c r="A888" t="inlineStr">
        <is>
          <t>Garlic</t>
        </is>
      </c>
      <c r="B888" t="inlineStr">
        <is>
          <t>Lemon Balm</t>
        </is>
      </c>
      <c r="C888" t="n">
        <v>0</v>
      </c>
      <c r="D888" t="n">
        <v>1</v>
      </c>
      <c r="E888" t="n">
        <v>0</v>
      </c>
      <c r="F888" t="inlineStr">
        <is>
          <t>General</t>
        </is>
      </c>
      <c r="G888" t="inlineStr">
        <is>
          <t>General</t>
        </is>
      </c>
      <c r="H888" t="inlineStr">
        <is>
          <t>General</t>
        </is>
      </c>
      <c r="I888" t="inlineStr">
        <is>
          <t>General</t>
        </is>
      </c>
      <c r="K888" t="inlineStr">
        <is>
          <t>unclassified</t>
        </is>
      </c>
      <c r="M888" t="n">
        <v>50</v>
      </c>
    </row>
    <row r="889">
      <c r="A889" t="inlineStr">
        <is>
          <t>Garlic</t>
        </is>
      </c>
      <c r="B889" t="inlineStr">
        <is>
          <t>Lemon Verbena</t>
        </is>
      </c>
      <c r="C889" t="n">
        <v>0</v>
      </c>
      <c r="D889" t="n">
        <v>1</v>
      </c>
      <c r="E889" t="n">
        <v>0</v>
      </c>
      <c r="F889" t="inlineStr">
        <is>
          <t>General</t>
        </is>
      </c>
      <c r="G889" t="inlineStr">
        <is>
          <t>General</t>
        </is>
      </c>
      <c r="H889" t="inlineStr">
        <is>
          <t>General</t>
        </is>
      </c>
      <c r="I889" t="inlineStr">
        <is>
          <t>General</t>
        </is>
      </c>
      <c r="K889" t="inlineStr">
        <is>
          <t>unclassified</t>
        </is>
      </c>
      <c r="M889" t="n">
        <v>50</v>
      </c>
    </row>
    <row r="890">
      <c r="A890" t="inlineStr">
        <is>
          <t>Garlic</t>
        </is>
      </c>
      <c r="B890" t="inlineStr">
        <is>
          <t>Lemongrass</t>
        </is>
      </c>
      <c r="C890" t="n">
        <v>0</v>
      </c>
      <c r="D890" t="n">
        <v>1</v>
      </c>
      <c r="E890" t="n">
        <v>0</v>
      </c>
      <c r="F890" t="inlineStr">
        <is>
          <t>General</t>
        </is>
      </c>
      <c r="G890" t="inlineStr">
        <is>
          <t>General</t>
        </is>
      </c>
      <c r="H890" t="inlineStr">
        <is>
          <t>General</t>
        </is>
      </c>
      <c r="I890" t="inlineStr">
        <is>
          <t>General</t>
        </is>
      </c>
      <c r="K890" t="inlineStr">
        <is>
          <t>unclassified</t>
        </is>
      </c>
      <c r="M890" t="n">
        <v>50</v>
      </c>
    </row>
    <row r="891">
      <c r="A891" t="inlineStr">
        <is>
          <t>Garlic</t>
        </is>
      </c>
      <c r="B891" t="inlineStr">
        <is>
          <t>Longan</t>
        </is>
      </c>
      <c r="C891" t="n">
        <v>0</v>
      </c>
      <c r="D891" t="n">
        <v>1</v>
      </c>
      <c r="E891" t="n">
        <v>0</v>
      </c>
      <c r="F891" t="inlineStr">
        <is>
          <t>General</t>
        </is>
      </c>
      <c r="G891" t="inlineStr">
        <is>
          <t>General</t>
        </is>
      </c>
      <c r="H891" t="inlineStr">
        <is>
          <t>General</t>
        </is>
      </c>
      <c r="I891" t="inlineStr">
        <is>
          <t>General</t>
        </is>
      </c>
      <c r="K891" t="inlineStr">
        <is>
          <t>unclassified</t>
        </is>
      </c>
      <c r="M891" t="n">
        <v>50</v>
      </c>
    </row>
    <row r="892">
      <c r="A892" t="inlineStr">
        <is>
          <t>Garlic</t>
        </is>
      </c>
      <c r="B892" t="inlineStr">
        <is>
          <t>Maitake D-Fraction</t>
        </is>
      </c>
      <c r="C892" t="n">
        <v>0</v>
      </c>
      <c r="D892" t="n">
        <v>1</v>
      </c>
      <c r="E892" t="n">
        <v>0</v>
      </c>
      <c r="F892" t="inlineStr">
        <is>
          <t>General</t>
        </is>
      </c>
      <c r="G892" t="inlineStr">
        <is>
          <t>General</t>
        </is>
      </c>
      <c r="H892" t="inlineStr">
        <is>
          <t>General</t>
        </is>
      </c>
      <c r="I892" t="inlineStr">
        <is>
          <t>General</t>
        </is>
      </c>
      <c r="K892" t="inlineStr">
        <is>
          <t>unclassified</t>
        </is>
      </c>
      <c r="M892" t="n">
        <v>50</v>
      </c>
    </row>
    <row r="893">
      <c r="A893" t="inlineStr">
        <is>
          <t>Garlic</t>
        </is>
      </c>
      <c r="B893" t="inlineStr">
        <is>
          <t>Milk Oats</t>
        </is>
      </c>
      <c r="C893" t="n">
        <v>0</v>
      </c>
      <c r="D893" t="n">
        <v>1</v>
      </c>
      <c r="E893" t="n">
        <v>0</v>
      </c>
      <c r="F893" t="inlineStr">
        <is>
          <t>General</t>
        </is>
      </c>
      <c r="G893" t="inlineStr">
        <is>
          <t>General</t>
        </is>
      </c>
      <c r="H893" t="inlineStr">
        <is>
          <t>General</t>
        </is>
      </c>
      <c r="I893" t="inlineStr">
        <is>
          <t>General</t>
        </is>
      </c>
      <c r="K893" t="inlineStr">
        <is>
          <t>unclassified</t>
        </is>
      </c>
      <c r="M893" t="n">
        <v>50</v>
      </c>
    </row>
    <row r="894">
      <c r="A894" t="inlineStr">
        <is>
          <t>Garlic</t>
        </is>
      </c>
      <c r="B894" t="inlineStr">
        <is>
          <t>Mugwort</t>
        </is>
      </c>
      <c r="C894" t="n">
        <v>0</v>
      </c>
      <c r="D894" t="n">
        <v>1</v>
      </c>
      <c r="E894" t="n">
        <v>0</v>
      </c>
      <c r="F894" t="inlineStr">
        <is>
          <t>General</t>
        </is>
      </c>
      <c r="G894" t="inlineStr">
        <is>
          <t>General</t>
        </is>
      </c>
      <c r="H894" t="inlineStr">
        <is>
          <t>General</t>
        </is>
      </c>
      <c r="I894" t="inlineStr">
        <is>
          <t>General</t>
        </is>
      </c>
      <c r="K894" t="inlineStr">
        <is>
          <t>unclassified</t>
        </is>
      </c>
      <c r="M894" t="n">
        <v>50</v>
      </c>
    </row>
    <row r="895">
      <c r="A895" t="inlineStr">
        <is>
          <t>Garlic</t>
        </is>
      </c>
      <c r="B895" t="inlineStr">
        <is>
          <t>Muira Puama</t>
        </is>
      </c>
      <c r="C895" t="n">
        <v>0</v>
      </c>
      <c r="D895" t="n">
        <v>1</v>
      </c>
      <c r="E895" t="n">
        <v>0</v>
      </c>
      <c r="F895" t="inlineStr">
        <is>
          <t>General</t>
        </is>
      </c>
      <c r="G895" t="inlineStr">
        <is>
          <t>General</t>
        </is>
      </c>
      <c r="H895" t="inlineStr">
        <is>
          <t>General</t>
        </is>
      </c>
      <c r="I895" t="inlineStr">
        <is>
          <t>General</t>
        </is>
      </c>
      <c r="K895" t="inlineStr">
        <is>
          <t>unclassified</t>
        </is>
      </c>
      <c r="M895" t="n">
        <v>50</v>
      </c>
    </row>
    <row r="896">
      <c r="A896" t="inlineStr">
        <is>
          <t>Garlic</t>
        </is>
      </c>
      <c r="B896" t="inlineStr">
        <is>
          <t>Mulberry Leaf</t>
        </is>
      </c>
      <c r="C896" t="n">
        <v>0</v>
      </c>
      <c r="D896" t="n">
        <v>1</v>
      </c>
      <c r="E896" t="n">
        <v>0</v>
      </c>
      <c r="F896" t="inlineStr">
        <is>
          <t>General</t>
        </is>
      </c>
      <c r="G896" t="inlineStr">
        <is>
          <t>General</t>
        </is>
      </c>
      <c r="H896" t="inlineStr">
        <is>
          <t>General</t>
        </is>
      </c>
      <c r="I896" t="inlineStr">
        <is>
          <t>General</t>
        </is>
      </c>
      <c r="K896" t="inlineStr">
        <is>
          <t>unclassified</t>
        </is>
      </c>
      <c r="M896" t="n">
        <v>50</v>
      </c>
    </row>
    <row r="897">
      <c r="A897" t="inlineStr">
        <is>
          <t>Garlic</t>
        </is>
      </c>
      <c r="B897" t="inlineStr">
        <is>
          <t>Myrtle</t>
        </is>
      </c>
      <c r="C897" t="n">
        <v>0</v>
      </c>
      <c r="D897" t="n">
        <v>1</v>
      </c>
      <c r="E897" t="n">
        <v>0</v>
      </c>
      <c r="F897" t="inlineStr">
        <is>
          <t>General</t>
        </is>
      </c>
      <c r="G897" t="inlineStr">
        <is>
          <t>General</t>
        </is>
      </c>
      <c r="H897" t="inlineStr">
        <is>
          <t>General</t>
        </is>
      </c>
      <c r="I897" t="inlineStr">
        <is>
          <t>General</t>
        </is>
      </c>
      <c r="K897" t="inlineStr">
        <is>
          <t>unclassified</t>
        </is>
      </c>
      <c r="M897" t="n">
        <v>50</v>
      </c>
    </row>
    <row r="898">
      <c r="A898" t="inlineStr">
        <is>
          <t>Garlic</t>
        </is>
      </c>
      <c r="B898" t="inlineStr">
        <is>
          <t>Neem</t>
        </is>
      </c>
      <c r="C898" t="n">
        <v>0</v>
      </c>
      <c r="D898" t="n">
        <v>1</v>
      </c>
      <c r="E898" t="n">
        <v>0</v>
      </c>
      <c r="F898" t="inlineStr">
        <is>
          <t>General</t>
        </is>
      </c>
      <c r="G898" t="inlineStr">
        <is>
          <t>General</t>
        </is>
      </c>
      <c r="H898" t="inlineStr">
        <is>
          <t>General</t>
        </is>
      </c>
      <c r="I898" t="inlineStr">
        <is>
          <t>General</t>
        </is>
      </c>
      <c r="K898" t="inlineStr">
        <is>
          <t>unclassified</t>
        </is>
      </c>
      <c r="M898" t="n">
        <v>50</v>
      </c>
    </row>
    <row r="899">
      <c r="A899" t="inlineStr">
        <is>
          <t>Garlic</t>
        </is>
      </c>
      <c r="B899" t="inlineStr">
        <is>
          <t>Nettle Root</t>
        </is>
      </c>
      <c r="C899" t="n">
        <v>0</v>
      </c>
      <c r="D899" t="n">
        <v>1</v>
      </c>
      <c r="E899" t="n">
        <v>0</v>
      </c>
      <c r="F899" t="inlineStr">
        <is>
          <t>General</t>
        </is>
      </c>
      <c r="G899" t="inlineStr">
        <is>
          <t>General</t>
        </is>
      </c>
      <c r="H899" t="inlineStr">
        <is>
          <t>General</t>
        </is>
      </c>
      <c r="I899" t="inlineStr">
        <is>
          <t>General</t>
        </is>
      </c>
      <c r="K899" t="inlineStr">
        <is>
          <t>unclassified</t>
        </is>
      </c>
      <c r="M899" t="n">
        <v>50</v>
      </c>
    </row>
    <row r="900">
      <c r="A900" t="inlineStr">
        <is>
          <t>Garlic</t>
        </is>
      </c>
      <c r="B900" t="inlineStr">
        <is>
          <t>Noni</t>
        </is>
      </c>
      <c r="C900" t="n">
        <v>0</v>
      </c>
      <c r="D900" t="n">
        <v>1</v>
      </c>
      <c r="E900" t="n">
        <v>0</v>
      </c>
      <c r="F900" t="inlineStr">
        <is>
          <t>General</t>
        </is>
      </c>
      <c r="G900" t="inlineStr">
        <is>
          <t>General</t>
        </is>
      </c>
      <c r="H900" t="inlineStr">
        <is>
          <t>General</t>
        </is>
      </c>
      <c r="I900" t="inlineStr">
        <is>
          <t>General</t>
        </is>
      </c>
      <c r="K900" t="inlineStr">
        <is>
          <t>unclassified</t>
        </is>
      </c>
      <c r="M900" t="n">
        <v>50</v>
      </c>
    </row>
    <row r="901">
      <c r="A901" t="inlineStr">
        <is>
          <t>Garlic</t>
        </is>
      </c>
      <c r="B901" t="inlineStr">
        <is>
          <t>Oatstraw</t>
        </is>
      </c>
      <c r="C901" t="n">
        <v>0</v>
      </c>
      <c r="D901" t="n">
        <v>1</v>
      </c>
      <c r="E901" t="n">
        <v>0</v>
      </c>
      <c r="F901" t="inlineStr">
        <is>
          <t>General</t>
        </is>
      </c>
      <c r="G901" t="inlineStr">
        <is>
          <t>General</t>
        </is>
      </c>
      <c r="H901" t="inlineStr">
        <is>
          <t>General</t>
        </is>
      </c>
      <c r="I901" t="inlineStr">
        <is>
          <t>General</t>
        </is>
      </c>
      <c r="K901" t="inlineStr">
        <is>
          <t>unclassified</t>
        </is>
      </c>
      <c r="M901" t="n">
        <v>50</v>
      </c>
    </row>
    <row r="902">
      <c r="A902" t="inlineStr">
        <is>
          <t>Garlic</t>
        </is>
      </c>
      <c r="B902" t="inlineStr">
        <is>
          <t>Passionflower</t>
        </is>
      </c>
      <c r="C902" t="n">
        <v>0</v>
      </c>
      <c r="D902" t="n">
        <v>1</v>
      </c>
      <c r="E902" t="n">
        <v>0</v>
      </c>
      <c r="F902" t="inlineStr">
        <is>
          <t>General</t>
        </is>
      </c>
      <c r="G902" t="inlineStr">
        <is>
          <t>General</t>
        </is>
      </c>
      <c r="H902" t="inlineStr">
        <is>
          <t>General</t>
        </is>
      </c>
      <c r="I902" t="inlineStr">
        <is>
          <t>General</t>
        </is>
      </c>
      <c r="K902" t="inlineStr">
        <is>
          <t>unclassified</t>
        </is>
      </c>
      <c r="M902" t="n">
        <v>50</v>
      </c>
    </row>
    <row r="903">
      <c r="A903" t="inlineStr">
        <is>
          <t>Garlic</t>
        </is>
      </c>
      <c r="B903" t="inlineStr">
        <is>
          <t>Pau d'Arco</t>
        </is>
      </c>
      <c r="C903" t="n">
        <v>0</v>
      </c>
      <c r="D903" t="n">
        <v>1</v>
      </c>
      <c r="E903" t="n">
        <v>0</v>
      </c>
      <c r="F903" t="inlineStr">
        <is>
          <t>General</t>
        </is>
      </c>
      <c r="G903" t="inlineStr">
        <is>
          <t>General</t>
        </is>
      </c>
      <c r="H903" t="inlineStr">
        <is>
          <t>General</t>
        </is>
      </c>
      <c r="I903" t="inlineStr">
        <is>
          <t>General</t>
        </is>
      </c>
      <c r="K903" t="inlineStr">
        <is>
          <t>unclassified</t>
        </is>
      </c>
      <c r="M903" t="n">
        <v>50</v>
      </c>
    </row>
    <row r="904">
      <c r="A904" t="inlineStr">
        <is>
          <t>Garlic</t>
        </is>
      </c>
      <c r="B904" t="inlineStr">
        <is>
          <t>Peppermint</t>
        </is>
      </c>
      <c r="C904" t="n">
        <v>0</v>
      </c>
      <c r="D904" t="n">
        <v>1</v>
      </c>
      <c r="E904" t="n">
        <v>0</v>
      </c>
      <c r="F904" t="inlineStr">
        <is>
          <t>General</t>
        </is>
      </c>
      <c r="G904" t="inlineStr">
        <is>
          <t>General</t>
        </is>
      </c>
      <c r="H904" t="inlineStr">
        <is>
          <t>General</t>
        </is>
      </c>
      <c r="I904" t="inlineStr">
        <is>
          <t>General</t>
        </is>
      </c>
      <c r="K904" t="inlineStr">
        <is>
          <t>unclassified</t>
        </is>
      </c>
      <c r="M904" t="n">
        <v>50</v>
      </c>
    </row>
    <row r="905">
      <c r="A905" t="inlineStr">
        <is>
          <t>Garlic</t>
        </is>
      </c>
      <c r="B905" t="inlineStr">
        <is>
          <t>Perilla</t>
        </is>
      </c>
      <c r="C905" t="n">
        <v>0</v>
      </c>
      <c r="D905" t="n">
        <v>1</v>
      </c>
      <c r="E905" t="n">
        <v>0</v>
      </c>
      <c r="F905" t="inlineStr">
        <is>
          <t>General</t>
        </is>
      </c>
      <c r="G905" t="inlineStr">
        <is>
          <t>General</t>
        </is>
      </c>
      <c r="H905" t="inlineStr">
        <is>
          <t>General</t>
        </is>
      </c>
      <c r="I905" t="inlineStr">
        <is>
          <t>General</t>
        </is>
      </c>
      <c r="K905" t="inlineStr">
        <is>
          <t>unclassified</t>
        </is>
      </c>
      <c r="M905" t="n">
        <v>50</v>
      </c>
    </row>
    <row r="906">
      <c r="A906" t="inlineStr">
        <is>
          <t>Garlic</t>
        </is>
      </c>
      <c r="B906" t="inlineStr">
        <is>
          <t>Pomegranate</t>
        </is>
      </c>
      <c r="C906" t="n">
        <v>0</v>
      </c>
      <c r="D906" t="n">
        <v>1</v>
      </c>
      <c r="E906" t="n">
        <v>0</v>
      </c>
      <c r="F906" t="inlineStr">
        <is>
          <t>General</t>
        </is>
      </c>
      <c r="G906" t="inlineStr">
        <is>
          <t>General</t>
        </is>
      </c>
      <c r="H906" t="inlineStr">
        <is>
          <t>General</t>
        </is>
      </c>
      <c r="I906" t="inlineStr">
        <is>
          <t>General</t>
        </is>
      </c>
      <c r="K906" t="inlineStr">
        <is>
          <t>unclassified</t>
        </is>
      </c>
      <c r="M906" t="n">
        <v>50</v>
      </c>
    </row>
    <row r="907">
      <c r="A907" t="inlineStr">
        <is>
          <t>Garlic</t>
        </is>
      </c>
      <c r="B907" t="inlineStr">
        <is>
          <t>Poria</t>
        </is>
      </c>
      <c r="C907" t="n">
        <v>0</v>
      </c>
      <c r="D907" t="n">
        <v>1</v>
      </c>
      <c r="E907" t="n">
        <v>0</v>
      </c>
      <c r="F907" t="inlineStr">
        <is>
          <t>General</t>
        </is>
      </c>
      <c r="G907" t="inlineStr">
        <is>
          <t>General</t>
        </is>
      </c>
      <c r="H907" t="inlineStr">
        <is>
          <t>General</t>
        </is>
      </c>
      <c r="I907" t="inlineStr">
        <is>
          <t>General</t>
        </is>
      </c>
      <c r="K907" t="inlineStr">
        <is>
          <t>unclassified</t>
        </is>
      </c>
      <c r="M907" t="n">
        <v>50</v>
      </c>
    </row>
    <row r="908">
      <c r="A908" t="inlineStr">
        <is>
          <t>Garlic</t>
        </is>
      </c>
      <c r="B908" t="inlineStr">
        <is>
          <t>Punarnava</t>
        </is>
      </c>
      <c r="C908" t="n">
        <v>0</v>
      </c>
      <c r="D908" t="n">
        <v>1</v>
      </c>
      <c r="E908" t="n">
        <v>0</v>
      </c>
      <c r="F908" t="inlineStr">
        <is>
          <t>General</t>
        </is>
      </c>
      <c r="G908" t="inlineStr">
        <is>
          <t>General</t>
        </is>
      </c>
      <c r="H908" t="inlineStr">
        <is>
          <t>General</t>
        </is>
      </c>
      <c r="I908" t="inlineStr">
        <is>
          <t>General</t>
        </is>
      </c>
      <c r="K908" t="inlineStr">
        <is>
          <t>unclassified</t>
        </is>
      </c>
      <c r="M908" t="n">
        <v>50</v>
      </c>
    </row>
    <row r="909">
      <c r="A909" t="inlineStr">
        <is>
          <t>Garlic</t>
        </is>
      </c>
      <c r="B909" t="inlineStr">
        <is>
          <t>Red Clover</t>
        </is>
      </c>
      <c r="C909" t="n">
        <v>0</v>
      </c>
      <c r="D909" t="n">
        <v>1</v>
      </c>
      <c r="E909" t="n">
        <v>0</v>
      </c>
      <c r="F909" t="inlineStr">
        <is>
          <t>General</t>
        </is>
      </c>
      <c r="G909" t="inlineStr">
        <is>
          <t>General</t>
        </is>
      </c>
      <c r="H909" t="inlineStr">
        <is>
          <t>General</t>
        </is>
      </c>
      <c r="I909" t="inlineStr">
        <is>
          <t>General</t>
        </is>
      </c>
      <c r="K909" t="inlineStr">
        <is>
          <t>unclassified</t>
        </is>
      </c>
      <c r="M909" t="n">
        <v>50</v>
      </c>
    </row>
    <row r="910">
      <c r="A910" t="inlineStr">
        <is>
          <t>Garlic</t>
        </is>
      </c>
      <c r="B910" t="inlineStr">
        <is>
          <t>Rehmannia Prepared</t>
        </is>
      </c>
      <c r="C910" t="n">
        <v>0</v>
      </c>
      <c r="D910" t="n">
        <v>1</v>
      </c>
      <c r="E910" t="n">
        <v>0</v>
      </c>
      <c r="F910" t="inlineStr">
        <is>
          <t>General</t>
        </is>
      </c>
      <c r="G910" t="inlineStr">
        <is>
          <t>General</t>
        </is>
      </c>
      <c r="H910" t="inlineStr">
        <is>
          <t>General</t>
        </is>
      </c>
      <c r="I910" t="inlineStr">
        <is>
          <t>General</t>
        </is>
      </c>
      <c r="K910" t="inlineStr">
        <is>
          <t>unclassified</t>
        </is>
      </c>
      <c r="M910" t="n">
        <v>50</v>
      </c>
    </row>
    <row r="911">
      <c r="A911" t="inlineStr">
        <is>
          <t>Garlic</t>
        </is>
      </c>
      <c r="B911" t="inlineStr">
        <is>
          <t>Reishi</t>
        </is>
      </c>
      <c r="C911" t="n">
        <v>0</v>
      </c>
      <c r="D911" t="n">
        <v>1</v>
      </c>
      <c r="E911" t="n">
        <v>0</v>
      </c>
      <c r="F911" t="inlineStr">
        <is>
          <t>General</t>
        </is>
      </c>
      <c r="G911" t="inlineStr">
        <is>
          <t>General</t>
        </is>
      </c>
      <c r="H911" t="inlineStr">
        <is>
          <t>General</t>
        </is>
      </c>
      <c r="I911" t="inlineStr">
        <is>
          <t>General</t>
        </is>
      </c>
      <c r="K911" t="inlineStr">
        <is>
          <t>unclassified</t>
        </is>
      </c>
      <c r="M911" t="n">
        <v>50</v>
      </c>
    </row>
    <row r="912">
      <c r="A912" t="inlineStr">
        <is>
          <t>Garlic</t>
        </is>
      </c>
      <c r="B912" t="inlineStr">
        <is>
          <t>Rose Hips</t>
        </is>
      </c>
      <c r="C912" t="n">
        <v>0</v>
      </c>
      <c r="D912" t="n">
        <v>1</v>
      </c>
      <c r="E912" t="n">
        <v>0</v>
      </c>
      <c r="F912" t="inlineStr">
        <is>
          <t>General</t>
        </is>
      </c>
      <c r="G912" t="inlineStr">
        <is>
          <t>General</t>
        </is>
      </c>
      <c r="H912" t="inlineStr">
        <is>
          <t>General</t>
        </is>
      </c>
      <c r="I912" t="inlineStr">
        <is>
          <t>General</t>
        </is>
      </c>
      <c r="K912" t="inlineStr">
        <is>
          <t>unclassified</t>
        </is>
      </c>
      <c r="M912" t="n">
        <v>50</v>
      </c>
    </row>
    <row r="913">
      <c r="A913" t="inlineStr">
        <is>
          <t>Garlic</t>
        </is>
      </c>
      <c r="B913" t="inlineStr">
        <is>
          <t>Rosemary</t>
        </is>
      </c>
      <c r="C913" t="n">
        <v>0</v>
      </c>
      <c r="D913" t="n">
        <v>1</v>
      </c>
      <c r="E913" t="n">
        <v>0</v>
      </c>
      <c r="F913" t="inlineStr">
        <is>
          <t>General</t>
        </is>
      </c>
      <c r="G913" t="inlineStr">
        <is>
          <t>General</t>
        </is>
      </c>
      <c r="H913" t="inlineStr">
        <is>
          <t>General</t>
        </is>
      </c>
      <c r="I913" t="inlineStr">
        <is>
          <t>General</t>
        </is>
      </c>
      <c r="K913" t="inlineStr">
        <is>
          <t>unclassified</t>
        </is>
      </c>
      <c r="M913" t="n">
        <v>50</v>
      </c>
    </row>
    <row r="914">
      <c r="A914" t="inlineStr">
        <is>
          <t>Garlic</t>
        </is>
      </c>
      <c r="B914" t="inlineStr">
        <is>
          <t>Sage</t>
        </is>
      </c>
      <c r="C914" t="n">
        <v>0</v>
      </c>
      <c r="D914" t="n">
        <v>1</v>
      </c>
      <c r="E914" t="n">
        <v>0</v>
      </c>
      <c r="F914" t="inlineStr">
        <is>
          <t>General</t>
        </is>
      </c>
      <c r="G914" t="inlineStr">
        <is>
          <t>General</t>
        </is>
      </c>
      <c r="H914" t="inlineStr">
        <is>
          <t>General</t>
        </is>
      </c>
      <c r="I914" t="inlineStr">
        <is>
          <t>General</t>
        </is>
      </c>
      <c r="K914" t="inlineStr">
        <is>
          <t>unclassified</t>
        </is>
      </c>
      <c r="M914" t="n">
        <v>50</v>
      </c>
    </row>
    <row r="915">
      <c r="A915" t="inlineStr">
        <is>
          <t>Garlic</t>
        </is>
      </c>
      <c r="B915" t="inlineStr">
        <is>
          <t>Sophora Flavescens</t>
        </is>
      </c>
      <c r="C915" t="n">
        <v>0</v>
      </c>
      <c r="D915" t="n">
        <v>1</v>
      </c>
      <c r="E915" t="n">
        <v>0</v>
      </c>
      <c r="F915" t="inlineStr">
        <is>
          <t>General</t>
        </is>
      </c>
      <c r="G915" t="inlineStr">
        <is>
          <t>General</t>
        </is>
      </c>
      <c r="H915" t="inlineStr">
        <is>
          <t>General</t>
        </is>
      </c>
      <c r="I915" t="inlineStr">
        <is>
          <t>General</t>
        </is>
      </c>
      <c r="K915" t="inlineStr">
        <is>
          <t>unclassified</t>
        </is>
      </c>
      <c r="M915" t="n">
        <v>50</v>
      </c>
    </row>
    <row r="916">
      <c r="A916" t="inlineStr">
        <is>
          <t>Garlic</t>
        </is>
      </c>
      <c r="B916" t="inlineStr">
        <is>
          <t>Soursop</t>
        </is>
      </c>
      <c r="C916" t="n">
        <v>0</v>
      </c>
      <c r="D916" t="n">
        <v>1</v>
      </c>
      <c r="E916" t="n">
        <v>0</v>
      </c>
      <c r="F916" t="inlineStr">
        <is>
          <t>General</t>
        </is>
      </c>
      <c r="G916" t="inlineStr">
        <is>
          <t>General</t>
        </is>
      </c>
      <c r="H916" t="inlineStr">
        <is>
          <t>General</t>
        </is>
      </c>
      <c r="I916" t="inlineStr">
        <is>
          <t>General</t>
        </is>
      </c>
      <c r="K916" t="inlineStr">
        <is>
          <t>unclassified</t>
        </is>
      </c>
      <c r="M916" t="n">
        <v>50</v>
      </c>
    </row>
    <row r="917">
      <c r="A917" t="inlineStr">
        <is>
          <t>Garlic</t>
        </is>
      </c>
      <c r="B917" t="inlineStr">
        <is>
          <t>St Johns Wort</t>
        </is>
      </c>
      <c r="C917" t="n">
        <v>0</v>
      </c>
      <c r="D917" t="n">
        <v>1</v>
      </c>
      <c r="E917" t="n">
        <v>0</v>
      </c>
      <c r="F917" t="inlineStr">
        <is>
          <t>General</t>
        </is>
      </c>
      <c r="G917" t="inlineStr">
        <is>
          <t>General</t>
        </is>
      </c>
      <c r="H917" t="inlineStr">
        <is>
          <t>General</t>
        </is>
      </c>
      <c r="I917" t="inlineStr">
        <is>
          <t>General</t>
        </is>
      </c>
      <c r="K917" t="inlineStr">
        <is>
          <t>unclassified</t>
        </is>
      </c>
      <c r="M917" t="n">
        <v>50</v>
      </c>
    </row>
    <row r="918">
      <c r="A918" t="inlineStr">
        <is>
          <t>Garlic</t>
        </is>
      </c>
      <c r="B918" t="inlineStr">
        <is>
          <t>Tamarind</t>
        </is>
      </c>
      <c r="C918" t="n">
        <v>0</v>
      </c>
      <c r="D918" t="n">
        <v>1</v>
      </c>
      <c r="E918" t="n">
        <v>0</v>
      </c>
      <c r="F918" t="inlineStr">
        <is>
          <t>General</t>
        </is>
      </c>
      <c r="G918" t="inlineStr">
        <is>
          <t>General</t>
        </is>
      </c>
      <c r="H918" t="inlineStr">
        <is>
          <t>General</t>
        </is>
      </c>
      <c r="I918" t="inlineStr">
        <is>
          <t>General</t>
        </is>
      </c>
      <c r="K918" t="inlineStr">
        <is>
          <t>unclassified</t>
        </is>
      </c>
      <c r="M918" t="n">
        <v>50</v>
      </c>
    </row>
    <row r="919">
      <c r="A919" t="inlineStr">
        <is>
          <t>Garlic</t>
        </is>
      </c>
      <c r="B919" t="inlineStr">
        <is>
          <t>Thyme</t>
        </is>
      </c>
      <c r="C919" t="n">
        <v>0</v>
      </c>
      <c r="D919" t="n">
        <v>1</v>
      </c>
      <c r="E919" t="n">
        <v>0</v>
      </c>
      <c r="F919" t="inlineStr">
        <is>
          <t>General</t>
        </is>
      </c>
      <c r="G919" t="inlineStr">
        <is>
          <t>General</t>
        </is>
      </c>
      <c r="H919" t="inlineStr">
        <is>
          <t>General</t>
        </is>
      </c>
      <c r="I919" t="inlineStr">
        <is>
          <t>General</t>
        </is>
      </c>
      <c r="K919" t="inlineStr">
        <is>
          <t>unclassified</t>
        </is>
      </c>
      <c r="M919" t="n">
        <v>50</v>
      </c>
    </row>
    <row r="920">
      <c r="A920" t="inlineStr">
        <is>
          <t>Garlic</t>
        </is>
      </c>
      <c r="B920" t="inlineStr">
        <is>
          <t>Turmeric</t>
        </is>
      </c>
      <c r="C920" t="n">
        <v>0</v>
      </c>
      <c r="D920" t="n">
        <v>1</v>
      </c>
      <c r="E920" t="n">
        <v>0</v>
      </c>
      <c r="F920" t="inlineStr">
        <is>
          <t>General</t>
        </is>
      </c>
      <c r="G920" t="inlineStr">
        <is>
          <t>General</t>
        </is>
      </c>
      <c r="H920" t="inlineStr">
        <is>
          <t>General</t>
        </is>
      </c>
      <c r="I920" t="inlineStr">
        <is>
          <t>General</t>
        </is>
      </c>
      <c r="K920" t="inlineStr">
        <is>
          <t>unclassified</t>
        </is>
      </c>
      <c r="M920" t="n">
        <v>50</v>
      </c>
    </row>
    <row r="921">
      <c r="A921" t="inlineStr">
        <is>
          <t>Garlic</t>
        </is>
      </c>
      <c r="B921" t="inlineStr">
        <is>
          <t>Valerian</t>
        </is>
      </c>
      <c r="C921" t="n">
        <v>0</v>
      </c>
      <c r="D921" t="n">
        <v>1</v>
      </c>
      <c r="E921" t="n">
        <v>0</v>
      </c>
      <c r="F921" t="inlineStr">
        <is>
          <t>General</t>
        </is>
      </c>
      <c r="G921" t="inlineStr">
        <is>
          <t>General</t>
        </is>
      </c>
      <c r="H921" t="inlineStr">
        <is>
          <t>General</t>
        </is>
      </c>
      <c r="I921" t="inlineStr">
        <is>
          <t>General</t>
        </is>
      </c>
      <c r="K921" t="inlineStr">
        <is>
          <t>unclassified</t>
        </is>
      </c>
      <c r="M921" t="n">
        <v>50</v>
      </c>
    </row>
    <row r="922">
      <c r="A922" t="inlineStr">
        <is>
          <t>Garlic</t>
        </is>
      </c>
      <c r="B922" t="inlineStr">
        <is>
          <t>White Peony</t>
        </is>
      </c>
      <c r="C922" t="n">
        <v>0</v>
      </c>
      <c r="D922" t="n">
        <v>1</v>
      </c>
      <c r="E922" t="n">
        <v>0</v>
      </c>
      <c r="F922" t="inlineStr">
        <is>
          <t>General</t>
        </is>
      </c>
      <c r="G922" t="inlineStr">
        <is>
          <t>General</t>
        </is>
      </c>
      <c r="H922" t="inlineStr">
        <is>
          <t>General</t>
        </is>
      </c>
      <c r="I922" t="inlineStr">
        <is>
          <t>General</t>
        </is>
      </c>
      <c r="K922" t="inlineStr">
        <is>
          <t>unclassified</t>
        </is>
      </c>
      <c r="M922" t="n">
        <v>50</v>
      </c>
    </row>
    <row r="923">
      <c r="A923" t="inlineStr">
        <is>
          <t>Garlic</t>
        </is>
      </c>
      <c r="B923" t="inlineStr">
        <is>
          <t>Yarrow</t>
        </is>
      </c>
      <c r="C923" t="n">
        <v>0</v>
      </c>
      <c r="D923" t="n">
        <v>1</v>
      </c>
      <c r="E923" t="n">
        <v>0</v>
      </c>
      <c r="F923" t="inlineStr">
        <is>
          <t>General</t>
        </is>
      </c>
      <c r="G923" t="inlineStr">
        <is>
          <t>General</t>
        </is>
      </c>
      <c r="H923" t="inlineStr">
        <is>
          <t>General</t>
        </is>
      </c>
      <c r="I923" t="inlineStr">
        <is>
          <t>General</t>
        </is>
      </c>
      <c r="K923" t="inlineStr">
        <is>
          <t>unclassified</t>
        </is>
      </c>
      <c r="M923" t="n">
        <v>50</v>
      </c>
    </row>
    <row r="924">
      <c r="A924" t="inlineStr">
        <is>
          <t>Garlic</t>
        </is>
      </c>
      <c r="B924" t="inlineStr">
        <is>
          <t>Yohimbe</t>
        </is>
      </c>
      <c r="C924" t="n">
        <v>0</v>
      </c>
      <c r="D924" t="n">
        <v>1</v>
      </c>
      <c r="E924" t="n">
        <v>0</v>
      </c>
      <c r="F924" t="inlineStr">
        <is>
          <t>General</t>
        </is>
      </c>
      <c r="G924" t="inlineStr">
        <is>
          <t>General</t>
        </is>
      </c>
      <c r="H924" t="inlineStr">
        <is>
          <t>General</t>
        </is>
      </c>
      <c r="I924" t="inlineStr">
        <is>
          <t>General</t>
        </is>
      </c>
      <c r="K924" t="inlineStr">
        <is>
          <t>unclassified</t>
        </is>
      </c>
      <c r="M924" t="n">
        <v>50</v>
      </c>
    </row>
    <row r="925">
      <c r="A925" t="inlineStr">
        <is>
          <t>Gastrodia</t>
        </is>
      </c>
      <c r="B925" t="inlineStr">
        <is>
          <t>Agarikon</t>
        </is>
      </c>
      <c r="C925" t="n">
        <v>0</v>
      </c>
      <c r="D925" t="n">
        <v>1</v>
      </c>
      <c r="E925" t="n">
        <v>0</v>
      </c>
      <c r="F925" t="inlineStr">
        <is>
          <t>General</t>
        </is>
      </c>
      <c r="G925" t="inlineStr">
        <is>
          <t>General</t>
        </is>
      </c>
      <c r="H925" t="inlineStr">
        <is>
          <t>General</t>
        </is>
      </c>
      <c r="I925" t="inlineStr">
        <is>
          <t>General</t>
        </is>
      </c>
      <c r="K925" t="inlineStr">
        <is>
          <t>unclassified</t>
        </is>
      </c>
      <c r="M925" t="n">
        <v>50</v>
      </c>
    </row>
    <row r="926">
      <c r="A926" t="inlineStr">
        <is>
          <t>Gastrodia</t>
        </is>
      </c>
      <c r="B926" t="inlineStr">
        <is>
          <t>Ajwain</t>
        </is>
      </c>
      <c r="C926" t="n">
        <v>0</v>
      </c>
      <c r="D926" t="n">
        <v>1</v>
      </c>
      <c r="E926" t="n">
        <v>0</v>
      </c>
      <c r="F926" t="inlineStr">
        <is>
          <t>General</t>
        </is>
      </c>
      <c r="G926" t="inlineStr">
        <is>
          <t>General</t>
        </is>
      </c>
      <c r="H926" t="inlineStr">
        <is>
          <t>General</t>
        </is>
      </c>
      <c r="I926" t="inlineStr">
        <is>
          <t>General</t>
        </is>
      </c>
      <c r="K926" t="inlineStr">
        <is>
          <t>unclassified</t>
        </is>
      </c>
      <c r="M926" t="n">
        <v>50</v>
      </c>
    </row>
    <row r="927">
      <c r="A927" t="inlineStr">
        <is>
          <t>Gastrodia</t>
        </is>
      </c>
      <c r="B927" t="inlineStr">
        <is>
          <t>Angelica Root</t>
        </is>
      </c>
      <c r="C927" t="n">
        <v>0</v>
      </c>
      <c r="D927" t="n">
        <v>1</v>
      </c>
      <c r="E927" t="n">
        <v>0</v>
      </c>
      <c r="F927" t="inlineStr">
        <is>
          <t>General</t>
        </is>
      </c>
      <c r="G927" t="inlineStr">
        <is>
          <t>General</t>
        </is>
      </c>
      <c r="H927" t="inlineStr">
        <is>
          <t>General</t>
        </is>
      </c>
      <c r="I927" t="inlineStr">
        <is>
          <t>General</t>
        </is>
      </c>
      <c r="K927" t="inlineStr">
        <is>
          <t>unclassified</t>
        </is>
      </c>
      <c r="M927" t="n">
        <v>50</v>
      </c>
    </row>
    <row r="928">
      <c r="A928" t="inlineStr">
        <is>
          <t>Gastrodia</t>
        </is>
      </c>
      <c r="B928" t="inlineStr">
        <is>
          <t>Caraway</t>
        </is>
      </c>
      <c r="C928" t="n">
        <v>0</v>
      </c>
      <c r="D928" t="n">
        <v>1</v>
      </c>
      <c r="E928" t="n">
        <v>0</v>
      </c>
      <c r="F928" t="inlineStr">
        <is>
          <t>General</t>
        </is>
      </c>
      <c r="G928" t="inlineStr">
        <is>
          <t>General</t>
        </is>
      </c>
      <c r="H928" t="inlineStr">
        <is>
          <t>General</t>
        </is>
      </c>
      <c r="I928" t="inlineStr">
        <is>
          <t>General</t>
        </is>
      </c>
      <c r="K928" t="inlineStr">
        <is>
          <t>unclassified</t>
        </is>
      </c>
      <c r="M928" t="n">
        <v>50</v>
      </c>
    </row>
    <row r="929">
      <c r="A929" t="inlineStr">
        <is>
          <t>Gastrodia</t>
        </is>
      </c>
      <c r="B929" t="inlineStr">
        <is>
          <t>Cardamom</t>
        </is>
      </c>
      <c r="C929" t="n">
        <v>0</v>
      </c>
      <c r="D929" t="n">
        <v>1</v>
      </c>
      <c r="E929" t="n">
        <v>0</v>
      </c>
      <c r="F929" t="inlineStr">
        <is>
          <t>General</t>
        </is>
      </c>
      <c r="G929" t="inlineStr">
        <is>
          <t>General</t>
        </is>
      </c>
      <c r="H929" t="inlineStr">
        <is>
          <t>General</t>
        </is>
      </c>
      <c r="I929" t="inlineStr">
        <is>
          <t>General</t>
        </is>
      </c>
      <c r="K929" t="inlineStr">
        <is>
          <t>unclassified</t>
        </is>
      </c>
      <c r="M929" t="n">
        <v>50</v>
      </c>
    </row>
    <row r="930">
      <c r="A930" t="inlineStr">
        <is>
          <t>Gastrodia</t>
        </is>
      </c>
      <c r="B930" t="inlineStr">
        <is>
          <t>Celastrus Paniculatus</t>
        </is>
      </c>
      <c r="C930" t="n">
        <v>0</v>
      </c>
      <c r="D930" t="n">
        <v>1</v>
      </c>
      <c r="E930" t="n">
        <v>0</v>
      </c>
      <c r="F930" t="inlineStr">
        <is>
          <t>General</t>
        </is>
      </c>
      <c r="G930" t="inlineStr">
        <is>
          <t>General</t>
        </is>
      </c>
      <c r="H930" t="inlineStr">
        <is>
          <t>General</t>
        </is>
      </c>
      <c r="I930" t="inlineStr">
        <is>
          <t>General</t>
        </is>
      </c>
      <c r="K930" t="inlineStr">
        <is>
          <t>unclassified</t>
        </is>
      </c>
      <c r="M930" t="n">
        <v>50</v>
      </c>
    </row>
    <row r="931">
      <c r="A931" t="inlineStr">
        <is>
          <t>Gastrodia</t>
        </is>
      </c>
      <c r="B931" t="inlineStr">
        <is>
          <t>Cordyceps</t>
        </is>
      </c>
      <c r="C931" t="n">
        <v>0</v>
      </c>
      <c r="D931" t="n">
        <v>1</v>
      </c>
      <c r="E931" t="n">
        <v>0</v>
      </c>
      <c r="F931" t="inlineStr">
        <is>
          <t>General</t>
        </is>
      </c>
      <c r="G931" t="inlineStr">
        <is>
          <t>General</t>
        </is>
      </c>
      <c r="H931" t="inlineStr">
        <is>
          <t>General</t>
        </is>
      </c>
      <c r="I931" t="inlineStr">
        <is>
          <t>General</t>
        </is>
      </c>
      <c r="K931" t="inlineStr">
        <is>
          <t>unclassified</t>
        </is>
      </c>
      <c r="M931" t="n">
        <v>50</v>
      </c>
    </row>
    <row r="932">
      <c r="A932" t="inlineStr">
        <is>
          <t>Gastrodia</t>
        </is>
      </c>
      <c r="B932" t="inlineStr">
        <is>
          <t>Dendrobium</t>
        </is>
      </c>
      <c r="C932" t="n">
        <v>0</v>
      </c>
      <c r="D932" t="n">
        <v>1</v>
      </c>
      <c r="E932" t="n">
        <v>0</v>
      </c>
      <c r="F932" t="inlineStr">
        <is>
          <t>General</t>
        </is>
      </c>
      <c r="G932" t="inlineStr">
        <is>
          <t>General</t>
        </is>
      </c>
      <c r="H932" t="inlineStr">
        <is>
          <t>General</t>
        </is>
      </c>
      <c r="I932" t="inlineStr">
        <is>
          <t>General</t>
        </is>
      </c>
      <c r="K932" t="inlineStr">
        <is>
          <t>unclassified</t>
        </is>
      </c>
      <c r="M932" t="n">
        <v>50</v>
      </c>
    </row>
    <row r="933">
      <c r="A933" t="inlineStr">
        <is>
          <t>Gastrodia</t>
        </is>
      </c>
      <c r="B933" t="inlineStr">
        <is>
          <t>Elecampane</t>
        </is>
      </c>
      <c r="C933" t="n">
        <v>0</v>
      </c>
      <c r="D933" t="n">
        <v>1</v>
      </c>
      <c r="E933" t="n">
        <v>0</v>
      </c>
      <c r="F933" t="inlineStr">
        <is>
          <t>General</t>
        </is>
      </c>
      <c r="G933" t="inlineStr">
        <is>
          <t>General</t>
        </is>
      </c>
      <c r="H933" t="inlineStr">
        <is>
          <t>General</t>
        </is>
      </c>
      <c r="I933" t="inlineStr">
        <is>
          <t>General</t>
        </is>
      </c>
      <c r="K933" t="inlineStr">
        <is>
          <t>unclassified</t>
        </is>
      </c>
      <c r="M933" t="n">
        <v>50</v>
      </c>
    </row>
    <row r="934">
      <c r="A934" t="inlineStr">
        <is>
          <t>Gastrodia</t>
        </is>
      </c>
      <c r="B934" t="inlineStr">
        <is>
          <t>Eleuthero</t>
        </is>
      </c>
      <c r="C934" t="n">
        <v>0</v>
      </c>
      <c r="D934" t="n">
        <v>1</v>
      </c>
      <c r="E934" t="n">
        <v>0</v>
      </c>
      <c r="F934" t="inlineStr">
        <is>
          <t>General</t>
        </is>
      </c>
      <c r="G934" t="inlineStr">
        <is>
          <t>General</t>
        </is>
      </c>
      <c r="H934" t="inlineStr">
        <is>
          <t>General</t>
        </is>
      </c>
      <c r="I934" t="inlineStr">
        <is>
          <t>General</t>
        </is>
      </c>
      <c r="K934" t="inlineStr">
        <is>
          <t>unclassified</t>
        </is>
      </c>
      <c r="M934" t="n">
        <v>50</v>
      </c>
    </row>
    <row r="935">
      <c r="A935" t="inlineStr">
        <is>
          <t>Gastrodia</t>
        </is>
      </c>
      <c r="B935" t="inlineStr">
        <is>
          <t>Galangal</t>
        </is>
      </c>
      <c r="C935" t="n">
        <v>0</v>
      </c>
      <c r="D935" t="n">
        <v>1</v>
      </c>
      <c r="E935" t="n">
        <v>0</v>
      </c>
      <c r="F935" t="inlineStr">
        <is>
          <t>General</t>
        </is>
      </c>
      <c r="G935" t="inlineStr">
        <is>
          <t>General</t>
        </is>
      </c>
      <c r="H935" t="inlineStr">
        <is>
          <t>General</t>
        </is>
      </c>
      <c r="I935" t="inlineStr">
        <is>
          <t>General</t>
        </is>
      </c>
      <c r="K935" t="inlineStr">
        <is>
          <t>unclassified</t>
        </is>
      </c>
      <c r="M935" t="n">
        <v>50</v>
      </c>
    </row>
    <row r="936">
      <c r="A936" t="inlineStr">
        <is>
          <t>Gastrodia</t>
        </is>
      </c>
      <c r="B936" t="inlineStr">
        <is>
          <t>Gudmar</t>
        </is>
      </c>
      <c r="C936" t="n">
        <v>0</v>
      </c>
      <c r="D936" t="n">
        <v>1</v>
      </c>
      <c r="E936" t="n">
        <v>0</v>
      </c>
      <c r="F936" t="inlineStr">
        <is>
          <t>General</t>
        </is>
      </c>
      <c r="G936" t="inlineStr">
        <is>
          <t>General</t>
        </is>
      </c>
      <c r="H936" t="inlineStr">
        <is>
          <t>General</t>
        </is>
      </c>
      <c r="I936" t="inlineStr">
        <is>
          <t>General</t>
        </is>
      </c>
      <c r="K936" t="inlineStr">
        <is>
          <t>unclassified</t>
        </is>
      </c>
      <c r="M936" t="n">
        <v>50</v>
      </c>
    </row>
    <row r="937">
      <c r="A937" t="inlineStr">
        <is>
          <t>Gastrodia</t>
        </is>
      </c>
      <c r="B937" t="inlineStr">
        <is>
          <t>Houttuynia</t>
        </is>
      </c>
      <c r="C937" t="n">
        <v>0</v>
      </c>
      <c r="D937" t="n">
        <v>1</v>
      </c>
      <c r="E937" t="n">
        <v>0</v>
      </c>
      <c r="F937" t="inlineStr">
        <is>
          <t>General</t>
        </is>
      </c>
      <c r="G937" t="inlineStr">
        <is>
          <t>General</t>
        </is>
      </c>
      <c r="H937" t="inlineStr">
        <is>
          <t>General</t>
        </is>
      </c>
      <c r="I937" t="inlineStr">
        <is>
          <t>General</t>
        </is>
      </c>
      <c r="K937" t="inlineStr">
        <is>
          <t>unclassified</t>
        </is>
      </c>
      <c r="M937" t="n">
        <v>50</v>
      </c>
    </row>
    <row r="938">
      <c r="A938" t="inlineStr">
        <is>
          <t>Gastrodia</t>
        </is>
      </c>
      <c r="B938" t="inlineStr">
        <is>
          <t>Isatis</t>
        </is>
      </c>
      <c r="C938" t="n">
        <v>0</v>
      </c>
      <c r="D938" t="n">
        <v>1</v>
      </c>
      <c r="E938" t="n">
        <v>0</v>
      </c>
      <c r="F938" t="inlineStr">
        <is>
          <t>General</t>
        </is>
      </c>
      <c r="G938" t="inlineStr">
        <is>
          <t>General</t>
        </is>
      </c>
      <c r="H938" t="inlineStr">
        <is>
          <t>General</t>
        </is>
      </c>
      <c r="I938" t="inlineStr">
        <is>
          <t>General</t>
        </is>
      </c>
      <c r="K938" t="inlineStr">
        <is>
          <t>unclassified</t>
        </is>
      </c>
      <c r="M938" t="n">
        <v>50</v>
      </c>
    </row>
    <row r="939">
      <c r="A939" t="inlineStr">
        <is>
          <t>Gastrodia</t>
        </is>
      </c>
      <c r="B939" t="inlineStr">
        <is>
          <t>Maitake D-Fraction</t>
        </is>
      </c>
      <c r="C939" t="n">
        <v>0</v>
      </c>
      <c r="D939" t="n">
        <v>1</v>
      </c>
      <c r="E939" t="n">
        <v>0</v>
      </c>
      <c r="F939" t="inlineStr">
        <is>
          <t>General</t>
        </is>
      </c>
      <c r="G939" t="inlineStr">
        <is>
          <t>General</t>
        </is>
      </c>
      <c r="H939" t="inlineStr">
        <is>
          <t>General</t>
        </is>
      </c>
      <c r="I939" t="inlineStr">
        <is>
          <t>General</t>
        </is>
      </c>
      <c r="K939" t="inlineStr">
        <is>
          <t>unclassified</t>
        </is>
      </c>
      <c r="M939" t="n">
        <v>50</v>
      </c>
    </row>
    <row r="940">
      <c r="A940" t="inlineStr">
        <is>
          <t>Gastrodia</t>
        </is>
      </c>
      <c r="B940" t="inlineStr">
        <is>
          <t>Muira Puama</t>
        </is>
      </c>
      <c r="C940" t="n">
        <v>0</v>
      </c>
      <c r="D940" t="n">
        <v>1</v>
      </c>
      <c r="E940" t="n">
        <v>0</v>
      </c>
      <c r="F940" t="inlineStr">
        <is>
          <t>General</t>
        </is>
      </c>
      <c r="G940" t="inlineStr">
        <is>
          <t>General</t>
        </is>
      </c>
      <c r="H940" t="inlineStr">
        <is>
          <t>General</t>
        </is>
      </c>
      <c r="I940" t="inlineStr">
        <is>
          <t>General</t>
        </is>
      </c>
      <c r="K940" t="inlineStr">
        <is>
          <t>unclassified</t>
        </is>
      </c>
      <c r="M940" t="n">
        <v>50</v>
      </c>
    </row>
    <row r="941">
      <c r="A941" t="inlineStr">
        <is>
          <t>Gastrodia</t>
        </is>
      </c>
      <c r="B941" t="inlineStr">
        <is>
          <t>Nettle Root</t>
        </is>
      </c>
      <c r="C941" t="n">
        <v>0</v>
      </c>
      <c r="D941" t="n">
        <v>1</v>
      </c>
      <c r="E941" t="n">
        <v>0</v>
      </c>
      <c r="F941" t="inlineStr">
        <is>
          <t>General</t>
        </is>
      </c>
      <c r="G941" t="inlineStr">
        <is>
          <t>General</t>
        </is>
      </c>
      <c r="H941" t="inlineStr">
        <is>
          <t>General</t>
        </is>
      </c>
      <c r="I941" t="inlineStr">
        <is>
          <t>General</t>
        </is>
      </c>
      <c r="K941" t="inlineStr">
        <is>
          <t>unclassified</t>
        </is>
      </c>
      <c r="M941" t="n">
        <v>50</v>
      </c>
    </row>
    <row r="942">
      <c r="A942" t="inlineStr">
        <is>
          <t>Gastrodia</t>
        </is>
      </c>
      <c r="B942" t="inlineStr">
        <is>
          <t>Passionflower</t>
        </is>
      </c>
      <c r="C942" t="n">
        <v>0</v>
      </c>
      <c r="D942" t="n">
        <v>1</v>
      </c>
      <c r="E942" t="n">
        <v>0</v>
      </c>
      <c r="F942" t="inlineStr">
        <is>
          <t>General</t>
        </is>
      </c>
      <c r="G942" t="inlineStr">
        <is>
          <t>General</t>
        </is>
      </c>
      <c r="H942" t="inlineStr">
        <is>
          <t>General</t>
        </is>
      </c>
      <c r="I942" t="inlineStr">
        <is>
          <t>General</t>
        </is>
      </c>
      <c r="K942" t="inlineStr">
        <is>
          <t>unclassified</t>
        </is>
      </c>
      <c r="M942" t="n">
        <v>50</v>
      </c>
    </row>
    <row r="943">
      <c r="A943" t="inlineStr">
        <is>
          <t>Gastrodia</t>
        </is>
      </c>
      <c r="B943" t="inlineStr">
        <is>
          <t>Poria</t>
        </is>
      </c>
      <c r="C943" t="n">
        <v>0</v>
      </c>
      <c r="D943" t="n">
        <v>1</v>
      </c>
      <c r="E943" t="n">
        <v>0</v>
      </c>
      <c r="F943" t="inlineStr">
        <is>
          <t>General</t>
        </is>
      </c>
      <c r="G943" t="inlineStr">
        <is>
          <t>General</t>
        </is>
      </c>
      <c r="H943" t="inlineStr">
        <is>
          <t>General</t>
        </is>
      </c>
      <c r="I943" t="inlineStr">
        <is>
          <t>General</t>
        </is>
      </c>
      <c r="K943" t="inlineStr">
        <is>
          <t>unclassified</t>
        </is>
      </c>
      <c r="M943" t="n">
        <v>50</v>
      </c>
    </row>
    <row r="944">
      <c r="A944" t="inlineStr">
        <is>
          <t>Gastrodia</t>
        </is>
      </c>
      <c r="B944" t="inlineStr">
        <is>
          <t>Punarnava</t>
        </is>
      </c>
      <c r="C944" t="n">
        <v>0</v>
      </c>
      <c r="D944" t="n">
        <v>1</v>
      </c>
      <c r="E944" t="n">
        <v>0</v>
      </c>
      <c r="F944" t="inlineStr">
        <is>
          <t>General</t>
        </is>
      </c>
      <c r="G944" t="inlineStr">
        <is>
          <t>General</t>
        </is>
      </c>
      <c r="H944" t="inlineStr">
        <is>
          <t>General</t>
        </is>
      </c>
      <c r="I944" t="inlineStr">
        <is>
          <t>General</t>
        </is>
      </c>
      <c r="K944" t="inlineStr">
        <is>
          <t>unclassified</t>
        </is>
      </c>
      <c r="M944" t="n">
        <v>50</v>
      </c>
    </row>
    <row r="945">
      <c r="A945" t="inlineStr">
        <is>
          <t>Gastrodia</t>
        </is>
      </c>
      <c r="B945" t="inlineStr">
        <is>
          <t>Rehmannia Prepared</t>
        </is>
      </c>
      <c r="C945" t="n">
        <v>0</v>
      </c>
      <c r="D945" t="n">
        <v>1</v>
      </c>
      <c r="E945" t="n">
        <v>0</v>
      </c>
      <c r="F945" t="inlineStr">
        <is>
          <t>General</t>
        </is>
      </c>
      <c r="G945" t="inlineStr">
        <is>
          <t>General</t>
        </is>
      </c>
      <c r="H945" t="inlineStr">
        <is>
          <t>General</t>
        </is>
      </c>
      <c r="I945" t="inlineStr">
        <is>
          <t>General</t>
        </is>
      </c>
      <c r="K945" t="inlineStr">
        <is>
          <t>unclassified</t>
        </is>
      </c>
      <c r="M945" t="n">
        <v>50</v>
      </c>
    </row>
    <row r="946">
      <c r="A946" t="inlineStr">
        <is>
          <t>Gastrodia</t>
        </is>
      </c>
      <c r="B946" t="inlineStr">
        <is>
          <t>Reishi</t>
        </is>
      </c>
      <c r="C946" t="n">
        <v>0</v>
      </c>
      <c r="D946" t="n">
        <v>1</v>
      </c>
      <c r="E946" t="n">
        <v>0</v>
      </c>
      <c r="F946" t="inlineStr">
        <is>
          <t>General</t>
        </is>
      </c>
      <c r="G946" t="inlineStr">
        <is>
          <t>General</t>
        </is>
      </c>
      <c r="H946" t="inlineStr">
        <is>
          <t>General</t>
        </is>
      </c>
      <c r="I946" t="inlineStr">
        <is>
          <t>General</t>
        </is>
      </c>
      <c r="K946" t="inlineStr">
        <is>
          <t>unclassified</t>
        </is>
      </c>
      <c r="M946" t="n">
        <v>50</v>
      </c>
    </row>
    <row r="947">
      <c r="A947" t="inlineStr">
        <is>
          <t>Gastrodia</t>
        </is>
      </c>
      <c r="B947" t="inlineStr">
        <is>
          <t>Sophora Flavescens</t>
        </is>
      </c>
      <c r="C947" t="n">
        <v>0</v>
      </c>
      <c r="D947" t="n">
        <v>1</v>
      </c>
      <c r="E947" t="n">
        <v>0</v>
      </c>
      <c r="F947" t="inlineStr">
        <is>
          <t>General</t>
        </is>
      </c>
      <c r="G947" t="inlineStr">
        <is>
          <t>General</t>
        </is>
      </c>
      <c r="H947" t="inlineStr">
        <is>
          <t>General</t>
        </is>
      </c>
      <c r="I947" t="inlineStr">
        <is>
          <t>General</t>
        </is>
      </c>
      <c r="K947" t="inlineStr">
        <is>
          <t>unclassified</t>
        </is>
      </c>
      <c r="M947" t="n">
        <v>50</v>
      </c>
    </row>
    <row r="948">
      <c r="A948" t="inlineStr">
        <is>
          <t>Gastrodia</t>
        </is>
      </c>
      <c r="B948" t="inlineStr">
        <is>
          <t>Tamarind</t>
        </is>
      </c>
      <c r="C948" t="n">
        <v>0</v>
      </c>
      <c r="D948" t="n">
        <v>1</v>
      </c>
      <c r="E948" t="n">
        <v>0</v>
      </c>
      <c r="F948" t="inlineStr">
        <is>
          <t>General</t>
        </is>
      </c>
      <c r="G948" t="inlineStr">
        <is>
          <t>General</t>
        </is>
      </c>
      <c r="H948" t="inlineStr">
        <is>
          <t>General</t>
        </is>
      </c>
      <c r="I948" t="inlineStr">
        <is>
          <t>General</t>
        </is>
      </c>
      <c r="K948" t="inlineStr">
        <is>
          <t>unclassified</t>
        </is>
      </c>
      <c r="M948" t="n">
        <v>50</v>
      </c>
    </row>
    <row r="949">
      <c r="A949" t="inlineStr">
        <is>
          <t>Gastrodia</t>
        </is>
      </c>
      <c r="B949" t="inlineStr">
        <is>
          <t>White Peony</t>
        </is>
      </c>
      <c r="C949" t="n">
        <v>0</v>
      </c>
      <c r="D949" t="n">
        <v>1</v>
      </c>
      <c r="E949" t="n">
        <v>0</v>
      </c>
      <c r="F949" t="inlineStr">
        <is>
          <t>General</t>
        </is>
      </c>
      <c r="G949" t="inlineStr">
        <is>
          <t>General</t>
        </is>
      </c>
      <c r="H949" t="inlineStr">
        <is>
          <t>General</t>
        </is>
      </c>
      <c r="I949" t="inlineStr">
        <is>
          <t>General</t>
        </is>
      </c>
      <c r="K949" t="inlineStr">
        <is>
          <t>unclassified</t>
        </is>
      </c>
      <c r="M949" t="n">
        <v>50</v>
      </c>
    </row>
    <row r="950">
      <c r="A950" t="inlineStr">
        <is>
          <t>Gastrodia</t>
        </is>
      </c>
      <c r="B950" t="inlineStr">
        <is>
          <t>Yohimbe</t>
        </is>
      </c>
      <c r="C950" t="n">
        <v>0</v>
      </c>
      <c r="D950" t="n">
        <v>1</v>
      </c>
      <c r="E950" t="n">
        <v>0</v>
      </c>
      <c r="F950" t="inlineStr">
        <is>
          <t>General</t>
        </is>
      </c>
      <c r="G950" t="inlineStr">
        <is>
          <t>General</t>
        </is>
      </c>
      <c r="H950" t="inlineStr">
        <is>
          <t>General</t>
        </is>
      </c>
      <c r="I950" t="inlineStr">
        <is>
          <t>General</t>
        </is>
      </c>
      <c r="K950" t="inlineStr">
        <is>
          <t>unclassified</t>
        </is>
      </c>
      <c r="M950" t="n">
        <v>50</v>
      </c>
    </row>
    <row r="951">
      <c r="A951" t="inlineStr">
        <is>
          <t>Ginger</t>
        </is>
      </c>
      <c r="B951" t="inlineStr">
        <is>
          <t>Agarikon</t>
        </is>
      </c>
      <c r="C951" t="n">
        <v>0</v>
      </c>
      <c r="D951" t="n">
        <v>1</v>
      </c>
      <c r="E951" t="n">
        <v>0</v>
      </c>
      <c r="F951" t="inlineStr">
        <is>
          <t>General</t>
        </is>
      </c>
      <c r="G951" t="inlineStr">
        <is>
          <t>General</t>
        </is>
      </c>
      <c r="H951" t="inlineStr">
        <is>
          <t>General</t>
        </is>
      </c>
      <c r="I951" t="inlineStr">
        <is>
          <t>General</t>
        </is>
      </c>
      <c r="K951" t="inlineStr">
        <is>
          <t>unclassified</t>
        </is>
      </c>
      <c r="M951" t="n">
        <v>50</v>
      </c>
    </row>
    <row r="952">
      <c r="A952" t="inlineStr">
        <is>
          <t>Ginger</t>
        </is>
      </c>
      <c r="B952" t="inlineStr">
        <is>
          <t>Ajwain</t>
        </is>
      </c>
      <c r="C952" t="n">
        <v>0</v>
      </c>
      <c r="D952" t="n">
        <v>1</v>
      </c>
      <c r="E952" t="n">
        <v>0</v>
      </c>
      <c r="F952" t="inlineStr">
        <is>
          <t>General</t>
        </is>
      </c>
      <c r="G952" t="inlineStr">
        <is>
          <t>General</t>
        </is>
      </c>
      <c r="H952" t="inlineStr">
        <is>
          <t>General</t>
        </is>
      </c>
      <c r="I952" t="inlineStr">
        <is>
          <t>General</t>
        </is>
      </c>
      <c r="K952" t="inlineStr">
        <is>
          <t>unclassified</t>
        </is>
      </c>
      <c r="M952" t="n">
        <v>50</v>
      </c>
    </row>
    <row r="953">
      <c r="A953" t="inlineStr">
        <is>
          <t>Ginger</t>
        </is>
      </c>
      <c r="B953" t="inlineStr">
        <is>
          <t>Angelica Root</t>
        </is>
      </c>
      <c r="C953" t="n">
        <v>0</v>
      </c>
      <c r="D953" t="n">
        <v>1</v>
      </c>
      <c r="E953" t="n">
        <v>0</v>
      </c>
      <c r="F953" t="inlineStr">
        <is>
          <t>General</t>
        </is>
      </c>
      <c r="G953" t="inlineStr">
        <is>
          <t>General</t>
        </is>
      </c>
      <c r="H953" t="inlineStr">
        <is>
          <t>General</t>
        </is>
      </c>
      <c r="I953" t="inlineStr">
        <is>
          <t>General</t>
        </is>
      </c>
      <c r="K953" t="inlineStr">
        <is>
          <t>unclassified</t>
        </is>
      </c>
      <c r="M953" t="n">
        <v>50</v>
      </c>
    </row>
    <row r="954">
      <c r="A954" t="inlineStr">
        <is>
          <t>Ginger</t>
        </is>
      </c>
      <c r="B954" t="inlineStr">
        <is>
          <t>Artichoke</t>
        </is>
      </c>
      <c r="C954" t="n">
        <v>0</v>
      </c>
      <c r="D954" t="n">
        <v>1</v>
      </c>
      <c r="E954" t="n">
        <v>0</v>
      </c>
      <c r="F954" t="inlineStr">
        <is>
          <t>General</t>
        </is>
      </c>
      <c r="G954" t="inlineStr">
        <is>
          <t>General</t>
        </is>
      </c>
      <c r="H954" t="inlineStr">
        <is>
          <t>General</t>
        </is>
      </c>
      <c r="I954" t="inlineStr">
        <is>
          <t>General</t>
        </is>
      </c>
      <c r="K954" t="inlineStr">
        <is>
          <t>unclassified</t>
        </is>
      </c>
      <c r="M954" t="n">
        <v>50</v>
      </c>
    </row>
    <row r="955">
      <c r="A955" t="inlineStr">
        <is>
          <t>Ginger</t>
        </is>
      </c>
      <c r="B955" t="inlineStr">
        <is>
          <t>Ashoka</t>
        </is>
      </c>
      <c r="C955" t="n">
        <v>0</v>
      </c>
      <c r="D955" t="n">
        <v>1</v>
      </c>
      <c r="E955" t="n">
        <v>0</v>
      </c>
      <c r="F955" t="inlineStr">
        <is>
          <t>General</t>
        </is>
      </c>
      <c r="G955" t="inlineStr">
        <is>
          <t>General</t>
        </is>
      </c>
      <c r="H955" t="inlineStr">
        <is>
          <t>General</t>
        </is>
      </c>
      <c r="I955" t="inlineStr">
        <is>
          <t>General</t>
        </is>
      </c>
      <c r="K955" t="inlineStr">
        <is>
          <t>unclassified</t>
        </is>
      </c>
      <c r="M955" t="n">
        <v>50</v>
      </c>
    </row>
    <row r="956">
      <c r="A956" t="inlineStr">
        <is>
          <t>Ginger</t>
        </is>
      </c>
      <c r="B956" t="inlineStr">
        <is>
          <t>Blue Lotus</t>
        </is>
      </c>
      <c r="C956" t="n">
        <v>0</v>
      </c>
      <c r="D956" t="n">
        <v>1</v>
      </c>
      <c r="E956" t="n">
        <v>0</v>
      </c>
      <c r="F956" t="inlineStr">
        <is>
          <t>General</t>
        </is>
      </c>
      <c r="G956" t="inlineStr">
        <is>
          <t>General</t>
        </is>
      </c>
      <c r="H956" t="inlineStr">
        <is>
          <t>General</t>
        </is>
      </c>
      <c r="I956" t="inlineStr">
        <is>
          <t>General</t>
        </is>
      </c>
      <c r="K956" t="inlineStr">
        <is>
          <t>unclassified</t>
        </is>
      </c>
      <c r="M956" t="n">
        <v>50</v>
      </c>
    </row>
    <row r="957">
      <c r="A957" t="inlineStr">
        <is>
          <t>Ginger</t>
        </is>
      </c>
      <c r="B957" t="inlineStr">
        <is>
          <t>Boldo</t>
        </is>
      </c>
      <c r="C957" t="n">
        <v>0</v>
      </c>
      <c r="D957" t="n">
        <v>1</v>
      </c>
      <c r="E957" t="n">
        <v>0</v>
      </c>
      <c r="F957" t="inlineStr">
        <is>
          <t>General</t>
        </is>
      </c>
      <c r="G957" t="inlineStr">
        <is>
          <t>General</t>
        </is>
      </c>
      <c r="H957" t="inlineStr">
        <is>
          <t>General</t>
        </is>
      </c>
      <c r="I957" t="inlineStr">
        <is>
          <t>General</t>
        </is>
      </c>
      <c r="K957" t="inlineStr">
        <is>
          <t>unclassified</t>
        </is>
      </c>
      <c r="M957" t="n">
        <v>50</v>
      </c>
    </row>
    <row r="958">
      <c r="A958" t="inlineStr">
        <is>
          <t>Ginger</t>
        </is>
      </c>
      <c r="B958" t="inlineStr">
        <is>
          <t>Burdock</t>
        </is>
      </c>
      <c r="C958" t="n">
        <v>0</v>
      </c>
      <c r="D958" t="n">
        <v>1</v>
      </c>
      <c r="E958" t="n">
        <v>0</v>
      </c>
      <c r="F958" t="inlineStr">
        <is>
          <t>General</t>
        </is>
      </c>
      <c r="G958" t="inlineStr">
        <is>
          <t>General</t>
        </is>
      </c>
      <c r="H958" t="inlineStr">
        <is>
          <t>General</t>
        </is>
      </c>
      <c r="I958" t="inlineStr">
        <is>
          <t>General</t>
        </is>
      </c>
      <c r="K958" t="inlineStr">
        <is>
          <t>unclassified</t>
        </is>
      </c>
      <c r="M958" t="n">
        <v>50</v>
      </c>
    </row>
    <row r="959">
      <c r="A959" t="inlineStr">
        <is>
          <t>Ginger</t>
        </is>
      </c>
      <c r="B959" t="inlineStr">
        <is>
          <t>Butterbur</t>
        </is>
      </c>
      <c r="C959" t="n">
        <v>0</v>
      </c>
      <c r="D959" t="n">
        <v>1</v>
      </c>
      <c r="E959" t="n">
        <v>0</v>
      </c>
      <c r="F959" t="inlineStr">
        <is>
          <t>General</t>
        </is>
      </c>
      <c r="G959" t="inlineStr">
        <is>
          <t>General</t>
        </is>
      </c>
      <c r="H959" t="inlineStr">
        <is>
          <t>General</t>
        </is>
      </c>
      <c r="I959" t="inlineStr">
        <is>
          <t>General</t>
        </is>
      </c>
      <c r="K959" t="inlineStr">
        <is>
          <t>unclassified</t>
        </is>
      </c>
      <c r="M959" t="n">
        <v>50</v>
      </c>
    </row>
    <row r="960">
      <c r="A960" t="inlineStr">
        <is>
          <t>Ginger</t>
        </is>
      </c>
      <c r="B960" t="inlineStr">
        <is>
          <t>Calendula</t>
        </is>
      </c>
      <c r="C960" t="n">
        <v>0</v>
      </c>
      <c r="D960" t="n">
        <v>1</v>
      </c>
      <c r="E960" t="n">
        <v>0</v>
      </c>
      <c r="F960" t="inlineStr">
        <is>
          <t>General</t>
        </is>
      </c>
      <c r="G960" t="inlineStr">
        <is>
          <t>General</t>
        </is>
      </c>
      <c r="H960" t="inlineStr">
        <is>
          <t>General</t>
        </is>
      </c>
      <c r="I960" t="inlineStr">
        <is>
          <t>General</t>
        </is>
      </c>
      <c r="K960" t="inlineStr">
        <is>
          <t>unclassified</t>
        </is>
      </c>
      <c r="M960" t="n">
        <v>50</v>
      </c>
    </row>
    <row r="961">
      <c r="A961" t="inlineStr">
        <is>
          <t>Ginger</t>
        </is>
      </c>
      <c r="B961" t="inlineStr">
        <is>
          <t>Caraway</t>
        </is>
      </c>
      <c r="C961" t="n">
        <v>0</v>
      </c>
      <c r="D961" t="n">
        <v>1</v>
      </c>
      <c r="E961" t="n">
        <v>0</v>
      </c>
      <c r="F961" t="inlineStr">
        <is>
          <t>General</t>
        </is>
      </c>
      <c r="G961" t="inlineStr">
        <is>
          <t>General</t>
        </is>
      </c>
      <c r="H961" t="inlineStr">
        <is>
          <t>General</t>
        </is>
      </c>
      <c r="I961" t="inlineStr">
        <is>
          <t>General</t>
        </is>
      </c>
      <c r="K961" t="inlineStr">
        <is>
          <t>unclassified</t>
        </is>
      </c>
      <c r="M961" t="n">
        <v>50</v>
      </c>
    </row>
    <row r="962">
      <c r="A962" t="inlineStr">
        <is>
          <t>Ginger</t>
        </is>
      </c>
      <c r="B962" t="inlineStr">
        <is>
          <t>Cardamom</t>
        </is>
      </c>
      <c r="C962" t="n">
        <v>0</v>
      </c>
      <c r="D962" t="n">
        <v>1</v>
      </c>
      <c r="E962" t="n">
        <v>0</v>
      </c>
      <c r="F962" t="inlineStr">
        <is>
          <t>General</t>
        </is>
      </c>
      <c r="G962" t="inlineStr">
        <is>
          <t>General</t>
        </is>
      </c>
      <c r="H962" t="inlineStr">
        <is>
          <t>General</t>
        </is>
      </c>
      <c r="I962" t="inlineStr">
        <is>
          <t>General</t>
        </is>
      </c>
      <c r="K962" t="inlineStr">
        <is>
          <t>unclassified</t>
        </is>
      </c>
      <c r="M962" t="n">
        <v>50</v>
      </c>
    </row>
    <row r="963">
      <c r="A963" t="inlineStr">
        <is>
          <t>Ginger</t>
        </is>
      </c>
      <c r="B963" t="inlineStr">
        <is>
          <t>Celastrus Paniculatus</t>
        </is>
      </c>
      <c r="C963" t="n">
        <v>0</v>
      </c>
      <c r="D963" t="n">
        <v>1</v>
      </c>
      <c r="E963" t="n">
        <v>0</v>
      </c>
      <c r="F963" t="inlineStr">
        <is>
          <t>General</t>
        </is>
      </c>
      <c r="G963" t="inlineStr">
        <is>
          <t>General</t>
        </is>
      </c>
      <c r="H963" t="inlineStr">
        <is>
          <t>General</t>
        </is>
      </c>
      <c r="I963" t="inlineStr">
        <is>
          <t>General</t>
        </is>
      </c>
      <c r="K963" t="inlineStr">
        <is>
          <t>unclassified</t>
        </is>
      </c>
      <c r="M963" t="n">
        <v>50</v>
      </c>
    </row>
    <row r="964">
      <c r="A964" t="inlineStr">
        <is>
          <t>Ginger</t>
        </is>
      </c>
      <c r="B964" t="inlineStr">
        <is>
          <t>Cinnamon</t>
        </is>
      </c>
      <c r="C964" t="n">
        <v>0</v>
      </c>
      <c r="D964" t="n">
        <v>1</v>
      </c>
      <c r="E964" t="n">
        <v>0</v>
      </c>
      <c r="F964" t="inlineStr">
        <is>
          <t>General</t>
        </is>
      </c>
      <c r="G964" t="inlineStr">
        <is>
          <t>General</t>
        </is>
      </c>
      <c r="H964" t="inlineStr">
        <is>
          <t>General</t>
        </is>
      </c>
      <c r="I964" t="inlineStr">
        <is>
          <t>General</t>
        </is>
      </c>
      <c r="K964" t="inlineStr">
        <is>
          <t>unclassified</t>
        </is>
      </c>
      <c r="M964" t="n">
        <v>50</v>
      </c>
    </row>
    <row r="965">
      <c r="A965" t="inlineStr">
        <is>
          <t>Ginger</t>
        </is>
      </c>
      <c r="B965" t="inlineStr">
        <is>
          <t>Cistanche</t>
        </is>
      </c>
      <c r="C965" t="n">
        <v>0</v>
      </c>
      <c r="D965" t="n">
        <v>1</v>
      </c>
      <c r="E965" t="n">
        <v>0</v>
      </c>
      <c r="F965" t="inlineStr">
        <is>
          <t>General</t>
        </is>
      </c>
      <c r="G965" t="inlineStr">
        <is>
          <t>General</t>
        </is>
      </c>
      <c r="H965" t="inlineStr">
        <is>
          <t>General</t>
        </is>
      </c>
      <c r="I965" t="inlineStr">
        <is>
          <t>General</t>
        </is>
      </c>
      <c r="K965" t="inlineStr">
        <is>
          <t>unclassified</t>
        </is>
      </c>
      <c r="M965" t="n">
        <v>50</v>
      </c>
    </row>
    <row r="966">
      <c r="A966" t="inlineStr">
        <is>
          <t>Ginger</t>
        </is>
      </c>
      <c r="B966" t="inlineStr">
        <is>
          <t>Cordyceps</t>
        </is>
      </c>
      <c r="C966" t="n">
        <v>0</v>
      </c>
      <c r="D966" t="n">
        <v>1</v>
      </c>
      <c r="E966" t="n">
        <v>0</v>
      </c>
      <c r="F966" t="inlineStr">
        <is>
          <t>General</t>
        </is>
      </c>
      <c r="G966" t="inlineStr">
        <is>
          <t>General</t>
        </is>
      </c>
      <c r="H966" t="inlineStr">
        <is>
          <t>General</t>
        </is>
      </c>
      <c r="I966" t="inlineStr">
        <is>
          <t>General</t>
        </is>
      </c>
      <c r="K966" t="inlineStr">
        <is>
          <t>unclassified</t>
        </is>
      </c>
      <c r="M966" t="n">
        <v>50</v>
      </c>
    </row>
    <row r="967">
      <c r="A967" t="inlineStr">
        <is>
          <t>Ginger</t>
        </is>
      </c>
      <c r="B967" t="inlineStr">
        <is>
          <t>Damiana</t>
        </is>
      </c>
      <c r="C967" t="n">
        <v>0</v>
      </c>
      <c r="D967" t="n">
        <v>1</v>
      </c>
      <c r="E967" t="n">
        <v>0</v>
      </c>
      <c r="F967" t="inlineStr">
        <is>
          <t>General</t>
        </is>
      </c>
      <c r="G967" t="inlineStr">
        <is>
          <t>General</t>
        </is>
      </c>
      <c r="H967" t="inlineStr">
        <is>
          <t>General</t>
        </is>
      </c>
      <c r="I967" t="inlineStr">
        <is>
          <t>General</t>
        </is>
      </c>
      <c r="K967" t="inlineStr">
        <is>
          <t>unclassified</t>
        </is>
      </c>
      <c r="M967" t="n">
        <v>50</v>
      </c>
    </row>
    <row r="968">
      <c r="A968" t="inlineStr">
        <is>
          <t>Ginger</t>
        </is>
      </c>
      <c r="B968" t="inlineStr">
        <is>
          <t>Dandelion</t>
        </is>
      </c>
      <c r="C968" t="n">
        <v>0</v>
      </c>
      <c r="D968" t="n">
        <v>1</v>
      </c>
      <c r="E968" t="n">
        <v>0</v>
      </c>
      <c r="F968" t="inlineStr">
        <is>
          <t>General</t>
        </is>
      </c>
      <c r="G968" t="inlineStr">
        <is>
          <t>General</t>
        </is>
      </c>
      <c r="H968" t="inlineStr">
        <is>
          <t>General</t>
        </is>
      </c>
      <c r="I968" t="inlineStr">
        <is>
          <t>General</t>
        </is>
      </c>
      <c r="K968" t="inlineStr">
        <is>
          <t>unclassified</t>
        </is>
      </c>
      <c r="M968" t="n">
        <v>50</v>
      </c>
    </row>
    <row r="969">
      <c r="A969" t="inlineStr">
        <is>
          <t>Ginger</t>
        </is>
      </c>
      <c r="B969" t="inlineStr">
        <is>
          <t>Dendrobium</t>
        </is>
      </c>
      <c r="C969" t="n">
        <v>0</v>
      </c>
      <c r="D969" t="n">
        <v>1</v>
      </c>
      <c r="E969" t="n">
        <v>0</v>
      </c>
      <c r="F969" t="inlineStr">
        <is>
          <t>General</t>
        </is>
      </c>
      <c r="G969" t="inlineStr">
        <is>
          <t>General</t>
        </is>
      </c>
      <c r="H969" t="inlineStr">
        <is>
          <t>General</t>
        </is>
      </c>
      <c r="I969" t="inlineStr">
        <is>
          <t>General</t>
        </is>
      </c>
      <c r="K969" t="inlineStr">
        <is>
          <t>unclassified</t>
        </is>
      </c>
      <c r="M969" t="n">
        <v>50</v>
      </c>
    </row>
    <row r="970">
      <c r="A970" t="inlineStr">
        <is>
          <t>Ginger</t>
        </is>
      </c>
      <c r="B970" t="inlineStr">
        <is>
          <t>Dong Quai</t>
        </is>
      </c>
      <c r="C970" t="n">
        <v>0</v>
      </c>
      <c r="D970" t="n">
        <v>1</v>
      </c>
      <c r="E970" t="n">
        <v>0</v>
      </c>
      <c r="F970" t="inlineStr">
        <is>
          <t>General</t>
        </is>
      </c>
      <c r="G970" t="inlineStr">
        <is>
          <t>General</t>
        </is>
      </c>
      <c r="H970" t="inlineStr">
        <is>
          <t>General</t>
        </is>
      </c>
      <c r="I970" t="inlineStr">
        <is>
          <t>General</t>
        </is>
      </c>
      <c r="K970" t="inlineStr">
        <is>
          <t>unclassified</t>
        </is>
      </c>
      <c r="M970" t="n">
        <v>50</v>
      </c>
    </row>
    <row r="971">
      <c r="A971" t="inlineStr">
        <is>
          <t>Ginger</t>
        </is>
      </c>
      <c r="B971" t="inlineStr">
        <is>
          <t>Elecampane</t>
        </is>
      </c>
      <c r="C971" t="n">
        <v>0</v>
      </c>
      <c r="D971" t="n">
        <v>1</v>
      </c>
      <c r="E971" t="n">
        <v>0</v>
      </c>
      <c r="F971" t="inlineStr">
        <is>
          <t>General</t>
        </is>
      </c>
      <c r="G971" t="inlineStr">
        <is>
          <t>General</t>
        </is>
      </c>
      <c r="H971" t="inlineStr">
        <is>
          <t>General</t>
        </is>
      </c>
      <c r="I971" t="inlineStr">
        <is>
          <t>General</t>
        </is>
      </c>
      <c r="K971" t="inlineStr">
        <is>
          <t>unclassified</t>
        </is>
      </c>
      <c r="M971" t="n">
        <v>50</v>
      </c>
    </row>
    <row r="972">
      <c r="A972" t="inlineStr">
        <is>
          <t>Ginger</t>
        </is>
      </c>
      <c r="B972" t="inlineStr">
        <is>
          <t>Eleuthero</t>
        </is>
      </c>
      <c r="C972" t="n">
        <v>0</v>
      </c>
      <c r="D972" t="n">
        <v>1</v>
      </c>
      <c r="E972" t="n">
        <v>0</v>
      </c>
      <c r="F972" t="inlineStr">
        <is>
          <t>General</t>
        </is>
      </c>
      <c r="G972" t="inlineStr">
        <is>
          <t>General</t>
        </is>
      </c>
      <c r="H972" t="inlineStr">
        <is>
          <t>General</t>
        </is>
      </c>
      <c r="I972" t="inlineStr">
        <is>
          <t>General</t>
        </is>
      </c>
      <c r="K972" t="inlineStr">
        <is>
          <t>unclassified</t>
        </is>
      </c>
      <c r="M972" t="n">
        <v>50</v>
      </c>
    </row>
    <row r="973">
      <c r="A973" t="inlineStr">
        <is>
          <t>Ginger</t>
        </is>
      </c>
      <c r="B973" t="inlineStr">
        <is>
          <t>Fennel</t>
        </is>
      </c>
      <c r="C973" t="n">
        <v>0</v>
      </c>
      <c r="D973" t="n">
        <v>1</v>
      </c>
      <c r="E973" t="n">
        <v>0</v>
      </c>
      <c r="F973" t="inlineStr">
        <is>
          <t>General</t>
        </is>
      </c>
      <c r="G973" t="inlineStr">
        <is>
          <t>General</t>
        </is>
      </c>
      <c r="H973" t="inlineStr">
        <is>
          <t>General</t>
        </is>
      </c>
      <c r="I973" t="inlineStr">
        <is>
          <t>General</t>
        </is>
      </c>
      <c r="K973" t="inlineStr">
        <is>
          <t>unclassified</t>
        </is>
      </c>
      <c r="M973" t="n">
        <v>50</v>
      </c>
    </row>
    <row r="974">
      <c r="A974" t="inlineStr">
        <is>
          <t>Ginger</t>
        </is>
      </c>
      <c r="B974" t="inlineStr">
        <is>
          <t>Feverfew</t>
        </is>
      </c>
      <c r="C974" t="n">
        <v>0</v>
      </c>
      <c r="D974" t="n">
        <v>1</v>
      </c>
      <c r="E974" t="n">
        <v>0</v>
      </c>
      <c r="F974" t="inlineStr">
        <is>
          <t>General</t>
        </is>
      </c>
      <c r="G974" t="inlineStr">
        <is>
          <t>General</t>
        </is>
      </c>
      <c r="H974" t="inlineStr">
        <is>
          <t>General</t>
        </is>
      </c>
      <c r="I974" t="inlineStr">
        <is>
          <t>General</t>
        </is>
      </c>
      <c r="K974" t="inlineStr">
        <is>
          <t>unclassified</t>
        </is>
      </c>
      <c r="M974" t="n">
        <v>50</v>
      </c>
    </row>
    <row r="975">
      <c r="A975" t="inlineStr">
        <is>
          <t>Ginger</t>
        </is>
      </c>
      <c r="B975" t="inlineStr">
        <is>
          <t>Galangal</t>
        </is>
      </c>
      <c r="C975" t="n">
        <v>0</v>
      </c>
      <c r="D975" t="n">
        <v>1</v>
      </c>
      <c r="E975" t="n">
        <v>0</v>
      </c>
      <c r="F975" t="inlineStr">
        <is>
          <t>General</t>
        </is>
      </c>
      <c r="G975" t="inlineStr">
        <is>
          <t>General</t>
        </is>
      </c>
      <c r="H975" t="inlineStr">
        <is>
          <t>General</t>
        </is>
      </c>
      <c r="I975" t="inlineStr">
        <is>
          <t>General</t>
        </is>
      </c>
      <c r="K975" t="inlineStr">
        <is>
          <t>unclassified</t>
        </is>
      </c>
      <c r="M975" t="n">
        <v>50</v>
      </c>
    </row>
    <row r="976">
      <c r="A976" t="inlineStr">
        <is>
          <t>Ginger</t>
        </is>
      </c>
      <c r="B976" t="inlineStr">
        <is>
          <t>Gastrodia</t>
        </is>
      </c>
      <c r="C976" t="n">
        <v>0</v>
      </c>
      <c r="D976" t="n">
        <v>1</v>
      </c>
      <c r="E976" t="n">
        <v>0</v>
      </c>
      <c r="F976" t="inlineStr">
        <is>
          <t>General</t>
        </is>
      </c>
      <c r="G976" t="inlineStr">
        <is>
          <t>General</t>
        </is>
      </c>
      <c r="H976" t="inlineStr">
        <is>
          <t>General</t>
        </is>
      </c>
      <c r="I976" t="inlineStr">
        <is>
          <t>General</t>
        </is>
      </c>
      <c r="K976" t="inlineStr">
        <is>
          <t>unclassified</t>
        </is>
      </c>
      <c r="M976" t="n">
        <v>50</v>
      </c>
    </row>
    <row r="977">
      <c r="A977" t="inlineStr">
        <is>
          <t>Ginger</t>
        </is>
      </c>
      <c r="B977" t="inlineStr">
        <is>
          <t>Gudmar</t>
        </is>
      </c>
      <c r="C977" t="n">
        <v>0</v>
      </c>
      <c r="D977" t="n">
        <v>1</v>
      </c>
      <c r="E977" t="n">
        <v>0</v>
      </c>
      <c r="F977" t="inlineStr">
        <is>
          <t>General</t>
        </is>
      </c>
      <c r="G977" t="inlineStr">
        <is>
          <t>General</t>
        </is>
      </c>
      <c r="H977" t="inlineStr">
        <is>
          <t>General</t>
        </is>
      </c>
      <c r="I977" t="inlineStr">
        <is>
          <t>General</t>
        </is>
      </c>
      <c r="K977" t="inlineStr">
        <is>
          <t>unclassified</t>
        </is>
      </c>
      <c r="M977" t="n">
        <v>50</v>
      </c>
    </row>
    <row r="978">
      <c r="A978" t="inlineStr">
        <is>
          <t>Ginger</t>
        </is>
      </c>
      <c r="B978" t="inlineStr">
        <is>
          <t>Gymnema</t>
        </is>
      </c>
      <c r="C978" t="n">
        <v>0</v>
      </c>
      <c r="D978" t="n">
        <v>1</v>
      </c>
      <c r="E978" t="n">
        <v>0</v>
      </c>
      <c r="F978" t="inlineStr">
        <is>
          <t>General</t>
        </is>
      </c>
      <c r="G978" t="inlineStr">
        <is>
          <t>General</t>
        </is>
      </c>
      <c r="H978" t="inlineStr">
        <is>
          <t>General</t>
        </is>
      </c>
      <c r="I978" t="inlineStr">
        <is>
          <t>General</t>
        </is>
      </c>
      <c r="K978" t="inlineStr">
        <is>
          <t>unclassified</t>
        </is>
      </c>
      <c r="M978" t="n">
        <v>50</v>
      </c>
    </row>
    <row r="979">
      <c r="A979" t="inlineStr">
        <is>
          <t>Ginger</t>
        </is>
      </c>
      <c r="B979" t="inlineStr">
        <is>
          <t>Hops</t>
        </is>
      </c>
      <c r="C979" t="n">
        <v>0</v>
      </c>
      <c r="D979" t="n">
        <v>1</v>
      </c>
      <c r="E979" t="n">
        <v>0</v>
      </c>
      <c r="F979" t="inlineStr">
        <is>
          <t>General</t>
        </is>
      </c>
      <c r="G979" t="inlineStr">
        <is>
          <t>General</t>
        </is>
      </c>
      <c r="H979" t="inlineStr">
        <is>
          <t>General</t>
        </is>
      </c>
      <c r="I979" t="inlineStr">
        <is>
          <t>General</t>
        </is>
      </c>
      <c r="K979" t="inlineStr">
        <is>
          <t>unclassified</t>
        </is>
      </c>
      <c r="M979" t="n">
        <v>50</v>
      </c>
    </row>
    <row r="980">
      <c r="A980" t="inlineStr">
        <is>
          <t>Ginger</t>
        </is>
      </c>
      <c r="B980" t="inlineStr">
        <is>
          <t>Houttuynia</t>
        </is>
      </c>
      <c r="C980" t="n">
        <v>0</v>
      </c>
      <c r="D980" t="n">
        <v>1</v>
      </c>
      <c r="E980" t="n">
        <v>0</v>
      </c>
      <c r="F980" t="inlineStr">
        <is>
          <t>General</t>
        </is>
      </c>
      <c r="G980" t="inlineStr">
        <is>
          <t>General</t>
        </is>
      </c>
      <c r="H980" t="inlineStr">
        <is>
          <t>General</t>
        </is>
      </c>
      <c r="I980" t="inlineStr">
        <is>
          <t>General</t>
        </is>
      </c>
      <c r="K980" t="inlineStr">
        <is>
          <t>unclassified</t>
        </is>
      </c>
      <c r="M980" t="n">
        <v>50</v>
      </c>
    </row>
    <row r="981">
      <c r="A981" t="inlineStr">
        <is>
          <t>Ginger</t>
        </is>
      </c>
      <c r="B981" t="inlineStr">
        <is>
          <t>Isatis</t>
        </is>
      </c>
      <c r="C981" t="n">
        <v>0</v>
      </c>
      <c r="D981" t="n">
        <v>1</v>
      </c>
      <c r="E981" t="n">
        <v>0</v>
      </c>
      <c r="F981" t="inlineStr">
        <is>
          <t>General</t>
        </is>
      </c>
      <c r="G981" t="inlineStr">
        <is>
          <t>General</t>
        </is>
      </c>
      <c r="H981" t="inlineStr">
        <is>
          <t>General</t>
        </is>
      </c>
      <c r="I981" t="inlineStr">
        <is>
          <t>General</t>
        </is>
      </c>
      <c r="K981" t="inlineStr">
        <is>
          <t>unclassified</t>
        </is>
      </c>
      <c r="M981" t="n">
        <v>50</v>
      </c>
    </row>
    <row r="982">
      <c r="A982" t="inlineStr">
        <is>
          <t>Ginger</t>
        </is>
      </c>
      <c r="B982" t="inlineStr">
        <is>
          <t>Jatamansi</t>
        </is>
      </c>
      <c r="C982" t="n">
        <v>0</v>
      </c>
      <c r="D982" t="n">
        <v>1</v>
      </c>
      <c r="E982" t="n">
        <v>0</v>
      </c>
      <c r="F982" t="inlineStr">
        <is>
          <t>General</t>
        </is>
      </c>
      <c r="G982" t="inlineStr">
        <is>
          <t>General</t>
        </is>
      </c>
      <c r="H982" t="inlineStr">
        <is>
          <t>General</t>
        </is>
      </c>
      <c r="I982" t="inlineStr">
        <is>
          <t>General</t>
        </is>
      </c>
      <c r="K982" t="inlineStr">
        <is>
          <t>unclassified</t>
        </is>
      </c>
      <c r="M982" t="n">
        <v>50</v>
      </c>
    </row>
    <row r="983">
      <c r="A983" t="inlineStr">
        <is>
          <t>Ginger</t>
        </is>
      </c>
      <c r="B983" t="inlineStr">
        <is>
          <t>Kava</t>
        </is>
      </c>
      <c r="C983" t="n">
        <v>0</v>
      </c>
      <c r="D983" t="n">
        <v>1</v>
      </c>
      <c r="E983" t="n">
        <v>0</v>
      </c>
      <c r="F983" t="inlineStr">
        <is>
          <t>General</t>
        </is>
      </c>
      <c r="G983" t="inlineStr">
        <is>
          <t>General</t>
        </is>
      </c>
      <c r="H983" t="inlineStr">
        <is>
          <t>General</t>
        </is>
      </c>
      <c r="I983" t="inlineStr">
        <is>
          <t>General</t>
        </is>
      </c>
      <c r="K983" t="inlineStr">
        <is>
          <t>unclassified</t>
        </is>
      </c>
      <c r="M983" t="n">
        <v>50</v>
      </c>
    </row>
    <row r="984">
      <c r="A984" t="inlineStr">
        <is>
          <t>Ginger</t>
        </is>
      </c>
      <c r="B984" t="inlineStr">
        <is>
          <t>Kudzu</t>
        </is>
      </c>
      <c r="C984" t="n">
        <v>0</v>
      </c>
      <c r="D984" t="n">
        <v>1</v>
      </c>
      <c r="E984" t="n">
        <v>0</v>
      </c>
      <c r="F984" t="inlineStr">
        <is>
          <t>General</t>
        </is>
      </c>
      <c r="G984" t="inlineStr">
        <is>
          <t>General</t>
        </is>
      </c>
      <c r="H984" t="inlineStr">
        <is>
          <t>General</t>
        </is>
      </c>
      <c r="I984" t="inlineStr">
        <is>
          <t>General</t>
        </is>
      </c>
      <c r="K984" t="inlineStr">
        <is>
          <t>unclassified</t>
        </is>
      </c>
      <c r="M984" t="n">
        <v>50</v>
      </c>
    </row>
    <row r="985">
      <c r="A985" t="inlineStr">
        <is>
          <t>Ginger</t>
        </is>
      </c>
      <c r="B985" t="inlineStr">
        <is>
          <t>Lemon Balm</t>
        </is>
      </c>
      <c r="C985" t="n">
        <v>0</v>
      </c>
      <c r="D985" t="n">
        <v>1</v>
      </c>
      <c r="E985" t="n">
        <v>0</v>
      </c>
      <c r="F985" t="inlineStr">
        <is>
          <t>General</t>
        </is>
      </c>
      <c r="G985" t="inlineStr">
        <is>
          <t>General</t>
        </is>
      </c>
      <c r="H985" t="inlineStr">
        <is>
          <t>General</t>
        </is>
      </c>
      <c r="I985" t="inlineStr">
        <is>
          <t>General</t>
        </is>
      </c>
      <c r="K985" t="inlineStr">
        <is>
          <t>unclassified</t>
        </is>
      </c>
      <c r="M985" t="n">
        <v>50</v>
      </c>
    </row>
    <row r="986">
      <c r="A986" t="inlineStr">
        <is>
          <t>Ginger</t>
        </is>
      </c>
      <c r="B986" t="inlineStr">
        <is>
          <t>Lemon Verbena</t>
        </is>
      </c>
      <c r="C986" t="n">
        <v>0</v>
      </c>
      <c r="D986" t="n">
        <v>1</v>
      </c>
      <c r="E986" t="n">
        <v>0</v>
      </c>
      <c r="F986" t="inlineStr">
        <is>
          <t>General</t>
        </is>
      </c>
      <c r="G986" t="inlineStr">
        <is>
          <t>General</t>
        </is>
      </c>
      <c r="H986" t="inlineStr">
        <is>
          <t>General</t>
        </is>
      </c>
      <c r="I986" t="inlineStr">
        <is>
          <t>General</t>
        </is>
      </c>
      <c r="K986" t="inlineStr">
        <is>
          <t>unclassified</t>
        </is>
      </c>
      <c r="M986" t="n">
        <v>50</v>
      </c>
    </row>
    <row r="987">
      <c r="A987" t="inlineStr">
        <is>
          <t>Ginger</t>
        </is>
      </c>
      <c r="B987" t="inlineStr">
        <is>
          <t>Lemongrass</t>
        </is>
      </c>
      <c r="C987" t="n">
        <v>0</v>
      </c>
      <c r="D987" t="n">
        <v>1</v>
      </c>
      <c r="E987" t="n">
        <v>0</v>
      </c>
      <c r="F987" t="inlineStr">
        <is>
          <t>General</t>
        </is>
      </c>
      <c r="G987" t="inlineStr">
        <is>
          <t>General</t>
        </is>
      </c>
      <c r="H987" t="inlineStr">
        <is>
          <t>General</t>
        </is>
      </c>
      <c r="I987" t="inlineStr">
        <is>
          <t>General</t>
        </is>
      </c>
      <c r="K987" t="inlineStr">
        <is>
          <t>unclassified</t>
        </is>
      </c>
      <c r="M987" t="n">
        <v>50</v>
      </c>
    </row>
    <row r="988">
      <c r="A988" t="inlineStr">
        <is>
          <t>Ginger</t>
        </is>
      </c>
      <c r="B988" t="inlineStr">
        <is>
          <t>Longan</t>
        </is>
      </c>
      <c r="C988" t="n">
        <v>0</v>
      </c>
      <c r="D988" t="n">
        <v>1</v>
      </c>
      <c r="E988" t="n">
        <v>0</v>
      </c>
      <c r="F988" t="inlineStr">
        <is>
          <t>General</t>
        </is>
      </c>
      <c r="G988" t="inlineStr">
        <is>
          <t>General</t>
        </is>
      </c>
      <c r="H988" t="inlineStr">
        <is>
          <t>General</t>
        </is>
      </c>
      <c r="I988" t="inlineStr">
        <is>
          <t>General</t>
        </is>
      </c>
      <c r="K988" t="inlineStr">
        <is>
          <t>unclassified</t>
        </is>
      </c>
      <c r="M988" t="n">
        <v>50</v>
      </c>
    </row>
    <row r="989">
      <c r="A989" t="inlineStr">
        <is>
          <t>Ginger</t>
        </is>
      </c>
      <c r="B989" t="inlineStr">
        <is>
          <t>Maitake D-Fraction</t>
        </is>
      </c>
      <c r="C989" t="n">
        <v>0</v>
      </c>
      <c r="D989" t="n">
        <v>1</v>
      </c>
      <c r="E989" t="n">
        <v>0</v>
      </c>
      <c r="F989" t="inlineStr">
        <is>
          <t>General</t>
        </is>
      </c>
      <c r="G989" t="inlineStr">
        <is>
          <t>General</t>
        </is>
      </c>
      <c r="H989" t="inlineStr">
        <is>
          <t>General</t>
        </is>
      </c>
      <c r="I989" t="inlineStr">
        <is>
          <t>General</t>
        </is>
      </c>
      <c r="K989" t="inlineStr">
        <is>
          <t>unclassified</t>
        </is>
      </c>
      <c r="M989" t="n">
        <v>50</v>
      </c>
    </row>
    <row r="990">
      <c r="A990" t="inlineStr">
        <is>
          <t>Ginger</t>
        </is>
      </c>
      <c r="B990" t="inlineStr">
        <is>
          <t>Milk Oats</t>
        </is>
      </c>
      <c r="C990" t="n">
        <v>0</v>
      </c>
      <c r="D990" t="n">
        <v>1</v>
      </c>
      <c r="E990" t="n">
        <v>0</v>
      </c>
      <c r="F990" t="inlineStr">
        <is>
          <t>General</t>
        </is>
      </c>
      <c r="G990" t="inlineStr">
        <is>
          <t>General</t>
        </is>
      </c>
      <c r="H990" t="inlineStr">
        <is>
          <t>General</t>
        </is>
      </c>
      <c r="I990" t="inlineStr">
        <is>
          <t>General</t>
        </is>
      </c>
      <c r="K990" t="inlineStr">
        <is>
          <t>unclassified</t>
        </is>
      </c>
      <c r="M990" t="n">
        <v>50</v>
      </c>
    </row>
    <row r="991">
      <c r="A991" t="inlineStr">
        <is>
          <t>Ginger</t>
        </is>
      </c>
      <c r="B991" t="inlineStr">
        <is>
          <t>Mugwort</t>
        </is>
      </c>
      <c r="C991" t="n">
        <v>0</v>
      </c>
      <c r="D991" t="n">
        <v>1</v>
      </c>
      <c r="E991" t="n">
        <v>0</v>
      </c>
      <c r="F991" t="inlineStr">
        <is>
          <t>General</t>
        </is>
      </c>
      <c r="G991" t="inlineStr">
        <is>
          <t>General</t>
        </is>
      </c>
      <c r="H991" t="inlineStr">
        <is>
          <t>General</t>
        </is>
      </c>
      <c r="I991" t="inlineStr">
        <is>
          <t>General</t>
        </is>
      </c>
      <c r="K991" t="inlineStr">
        <is>
          <t>unclassified</t>
        </is>
      </c>
      <c r="M991" t="n">
        <v>50</v>
      </c>
    </row>
    <row r="992">
      <c r="A992" t="inlineStr">
        <is>
          <t>Ginger</t>
        </is>
      </c>
      <c r="B992" t="inlineStr">
        <is>
          <t>Muira Puama</t>
        </is>
      </c>
      <c r="C992" t="n">
        <v>0</v>
      </c>
      <c r="D992" t="n">
        <v>1</v>
      </c>
      <c r="E992" t="n">
        <v>0</v>
      </c>
      <c r="F992" t="inlineStr">
        <is>
          <t>General</t>
        </is>
      </c>
      <c r="G992" t="inlineStr">
        <is>
          <t>General</t>
        </is>
      </c>
      <c r="H992" t="inlineStr">
        <is>
          <t>General</t>
        </is>
      </c>
      <c r="I992" t="inlineStr">
        <is>
          <t>General</t>
        </is>
      </c>
      <c r="K992" t="inlineStr">
        <is>
          <t>unclassified</t>
        </is>
      </c>
      <c r="M992" t="n">
        <v>50</v>
      </c>
    </row>
    <row r="993">
      <c r="A993" t="inlineStr">
        <is>
          <t>Ginger</t>
        </is>
      </c>
      <c r="B993" t="inlineStr">
        <is>
          <t>Mulberry Leaf</t>
        </is>
      </c>
      <c r="C993" t="n">
        <v>0</v>
      </c>
      <c r="D993" t="n">
        <v>1</v>
      </c>
      <c r="E993" t="n">
        <v>0</v>
      </c>
      <c r="F993" t="inlineStr">
        <is>
          <t>General</t>
        </is>
      </c>
      <c r="G993" t="inlineStr">
        <is>
          <t>General</t>
        </is>
      </c>
      <c r="H993" t="inlineStr">
        <is>
          <t>General</t>
        </is>
      </c>
      <c r="I993" t="inlineStr">
        <is>
          <t>General</t>
        </is>
      </c>
      <c r="K993" t="inlineStr">
        <is>
          <t>unclassified</t>
        </is>
      </c>
      <c r="M993" t="n">
        <v>50</v>
      </c>
    </row>
    <row r="994">
      <c r="A994" t="inlineStr">
        <is>
          <t>Ginger</t>
        </is>
      </c>
      <c r="B994" t="inlineStr">
        <is>
          <t>Myrtle</t>
        </is>
      </c>
      <c r="C994" t="n">
        <v>0</v>
      </c>
      <c r="D994" t="n">
        <v>1</v>
      </c>
      <c r="E994" t="n">
        <v>0</v>
      </c>
      <c r="F994" t="inlineStr">
        <is>
          <t>General</t>
        </is>
      </c>
      <c r="G994" t="inlineStr">
        <is>
          <t>General</t>
        </is>
      </c>
      <c r="H994" t="inlineStr">
        <is>
          <t>General</t>
        </is>
      </c>
      <c r="I994" t="inlineStr">
        <is>
          <t>General</t>
        </is>
      </c>
      <c r="K994" t="inlineStr">
        <is>
          <t>unclassified</t>
        </is>
      </c>
      <c r="M994" t="n">
        <v>50</v>
      </c>
    </row>
    <row r="995">
      <c r="A995" t="inlineStr">
        <is>
          <t>Ginger</t>
        </is>
      </c>
      <c r="B995" t="inlineStr">
        <is>
          <t>Neem</t>
        </is>
      </c>
      <c r="C995" t="n">
        <v>0</v>
      </c>
      <c r="D995" t="n">
        <v>1</v>
      </c>
      <c r="E995" t="n">
        <v>0</v>
      </c>
      <c r="F995" t="inlineStr">
        <is>
          <t>General</t>
        </is>
      </c>
      <c r="G995" t="inlineStr">
        <is>
          <t>General</t>
        </is>
      </c>
      <c r="H995" t="inlineStr">
        <is>
          <t>General</t>
        </is>
      </c>
      <c r="I995" t="inlineStr">
        <is>
          <t>General</t>
        </is>
      </c>
      <c r="K995" t="inlineStr">
        <is>
          <t>unclassified</t>
        </is>
      </c>
      <c r="M995" t="n">
        <v>50</v>
      </c>
    </row>
    <row r="996">
      <c r="A996" t="inlineStr">
        <is>
          <t>Ginger</t>
        </is>
      </c>
      <c r="B996" t="inlineStr">
        <is>
          <t>Nettle Root</t>
        </is>
      </c>
      <c r="C996" t="n">
        <v>0</v>
      </c>
      <c r="D996" t="n">
        <v>1</v>
      </c>
      <c r="E996" t="n">
        <v>0</v>
      </c>
      <c r="F996" t="inlineStr">
        <is>
          <t>General</t>
        </is>
      </c>
      <c r="G996" t="inlineStr">
        <is>
          <t>General</t>
        </is>
      </c>
      <c r="H996" t="inlineStr">
        <is>
          <t>General</t>
        </is>
      </c>
      <c r="I996" t="inlineStr">
        <is>
          <t>General</t>
        </is>
      </c>
      <c r="K996" t="inlineStr">
        <is>
          <t>unclassified</t>
        </is>
      </c>
      <c r="M996" t="n">
        <v>50</v>
      </c>
    </row>
    <row r="997">
      <c r="A997" t="inlineStr">
        <is>
          <t>Ginger</t>
        </is>
      </c>
      <c r="B997" t="inlineStr">
        <is>
          <t>Noni</t>
        </is>
      </c>
      <c r="C997" t="n">
        <v>0</v>
      </c>
      <c r="D997" t="n">
        <v>1</v>
      </c>
      <c r="E997" t="n">
        <v>0</v>
      </c>
      <c r="F997" t="inlineStr">
        <is>
          <t>General</t>
        </is>
      </c>
      <c r="G997" t="inlineStr">
        <is>
          <t>General</t>
        </is>
      </c>
      <c r="H997" t="inlineStr">
        <is>
          <t>General</t>
        </is>
      </c>
      <c r="I997" t="inlineStr">
        <is>
          <t>General</t>
        </is>
      </c>
      <c r="K997" t="inlineStr">
        <is>
          <t>unclassified</t>
        </is>
      </c>
      <c r="M997" t="n">
        <v>50</v>
      </c>
    </row>
    <row r="998">
      <c r="A998" t="inlineStr">
        <is>
          <t>Ginger</t>
        </is>
      </c>
      <c r="B998" t="inlineStr">
        <is>
          <t>Oatstraw</t>
        </is>
      </c>
      <c r="C998" t="n">
        <v>0</v>
      </c>
      <c r="D998" t="n">
        <v>1</v>
      </c>
      <c r="E998" t="n">
        <v>0</v>
      </c>
      <c r="F998" t="inlineStr">
        <is>
          <t>General</t>
        </is>
      </c>
      <c r="G998" t="inlineStr">
        <is>
          <t>General</t>
        </is>
      </c>
      <c r="H998" t="inlineStr">
        <is>
          <t>General</t>
        </is>
      </c>
      <c r="I998" t="inlineStr">
        <is>
          <t>General</t>
        </is>
      </c>
      <c r="K998" t="inlineStr">
        <is>
          <t>unclassified</t>
        </is>
      </c>
      <c r="M998" t="n">
        <v>50</v>
      </c>
    </row>
    <row r="999">
      <c r="A999" t="inlineStr">
        <is>
          <t>Ginger</t>
        </is>
      </c>
      <c r="B999" t="inlineStr">
        <is>
          <t>Passionflower</t>
        </is>
      </c>
      <c r="C999" t="n">
        <v>0</v>
      </c>
      <c r="D999" t="n">
        <v>1</v>
      </c>
      <c r="E999" t="n">
        <v>0</v>
      </c>
      <c r="F999" t="inlineStr">
        <is>
          <t>General</t>
        </is>
      </c>
      <c r="G999" t="inlineStr">
        <is>
          <t>General</t>
        </is>
      </c>
      <c r="H999" t="inlineStr">
        <is>
          <t>General</t>
        </is>
      </c>
      <c r="I999" t="inlineStr">
        <is>
          <t>General</t>
        </is>
      </c>
      <c r="K999" t="inlineStr">
        <is>
          <t>unclassified</t>
        </is>
      </c>
      <c r="M999" t="n">
        <v>50</v>
      </c>
    </row>
    <row r="1000">
      <c r="A1000" t="inlineStr">
        <is>
          <t>Ginger</t>
        </is>
      </c>
      <c r="B1000" t="inlineStr">
        <is>
          <t>Pau d'Arco</t>
        </is>
      </c>
      <c r="C1000" t="n">
        <v>0</v>
      </c>
      <c r="D1000" t="n">
        <v>1</v>
      </c>
      <c r="E1000" t="n">
        <v>0</v>
      </c>
      <c r="F1000" t="inlineStr">
        <is>
          <t>General</t>
        </is>
      </c>
      <c r="G1000" t="inlineStr">
        <is>
          <t>General</t>
        </is>
      </c>
      <c r="H1000" t="inlineStr">
        <is>
          <t>General</t>
        </is>
      </c>
      <c r="I1000" t="inlineStr">
        <is>
          <t>General</t>
        </is>
      </c>
      <c r="K1000" t="inlineStr">
        <is>
          <t>unclassified</t>
        </is>
      </c>
      <c r="M1000" t="n">
        <v>50</v>
      </c>
    </row>
    <row r="1001">
      <c r="A1001" t="inlineStr">
        <is>
          <t>Ginger</t>
        </is>
      </c>
      <c r="B1001" t="inlineStr">
        <is>
          <t>Peppermint</t>
        </is>
      </c>
      <c r="C1001" t="n">
        <v>0</v>
      </c>
      <c r="D1001" t="n">
        <v>1</v>
      </c>
      <c r="E1001" t="n">
        <v>0</v>
      </c>
      <c r="F1001" t="inlineStr">
        <is>
          <t>General</t>
        </is>
      </c>
      <c r="G1001" t="inlineStr">
        <is>
          <t>General</t>
        </is>
      </c>
      <c r="H1001" t="inlineStr">
        <is>
          <t>General</t>
        </is>
      </c>
      <c r="I1001" t="inlineStr">
        <is>
          <t>General</t>
        </is>
      </c>
      <c r="K1001" t="inlineStr">
        <is>
          <t>unclassified</t>
        </is>
      </c>
      <c r="M1001" t="n">
        <v>50</v>
      </c>
    </row>
    <row r="1002">
      <c r="A1002" t="inlineStr">
        <is>
          <t>Ginger</t>
        </is>
      </c>
      <c r="B1002" t="inlineStr">
        <is>
          <t>Perilla</t>
        </is>
      </c>
      <c r="C1002" t="n">
        <v>0</v>
      </c>
      <c r="D1002" t="n">
        <v>1</v>
      </c>
      <c r="E1002" t="n">
        <v>0</v>
      </c>
      <c r="F1002" t="inlineStr">
        <is>
          <t>General</t>
        </is>
      </c>
      <c r="G1002" t="inlineStr">
        <is>
          <t>General</t>
        </is>
      </c>
      <c r="H1002" t="inlineStr">
        <is>
          <t>General</t>
        </is>
      </c>
      <c r="I1002" t="inlineStr">
        <is>
          <t>General</t>
        </is>
      </c>
      <c r="K1002" t="inlineStr">
        <is>
          <t>unclassified</t>
        </is>
      </c>
      <c r="M1002" t="n">
        <v>50</v>
      </c>
    </row>
    <row r="1003">
      <c r="A1003" t="inlineStr">
        <is>
          <t>Ginger</t>
        </is>
      </c>
      <c r="B1003" t="inlineStr">
        <is>
          <t>Pomegranate</t>
        </is>
      </c>
      <c r="C1003" t="n">
        <v>0</v>
      </c>
      <c r="D1003" t="n">
        <v>1</v>
      </c>
      <c r="E1003" t="n">
        <v>0</v>
      </c>
      <c r="F1003" t="inlineStr">
        <is>
          <t>General</t>
        </is>
      </c>
      <c r="G1003" t="inlineStr">
        <is>
          <t>General</t>
        </is>
      </c>
      <c r="H1003" t="inlineStr">
        <is>
          <t>General</t>
        </is>
      </c>
      <c r="I1003" t="inlineStr">
        <is>
          <t>General</t>
        </is>
      </c>
      <c r="K1003" t="inlineStr">
        <is>
          <t>unclassified</t>
        </is>
      </c>
      <c r="M1003" t="n">
        <v>50</v>
      </c>
    </row>
    <row r="1004">
      <c r="A1004" t="inlineStr">
        <is>
          <t>Ginger</t>
        </is>
      </c>
      <c r="B1004" t="inlineStr">
        <is>
          <t>Poria</t>
        </is>
      </c>
      <c r="C1004" t="n">
        <v>0</v>
      </c>
      <c r="D1004" t="n">
        <v>1</v>
      </c>
      <c r="E1004" t="n">
        <v>0</v>
      </c>
      <c r="F1004" t="inlineStr">
        <is>
          <t>General</t>
        </is>
      </c>
      <c r="G1004" t="inlineStr">
        <is>
          <t>General</t>
        </is>
      </c>
      <c r="H1004" t="inlineStr">
        <is>
          <t>General</t>
        </is>
      </c>
      <c r="I1004" t="inlineStr">
        <is>
          <t>General</t>
        </is>
      </c>
      <c r="K1004" t="inlineStr">
        <is>
          <t>unclassified</t>
        </is>
      </c>
      <c r="M1004" t="n">
        <v>50</v>
      </c>
    </row>
    <row r="1005">
      <c r="A1005" t="inlineStr">
        <is>
          <t>Ginger</t>
        </is>
      </c>
      <c r="B1005" t="inlineStr">
        <is>
          <t>Punarnava</t>
        </is>
      </c>
      <c r="C1005" t="n">
        <v>0</v>
      </c>
      <c r="D1005" t="n">
        <v>1</v>
      </c>
      <c r="E1005" t="n">
        <v>0</v>
      </c>
      <c r="F1005" t="inlineStr">
        <is>
          <t>General</t>
        </is>
      </c>
      <c r="G1005" t="inlineStr">
        <is>
          <t>General</t>
        </is>
      </c>
      <c r="H1005" t="inlineStr">
        <is>
          <t>General</t>
        </is>
      </c>
      <c r="I1005" t="inlineStr">
        <is>
          <t>General</t>
        </is>
      </c>
      <c r="K1005" t="inlineStr">
        <is>
          <t>unclassified</t>
        </is>
      </c>
      <c r="M1005" t="n">
        <v>50</v>
      </c>
    </row>
    <row r="1006">
      <c r="A1006" t="inlineStr">
        <is>
          <t>Ginger</t>
        </is>
      </c>
      <c r="B1006" t="inlineStr">
        <is>
          <t>Red Clover</t>
        </is>
      </c>
      <c r="C1006" t="n">
        <v>0</v>
      </c>
      <c r="D1006" t="n">
        <v>1</v>
      </c>
      <c r="E1006" t="n">
        <v>0</v>
      </c>
      <c r="F1006" t="inlineStr">
        <is>
          <t>General</t>
        </is>
      </c>
      <c r="G1006" t="inlineStr">
        <is>
          <t>General</t>
        </is>
      </c>
      <c r="H1006" t="inlineStr">
        <is>
          <t>General</t>
        </is>
      </c>
      <c r="I1006" t="inlineStr">
        <is>
          <t>General</t>
        </is>
      </c>
      <c r="K1006" t="inlineStr">
        <is>
          <t>unclassified</t>
        </is>
      </c>
      <c r="M1006" t="n">
        <v>50</v>
      </c>
    </row>
    <row r="1007">
      <c r="A1007" t="inlineStr">
        <is>
          <t>Ginger</t>
        </is>
      </c>
      <c r="B1007" t="inlineStr">
        <is>
          <t>Rehmannia Prepared</t>
        </is>
      </c>
      <c r="C1007" t="n">
        <v>0</v>
      </c>
      <c r="D1007" t="n">
        <v>1</v>
      </c>
      <c r="E1007" t="n">
        <v>0</v>
      </c>
      <c r="F1007" t="inlineStr">
        <is>
          <t>General</t>
        </is>
      </c>
      <c r="G1007" t="inlineStr">
        <is>
          <t>General</t>
        </is>
      </c>
      <c r="H1007" t="inlineStr">
        <is>
          <t>General</t>
        </is>
      </c>
      <c r="I1007" t="inlineStr">
        <is>
          <t>General</t>
        </is>
      </c>
      <c r="K1007" t="inlineStr">
        <is>
          <t>unclassified</t>
        </is>
      </c>
      <c r="M1007" t="n">
        <v>50</v>
      </c>
    </row>
    <row r="1008">
      <c r="A1008" t="inlineStr">
        <is>
          <t>Ginger</t>
        </is>
      </c>
      <c r="B1008" t="inlineStr">
        <is>
          <t>Reishi</t>
        </is>
      </c>
      <c r="C1008" t="n">
        <v>0</v>
      </c>
      <c r="D1008" t="n">
        <v>1</v>
      </c>
      <c r="E1008" t="n">
        <v>0</v>
      </c>
      <c r="F1008" t="inlineStr">
        <is>
          <t>General</t>
        </is>
      </c>
      <c r="G1008" t="inlineStr">
        <is>
          <t>General</t>
        </is>
      </c>
      <c r="H1008" t="inlineStr">
        <is>
          <t>General</t>
        </is>
      </c>
      <c r="I1008" t="inlineStr">
        <is>
          <t>General</t>
        </is>
      </c>
      <c r="K1008" t="inlineStr">
        <is>
          <t>unclassified</t>
        </is>
      </c>
      <c r="M1008" t="n">
        <v>50</v>
      </c>
    </row>
    <row r="1009">
      <c r="A1009" t="inlineStr">
        <is>
          <t>Ginger</t>
        </is>
      </c>
      <c r="B1009" t="inlineStr">
        <is>
          <t>Rose Hips</t>
        </is>
      </c>
      <c r="C1009" t="n">
        <v>0</v>
      </c>
      <c r="D1009" t="n">
        <v>1</v>
      </c>
      <c r="E1009" t="n">
        <v>0</v>
      </c>
      <c r="F1009" t="inlineStr">
        <is>
          <t>General</t>
        </is>
      </c>
      <c r="G1009" t="inlineStr">
        <is>
          <t>General</t>
        </is>
      </c>
      <c r="H1009" t="inlineStr">
        <is>
          <t>General</t>
        </is>
      </c>
      <c r="I1009" t="inlineStr">
        <is>
          <t>General</t>
        </is>
      </c>
      <c r="K1009" t="inlineStr">
        <is>
          <t>unclassified</t>
        </is>
      </c>
      <c r="M1009" t="n">
        <v>50</v>
      </c>
    </row>
    <row r="1010">
      <c r="A1010" t="inlineStr">
        <is>
          <t>Ginger</t>
        </is>
      </c>
      <c r="B1010" t="inlineStr">
        <is>
          <t>Rosemary</t>
        </is>
      </c>
      <c r="C1010" t="n">
        <v>0</v>
      </c>
      <c r="D1010" t="n">
        <v>1</v>
      </c>
      <c r="E1010" t="n">
        <v>0</v>
      </c>
      <c r="F1010" t="inlineStr">
        <is>
          <t>General</t>
        </is>
      </c>
      <c r="G1010" t="inlineStr">
        <is>
          <t>General</t>
        </is>
      </c>
      <c r="H1010" t="inlineStr">
        <is>
          <t>General</t>
        </is>
      </c>
      <c r="I1010" t="inlineStr">
        <is>
          <t>General</t>
        </is>
      </c>
      <c r="K1010" t="inlineStr">
        <is>
          <t>unclassified</t>
        </is>
      </c>
      <c r="M1010" t="n">
        <v>50</v>
      </c>
    </row>
    <row r="1011">
      <c r="A1011" t="inlineStr">
        <is>
          <t>Ginger</t>
        </is>
      </c>
      <c r="B1011" t="inlineStr">
        <is>
          <t>Sage</t>
        </is>
      </c>
      <c r="C1011" t="n">
        <v>0</v>
      </c>
      <c r="D1011" t="n">
        <v>1</v>
      </c>
      <c r="E1011" t="n">
        <v>0</v>
      </c>
      <c r="F1011" t="inlineStr">
        <is>
          <t>General</t>
        </is>
      </c>
      <c r="G1011" t="inlineStr">
        <is>
          <t>General</t>
        </is>
      </c>
      <c r="H1011" t="inlineStr">
        <is>
          <t>General</t>
        </is>
      </c>
      <c r="I1011" t="inlineStr">
        <is>
          <t>General</t>
        </is>
      </c>
      <c r="K1011" t="inlineStr">
        <is>
          <t>unclassified</t>
        </is>
      </c>
      <c r="M1011" t="n">
        <v>50</v>
      </c>
    </row>
    <row r="1012">
      <c r="A1012" t="inlineStr">
        <is>
          <t>Ginger</t>
        </is>
      </c>
      <c r="B1012" t="inlineStr">
        <is>
          <t>Sophora Flavescens</t>
        </is>
      </c>
      <c r="C1012" t="n">
        <v>0</v>
      </c>
      <c r="D1012" t="n">
        <v>1</v>
      </c>
      <c r="E1012" t="n">
        <v>0</v>
      </c>
      <c r="F1012" t="inlineStr">
        <is>
          <t>General</t>
        </is>
      </c>
      <c r="G1012" t="inlineStr">
        <is>
          <t>General</t>
        </is>
      </c>
      <c r="H1012" t="inlineStr">
        <is>
          <t>General</t>
        </is>
      </c>
      <c r="I1012" t="inlineStr">
        <is>
          <t>General</t>
        </is>
      </c>
      <c r="K1012" t="inlineStr">
        <is>
          <t>unclassified</t>
        </is>
      </c>
      <c r="M1012" t="n">
        <v>50</v>
      </c>
    </row>
    <row r="1013">
      <c r="A1013" t="inlineStr">
        <is>
          <t>Ginger</t>
        </is>
      </c>
      <c r="B1013" t="inlineStr">
        <is>
          <t>Soursop</t>
        </is>
      </c>
      <c r="C1013" t="n">
        <v>0</v>
      </c>
      <c r="D1013" t="n">
        <v>1</v>
      </c>
      <c r="E1013" t="n">
        <v>0</v>
      </c>
      <c r="F1013" t="inlineStr">
        <is>
          <t>General</t>
        </is>
      </c>
      <c r="G1013" t="inlineStr">
        <is>
          <t>General</t>
        </is>
      </c>
      <c r="H1013" t="inlineStr">
        <is>
          <t>General</t>
        </is>
      </c>
      <c r="I1013" t="inlineStr">
        <is>
          <t>General</t>
        </is>
      </c>
      <c r="K1013" t="inlineStr">
        <is>
          <t>unclassified</t>
        </is>
      </c>
      <c r="M1013" t="n">
        <v>50</v>
      </c>
    </row>
    <row r="1014">
      <c r="A1014" t="inlineStr">
        <is>
          <t>Ginger</t>
        </is>
      </c>
      <c r="B1014" t="inlineStr">
        <is>
          <t>St Johns Wort</t>
        </is>
      </c>
      <c r="C1014" t="n">
        <v>0</v>
      </c>
      <c r="D1014" t="n">
        <v>1</v>
      </c>
      <c r="E1014" t="n">
        <v>0</v>
      </c>
      <c r="F1014" t="inlineStr">
        <is>
          <t>General</t>
        </is>
      </c>
      <c r="G1014" t="inlineStr">
        <is>
          <t>General</t>
        </is>
      </c>
      <c r="H1014" t="inlineStr">
        <is>
          <t>General</t>
        </is>
      </c>
      <c r="I1014" t="inlineStr">
        <is>
          <t>General</t>
        </is>
      </c>
      <c r="K1014" t="inlineStr">
        <is>
          <t>unclassified</t>
        </is>
      </c>
      <c r="M1014" t="n">
        <v>50</v>
      </c>
    </row>
    <row r="1015">
      <c r="A1015" t="inlineStr">
        <is>
          <t>Ginger</t>
        </is>
      </c>
      <c r="B1015" t="inlineStr">
        <is>
          <t>Tamarind</t>
        </is>
      </c>
      <c r="C1015" t="n">
        <v>0</v>
      </c>
      <c r="D1015" t="n">
        <v>1</v>
      </c>
      <c r="E1015" t="n">
        <v>0</v>
      </c>
      <c r="F1015" t="inlineStr">
        <is>
          <t>General</t>
        </is>
      </c>
      <c r="G1015" t="inlineStr">
        <is>
          <t>General</t>
        </is>
      </c>
      <c r="H1015" t="inlineStr">
        <is>
          <t>General</t>
        </is>
      </c>
      <c r="I1015" t="inlineStr">
        <is>
          <t>General</t>
        </is>
      </c>
      <c r="K1015" t="inlineStr">
        <is>
          <t>unclassified</t>
        </is>
      </c>
      <c r="M1015" t="n">
        <v>50</v>
      </c>
    </row>
    <row r="1016">
      <c r="A1016" t="inlineStr">
        <is>
          <t>Ginger</t>
        </is>
      </c>
      <c r="B1016" t="inlineStr">
        <is>
          <t>Thyme</t>
        </is>
      </c>
      <c r="C1016" t="n">
        <v>0</v>
      </c>
      <c r="D1016" t="n">
        <v>1</v>
      </c>
      <c r="E1016" t="n">
        <v>0</v>
      </c>
      <c r="F1016" t="inlineStr">
        <is>
          <t>General</t>
        </is>
      </c>
      <c r="G1016" t="inlineStr">
        <is>
          <t>General</t>
        </is>
      </c>
      <c r="H1016" t="inlineStr">
        <is>
          <t>General</t>
        </is>
      </c>
      <c r="I1016" t="inlineStr">
        <is>
          <t>General</t>
        </is>
      </c>
      <c r="K1016" t="inlineStr">
        <is>
          <t>unclassified</t>
        </is>
      </c>
      <c r="M1016" t="n">
        <v>50</v>
      </c>
    </row>
    <row r="1017">
      <c r="A1017" t="inlineStr">
        <is>
          <t>Ginger</t>
        </is>
      </c>
      <c r="B1017" t="inlineStr">
        <is>
          <t>Turmeric</t>
        </is>
      </c>
      <c r="C1017" t="n">
        <v>0</v>
      </c>
      <c r="D1017" t="n">
        <v>1</v>
      </c>
      <c r="E1017" t="n">
        <v>0</v>
      </c>
      <c r="F1017" t="inlineStr">
        <is>
          <t>General</t>
        </is>
      </c>
      <c r="G1017" t="inlineStr">
        <is>
          <t>General</t>
        </is>
      </c>
      <c r="H1017" t="inlineStr">
        <is>
          <t>General</t>
        </is>
      </c>
      <c r="I1017" t="inlineStr">
        <is>
          <t>General</t>
        </is>
      </c>
      <c r="K1017" t="inlineStr">
        <is>
          <t>unclassified</t>
        </is>
      </c>
      <c r="M1017" t="n">
        <v>50</v>
      </c>
    </row>
    <row r="1018">
      <c r="A1018" t="inlineStr">
        <is>
          <t>Ginger</t>
        </is>
      </c>
      <c r="B1018" t="inlineStr">
        <is>
          <t>Valerian</t>
        </is>
      </c>
      <c r="C1018" t="n">
        <v>0</v>
      </c>
      <c r="D1018" t="n">
        <v>1</v>
      </c>
      <c r="E1018" t="n">
        <v>0</v>
      </c>
      <c r="F1018" t="inlineStr">
        <is>
          <t>General</t>
        </is>
      </c>
      <c r="G1018" t="inlineStr">
        <is>
          <t>General</t>
        </is>
      </c>
      <c r="H1018" t="inlineStr">
        <is>
          <t>General</t>
        </is>
      </c>
      <c r="I1018" t="inlineStr">
        <is>
          <t>General</t>
        </is>
      </c>
      <c r="K1018" t="inlineStr">
        <is>
          <t>unclassified</t>
        </is>
      </c>
      <c r="M1018" t="n">
        <v>50</v>
      </c>
    </row>
    <row r="1019">
      <c r="A1019" t="inlineStr">
        <is>
          <t>Ginger</t>
        </is>
      </c>
      <c r="B1019" t="inlineStr">
        <is>
          <t>White Peony</t>
        </is>
      </c>
      <c r="C1019" t="n">
        <v>0</v>
      </c>
      <c r="D1019" t="n">
        <v>1</v>
      </c>
      <c r="E1019" t="n">
        <v>0</v>
      </c>
      <c r="F1019" t="inlineStr">
        <is>
          <t>General</t>
        </is>
      </c>
      <c r="G1019" t="inlineStr">
        <is>
          <t>General</t>
        </is>
      </c>
      <c r="H1019" t="inlineStr">
        <is>
          <t>General</t>
        </is>
      </c>
      <c r="I1019" t="inlineStr">
        <is>
          <t>General</t>
        </is>
      </c>
      <c r="K1019" t="inlineStr">
        <is>
          <t>unclassified</t>
        </is>
      </c>
      <c r="M1019" t="n">
        <v>50</v>
      </c>
    </row>
    <row r="1020">
      <c r="A1020" t="inlineStr">
        <is>
          <t>Ginger</t>
        </is>
      </c>
      <c r="B1020" t="inlineStr">
        <is>
          <t>Yarrow</t>
        </is>
      </c>
      <c r="C1020" t="n">
        <v>0</v>
      </c>
      <c r="D1020" t="n">
        <v>1</v>
      </c>
      <c r="E1020" t="n">
        <v>0</v>
      </c>
      <c r="F1020" t="inlineStr">
        <is>
          <t>General</t>
        </is>
      </c>
      <c r="G1020" t="inlineStr">
        <is>
          <t>General</t>
        </is>
      </c>
      <c r="H1020" t="inlineStr">
        <is>
          <t>General</t>
        </is>
      </c>
      <c r="I1020" t="inlineStr">
        <is>
          <t>General</t>
        </is>
      </c>
      <c r="K1020" t="inlineStr">
        <is>
          <t>unclassified</t>
        </is>
      </c>
      <c r="M1020" t="n">
        <v>50</v>
      </c>
    </row>
    <row r="1021">
      <c r="A1021" t="inlineStr">
        <is>
          <t>Ginger</t>
        </is>
      </c>
      <c r="B1021" t="inlineStr">
        <is>
          <t>Yohimbe</t>
        </is>
      </c>
      <c r="C1021" t="n">
        <v>0</v>
      </c>
      <c r="D1021" t="n">
        <v>1</v>
      </c>
      <c r="E1021" t="n">
        <v>0</v>
      </c>
      <c r="F1021" t="inlineStr">
        <is>
          <t>General</t>
        </is>
      </c>
      <c r="G1021" t="inlineStr">
        <is>
          <t>General</t>
        </is>
      </c>
      <c r="H1021" t="inlineStr">
        <is>
          <t>General</t>
        </is>
      </c>
      <c r="I1021" t="inlineStr">
        <is>
          <t>General</t>
        </is>
      </c>
      <c r="K1021" t="inlineStr">
        <is>
          <t>unclassified</t>
        </is>
      </c>
      <c r="M1021" t="n">
        <v>50</v>
      </c>
    </row>
    <row r="1022">
      <c r="A1022" t="inlineStr">
        <is>
          <t>Guarana</t>
        </is>
      </c>
      <c r="B1022" t="inlineStr">
        <is>
          <t>Ashitaba</t>
        </is>
      </c>
      <c r="C1022" t="n">
        <v>0</v>
      </c>
      <c r="D1022" t="n">
        <v>1</v>
      </c>
      <c r="E1022" t="n">
        <v>0</v>
      </c>
      <c r="F1022" t="inlineStr">
        <is>
          <t>Metabolic</t>
        </is>
      </c>
      <c r="G1022" t="inlineStr">
        <is>
          <t>Metabolic</t>
        </is>
      </c>
      <c r="H1022" t="inlineStr">
        <is>
          <t>Metabolic Support</t>
        </is>
      </c>
      <c r="I1022" t="inlineStr">
        <is>
          <t>Metabolic Support</t>
        </is>
      </c>
      <c r="K1022" t="inlineStr">
        <is>
          <t>unclassified</t>
        </is>
      </c>
      <c r="M1022" t="n">
        <v>50</v>
      </c>
    </row>
    <row r="1023">
      <c r="A1023" t="inlineStr">
        <is>
          <t>Guarana</t>
        </is>
      </c>
      <c r="B1023" t="inlineStr">
        <is>
          <t>Banaba</t>
        </is>
      </c>
      <c r="C1023" t="n">
        <v>0</v>
      </c>
      <c r="D1023" t="n">
        <v>1</v>
      </c>
      <c r="E1023" t="n">
        <v>0</v>
      </c>
      <c r="F1023" t="inlineStr">
        <is>
          <t>Metabolic</t>
        </is>
      </c>
      <c r="G1023" t="inlineStr">
        <is>
          <t>Metabolic</t>
        </is>
      </c>
      <c r="H1023" t="inlineStr">
        <is>
          <t>Metabolic Support</t>
        </is>
      </c>
      <c r="I1023" t="inlineStr">
        <is>
          <t>Metabolic Support</t>
        </is>
      </c>
      <c r="K1023" t="inlineStr">
        <is>
          <t>unclassified</t>
        </is>
      </c>
      <c r="M1023" t="n">
        <v>50</v>
      </c>
    </row>
    <row r="1024">
      <c r="A1024" t="inlineStr">
        <is>
          <t>Guarana</t>
        </is>
      </c>
      <c r="B1024" t="inlineStr">
        <is>
          <t>Curry Leaf</t>
        </is>
      </c>
      <c r="C1024" t="n">
        <v>0</v>
      </c>
      <c r="D1024" t="n">
        <v>1</v>
      </c>
      <c r="E1024" t="n">
        <v>0</v>
      </c>
      <c r="F1024" t="inlineStr">
        <is>
          <t>Metabolic</t>
        </is>
      </c>
      <c r="G1024" t="inlineStr">
        <is>
          <t>Metabolic</t>
        </is>
      </c>
      <c r="H1024" t="inlineStr">
        <is>
          <t>Metabolic Support</t>
        </is>
      </c>
      <c r="I1024" t="inlineStr">
        <is>
          <t>Metabolic Support</t>
        </is>
      </c>
      <c r="K1024" t="inlineStr">
        <is>
          <t>unclassified</t>
        </is>
      </c>
      <c r="M1024" t="n">
        <v>50</v>
      </c>
    </row>
    <row r="1025">
      <c r="A1025" t="inlineStr">
        <is>
          <t>Guarana</t>
        </is>
      </c>
      <c r="B1025" t="inlineStr">
        <is>
          <t>Eucommia</t>
        </is>
      </c>
      <c r="C1025" t="n">
        <v>0</v>
      </c>
      <c r="D1025" t="n">
        <v>1</v>
      </c>
      <c r="E1025" t="n">
        <v>0</v>
      </c>
      <c r="F1025" t="inlineStr">
        <is>
          <t>Metabolic</t>
        </is>
      </c>
      <c r="G1025" t="inlineStr">
        <is>
          <t>Metabolic</t>
        </is>
      </c>
      <c r="H1025" t="inlineStr">
        <is>
          <t>Metabolic Support</t>
        </is>
      </c>
      <c r="I1025" t="inlineStr">
        <is>
          <t>Metabolic Support</t>
        </is>
      </c>
      <c r="K1025" t="inlineStr">
        <is>
          <t>unclassified</t>
        </is>
      </c>
      <c r="M1025" t="n">
        <v>50</v>
      </c>
    </row>
    <row r="1026">
      <c r="A1026" t="inlineStr">
        <is>
          <t>Guarana</t>
        </is>
      </c>
      <c r="B1026" t="inlineStr">
        <is>
          <t>Kuding Tea</t>
        </is>
      </c>
      <c r="C1026" t="n">
        <v>0</v>
      </c>
      <c r="D1026" t="n">
        <v>1</v>
      </c>
      <c r="E1026" t="n">
        <v>0</v>
      </c>
      <c r="F1026" t="inlineStr">
        <is>
          <t>Metabolic</t>
        </is>
      </c>
      <c r="G1026" t="inlineStr">
        <is>
          <t>Metabolic</t>
        </is>
      </c>
      <c r="H1026" t="inlineStr">
        <is>
          <t>Metabolic Support</t>
        </is>
      </c>
      <c r="I1026" t="inlineStr">
        <is>
          <t>Metabolic Support</t>
        </is>
      </c>
      <c r="K1026" t="inlineStr">
        <is>
          <t>unclassified</t>
        </is>
      </c>
      <c r="M1026" t="n">
        <v>50</v>
      </c>
    </row>
    <row r="1027">
      <c r="A1027" t="inlineStr">
        <is>
          <t>Guarana</t>
        </is>
      </c>
      <c r="B1027" t="inlineStr">
        <is>
          <t>Moringa</t>
        </is>
      </c>
      <c r="C1027" t="n">
        <v>0</v>
      </c>
      <c r="D1027" t="n">
        <v>1</v>
      </c>
      <c r="E1027" t="n">
        <v>0</v>
      </c>
      <c r="F1027" t="inlineStr">
        <is>
          <t>Metabolic</t>
        </is>
      </c>
      <c r="G1027" t="inlineStr">
        <is>
          <t>Metabolic</t>
        </is>
      </c>
      <c r="H1027" t="inlineStr">
        <is>
          <t>Metabolic Support</t>
        </is>
      </c>
      <c r="I1027" t="inlineStr">
        <is>
          <t>Metabolic Support</t>
        </is>
      </c>
      <c r="K1027" t="inlineStr">
        <is>
          <t>unclassified</t>
        </is>
      </c>
      <c r="M1027" t="n">
        <v>50</v>
      </c>
    </row>
    <row r="1028">
      <c r="A1028" t="inlineStr">
        <is>
          <t>Guarana</t>
        </is>
      </c>
      <c r="B1028" t="inlineStr">
        <is>
          <t>Yerba Mate</t>
        </is>
      </c>
      <c r="C1028" t="n">
        <v>0</v>
      </c>
      <c r="D1028" t="n">
        <v>1</v>
      </c>
      <c r="E1028" t="n">
        <v>0</v>
      </c>
      <c r="F1028" t="inlineStr">
        <is>
          <t>Metabolic</t>
        </is>
      </c>
      <c r="G1028" t="inlineStr">
        <is>
          <t>Metabolic</t>
        </is>
      </c>
      <c r="H1028" t="inlineStr">
        <is>
          <t>Metabolic Support</t>
        </is>
      </c>
      <c r="I1028" t="inlineStr">
        <is>
          <t>Metabolic Support</t>
        </is>
      </c>
      <c r="K1028" t="inlineStr">
        <is>
          <t>unclassified</t>
        </is>
      </c>
      <c r="M1028" t="n">
        <v>50</v>
      </c>
    </row>
    <row r="1029">
      <c r="A1029" t="inlineStr">
        <is>
          <t>Gudmar</t>
        </is>
      </c>
      <c r="B1029" t="inlineStr">
        <is>
          <t>Celastrus Paniculatus</t>
        </is>
      </c>
      <c r="C1029" t="n">
        <v>0</v>
      </c>
      <c r="D1029" t="n">
        <v>1</v>
      </c>
      <c r="E1029" t="n">
        <v>0</v>
      </c>
      <c r="F1029" t="inlineStr">
        <is>
          <t>General</t>
        </is>
      </c>
      <c r="G1029" t="inlineStr">
        <is>
          <t>General</t>
        </is>
      </c>
      <c r="H1029" t="inlineStr">
        <is>
          <t>General</t>
        </is>
      </c>
      <c r="I1029" t="inlineStr">
        <is>
          <t>General</t>
        </is>
      </c>
      <c r="K1029" t="inlineStr">
        <is>
          <t>unclassified</t>
        </is>
      </c>
      <c r="M1029" t="n">
        <v>50</v>
      </c>
    </row>
    <row r="1030">
      <c r="A1030" t="inlineStr">
        <is>
          <t>Gudmar</t>
        </is>
      </c>
      <c r="B1030" t="inlineStr">
        <is>
          <t>Cordyceps</t>
        </is>
      </c>
      <c r="C1030" t="n">
        <v>0</v>
      </c>
      <c r="D1030" t="n">
        <v>1</v>
      </c>
      <c r="E1030" t="n">
        <v>0</v>
      </c>
      <c r="F1030" t="inlineStr">
        <is>
          <t>General</t>
        </is>
      </c>
      <c r="G1030" t="inlineStr">
        <is>
          <t>General</t>
        </is>
      </c>
      <c r="H1030" t="inlineStr">
        <is>
          <t>General</t>
        </is>
      </c>
      <c r="I1030" t="inlineStr">
        <is>
          <t>General</t>
        </is>
      </c>
      <c r="K1030" t="inlineStr">
        <is>
          <t>unclassified</t>
        </is>
      </c>
      <c r="M1030" t="n">
        <v>50</v>
      </c>
    </row>
    <row r="1031">
      <c r="A1031" t="inlineStr">
        <is>
          <t>Gudmar</t>
        </is>
      </c>
      <c r="B1031" t="inlineStr">
        <is>
          <t>Eleuthero</t>
        </is>
      </c>
      <c r="C1031" t="n">
        <v>0</v>
      </c>
      <c r="D1031" t="n">
        <v>1</v>
      </c>
      <c r="E1031" t="n">
        <v>0</v>
      </c>
      <c r="F1031" t="inlineStr">
        <is>
          <t>General</t>
        </is>
      </c>
      <c r="G1031" t="inlineStr">
        <is>
          <t>General</t>
        </is>
      </c>
      <c r="H1031" t="inlineStr">
        <is>
          <t>General</t>
        </is>
      </c>
      <c r="I1031" t="inlineStr">
        <is>
          <t>General</t>
        </is>
      </c>
      <c r="K1031" t="inlineStr">
        <is>
          <t>unclassified</t>
        </is>
      </c>
      <c r="M1031" t="n">
        <v>50</v>
      </c>
    </row>
    <row r="1032">
      <c r="A1032" t="inlineStr">
        <is>
          <t>Gudmar</t>
        </is>
      </c>
      <c r="B1032" t="inlineStr">
        <is>
          <t>Nettle Root</t>
        </is>
      </c>
      <c r="C1032" t="n">
        <v>0</v>
      </c>
      <c r="D1032" t="n">
        <v>1</v>
      </c>
      <c r="E1032" t="n">
        <v>0</v>
      </c>
      <c r="F1032" t="inlineStr">
        <is>
          <t>General</t>
        </is>
      </c>
      <c r="G1032" t="inlineStr">
        <is>
          <t>General</t>
        </is>
      </c>
      <c r="H1032" t="inlineStr">
        <is>
          <t>General</t>
        </is>
      </c>
      <c r="I1032" t="inlineStr">
        <is>
          <t>General</t>
        </is>
      </c>
      <c r="K1032" t="inlineStr">
        <is>
          <t>unclassified</t>
        </is>
      </c>
      <c r="M1032" t="n">
        <v>50</v>
      </c>
    </row>
    <row r="1033">
      <c r="A1033" t="inlineStr">
        <is>
          <t>Gudmar</t>
        </is>
      </c>
      <c r="B1033" t="inlineStr">
        <is>
          <t>Passionflower</t>
        </is>
      </c>
      <c r="C1033" t="n">
        <v>0</v>
      </c>
      <c r="D1033" t="n">
        <v>1</v>
      </c>
      <c r="E1033" t="n">
        <v>0</v>
      </c>
      <c r="F1033" t="inlineStr">
        <is>
          <t>General</t>
        </is>
      </c>
      <c r="G1033" t="inlineStr">
        <is>
          <t>General</t>
        </is>
      </c>
      <c r="H1033" t="inlineStr">
        <is>
          <t>General</t>
        </is>
      </c>
      <c r="I1033" t="inlineStr">
        <is>
          <t>General</t>
        </is>
      </c>
      <c r="K1033" t="inlineStr">
        <is>
          <t>unclassified</t>
        </is>
      </c>
      <c r="M1033" t="n">
        <v>50</v>
      </c>
    </row>
    <row r="1034">
      <c r="A1034" t="inlineStr">
        <is>
          <t>Gudmar</t>
        </is>
      </c>
      <c r="B1034" t="inlineStr">
        <is>
          <t>Punarnava</t>
        </is>
      </c>
      <c r="C1034" t="n">
        <v>0</v>
      </c>
      <c r="D1034" t="n">
        <v>1</v>
      </c>
      <c r="E1034" t="n">
        <v>0</v>
      </c>
      <c r="F1034" t="inlineStr">
        <is>
          <t>General</t>
        </is>
      </c>
      <c r="G1034" t="inlineStr">
        <is>
          <t>General</t>
        </is>
      </c>
      <c r="H1034" t="inlineStr">
        <is>
          <t>General</t>
        </is>
      </c>
      <c r="I1034" t="inlineStr">
        <is>
          <t>General</t>
        </is>
      </c>
      <c r="K1034" t="inlineStr">
        <is>
          <t>unclassified</t>
        </is>
      </c>
      <c r="M1034" t="n">
        <v>50</v>
      </c>
    </row>
    <row r="1035">
      <c r="A1035" t="inlineStr">
        <is>
          <t>Gudmar</t>
        </is>
      </c>
      <c r="B1035" t="inlineStr">
        <is>
          <t>Reishi</t>
        </is>
      </c>
      <c r="C1035" t="n">
        <v>0</v>
      </c>
      <c r="D1035" t="n">
        <v>1</v>
      </c>
      <c r="E1035" t="n">
        <v>0</v>
      </c>
      <c r="F1035" t="inlineStr">
        <is>
          <t>General</t>
        </is>
      </c>
      <c r="G1035" t="inlineStr">
        <is>
          <t>General</t>
        </is>
      </c>
      <c r="H1035" t="inlineStr">
        <is>
          <t>General</t>
        </is>
      </c>
      <c r="I1035" t="inlineStr">
        <is>
          <t>General</t>
        </is>
      </c>
      <c r="K1035" t="inlineStr">
        <is>
          <t>unclassified</t>
        </is>
      </c>
      <c r="M1035" t="n">
        <v>50</v>
      </c>
    </row>
    <row r="1036">
      <c r="A1036" t="inlineStr">
        <is>
          <t>Gudmar</t>
        </is>
      </c>
      <c r="B1036" t="inlineStr">
        <is>
          <t>Tamarind</t>
        </is>
      </c>
      <c r="C1036" t="n">
        <v>0</v>
      </c>
      <c r="D1036" t="n">
        <v>1</v>
      </c>
      <c r="E1036" t="n">
        <v>0</v>
      </c>
      <c r="F1036" t="inlineStr">
        <is>
          <t>General</t>
        </is>
      </c>
      <c r="G1036" t="inlineStr">
        <is>
          <t>General</t>
        </is>
      </c>
      <c r="H1036" t="inlineStr">
        <is>
          <t>General</t>
        </is>
      </c>
      <c r="I1036" t="inlineStr">
        <is>
          <t>General</t>
        </is>
      </c>
      <c r="K1036" t="inlineStr">
        <is>
          <t>unclassified</t>
        </is>
      </c>
      <c r="M1036" t="n">
        <v>50</v>
      </c>
    </row>
    <row r="1037">
      <c r="A1037" t="inlineStr">
        <is>
          <t>Gudmar</t>
        </is>
      </c>
      <c r="B1037" t="inlineStr">
        <is>
          <t>Yohimbe</t>
        </is>
      </c>
      <c r="C1037" t="n">
        <v>0</v>
      </c>
      <c r="D1037" t="n">
        <v>1</v>
      </c>
      <c r="E1037" t="n">
        <v>0</v>
      </c>
      <c r="F1037" t="inlineStr">
        <is>
          <t>General</t>
        </is>
      </c>
      <c r="G1037" t="inlineStr">
        <is>
          <t>General</t>
        </is>
      </c>
      <c r="H1037" t="inlineStr">
        <is>
          <t>General</t>
        </is>
      </c>
      <c r="I1037" t="inlineStr">
        <is>
          <t>General</t>
        </is>
      </c>
      <c r="K1037" t="inlineStr">
        <is>
          <t>unclassified</t>
        </is>
      </c>
      <c r="M1037" t="n">
        <v>50</v>
      </c>
    </row>
    <row r="1038">
      <c r="A1038" t="inlineStr">
        <is>
          <t>Gymnema</t>
        </is>
      </c>
      <c r="B1038" t="inlineStr">
        <is>
          <t>Agarikon</t>
        </is>
      </c>
      <c r="C1038" t="n">
        <v>0</v>
      </c>
      <c r="D1038" t="n">
        <v>1</v>
      </c>
      <c r="E1038" t="n">
        <v>0</v>
      </c>
      <c r="F1038" t="inlineStr">
        <is>
          <t>General</t>
        </is>
      </c>
      <c r="G1038" t="inlineStr">
        <is>
          <t>General</t>
        </is>
      </c>
      <c r="H1038" t="inlineStr">
        <is>
          <t>General</t>
        </is>
      </c>
      <c r="I1038" t="inlineStr">
        <is>
          <t>General</t>
        </is>
      </c>
      <c r="K1038" t="inlineStr">
        <is>
          <t>unclassified</t>
        </is>
      </c>
      <c r="M1038" t="n">
        <v>50</v>
      </c>
    </row>
    <row r="1039">
      <c r="A1039" t="inlineStr">
        <is>
          <t>Gymnema</t>
        </is>
      </c>
      <c r="B1039" t="inlineStr">
        <is>
          <t>Ajwain</t>
        </is>
      </c>
      <c r="C1039" t="n">
        <v>0</v>
      </c>
      <c r="D1039" t="n">
        <v>1</v>
      </c>
      <c r="E1039" t="n">
        <v>0</v>
      </c>
      <c r="F1039" t="inlineStr">
        <is>
          <t>General</t>
        </is>
      </c>
      <c r="G1039" t="inlineStr">
        <is>
          <t>General</t>
        </is>
      </c>
      <c r="H1039" t="inlineStr">
        <is>
          <t>General</t>
        </is>
      </c>
      <c r="I1039" t="inlineStr">
        <is>
          <t>General</t>
        </is>
      </c>
      <c r="K1039" t="inlineStr">
        <is>
          <t>unclassified</t>
        </is>
      </c>
      <c r="M1039" t="n">
        <v>50</v>
      </c>
    </row>
    <row r="1040">
      <c r="A1040" t="inlineStr">
        <is>
          <t>Gymnema</t>
        </is>
      </c>
      <c r="B1040" t="inlineStr">
        <is>
          <t>Angelica Root</t>
        </is>
      </c>
      <c r="C1040" t="n">
        <v>0</v>
      </c>
      <c r="D1040" t="n">
        <v>1</v>
      </c>
      <c r="E1040" t="n">
        <v>0</v>
      </c>
      <c r="F1040" t="inlineStr">
        <is>
          <t>General</t>
        </is>
      </c>
      <c r="G1040" t="inlineStr">
        <is>
          <t>General</t>
        </is>
      </c>
      <c r="H1040" t="inlineStr">
        <is>
          <t>General</t>
        </is>
      </c>
      <c r="I1040" t="inlineStr">
        <is>
          <t>General</t>
        </is>
      </c>
      <c r="K1040" t="inlineStr">
        <is>
          <t>unclassified</t>
        </is>
      </c>
      <c r="M1040" t="n">
        <v>50</v>
      </c>
    </row>
    <row r="1041">
      <c r="A1041" t="inlineStr">
        <is>
          <t>Gymnema</t>
        </is>
      </c>
      <c r="B1041" t="inlineStr">
        <is>
          <t>Ashoka</t>
        </is>
      </c>
      <c r="C1041" t="n">
        <v>0</v>
      </c>
      <c r="D1041" t="n">
        <v>1</v>
      </c>
      <c r="E1041" t="n">
        <v>0</v>
      </c>
      <c r="F1041" t="inlineStr">
        <is>
          <t>General</t>
        </is>
      </c>
      <c r="G1041" t="inlineStr">
        <is>
          <t>General</t>
        </is>
      </c>
      <c r="H1041" t="inlineStr">
        <is>
          <t>General</t>
        </is>
      </c>
      <c r="I1041" t="inlineStr">
        <is>
          <t>General</t>
        </is>
      </c>
      <c r="K1041" t="inlineStr">
        <is>
          <t>unclassified</t>
        </is>
      </c>
      <c r="M1041" t="n">
        <v>50</v>
      </c>
    </row>
    <row r="1042">
      <c r="A1042" t="inlineStr">
        <is>
          <t>Gymnema</t>
        </is>
      </c>
      <c r="B1042" t="inlineStr">
        <is>
          <t>Boldo</t>
        </is>
      </c>
      <c r="C1042" t="n">
        <v>0</v>
      </c>
      <c r="D1042" t="n">
        <v>1</v>
      </c>
      <c r="E1042" t="n">
        <v>0</v>
      </c>
      <c r="F1042" t="inlineStr">
        <is>
          <t>General</t>
        </is>
      </c>
      <c r="G1042" t="inlineStr">
        <is>
          <t>General</t>
        </is>
      </c>
      <c r="H1042" t="inlineStr">
        <is>
          <t>General</t>
        </is>
      </c>
      <c r="I1042" t="inlineStr">
        <is>
          <t>General</t>
        </is>
      </c>
      <c r="K1042" t="inlineStr">
        <is>
          <t>unclassified</t>
        </is>
      </c>
      <c r="M1042" t="n">
        <v>50</v>
      </c>
    </row>
    <row r="1043">
      <c r="A1043" t="inlineStr">
        <is>
          <t>Gymnema</t>
        </is>
      </c>
      <c r="B1043" t="inlineStr">
        <is>
          <t>Caraway</t>
        </is>
      </c>
      <c r="C1043" t="n">
        <v>0</v>
      </c>
      <c r="D1043" t="n">
        <v>1</v>
      </c>
      <c r="E1043" t="n">
        <v>0</v>
      </c>
      <c r="F1043" t="inlineStr">
        <is>
          <t>General</t>
        </is>
      </c>
      <c r="G1043" t="inlineStr">
        <is>
          <t>General</t>
        </is>
      </c>
      <c r="H1043" t="inlineStr">
        <is>
          <t>General</t>
        </is>
      </c>
      <c r="I1043" t="inlineStr">
        <is>
          <t>General</t>
        </is>
      </c>
      <c r="K1043" t="inlineStr">
        <is>
          <t>unclassified</t>
        </is>
      </c>
      <c r="M1043" t="n">
        <v>50</v>
      </c>
    </row>
    <row r="1044">
      <c r="A1044" t="inlineStr">
        <is>
          <t>Gymnema</t>
        </is>
      </c>
      <c r="B1044" t="inlineStr">
        <is>
          <t>Cardamom</t>
        </is>
      </c>
      <c r="C1044" t="n">
        <v>0</v>
      </c>
      <c r="D1044" t="n">
        <v>1</v>
      </c>
      <c r="E1044" t="n">
        <v>0</v>
      </c>
      <c r="F1044" t="inlineStr">
        <is>
          <t>General</t>
        </is>
      </c>
      <c r="G1044" t="inlineStr">
        <is>
          <t>General</t>
        </is>
      </c>
      <c r="H1044" t="inlineStr">
        <is>
          <t>General</t>
        </is>
      </c>
      <c r="I1044" t="inlineStr">
        <is>
          <t>General</t>
        </is>
      </c>
      <c r="K1044" t="inlineStr">
        <is>
          <t>unclassified</t>
        </is>
      </c>
      <c r="M1044" t="n">
        <v>50</v>
      </c>
    </row>
    <row r="1045">
      <c r="A1045" t="inlineStr">
        <is>
          <t>Gymnema</t>
        </is>
      </c>
      <c r="B1045" t="inlineStr">
        <is>
          <t>Celastrus Paniculatus</t>
        </is>
      </c>
      <c r="C1045" t="n">
        <v>0</v>
      </c>
      <c r="D1045" t="n">
        <v>1</v>
      </c>
      <c r="E1045" t="n">
        <v>0</v>
      </c>
      <c r="F1045" t="inlineStr">
        <is>
          <t>General</t>
        </is>
      </c>
      <c r="G1045" t="inlineStr">
        <is>
          <t>General</t>
        </is>
      </c>
      <c r="H1045" t="inlineStr">
        <is>
          <t>General</t>
        </is>
      </c>
      <c r="I1045" t="inlineStr">
        <is>
          <t>General</t>
        </is>
      </c>
      <c r="K1045" t="inlineStr">
        <is>
          <t>unclassified</t>
        </is>
      </c>
      <c r="M1045" t="n">
        <v>50</v>
      </c>
    </row>
    <row r="1046">
      <c r="A1046" t="inlineStr">
        <is>
          <t>Gymnema</t>
        </is>
      </c>
      <c r="B1046" t="inlineStr">
        <is>
          <t>Cistanche</t>
        </is>
      </c>
      <c r="C1046" t="n">
        <v>0</v>
      </c>
      <c r="D1046" t="n">
        <v>1</v>
      </c>
      <c r="E1046" t="n">
        <v>0</v>
      </c>
      <c r="F1046" t="inlineStr">
        <is>
          <t>General</t>
        </is>
      </c>
      <c r="G1046" t="inlineStr">
        <is>
          <t>General</t>
        </is>
      </c>
      <c r="H1046" t="inlineStr">
        <is>
          <t>General</t>
        </is>
      </c>
      <c r="I1046" t="inlineStr">
        <is>
          <t>General</t>
        </is>
      </c>
      <c r="K1046" t="inlineStr">
        <is>
          <t>unclassified</t>
        </is>
      </c>
      <c r="M1046" t="n">
        <v>50</v>
      </c>
    </row>
    <row r="1047">
      <c r="A1047" t="inlineStr">
        <is>
          <t>Gymnema</t>
        </is>
      </c>
      <c r="B1047" t="inlineStr">
        <is>
          <t>Cordyceps</t>
        </is>
      </c>
      <c r="C1047" t="n">
        <v>0</v>
      </c>
      <c r="D1047" t="n">
        <v>1</v>
      </c>
      <c r="E1047" t="n">
        <v>0</v>
      </c>
      <c r="F1047" t="inlineStr">
        <is>
          <t>General</t>
        </is>
      </c>
      <c r="G1047" t="inlineStr">
        <is>
          <t>General</t>
        </is>
      </c>
      <c r="H1047" t="inlineStr">
        <is>
          <t>General</t>
        </is>
      </c>
      <c r="I1047" t="inlineStr">
        <is>
          <t>General</t>
        </is>
      </c>
      <c r="K1047" t="inlineStr">
        <is>
          <t>unclassified</t>
        </is>
      </c>
      <c r="M1047" t="n">
        <v>50</v>
      </c>
    </row>
    <row r="1048">
      <c r="A1048" t="inlineStr">
        <is>
          <t>Gymnema</t>
        </is>
      </c>
      <c r="B1048" t="inlineStr">
        <is>
          <t>Dendrobium</t>
        </is>
      </c>
      <c r="C1048" t="n">
        <v>0</v>
      </c>
      <c r="D1048" t="n">
        <v>1</v>
      </c>
      <c r="E1048" t="n">
        <v>0</v>
      </c>
      <c r="F1048" t="inlineStr">
        <is>
          <t>General</t>
        </is>
      </c>
      <c r="G1048" t="inlineStr">
        <is>
          <t>General</t>
        </is>
      </c>
      <c r="H1048" t="inlineStr">
        <is>
          <t>General</t>
        </is>
      </c>
      <c r="I1048" t="inlineStr">
        <is>
          <t>General</t>
        </is>
      </c>
      <c r="K1048" t="inlineStr">
        <is>
          <t>unclassified</t>
        </is>
      </c>
      <c r="M1048" t="n">
        <v>50</v>
      </c>
    </row>
    <row r="1049">
      <c r="A1049" t="inlineStr">
        <is>
          <t>Gymnema</t>
        </is>
      </c>
      <c r="B1049" t="inlineStr">
        <is>
          <t>Elecampane</t>
        </is>
      </c>
      <c r="C1049" t="n">
        <v>0</v>
      </c>
      <c r="D1049" t="n">
        <v>1</v>
      </c>
      <c r="E1049" t="n">
        <v>0</v>
      </c>
      <c r="F1049" t="inlineStr">
        <is>
          <t>General</t>
        </is>
      </c>
      <c r="G1049" t="inlineStr">
        <is>
          <t>General</t>
        </is>
      </c>
      <c r="H1049" t="inlineStr">
        <is>
          <t>General</t>
        </is>
      </c>
      <c r="I1049" t="inlineStr">
        <is>
          <t>General</t>
        </is>
      </c>
      <c r="K1049" t="inlineStr">
        <is>
          <t>unclassified</t>
        </is>
      </c>
      <c r="M1049" t="n">
        <v>50</v>
      </c>
    </row>
    <row r="1050">
      <c r="A1050" t="inlineStr">
        <is>
          <t>Gymnema</t>
        </is>
      </c>
      <c r="B1050" t="inlineStr">
        <is>
          <t>Eleuthero</t>
        </is>
      </c>
      <c r="C1050" t="n">
        <v>0</v>
      </c>
      <c r="D1050" t="n">
        <v>1</v>
      </c>
      <c r="E1050" t="n">
        <v>0</v>
      </c>
      <c r="F1050" t="inlineStr">
        <is>
          <t>General</t>
        </is>
      </c>
      <c r="G1050" t="inlineStr">
        <is>
          <t>General</t>
        </is>
      </c>
      <c r="H1050" t="inlineStr">
        <is>
          <t>General</t>
        </is>
      </c>
      <c r="I1050" t="inlineStr">
        <is>
          <t>General</t>
        </is>
      </c>
      <c r="K1050" t="inlineStr">
        <is>
          <t>unclassified</t>
        </is>
      </c>
      <c r="M1050" t="n">
        <v>50</v>
      </c>
    </row>
    <row r="1051">
      <c r="A1051" t="inlineStr">
        <is>
          <t>Gymnema</t>
        </is>
      </c>
      <c r="B1051" t="inlineStr">
        <is>
          <t>Galangal</t>
        </is>
      </c>
      <c r="C1051" t="n">
        <v>0</v>
      </c>
      <c r="D1051" t="n">
        <v>1</v>
      </c>
      <c r="E1051" t="n">
        <v>0</v>
      </c>
      <c r="F1051" t="inlineStr">
        <is>
          <t>General</t>
        </is>
      </c>
      <c r="G1051" t="inlineStr">
        <is>
          <t>General</t>
        </is>
      </c>
      <c r="H1051" t="inlineStr">
        <is>
          <t>General</t>
        </is>
      </c>
      <c r="I1051" t="inlineStr">
        <is>
          <t>General</t>
        </is>
      </c>
      <c r="K1051" t="inlineStr">
        <is>
          <t>unclassified</t>
        </is>
      </c>
      <c r="M1051" t="n">
        <v>50</v>
      </c>
    </row>
    <row r="1052">
      <c r="A1052" t="inlineStr">
        <is>
          <t>Gymnema</t>
        </is>
      </c>
      <c r="B1052" t="inlineStr">
        <is>
          <t>Gastrodia</t>
        </is>
      </c>
      <c r="C1052" t="n">
        <v>0</v>
      </c>
      <c r="D1052" t="n">
        <v>1</v>
      </c>
      <c r="E1052" t="n">
        <v>0</v>
      </c>
      <c r="F1052" t="inlineStr">
        <is>
          <t>General</t>
        </is>
      </c>
      <c r="G1052" t="inlineStr">
        <is>
          <t>General</t>
        </is>
      </c>
      <c r="H1052" t="inlineStr">
        <is>
          <t>General</t>
        </is>
      </c>
      <c r="I1052" t="inlineStr">
        <is>
          <t>General</t>
        </is>
      </c>
      <c r="K1052" t="inlineStr">
        <is>
          <t>unclassified</t>
        </is>
      </c>
      <c r="M1052" t="n">
        <v>50</v>
      </c>
    </row>
    <row r="1053">
      <c r="A1053" t="inlineStr">
        <is>
          <t>Gymnema</t>
        </is>
      </c>
      <c r="B1053" t="inlineStr">
        <is>
          <t>Hops</t>
        </is>
      </c>
      <c r="C1053" t="n">
        <v>0</v>
      </c>
      <c r="D1053" t="n">
        <v>1</v>
      </c>
      <c r="E1053" t="n">
        <v>0</v>
      </c>
      <c r="F1053" t="inlineStr">
        <is>
          <t>General</t>
        </is>
      </c>
      <c r="G1053" t="inlineStr">
        <is>
          <t>General</t>
        </is>
      </c>
      <c r="H1053" t="inlineStr">
        <is>
          <t>General</t>
        </is>
      </c>
      <c r="I1053" t="inlineStr">
        <is>
          <t>General</t>
        </is>
      </c>
      <c r="K1053" t="inlineStr">
        <is>
          <t>unclassified</t>
        </is>
      </c>
      <c r="M1053" t="n">
        <v>50</v>
      </c>
    </row>
    <row r="1054">
      <c r="A1054" t="inlineStr">
        <is>
          <t>Gymnema</t>
        </is>
      </c>
      <c r="B1054" t="inlineStr">
        <is>
          <t>Houttuynia</t>
        </is>
      </c>
      <c r="C1054" t="n">
        <v>0</v>
      </c>
      <c r="D1054" t="n">
        <v>1</v>
      </c>
      <c r="E1054" t="n">
        <v>0</v>
      </c>
      <c r="F1054" t="inlineStr">
        <is>
          <t>General</t>
        </is>
      </c>
      <c r="G1054" t="inlineStr">
        <is>
          <t>General</t>
        </is>
      </c>
      <c r="H1054" t="inlineStr">
        <is>
          <t>General</t>
        </is>
      </c>
      <c r="I1054" t="inlineStr">
        <is>
          <t>General</t>
        </is>
      </c>
      <c r="K1054" t="inlineStr">
        <is>
          <t>unclassified</t>
        </is>
      </c>
      <c r="M1054" t="n">
        <v>50</v>
      </c>
    </row>
    <row r="1055">
      <c r="A1055" t="inlineStr">
        <is>
          <t>Gymnema</t>
        </is>
      </c>
      <c r="B1055" t="inlineStr">
        <is>
          <t>Isatis</t>
        </is>
      </c>
      <c r="C1055" t="n">
        <v>0</v>
      </c>
      <c r="D1055" t="n">
        <v>1</v>
      </c>
      <c r="E1055" t="n">
        <v>0</v>
      </c>
      <c r="F1055" t="inlineStr">
        <is>
          <t>General</t>
        </is>
      </c>
      <c r="G1055" t="inlineStr">
        <is>
          <t>General</t>
        </is>
      </c>
      <c r="H1055" t="inlineStr">
        <is>
          <t>General</t>
        </is>
      </c>
      <c r="I1055" t="inlineStr">
        <is>
          <t>General</t>
        </is>
      </c>
      <c r="K1055" t="inlineStr">
        <is>
          <t>unclassified</t>
        </is>
      </c>
      <c r="M1055" t="n">
        <v>50</v>
      </c>
    </row>
    <row r="1056">
      <c r="A1056" t="inlineStr">
        <is>
          <t>Gymnema</t>
        </is>
      </c>
      <c r="B1056" t="inlineStr">
        <is>
          <t>Jatamansi</t>
        </is>
      </c>
      <c r="C1056" t="n">
        <v>0</v>
      </c>
      <c r="D1056" t="n">
        <v>1</v>
      </c>
      <c r="E1056" t="n">
        <v>0</v>
      </c>
      <c r="F1056" t="inlineStr">
        <is>
          <t>General</t>
        </is>
      </c>
      <c r="G1056" t="inlineStr">
        <is>
          <t>General</t>
        </is>
      </c>
      <c r="H1056" t="inlineStr">
        <is>
          <t>General</t>
        </is>
      </c>
      <c r="I1056" t="inlineStr">
        <is>
          <t>General</t>
        </is>
      </c>
      <c r="K1056" t="inlineStr">
        <is>
          <t>unclassified</t>
        </is>
      </c>
      <c r="M1056" t="n">
        <v>50</v>
      </c>
    </row>
    <row r="1057">
      <c r="A1057" t="inlineStr">
        <is>
          <t>Gymnema</t>
        </is>
      </c>
      <c r="B1057" t="inlineStr">
        <is>
          <t>Lemon Verbena</t>
        </is>
      </c>
      <c r="C1057" t="n">
        <v>0</v>
      </c>
      <c r="D1057" t="n">
        <v>1</v>
      </c>
      <c r="E1057" t="n">
        <v>0</v>
      </c>
      <c r="F1057" t="inlineStr">
        <is>
          <t>General</t>
        </is>
      </c>
      <c r="G1057" t="inlineStr">
        <is>
          <t>General</t>
        </is>
      </c>
      <c r="H1057" t="inlineStr">
        <is>
          <t>General</t>
        </is>
      </c>
      <c r="I1057" t="inlineStr">
        <is>
          <t>General</t>
        </is>
      </c>
      <c r="K1057" t="inlineStr">
        <is>
          <t>unclassified</t>
        </is>
      </c>
      <c r="M1057" t="n">
        <v>50</v>
      </c>
    </row>
    <row r="1058">
      <c r="A1058" t="inlineStr">
        <is>
          <t>Gymnema</t>
        </is>
      </c>
      <c r="B1058" t="inlineStr">
        <is>
          <t>Lemongrass</t>
        </is>
      </c>
      <c r="C1058" t="n">
        <v>0</v>
      </c>
      <c r="D1058" t="n">
        <v>1</v>
      </c>
      <c r="E1058" t="n">
        <v>0</v>
      </c>
      <c r="F1058" t="inlineStr">
        <is>
          <t>General</t>
        </is>
      </c>
      <c r="G1058" t="inlineStr">
        <is>
          <t>General</t>
        </is>
      </c>
      <c r="H1058" t="inlineStr">
        <is>
          <t>General</t>
        </is>
      </c>
      <c r="I1058" t="inlineStr">
        <is>
          <t>General</t>
        </is>
      </c>
      <c r="K1058" t="inlineStr">
        <is>
          <t>unclassified</t>
        </is>
      </c>
      <c r="M1058" t="n">
        <v>50</v>
      </c>
    </row>
    <row r="1059">
      <c r="A1059" t="inlineStr">
        <is>
          <t>Gymnema</t>
        </is>
      </c>
      <c r="B1059" t="inlineStr">
        <is>
          <t>Longan</t>
        </is>
      </c>
      <c r="C1059" t="n">
        <v>0</v>
      </c>
      <c r="D1059" t="n">
        <v>1</v>
      </c>
      <c r="E1059" t="n">
        <v>0</v>
      </c>
      <c r="F1059" t="inlineStr">
        <is>
          <t>General</t>
        </is>
      </c>
      <c r="G1059" t="inlineStr">
        <is>
          <t>General</t>
        </is>
      </c>
      <c r="H1059" t="inlineStr">
        <is>
          <t>General</t>
        </is>
      </c>
      <c r="I1059" t="inlineStr">
        <is>
          <t>General</t>
        </is>
      </c>
      <c r="K1059" t="inlineStr">
        <is>
          <t>unclassified</t>
        </is>
      </c>
      <c r="M1059" t="n">
        <v>50</v>
      </c>
    </row>
    <row r="1060">
      <c r="A1060" t="inlineStr">
        <is>
          <t>Gymnema</t>
        </is>
      </c>
      <c r="B1060" t="inlineStr">
        <is>
          <t>Maitake D-Fraction</t>
        </is>
      </c>
      <c r="C1060" t="n">
        <v>0</v>
      </c>
      <c r="D1060" t="n">
        <v>1</v>
      </c>
      <c r="E1060" t="n">
        <v>0</v>
      </c>
      <c r="F1060" t="inlineStr">
        <is>
          <t>General</t>
        </is>
      </c>
      <c r="G1060" t="inlineStr">
        <is>
          <t>General</t>
        </is>
      </c>
      <c r="H1060" t="inlineStr">
        <is>
          <t>General</t>
        </is>
      </c>
      <c r="I1060" t="inlineStr">
        <is>
          <t>General</t>
        </is>
      </c>
      <c r="K1060" t="inlineStr">
        <is>
          <t>unclassified</t>
        </is>
      </c>
      <c r="M1060" t="n">
        <v>50</v>
      </c>
    </row>
    <row r="1061">
      <c r="A1061" t="inlineStr">
        <is>
          <t>Gymnema</t>
        </is>
      </c>
      <c r="B1061" t="inlineStr">
        <is>
          <t>Milk Oats</t>
        </is>
      </c>
      <c r="C1061" t="n">
        <v>0</v>
      </c>
      <c r="D1061" t="n">
        <v>1</v>
      </c>
      <c r="E1061" t="n">
        <v>0</v>
      </c>
      <c r="F1061" t="inlineStr">
        <is>
          <t>General</t>
        </is>
      </c>
      <c r="G1061" t="inlineStr">
        <is>
          <t>General</t>
        </is>
      </c>
      <c r="H1061" t="inlineStr">
        <is>
          <t>General</t>
        </is>
      </c>
      <c r="I1061" t="inlineStr">
        <is>
          <t>General</t>
        </is>
      </c>
      <c r="K1061" t="inlineStr">
        <is>
          <t>unclassified</t>
        </is>
      </c>
      <c r="M1061" t="n">
        <v>50</v>
      </c>
    </row>
    <row r="1062">
      <c r="A1062" t="inlineStr">
        <is>
          <t>Gymnema</t>
        </is>
      </c>
      <c r="B1062" t="inlineStr">
        <is>
          <t>Mugwort</t>
        </is>
      </c>
      <c r="C1062" t="n">
        <v>0</v>
      </c>
      <c r="D1062" t="n">
        <v>1</v>
      </c>
      <c r="E1062" t="n">
        <v>0</v>
      </c>
      <c r="F1062" t="inlineStr">
        <is>
          <t>General</t>
        </is>
      </c>
      <c r="G1062" t="inlineStr">
        <is>
          <t>General</t>
        </is>
      </c>
      <c r="H1062" t="inlineStr">
        <is>
          <t>General</t>
        </is>
      </c>
      <c r="I1062" t="inlineStr">
        <is>
          <t>General</t>
        </is>
      </c>
      <c r="K1062" t="inlineStr">
        <is>
          <t>unclassified</t>
        </is>
      </c>
      <c r="M1062" t="n">
        <v>50</v>
      </c>
    </row>
    <row r="1063">
      <c r="A1063" t="inlineStr">
        <is>
          <t>Gymnema</t>
        </is>
      </c>
      <c r="B1063" t="inlineStr">
        <is>
          <t>Muira Puama</t>
        </is>
      </c>
      <c r="C1063" t="n">
        <v>0</v>
      </c>
      <c r="D1063" t="n">
        <v>1</v>
      </c>
      <c r="E1063" t="n">
        <v>0</v>
      </c>
      <c r="F1063" t="inlineStr">
        <is>
          <t>General</t>
        </is>
      </c>
      <c r="G1063" t="inlineStr">
        <is>
          <t>General</t>
        </is>
      </c>
      <c r="H1063" t="inlineStr">
        <is>
          <t>General</t>
        </is>
      </c>
      <c r="I1063" t="inlineStr">
        <is>
          <t>General</t>
        </is>
      </c>
      <c r="K1063" t="inlineStr">
        <is>
          <t>unclassified</t>
        </is>
      </c>
      <c r="M1063" t="n">
        <v>50</v>
      </c>
    </row>
    <row r="1064">
      <c r="A1064" t="inlineStr">
        <is>
          <t>Gymnema</t>
        </is>
      </c>
      <c r="B1064" t="inlineStr">
        <is>
          <t>Mulberry Leaf</t>
        </is>
      </c>
      <c r="C1064" t="n">
        <v>0</v>
      </c>
      <c r="D1064" t="n">
        <v>1</v>
      </c>
      <c r="E1064" t="n">
        <v>0</v>
      </c>
      <c r="F1064" t="inlineStr">
        <is>
          <t>General</t>
        </is>
      </c>
      <c r="G1064" t="inlineStr">
        <is>
          <t>General</t>
        </is>
      </c>
      <c r="H1064" t="inlineStr">
        <is>
          <t>General</t>
        </is>
      </c>
      <c r="I1064" t="inlineStr">
        <is>
          <t>General</t>
        </is>
      </c>
      <c r="K1064" t="inlineStr">
        <is>
          <t>unclassified</t>
        </is>
      </c>
      <c r="M1064" t="n">
        <v>50</v>
      </c>
    </row>
    <row r="1065">
      <c r="A1065" t="inlineStr">
        <is>
          <t>Gymnema</t>
        </is>
      </c>
      <c r="B1065" t="inlineStr">
        <is>
          <t>Myrtle</t>
        </is>
      </c>
      <c r="C1065" t="n">
        <v>0</v>
      </c>
      <c r="D1065" t="n">
        <v>1</v>
      </c>
      <c r="E1065" t="n">
        <v>0</v>
      </c>
      <c r="F1065" t="inlineStr">
        <is>
          <t>General</t>
        </is>
      </c>
      <c r="G1065" t="inlineStr">
        <is>
          <t>General</t>
        </is>
      </c>
      <c r="H1065" t="inlineStr">
        <is>
          <t>General</t>
        </is>
      </c>
      <c r="I1065" t="inlineStr">
        <is>
          <t>General</t>
        </is>
      </c>
      <c r="K1065" t="inlineStr">
        <is>
          <t>unclassified</t>
        </is>
      </c>
      <c r="M1065" t="n">
        <v>50</v>
      </c>
    </row>
    <row r="1066">
      <c r="A1066" t="inlineStr">
        <is>
          <t>Gymnema</t>
        </is>
      </c>
      <c r="B1066" t="inlineStr">
        <is>
          <t>Neem</t>
        </is>
      </c>
      <c r="C1066" t="n">
        <v>0</v>
      </c>
      <c r="D1066" t="n">
        <v>1</v>
      </c>
      <c r="E1066" t="n">
        <v>0</v>
      </c>
      <c r="F1066" t="inlineStr">
        <is>
          <t>General</t>
        </is>
      </c>
      <c r="G1066" t="inlineStr">
        <is>
          <t>General</t>
        </is>
      </c>
      <c r="H1066" t="inlineStr">
        <is>
          <t>General</t>
        </is>
      </c>
      <c r="I1066" t="inlineStr">
        <is>
          <t>General</t>
        </is>
      </c>
      <c r="K1066" t="inlineStr">
        <is>
          <t>unclassified</t>
        </is>
      </c>
      <c r="M1066" t="n">
        <v>50</v>
      </c>
    </row>
    <row r="1067">
      <c r="A1067" t="inlineStr">
        <is>
          <t>Gymnema</t>
        </is>
      </c>
      <c r="B1067" t="inlineStr">
        <is>
          <t>Nettle Root</t>
        </is>
      </c>
      <c r="C1067" t="n">
        <v>0</v>
      </c>
      <c r="D1067" t="n">
        <v>1</v>
      </c>
      <c r="E1067" t="n">
        <v>0</v>
      </c>
      <c r="F1067" t="inlineStr">
        <is>
          <t>General</t>
        </is>
      </c>
      <c r="G1067" t="inlineStr">
        <is>
          <t>General</t>
        </is>
      </c>
      <c r="H1067" t="inlineStr">
        <is>
          <t>General</t>
        </is>
      </c>
      <c r="I1067" t="inlineStr">
        <is>
          <t>General</t>
        </is>
      </c>
      <c r="K1067" t="inlineStr">
        <is>
          <t>unclassified</t>
        </is>
      </c>
      <c r="M1067" t="n">
        <v>50</v>
      </c>
    </row>
    <row r="1068">
      <c r="A1068" t="inlineStr">
        <is>
          <t>Gymnema</t>
        </is>
      </c>
      <c r="B1068" t="inlineStr">
        <is>
          <t>Noni</t>
        </is>
      </c>
      <c r="C1068" t="n">
        <v>0</v>
      </c>
      <c r="D1068" t="n">
        <v>1</v>
      </c>
      <c r="E1068" t="n">
        <v>0</v>
      </c>
      <c r="F1068" t="inlineStr">
        <is>
          <t>General</t>
        </is>
      </c>
      <c r="G1068" t="inlineStr">
        <is>
          <t>General</t>
        </is>
      </c>
      <c r="H1068" t="inlineStr">
        <is>
          <t>General</t>
        </is>
      </c>
      <c r="I1068" t="inlineStr">
        <is>
          <t>General</t>
        </is>
      </c>
      <c r="K1068" t="inlineStr">
        <is>
          <t>unclassified</t>
        </is>
      </c>
      <c r="M1068" t="n">
        <v>50</v>
      </c>
    </row>
    <row r="1069">
      <c r="A1069" t="inlineStr">
        <is>
          <t>Gymnema</t>
        </is>
      </c>
      <c r="B1069" t="inlineStr">
        <is>
          <t>Passionflower</t>
        </is>
      </c>
      <c r="C1069" t="n">
        <v>0</v>
      </c>
      <c r="D1069" t="n">
        <v>1</v>
      </c>
      <c r="E1069" t="n">
        <v>0</v>
      </c>
      <c r="F1069" t="inlineStr">
        <is>
          <t>General</t>
        </is>
      </c>
      <c r="G1069" t="inlineStr">
        <is>
          <t>General</t>
        </is>
      </c>
      <c r="H1069" t="inlineStr">
        <is>
          <t>General</t>
        </is>
      </c>
      <c r="I1069" t="inlineStr">
        <is>
          <t>General</t>
        </is>
      </c>
      <c r="K1069" t="inlineStr">
        <is>
          <t>unclassified</t>
        </is>
      </c>
      <c r="M1069" t="n">
        <v>50</v>
      </c>
    </row>
    <row r="1070">
      <c r="A1070" t="inlineStr">
        <is>
          <t>Gymnema</t>
        </is>
      </c>
      <c r="B1070" t="inlineStr">
        <is>
          <t>Perilla</t>
        </is>
      </c>
      <c r="C1070" t="n">
        <v>0</v>
      </c>
      <c r="D1070" t="n">
        <v>1</v>
      </c>
      <c r="E1070" t="n">
        <v>0</v>
      </c>
      <c r="F1070" t="inlineStr">
        <is>
          <t>General</t>
        </is>
      </c>
      <c r="G1070" t="inlineStr">
        <is>
          <t>General</t>
        </is>
      </c>
      <c r="H1070" t="inlineStr">
        <is>
          <t>General</t>
        </is>
      </c>
      <c r="I1070" t="inlineStr">
        <is>
          <t>General</t>
        </is>
      </c>
      <c r="K1070" t="inlineStr">
        <is>
          <t>unclassified</t>
        </is>
      </c>
      <c r="M1070" t="n">
        <v>50</v>
      </c>
    </row>
    <row r="1071">
      <c r="A1071" t="inlineStr">
        <is>
          <t>Gymnema</t>
        </is>
      </c>
      <c r="B1071" t="inlineStr">
        <is>
          <t>Pomegranate</t>
        </is>
      </c>
      <c r="C1071" t="n">
        <v>0</v>
      </c>
      <c r="D1071" t="n">
        <v>1</v>
      </c>
      <c r="E1071" t="n">
        <v>0</v>
      </c>
      <c r="F1071" t="inlineStr">
        <is>
          <t>General</t>
        </is>
      </c>
      <c r="G1071" t="inlineStr">
        <is>
          <t>General</t>
        </is>
      </c>
      <c r="H1071" t="inlineStr">
        <is>
          <t>General</t>
        </is>
      </c>
      <c r="I1071" t="inlineStr">
        <is>
          <t>General</t>
        </is>
      </c>
      <c r="K1071" t="inlineStr">
        <is>
          <t>unclassified</t>
        </is>
      </c>
      <c r="M1071" t="n">
        <v>50</v>
      </c>
    </row>
    <row r="1072">
      <c r="A1072" t="inlineStr">
        <is>
          <t>Gymnema</t>
        </is>
      </c>
      <c r="B1072" t="inlineStr">
        <is>
          <t>Poria</t>
        </is>
      </c>
      <c r="C1072" t="n">
        <v>0</v>
      </c>
      <c r="D1072" t="n">
        <v>1</v>
      </c>
      <c r="E1072" t="n">
        <v>0</v>
      </c>
      <c r="F1072" t="inlineStr">
        <is>
          <t>General</t>
        </is>
      </c>
      <c r="G1072" t="inlineStr">
        <is>
          <t>General</t>
        </is>
      </c>
      <c r="H1072" t="inlineStr">
        <is>
          <t>General</t>
        </is>
      </c>
      <c r="I1072" t="inlineStr">
        <is>
          <t>General</t>
        </is>
      </c>
      <c r="K1072" t="inlineStr">
        <is>
          <t>unclassified</t>
        </is>
      </c>
      <c r="M1072" t="n">
        <v>50</v>
      </c>
    </row>
    <row r="1073">
      <c r="A1073" t="inlineStr">
        <is>
          <t>Gymnema</t>
        </is>
      </c>
      <c r="B1073" t="inlineStr">
        <is>
          <t>Punarnava</t>
        </is>
      </c>
      <c r="C1073" t="n">
        <v>0</v>
      </c>
      <c r="D1073" t="n">
        <v>1</v>
      </c>
      <c r="E1073" t="n">
        <v>0</v>
      </c>
      <c r="F1073" t="inlineStr">
        <is>
          <t>General</t>
        </is>
      </c>
      <c r="G1073" t="inlineStr">
        <is>
          <t>General</t>
        </is>
      </c>
      <c r="H1073" t="inlineStr">
        <is>
          <t>General</t>
        </is>
      </c>
      <c r="I1073" t="inlineStr">
        <is>
          <t>General</t>
        </is>
      </c>
      <c r="K1073" t="inlineStr">
        <is>
          <t>unclassified</t>
        </is>
      </c>
      <c r="M1073" t="n">
        <v>50</v>
      </c>
    </row>
    <row r="1074">
      <c r="A1074" t="inlineStr">
        <is>
          <t>Gymnema</t>
        </is>
      </c>
      <c r="B1074" t="inlineStr">
        <is>
          <t>Rehmannia Prepared</t>
        </is>
      </c>
      <c r="C1074" t="n">
        <v>0</v>
      </c>
      <c r="D1074" t="n">
        <v>1</v>
      </c>
      <c r="E1074" t="n">
        <v>0</v>
      </c>
      <c r="F1074" t="inlineStr">
        <is>
          <t>General</t>
        </is>
      </c>
      <c r="G1074" t="inlineStr">
        <is>
          <t>General</t>
        </is>
      </c>
      <c r="H1074" t="inlineStr">
        <is>
          <t>General</t>
        </is>
      </c>
      <c r="I1074" t="inlineStr">
        <is>
          <t>General</t>
        </is>
      </c>
      <c r="K1074" t="inlineStr">
        <is>
          <t>unclassified</t>
        </is>
      </c>
      <c r="M1074" t="n">
        <v>50</v>
      </c>
    </row>
    <row r="1075">
      <c r="A1075" t="inlineStr">
        <is>
          <t>Gymnema</t>
        </is>
      </c>
      <c r="B1075" t="inlineStr">
        <is>
          <t>Reishi</t>
        </is>
      </c>
      <c r="C1075" t="n">
        <v>0</v>
      </c>
      <c r="D1075" t="n">
        <v>1</v>
      </c>
      <c r="E1075" t="n">
        <v>0</v>
      </c>
      <c r="F1075" t="inlineStr">
        <is>
          <t>General</t>
        </is>
      </c>
      <c r="G1075" t="inlineStr">
        <is>
          <t>General</t>
        </is>
      </c>
      <c r="H1075" t="inlineStr">
        <is>
          <t>General</t>
        </is>
      </c>
      <c r="I1075" t="inlineStr">
        <is>
          <t>General</t>
        </is>
      </c>
      <c r="K1075" t="inlineStr">
        <is>
          <t>unclassified</t>
        </is>
      </c>
      <c r="M1075" t="n">
        <v>50</v>
      </c>
    </row>
    <row r="1076">
      <c r="A1076" t="inlineStr">
        <is>
          <t>Gymnema</t>
        </is>
      </c>
      <c r="B1076" t="inlineStr">
        <is>
          <t>Rose Hips</t>
        </is>
      </c>
      <c r="C1076" t="n">
        <v>0</v>
      </c>
      <c r="D1076" t="n">
        <v>1</v>
      </c>
      <c r="E1076" t="n">
        <v>0</v>
      </c>
      <c r="F1076" t="inlineStr">
        <is>
          <t>General</t>
        </is>
      </c>
      <c r="G1076" t="inlineStr">
        <is>
          <t>General</t>
        </is>
      </c>
      <c r="H1076" t="inlineStr">
        <is>
          <t>General</t>
        </is>
      </c>
      <c r="I1076" t="inlineStr">
        <is>
          <t>General</t>
        </is>
      </c>
      <c r="K1076" t="inlineStr">
        <is>
          <t>unclassified</t>
        </is>
      </c>
      <c r="M1076" t="n">
        <v>50</v>
      </c>
    </row>
    <row r="1077">
      <c r="A1077" t="inlineStr">
        <is>
          <t>Gymnema</t>
        </is>
      </c>
      <c r="B1077" t="inlineStr">
        <is>
          <t>Sophora Flavescens</t>
        </is>
      </c>
      <c r="C1077" t="n">
        <v>0</v>
      </c>
      <c r="D1077" t="n">
        <v>1</v>
      </c>
      <c r="E1077" t="n">
        <v>0</v>
      </c>
      <c r="F1077" t="inlineStr">
        <is>
          <t>General</t>
        </is>
      </c>
      <c r="G1077" t="inlineStr">
        <is>
          <t>General</t>
        </is>
      </c>
      <c r="H1077" t="inlineStr">
        <is>
          <t>General</t>
        </is>
      </c>
      <c r="I1077" t="inlineStr">
        <is>
          <t>General</t>
        </is>
      </c>
      <c r="K1077" t="inlineStr">
        <is>
          <t>unclassified</t>
        </is>
      </c>
      <c r="M1077" t="n">
        <v>50</v>
      </c>
    </row>
    <row r="1078">
      <c r="A1078" t="inlineStr">
        <is>
          <t>Gymnema</t>
        </is>
      </c>
      <c r="B1078" t="inlineStr">
        <is>
          <t>Soursop</t>
        </is>
      </c>
      <c r="C1078" t="n">
        <v>0</v>
      </c>
      <c r="D1078" t="n">
        <v>1</v>
      </c>
      <c r="E1078" t="n">
        <v>0</v>
      </c>
      <c r="F1078" t="inlineStr">
        <is>
          <t>General</t>
        </is>
      </c>
      <c r="G1078" t="inlineStr">
        <is>
          <t>General</t>
        </is>
      </c>
      <c r="H1078" t="inlineStr">
        <is>
          <t>General</t>
        </is>
      </c>
      <c r="I1078" t="inlineStr">
        <is>
          <t>General</t>
        </is>
      </c>
      <c r="K1078" t="inlineStr">
        <is>
          <t>unclassified</t>
        </is>
      </c>
      <c r="M1078" t="n">
        <v>50</v>
      </c>
    </row>
    <row r="1079">
      <c r="A1079" t="inlineStr">
        <is>
          <t>Gymnema</t>
        </is>
      </c>
      <c r="B1079" t="inlineStr">
        <is>
          <t>Tamarind</t>
        </is>
      </c>
      <c r="C1079" t="n">
        <v>0</v>
      </c>
      <c r="D1079" t="n">
        <v>1</v>
      </c>
      <c r="E1079" t="n">
        <v>0</v>
      </c>
      <c r="F1079" t="inlineStr">
        <is>
          <t>General</t>
        </is>
      </c>
      <c r="G1079" t="inlineStr">
        <is>
          <t>General</t>
        </is>
      </c>
      <c r="H1079" t="inlineStr">
        <is>
          <t>General</t>
        </is>
      </c>
      <c r="I1079" t="inlineStr">
        <is>
          <t>General</t>
        </is>
      </c>
      <c r="K1079" t="inlineStr">
        <is>
          <t>unclassified</t>
        </is>
      </c>
      <c r="M1079" t="n">
        <v>50</v>
      </c>
    </row>
    <row r="1080">
      <c r="A1080" t="inlineStr">
        <is>
          <t>Gymnema</t>
        </is>
      </c>
      <c r="B1080" t="inlineStr">
        <is>
          <t>White Peony</t>
        </is>
      </c>
      <c r="C1080" t="n">
        <v>0</v>
      </c>
      <c r="D1080" t="n">
        <v>1</v>
      </c>
      <c r="E1080" t="n">
        <v>0</v>
      </c>
      <c r="F1080" t="inlineStr">
        <is>
          <t>General</t>
        </is>
      </c>
      <c r="G1080" t="inlineStr">
        <is>
          <t>General</t>
        </is>
      </c>
      <c r="H1080" t="inlineStr">
        <is>
          <t>General</t>
        </is>
      </c>
      <c r="I1080" t="inlineStr">
        <is>
          <t>General</t>
        </is>
      </c>
      <c r="K1080" t="inlineStr">
        <is>
          <t>unclassified</t>
        </is>
      </c>
      <c r="M1080" t="n">
        <v>50</v>
      </c>
    </row>
    <row r="1081">
      <c r="A1081" t="inlineStr">
        <is>
          <t>Gymnema</t>
        </is>
      </c>
      <c r="B1081" t="inlineStr">
        <is>
          <t>Yohimbe</t>
        </is>
      </c>
      <c r="C1081" t="n">
        <v>0</v>
      </c>
      <c r="D1081" t="n">
        <v>1</v>
      </c>
      <c r="E1081" t="n">
        <v>0</v>
      </c>
      <c r="F1081" t="inlineStr">
        <is>
          <t>General</t>
        </is>
      </c>
      <c r="G1081" t="inlineStr">
        <is>
          <t>General</t>
        </is>
      </c>
      <c r="H1081" t="inlineStr">
        <is>
          <t>General</t>
        </is>
      </c>
      <c r="I1081" t="inlineStr">
        <is>
          <t>General</t>
        </is>
      </c>
      <c r="K1081" t="inlineStr">
        <is>
          <t>unclassified</t>
        </is>
      </c>
      <c r="M1081" t="n">
        <v>50</v>
      </c>
    </row>
    <row r="1082">
      <c r="A1082" t="inlineStr">
        <is>
          <t>Holy Basil</t>
        </is>
      </c>
      <c r="B1082" t="inlineStr">
        <is>
          <t>Maca</t>
        </is>
      </c>
      <c r="C1082" t="n">
        <v>0</v>
      </c>
      <c r="D1082" t="n">
        <v>1</v>
      </c>
      <c r="E1082" t="n">
        <v>0</v>
      </c>
      <c r="F1082" t="inlineStr">
        <is>
          <t>Adaptogenic</t>
        </is>
      </c>
      <c r="G1082" t="inlineStr">
        <is>
          <t>Adaptogenic</t>
        </is>
      </c>
      <c r="H1082" t="inlineStr">
        <is>
          <t>Stress</t>
        </is>
      </c>
      <c r="I1082" t="inlineStr">
        <is>
          <t>Stress</t>
        </is>
      </c>
      <c r="K1082" t="inlineStr">
        <is>
          <t>unclassified</t>
        </is>
      </c>
      <c r="M1082" t="n">
        <v>50</v>
      </c>
    </row>
    <row r="1083">
      <c r="A1083" t="inlineStr">
        <is>
          <t>Holy Basil</t>
        </is>
      </c>
      <c r="B1083" t="inlineStr">
        <is>
          <t>Maral Root</t>
        </is>
      </c>
      <c r="C1083" t="n">
        <v>0</v>
      </c>
      <c r="D1083" t="n">
        <v>1</v>
      </c>
      <c r="E1083" t="n">
        <v>0</v>
      </c>
      <c r="F1083" t="inlineStr">
        <is>
          <t>Adaptogenic</t>
        </is>
      </c>
      <c r="G1083" t="inlineStr">
        <is>
          <t>Adaptogenic</t>
        </is>
      </c>
      <c r="H1083" t="inlineStr">
        <is>
          <t>Stress</t>
        </is>
      </c>
      <c r="I1083" t="inlineStr">
        <is>
          <t>Stress</t>
        </is>
      </c>
      <c r="K1083" t="inlineStr">
        <is>
          <t>unclassified</t>
        </is>
      </c>
      <c r="M1083" t="n">
        <v>50</v>
      </c>
    </row>
    <row r="1084">
      <c r="A1084" t="inlineStr">
        <is>
          <t>Holy Basil</t>
        </is>
      </c>
      <c r="B1084" t="inlineStr">
        <is>
          <t>Rhodiola</t>
        </is>
      </c>
      <c r="C1084" t="n">
        <v>0</v>
      </c>
      <c r="D1084" t="n">
        <v>1</v>
      </c>
      <c r="E1084" t="n">
        <v>0</v>
      </c>
      <c r="F1084" t="inlineStr">
        <is>
          <t>Adaptogenic</t>
        </is>
      </c>
      <c r="G1084" t="inlineStr">
        <is>
          <t>Adaptogenic</t>
        </is>
      </c>
      <c r="H1084" t="inlineStr">
        <is>
          <t>Stress</t>
        </is>
      </c>
      <c r="I1084" t="inlineStr">
        <is>
          <t>Stress</t>
        </is>
      </c>
      <c r="K1084" t="inlineStr">
        <is>
          <t>unclassified</t>
        </is>
      </c>
      <c r="M1084" t="n">
        <v>50</v>
      </c>
    </row>
    <row r="1085">
      <c r="A1085" t="inlineStr">
        <is>
          <t>Holy Basil</t>
        </is>
      </c>
      <c r="B1085" t="inlineStr">
        <is>
          <t>Rhodiola Rosea</t>
        </is>
      </c>
      <c r="C1085" t="n">
        <v>0</v>
      </c>
      <c r="D1085" t="n">
        <v>1</v>
      </c>
      <c r="E1085" t="n">
        <v>0</v>
      </c>
      <c r="F1085" t="inlineStr">
        <is>
          <t>Adaptogenic</t>
        </is>
      </c>
      <c r="G1085" t="inlineStr">
        <is>
          <t>Adaptogenic</t>
        </is>
      </c>
      <c r="H1085" t="inlineStr">
        <is>
          <t>Stress</t>
        </is>
      </c>
      <c r="I1085" t="inlineStr">
        <is>
          <t>Stress</t>
        </is>
      </c>
      <c r="K1085" t="inlineStr">
        <is>
          <t>unclassified</t>
        </is>
      </c>
      <c r="M1085" t="n">
        <v>50</v>
      </c>
    </row>
    <row r="1086">
      <c r="A1086" t="inlineStr">
        <is>
          <t>Holy Basil</t>
        </is>
      </c>
      <c r="B1086" t="inlineStr">
        <is>
          <t>Suma</t>
        </is>
      </c>
      <c r="C1086" t="n">
        <v>0</v>
      </c>
      <c r="D1086" t="n">
        <v>1</v>
      </c>
      <c r="E1086" t="n">
        <v>0</v>
      </c>
      <c r="F1086" t="inlineStr">
        <is>
          <t>Adaptogenic</t>
        </is>
      </c>
      <c r="G1086" t="inlineStr">
        <is>
          <t>Adaptogenic</t>
        </is>
      </c>
      <c r="H1086" t="inlineStr">
        <is>
          <t>Stress</t>
        </is>
      </c>
      <c r="I1086" t="inlineStr">
        <is>
          <t>Stress</t>
        </is>
      </c>
      <c r="K1086" t="inlineStr">
        <is>
          <t>unclassified</t>
        </is>
      </c>
      <c r="M1086" t="n">
        <v>50</v>
      </c>
    </row>
    <row r="1087">
      <c r="A1087" t="inlineStr">
        <is>
          <t>Holy Basil Purple</t>
        </is>
      </c>
      <c r="B1087" t="inlineStr">
        <is>
          <t>Rhodiola</t>
        </is>
      </c>
      <c r="C1087" t="n">
        <v>0</v>
      </c>
      <c r="D1087" t="n">
        <v>1</v>
      </c>
      <c r="E1087" t="n">
        <v>0</v>
      </c>
      <c r="F1087" t="inlineStr">
        <is>
          <t>Adaptogenic</t>
        </is>
      </c>
      <c r="G1087" t="inlineStr">
        <is>
          <t>Adaptogenic</t>
        </is>
      </c>
      <c r="H1087" t="inlineStr">
        <is>
          <t>Stress</t>
        </is>
      </c>
      <c r="I1087" t="inlineStr">
        <is>
          <t>Stress</t>
        </is>
      </c>
      <c r="K1087" t="inlineStr">
        <is>
          <t>unclassified</t>
        </is>
      </c>
      <c r="M1087" t="n">
        <v>50</v>
      </c>
    </row>
    <row r="1088">
      <c r="A1088" t="inlineStr">
        <is>
          <t>Hops</t>
        </is>
      </c>
      <c r="B1088" t="inlineStr">
        <is>
          <t>Agarikon</t>
        </is>
      </c>
      <c r="C1088" t="n">
        <v>0</v>
      </c>
      <c r="D1088" t="n">
        <v>1</v>
      </c>
      <c r="E1088" t="n">
        <v>0</v>
      </c>
      <c r="F1088" t="inlineStr">
        <is>
          <t>General</t>
        </is>
      </c>
      <c r="G1088" t="inlineStr">
        <is>
          <t>General</t>
        </is>
      </c>
      <c r="H1088" t="inlineStr">
        <is>
          <t>General</t>
        </is>
      </c>
      <c r="I1088" t="inlineStr">
        <is>
          <t>General</t>
        </is>
      </c>
      <c r="K1088" t="inlineStr">
        <is>
          <t>unclassified</t>
        </is>
      </c>
      <c r="M1088" t="n">
        <v>50</v>
      </c>
    </row>
    <row r="1089">
      <c r="A1089" t="inlineStr">
        <is>
          <t>Hops</t>
        </is>
      </c>
      <c r="B1089" t="inlineStr">
        <is>
          <t>Ajwain</t>
        </is>
      </c>
      <c r="C1089" t="n">
        <v>0</v>
      </c>
      <c r="D1089" t="n">
        <v>1</v>
      </c>
      <c r="E1089" t="n">
        <v>0</v>
      </c>
      <c r="F1089" t="inlineStr">
        <is>
          <t>General</t>
        </is>
      </c>
      <c r="G1089" t="inlineStr">
        <is>
          <t>General</t>
        </is>
      </c>
      <c r="H1089" t="inlineStr">
        <is>
          <t>General</t>
        </is>
      </c>
      <c r="I1089" t="inlineStr">
        <is>
          <t>General</t>
        </is>
      </c>
      <c r="K1089" t="inlineStr">
        <is>
          <t>unclassified</t>
        </is>
      </c>
      <c r="M1089" t="n">
        <v>50</v>
      </c>
    </row>
    <row r="1090">
      <c r="A1090" t="inlineStr">
        <is>
          <t>Hops</t>
        </is>
      </c>
      <c r="B1090" t="inlineStr">
        <is>
          <t>Angelica Root</t>
        </is>
      </c>
      <c r="C1090" t="n">
        <v>0</v>
      </c>
      <c r="D1090" t="n">
        <v>1</v>
      </c>
      <c r="E1090" t="n">
        <v>0</v>
      </c>
      <c r="F1090" t="inlineStr">
        <is>
          <t>General</t>
        </is>
      </c>
      <c r="G1090" t="inlineStr">
        <is>
          <t>General</t>
        </is>
      </c>
      <c r="H1090" t="inlineStr">
        <is>
          <t>General</t>
        </is>
      </c>
      <c r="I1090" t="inlineStr">
        <is>
          <t>General</t>
        </is>
      </c>
      <c r="K1090" t="inlineStr">
        <is>
          <t>unclassified</t>
        </is>
      </c>
      <c r="M1090" t="n">
        <v>50</v>
      </c>
    </row>
    <row r="1091">
      <c r="A1091" t="inlineStr">
        <is>
          <t>Hops</t>
        </is>
      </c>
      <c r="B1091" t="inlineStr">
        <is>
          <t>Caraway</t>
        </is>
      </c>
      <c r="C1091" t="n">
        <v>0</v>
      </c>
      <c r="D1091" t="n">
        <v>1</v>
      </c>
      <c r="E1091" t="n">
        <v>0</v>
      </c>
      <c r="F1091" t="inlineStr">
        <is>
          <t>General</t>
        </is>
      </c>
      <c r="G1091" t="inlineStr">
        <is>
          <t>General</t>
        </is>
      </c>
      <c r="H1091" t="inlineStr">
        <is>
          <t>General</t>
        </is>
      </c>
      <c r="I1091" t="inlineStr">
        <is>
          <t>General</t>
        </is>
      </c>
      <c r="K1091" t="inlineStr">
        <is>
          <t>unclassified</t>
        </is>
      </c>
      <c r="M1091" t="n">
        <v>50</v>
      </c>
    </row>
    <row r="1092">
      <c r="A1092" t="inlineStr">
        <is>
          <t>Hops</t>
        </is>
      </c>
      <c r="B1092" t="inlineStr">
        <is>
          <t>Cardamom</t>
        </is>
      </c>
      <c r="C1092" t="n">
        <v>0</v>
      </c>
      <c r="D1092" t="n">
        <v>1</v>
      </c>
      <c r="E1092" t="n">
        <v>0</v>
      </c>
      <c r="F1092" t="inlineStr">
        <is>
          <t>General</t>
        </is>
      </c>
      <c r="G1092" t="inlineStr">
        <is>
          <t>General</t>
        </is>
      </c>
      <c r="H1092" t="inlineStr">
        <is>
          <t>General</t>
        </is>
      </c>
      <c r="I1092" t="inlineStr">
        <is>
          <t>General</t>
        </is>
      </c>
      <c r="K1092" t="inlineStr">
        <is>
          <t>unclassified</t>
        </is>
      </c>
      <c r="M1092" t="n">
        <v>50</v>
      </c>
    </row>
    <row r="1093">
      <c r="A1093" t="inlineStr">
        <is>
          <t>Hops</t>
        </is>
      </c>
      <c r="B1093" t="inlineStr">
        <is>
          <t>Celastrus Paniculatus</t>
        </is>
      </c>
      <c r="C1093" t="n">
        <v>0</v>
      </c>
      <c r="D1093" t="n">
        <v>1</v>
      </c>
      <c r="E1093" t="n">
        <v>0</v>
      </c>
      <c r="F1093" t="inlineStr">
        <is>
          <t>General</t>
        </is>
      </c>
      <c r="G1093" t="inlineStr">
        <is>
          <t>General</t>
        </is>
      </c>
      <c r="H1093" t="inlineStr">
        <is>
          <t>General</t>
        </is>
      </c>
      <c r="I1093" t="inlineStr">
        <is>
          <t>General</t>
        </is>
      </c>
      <c r="K1093" t="inlineStr">
        <is>
          <t>unclassified</t>
        </is>
      </c>
      <c r="M1093" t="n">
        <v>50</v>
      </c>
    </row>
    <row r="1094">
      <c r="A1094" t="inlineStr">
        <is>
          <t>Hops</t>
        </is>
      </c>
      <c r="B1094" t="inlineStr">
        <is>
          <t>Cistanche</t>
        </is>
      </c>
      <c r="C1094" t="n">
        <v>0</v>
      </c>
      <c r="D1094" t="n">
        <v>1</v>
      </c>
      <c r="E1094" t="n">
        <v>0</v>
      </c>
      <c r="F1094" t="inlineStr">
        <is>
          <t>General</t>
        </is>
      </c>
      <c r="G1094" t="inlineStr">
        <is>
          <t>General</t>
        </is>
      </c>
      <c r="H1094" t="inlineStr">
        <is>
          <t>General</t>
        </is>
      </c>
      <c r="I1094" t="inlineStr">
        <is>
          <t>General</t>
        </is>
      </c>
      <c r="K1094" t="inlineStr">
        <is>
          <t>unclassified</t>
        </is>
      </c>
      <c r="M1094" t="n">
        <v>50</v>
      </c>
    </row>
    <row r="1095">
      <c r="A1095" t="inlineStr">
        <is>
          <t>Hops</t>
        </is>
      </c>
      <c r="B1095" t="inlineStr">
        <is>
          <t>Cordyceps</t>
        </is>
      </c>
      <c r="C1095" t="n">
        <v>0</v>
      </c>
      <c r="D1095" t="n">
        <v>1</v>
      </c>
      <c r="E1095" t="n">
        <v>0</v>
      </c>
      <c r="F1095" t="inlineStr">
        <is>
          <t>General</t>
        </is>
      </c>
      <c r="G1095" t="inlineStr">
        <is>
          <t>General</t>
        </is>
      </c>
      <c r="H1095" t="inlineStr">
        <is>
          <t>General</t>
        </is>
      </c>
      <c r="I1095" t="inlineStr">
        <is>
          <t>General</t>
        </is>
      </c>
      <c r="K1095" t="inlineStr">
        <is>
          <t>unclassified</t>
        </is>
      </c>
      <c r="M1095" t="n">
        <v>50</v>
      </c>
    </row>
    <row r="1096">
      <c r="A1096" t="inlineStr">
        <is>
          <t>Hops</t>
        </is>
      </c>
      <c r="B1096" t="inlineStr">
        <is>
          <t>Dendrobium</t>
        </is>
      </c>
      <c r="C1096" t="n">
        <v>0</v>
      </c>
      <c r="D1096" t="n">
        <v>1</v>
      </c>
      <c r="E1096" t="n">
        <v>0</v>
      </c>
      <c r="F1096" t="inlineStr">
        <is>
          <t>General</t>
        </is>
      </c>
      <c r="G1096" t="inlineStr">
        <is>
          <t>General</t>
        </is>
      </c>
      <c r="H1096" t="inlineStr">
        <is>
          <t>General</t>
        </is>
      </c>
      <c r="I1096" t="inlineStr">
        <is>
          <t>General</t>
        </is>
      </c>
      <c r="K1096" t="inlineStr">
        <is>
          <t>unclassified</t>
        </is>
      </c>
      <c r="M1096" t="n">
        <v>50</v>
      </c>
    </row>
    <row r="1097">
      <c r="A1097" t="inlineStr">
        <is>
          <t>Hops</t>
        </is>
      </c>
      <c r="B1097" t="inlineStr">
        <is>
          <t>Elecampane</t>
        </is>
      </c>
      <c r="C1097" t="n">
        <v>0</v>
      </c>
      <c r="D1097" t="n">
        <v>1</v>
      </c>
      <c r="E1097" t="n">
        <v>0</v>
      </c>
      <c r="F1097" t="inlineStr">
        <is>
          <t>General</t>
        </is>
      </c>
      <c r="G1097" t="inlineStr">
        <is>
          <t>General</t>
        </is>
      </c>
      <c r="H1097" t="inlineStr">
        <is>
          <t>General</t>
        </is>
      </c>
      <c r="I1097" t="inlineStr">
        <is>
          <t>General</t>
        </is>
      </c>
      <c r="K1097" t="inlineStr">
        <is>
          <t>unclassified</t>
        </is>
      </c>
      <c r="M1097" t="n">
        <v>50</v>
      </c>
    </row>
    <row r="1098">
      <c r="A1098" t="inlineStr">
        <is>
          <t>Hops</t>
        </is>
      </c>
      <c r="B1098" t="inlineStr">
        <is>
          <t>Eleuthero</t>
        </is>
      </c>
      <c r="C1098" t="n">
        <v>0</v>
      </c>
      <c r="D1098" t="n">
        <v>1</v>
      </c>
      <c r="E1098" t="n">
        <v>0</v>
      </c>
      <c r="F1098" t="inlineStr">
        <is>
          <t>General</t>
        </is>
      </c>
      <c r="G1098" t="inlineStr">
        <is>
          <t>General</t>
        </is>
      </c>
      <c r="H1098" t="inlineStr">
        <is>
          <t>General</t>
        </is>
      </c>
      <c r="I1098" t="inlineStr">
        <is>
          <t>General</t>
        </is>
      </c>
      <c r="K1098" t="inlineStr">
        <is>
          <t>unclassified</t>
        </is>
      </c>
      <c r="M1098" t="n">
        <v>50</v>
      </c>
    </row>
    <row r="1099">
      <c r="A1099" t="inlineStr">
        <is>
          <t>Hops</t>
        </is>
      </c>
      <c r="B1099" t="inlineStr">
        <is>
          <t>Galangal</t>
        </is>
      </c>
      <c r="C1099" t="n">
        <v>0</v>
      </c>
      <c r="D1099" t="n">
        <v>1</v>
      </c>
      <c r="E1099" t="n">
        <v>0</v>
      </c>
      <c r="F1099" t="inlineStr">
        <is>
          <t>General</t>
        </is>
      </c>
      <c r="G1099" t="inlineStr">
        <is>
          <t>General</t>
        </is>
      </c>
      <c r="H1099" t="inlineStr">
        <is>
          <t>General</t>
        </is>
      </c>
      <c r="I1099" t="inlineStr">
        <is>
          <t>General</t>
        </is>
      </c>
      <c r="K1099" t="inlineStr">
        <is>
          <t>unclassified</t>
        </is>
      </c>
      <c r="M1099" t="n">
        <v>50</v>
      </c>
    </row>
    <row r="1100">
      <c r="A1100" t="inlineStr">
        <is>
          <t>Hops</t>
        </is>
      </c>
      <c r="B1100" t="inlineStr">
        <is>
          <t>Gastrodia</t>
        </is>
      </c>
      <c r="C1100" t="n">
        <v>0</v>
      </c>
      <c r="D1100" t="n">
        <v>1</v>
      </c>
      <c r="E1100" t="n">
        <v>0</v>
      </c>
      <c r="F1100" t="inlineStr">
        <is>
          <t>General</t>
        </is>
      </c>
      <c r="G1100" t="inlineStr">
        <is>
          <t>General</t>
        </is>
      </c>
      <c r="H1100" t="inlineStr">
        <is>
          <t>General</t>
        </is>
      </c>
      <c r="I1100" t="inlineStr">
        <is>
          <t>General</t>
        </is>
      </c>
      <c r="K1100" t="inlineStr">
        <is>
          <t>unclassified</t>
        </is>
      </c>
      <c r="M1100" t="n">
        <v>50</v>
      </c>
    </row>
    <row r="1101">
      <c r="A1101" t="inlineStr">
        <is>
          <t>Hops</t>
        </is>
      </c>
      <c r="B1101" t="inlineStr">
        <is>
          <t>Gudmar</t>
        </is>
      </c>
      <c r="C1101" t="n">
        <v>0</v>
      </c>
      <c r="D1101" t="n">
        <v>1</v>
      </c>
      <c r="E1101" t="n">
        <v>0</v>
      </c>
      <c r="F1101" t="inlineStr">
        <is>
          <t>General</t>
        </is>
      </c>
      <c r="G1101" t="inlineStr">
        <is>
          <t>General</t>
        </is>
      </c>
      <c r="H1101" t="inlineStr">
        <is>
          <t>General</t>
        </is>
      </c>
      <c r="I1101" t="inlineStr">
        <is>
          <t>General</t>
        </is>
      </c>
      <c r="K1101" t="inlineStr">
        <is>
          <t>unclassified</t>
        </is>
      </c>
      <c r="M1101" t="n">
        <v>50</v>
      </c>
    </row>
    <row r="1102">
      <c r="A1102" t="inlineStr">
        <is>
          <t>Hops</t>
        </is>
      </c>
      <c r="B1102" t="inlineStr">
        <is>
          <t>Houttuynia</t>
        </is>
      </c>
      <c r="C1102" t="n">
        <v>0</v>
      </c>
      <c r="D1102" t="n">
        <v>1</v>
      </c>
      <c r="E1102" t="n">
        <v>0</v>
      </c>
      <c r="F1102" t="inlineStr">
        <is>
          <t>General</t>
        </is>
      </c>
      <c r="G1102" t="inlineStr">
        <is>
          <t>General</t>
        </is>
      </c>
      <c r="H1102" t="inlineStr">
        <is>
          <t>General</t>
        </is>
      </c>
      <c r="I1102" t="inlineStr">
        <is>
          <t>General</t>
        </is>
      </c>
      <c r="K1102" t="inlineStr">
        <is>
          <t>unclassified</t>
        </is>
      </c>
      <c r="M1102" t="n">
        <v>50</v>
      </c>
    </row>
    <row r="1103">
      <c r="A1103" t="inlineStr">
        <is>
          <t>Hops</t>
        </is>
      </c>
      <c r="B1103" t="inlineStr">
        <is>
          <t>Isatis</t>
        </is>
      </c>
      <c r="C1103" t="n">
        <v>0</v>
      </c>
      <c r="D1103" t="n">
        <v>1</v>
      </c>
      <c r="E1103" t="n">
        <v>0</v>
      </c>
      <c r="F1103" t="inlineStr">
        <is>
          <t>General</t>
        </is>
      </c>
      <c r="G1103" t="inlineStr">
        <is>
          <t>General</t>
        </is>
      </c>
      <c r="H1103" t="inlineStr">
        <is>
          <t>General</t>
        </is>
      </c>
      <c r="I1103" t="inlineStr">
        <is>
          <t>General</t>
        </is>
      </c>
      <c r="K1103" t="inlineStr">
        <is>
          <t>unclassified</t>
        </is>
      </c>
      <c r="M1103" t="n">
        <v>50</v>
      </c>
    </row>
    <row r="1104">
      <c r="A1104" t="inlineStr">
        <is>
          <t>Hops</t>
        </is>
      </c>
      <c r="B1104" t="inlineStr">
        <is>
          <t>Lemongrass</t>
        </is>
      </c>
      <c r="C1104" t="n">
        <v>0</v>
      </c>
      <c r="D1104" t="n">
        <v>1</v>
      </c>
      <c r="E1104" t="n">
        <v>0</v>
      </c>
      <c r="F1104" t="inlineStr">
        <is>
          <t>General</t>
        </is>
      </c>
      <c r="G1104" t="inlineStr">
        <is>
          <t>General</t>
        </is>
      </c>
      <c r="H1104" t="inlineStr">
        <is>
          <t>General</t>
        </is>
      </c>
      <c r="I1104" t="inlineStr">
        <is>
          <t>General</t>
        </is>
      </c>
      <c r="K1104" t="inlineStr">
        <is>
          <t>unclassified</t>
        </is>
      </c>
      <c r="M1104" t="n">
        <v>50</v>
      </c>
    </row>
    <row r="1105">
      <c r="A1105" t="inlineStr">
        <is>
          <t>Hops</t>
        </is>
      </c>
      <c r="B1105" t="inlineStr">
        <is>
          <t>Longan</t>
        </is>
      </c>
      <c r="C1105" t="n">
        <v>0</v>
      </c>
      <c r="D1105" t="n">
        <v>1</v>
      </c>
      <c r="E1105" t="n">
        <v>0</v>
      </c>
      <c r="F1105" t="inlineStr">
        <is>
          <t>General</t>
        </is>
      </c>
      <c r="G1105" t="inlineStr">
        <is>
          <t>General</t>
        </is>
      </c>
      <c r="H1105" t="inlineStr">
        <is>
          <t>General</t>
        </is>
      </c>
      <c r="I1105" t="inlineStr">
        <is>
          <t>General</t>
        </is>
      </c>
      <c r="K1105" t="inlineStr">
        <is>
          <t>unclassified</t>
        </is>
      </c>
      <c r="M1105" t="n">
        <v>50</v>
      </c>
    </row>
    <row r="1106">
      <c r="A1106" t="inlineStr">
        <is>
          <t>Hops</t>
        </is>
      </c>
      <c r="B1106" t="inlineStr">
        <is>
          <t>Maitake D-Fraction</t>
        </is>
      </c>
      <c r="C1106" t="n">
        <v>0</v>
      </c>
      <c r="D1106" t="n">
        <v>1</v>
      </c>
      <c r="E1106" t="n">
        <v>0</v>
      </c>
      <c r="F1106" t="inlineStr">
        <is>
          <t>General</t>
        </is>
      </c>
      <c r="G1106" t="inlineStr">
        <is>
          <t>General</t>
        </is>
      </c>
      <c r="H1106" t="inlineStr">
        <is>
          <t>General</t>
        </is>
      </c>
      <c r="I1106" t="inlineStr">
        <is>
          <t>General</t>
        </is>
      </c>
      <c r="K1106" t="inlineStr">
        <is>
          <t>unclassified</t>
        </is>
      </c>
      <c r="M1106" t="n">
        <v>50</v>
      </c>
    </row>
    <row r="1107">
      <c r="A1107" t="inlineStr">
        <is>
          <t>Hops</t>
        </is>
      </c>
      <c r="B1107" t="inlineStr">
        <is>
          <t>Muira Puama</t>
        </is>
      </c>
      <c r="C1107" t="n">
        <v>0</v>
      </c>
      <c r="D1107" t="n">
        <v>1</v>
      </c>
      <c r="E1107" t="n">
        <v>0</v>
      </c>
      <c r="F1107" t="inlineStr">
        <is>
          <t>General</t>
        </is>
      </c>
      <c r="G1107" t="inlineStr">
        <is>
          <t>General</t>
        </is>
      </c>
      <c r="H1107" t="inlineStr">
        <is>
          <t>General</t>
        </is>
      </c>
      <c r="I1107" t="inlineStr">
        <is>
          <t>General</t>
        </is>
      </c>
      <c r="K1107" t="inlineStr">
        <is>
          <t>unclassified</t>
        </is>
      </c>
      <c r="M1107" t="n">
        <v>50</v>
      </c>
    </row>
    <row r="1108">
      <c r="A1108" t="inlineStr">
        <is>
          <t>Hops</t>
        </is>
      </c>
      <c r="B1108" t="inlineStr">
        <is>
          <t>Nettle Root</t>
        </is>
      </c>
      <c r="C1108" t="n">
        <v>0</v>
      </c>
      <c r="D1108" t="n">
        <v>1</v>
      </c>
      <c r="E1108" t="n">
        <v>0</v>
      </c>
      <c r="F1108" t="inlineStr">
        <is>
          <t>General</t>
        </is>
      </c>
      <c r="G1108" t="inlineStr">
        <is>
          <t>General</t>
        </is>
      </c>
      <c r="H1108" t="inlineStr">
        <is>
          <t>General</t>
        </is>
      </c>
      <c r="I1108" t="inlineStr">
        <is>
          <t>General</t>
        </is>
      </c>
      <c r="K1108" t="inlineStr">
        <is>
          <t>unclassified</t>
        </is>
      </c>
      <c r="M1108" t="n">
        <v>50</v>
      </c>
    </row>
    <row r="1109">
      <c r="A1109" t="inlineStr">
        <is>
          <t>Hops</t>
        </is>
      </c>
      <c r="B1109" t="inlineStr">
        <is>
          <t>Passionflower</t>
        </is>
      </c>
      <c r="C1109" t="n">
        <v>0</v>
      </c>
      <c r="D1109" t="n">
        <v>1</v>
      </c>
      <c r="E1109" t="n">
        <v>0</v>
      </c>
      <c r="F1109" t="inlineStr">
        <is>
          <t>General</t>
        </is>
      </c>
      <c r="G1109" t="inlineStr">
        <is>
          <t>General</t>
        </is>
      </c>
      <c r="H1109" t="inlineStr">
        <is>
          <t>General</t>
        </is>
      </c>
      <c r="I1109" t="inlineStr">
        <is>
          <t>General</t>
        </is>
      </c>
      <c r="K1109" t="inlineStr">
        <is>
          <t>unclassified</t>
        </is>
      </c>
      <c r="M1109" t="n">
        <v>50</v>
      </c>
    </row>
    <row r="1110">
      <c r="A1110" t="inlineStr">
        <is>
          <t>Hops</t>
        </is>
      </c>
      <c r="B1110" t="inlineStr">
        <is>
          <t>Perilla</t>
        </is>
      </c>
      <c r="C1110" t="n">
        <v>0</v>
      </c>
      <c r="D1110" t="n">
        <v>1</v>
      </c>
      <c r="E1110" t="n">
        <v>0</v>
      </c>
      <c r="F1110" t="inlineStr">
        <is>
          <t>General</t>
        </is>
      </c>
      <c r="G1110" t="inlineStr">
        <is>
          <t>General</t>
        </is>
      </c>
      <c r="H1110" t="inlineStr">
        <is>
          <t>General</t>
        </is>
      </c>
      <c r="I1110" t="inlineStr">
        <is>
          <t>General</t>
        </is>
      </c>
      <c r="K1110" t="inlineStr">
        <is>
          <t>unclassified</t>
        </is>
      </c>
      <c r="M1110" t="n">
        <v>50</v>
      </c>
    </row>
    <row r="1111">
      <c r="A1111" t="inlineStr">
        <is>
          <t>Hops</t>
        </is>
      </c>
      <c r="B1111" t="inlineStr">
        <is>
          <t>Poria</t>
        </is>
      </c>
      <c r="C1111" t="n">
        <v>0</v>
      </c>
      <c r="D1111" t="n">
        <v>1</v>
      </c>
      <c r="E1111" t="n">
        <v>0</v>
      </c>
      <c r="F1111" t="inlineStr">
        <is>
          <t>General</t>
        </is>
      </c>
      <c r="G1111" t="inlineStr">
        <is>
          <t>General</t>
        </is>
      </c>
      <c r="H1111" t="inlineStr">
        <is>
          <t>General</t>
        </is>
      </c>
      <c r="I1111" t="inlineStr">
        <is>
          <t>General</t>
        </is>
      </c>
      <c r="K1111" t="inlineStr">
        <is>
          <t>unclassified</t>
        </is>
      </c>
      <c r="M1111" t="n">
        <v>50</v>
      </c>
    </row>
    <row r="1112">
      <c r="A1112" t="inlineStr">
        <is>
          <t>Hops</t>
        </is>
      </c>
      <c r="B1112" t="inlineStr">
        <is>
          <t>Punarnava</t>
        </is>
      </c>
      <c r="C1112" t="n">
        <v>0</v>
      </c>
      <c r="D1112" t="n">
        <v>1</v>
      </c>
      <c r="E1112" t="n">
        <v>0</v>
      </c>
      <c r="F1112" t="inlineStr">
        <is>
          <t>General</t>
        </is>
      </c>
      <c r="G1112" t="inlineStr">
        <is>
          <t>General</t>
        </is>
      </c>
      <c r="H1112" t="inlineStr">
        <is>
          <t>General</t>
        </is>
      </c>
      <c r="I1112" t="inlineStr">
        <is>
          <t>General</t>
        </is>
      </c>
      <c r="K1112" t="inlineStr">
        <is>
          <t>unclassified</t>
        </is>
      </c>
      <c r="M1112" t="n">
        <v>50</v>
      </c>
    </row>
    <row r="1113">
      <c r="A1113" t="inlineStr">
        <is>
          <t>Hops</t>
        </is>
      </c>
      <c r="B1113" t="inlineStr">
        <is>
          <t>Rehmannia Prepared</t>
        </is>
      </c>
      <c r="C1113" t="n">
        <v>0</v>
      </c>
      <c r="D1113" t="n">
        <v>1</v>
      </c>
      <c r="E1113" t="n">
        <v>0</v>
      </c>
      <c r="F1113" t="inlineStr">
        <is>
          <t>General</t>
        </is>
      </c>
      <c r="G1113" t="inlineStr">
        <is>
          <t>General</t>
        </is>
      </c>
      <c r="H1113" t="inlineStr">
        <is>
          <t>General</t>
        </is>
      </c>
      <c r="I1113" t="inlineStr">
        <is>
          <t>General</t>
        </is>
      </c>
      <c r="K1113" t="inlineStr">
        <is>
          <t>unclassified</t>
        </is>
      </c>
      <c r="M1113" t="n">
        <v>50</v>
      </c>
    </row>
    <row r="1114">
      <c r="A1114" t="inlineStr">
        <is>
          <t>Hops</t>
        </is>
      </c>
      <c r="B1114" t="inlineStr">
        <is>
          <t>Reishi</t>
        </is>
      </c>
      <c r="C1114" t="n">
        <v>0</v>
      </c>
      <c r="D1114" t="n">
        <v>1</v>
      </c>
      <c r="E1114" t="n">
        <v>0</v>
      </c>
      <c r="F1114" t="inlineStr">
        <is>
          <t>General</t>
        </is>
      </c>
      <c r="G1114" t="inlineStr">
        <is>
          <t>General</t>
        </is>
      </c>
      <c r="H1114" t="inlineStr">
        <is>
          <t>General</t>
        </is>
      </c>
      <c r="I1114" t="inlineStr">
        <is>
          <t>General</t>
        </is>
      </c>
      <c r="K1114" t="inlineStr">
        <is>
          <t>unclassified</t>
        </is>
      </c>
      <c r="M1114" t="n">
        <v>50</v>
      </c>
    </row>
    <row r="1115">
      <c r="A1115" t="inlineStr">
        <is>
          <t>Hops</t>
        </is>
      </c>
      <c r="B1115" t="inlineStr">
        <is>
          <t>Sophora Flavescens</t>
        </is>
      </c>
      <c r="C1115" t="n">
        <v>0</v>
      </c>
      <c r="D1115" t="n">
        <v>1</v>
      </c>
      <c r="E1115" t="n">
        <v>0</v>
      </c>
      <c r="F1115" t="inlineStr">
        <is>
          <t>General</t>
        </is>
      </c>
      <c r="G1115" t="inlineStr">
        <is>
          <t>General</t>
        </is>
      </c>
      <c r="H1115" t="inlineStr">
        <is>
          <t>General</t>
        </is>
      </c>
      <c r="I1115" t="inlineStr">
        <is>
          <t>General</t>
        </is>
      </c>
      <c r="K1115" t="inlineStr">
        <is>
          <t>unclassified</t>
        </is>
      </c>
      <c r="M1115" t="n">
        <v>50</v>
      </c>
    </row>
    <row r="1116">
      <c r="A1116" t="inlineStr">
        <is>
          <t>Hops</t>
        </is>
      </c>
      <c r="B1116" t="inlineStr">
        <is>
          <t>Tamarind</t>
        </is>
      </c>
      <c r="C1116" t="n">
        <v>0</v>
      </c>
      <c r="D1116" t="n">
        <v>1</v>
      </c>
      <c r="E1116" t="n">
        <v>0</v>
      </c>
      <c r="F1116" t="inlineStr">
        <is>
          <t>General</t>
        </is>
      </c>
      <c r="G1116" t="inlineStr">
        <is>
          <t>General</t>
        </is>
      </c>
      <c r="H1116" t="inlineStr">
        <is>
          <t>General</t>
        </is>
      </c>
      <c r="I1116" t="inlineStr">
        <is>
          <t>General</t>
        </is>
      </c>
      <c r="K1116" t="inlineStr">
        <is>
          <t>unclassified</t>
        </is>
      </c>
      <c r="M1116" t="n">
        <v>50</v>
      </c>
    </row>
    <row r="1117">
      <c r="A1117" t="inlineStr">
        <is>
          <t>Hops</t>
        </is>
      </c>
      <c r="B1117" t="inlineStr">
        <is>
          <t>White Peony</t>
        </is>
      </c>
      <c r="C1117" t="n">
        <v>0</v>
      </c>
      <c r="D1117" t="n">
        <v>1</v>
      </c>
      <c r="E1117" t="n">
        <v>0</v>
      </c>
      <c r="F1117" t="inlineStr">
        <is>
          <t>General</t>
        </is>
      </c>
      <c r="G1117" t="inlineStr">
        <is>
          <t>General</t>
        </is>
      </c>
      <c r="H1117" t="inlineStr">
        <is>
          <t>General</t>
        </is>
      </c>
      <c r="I1117" t="inlineStr">
        <is>
          <t>General</t>
        </is>
      </c>
      <c r="K1117" t="inlineStr">
        <is>
          <t>unclassified</t>
        </is>
      </c>
      <c r="M1117" t="n">
        <v>50</v>
      </c>
    </row>
    <row r="1118">
      <c r="A1118" t="inlineStr">
        <is>
          <t>Hops</t>
        </is>
      </c>
      <c r="B1118" t="inlineStr">
        <is>
          <t>Yohimbe</t>
        </is>
      </c>
      <c r="C1118" t="n">
        <v>0</v>
      </c>
      <c r="D1118" t="n">
        <v>1</v>
      </c>
      <c r="E1118" t="n">
        <v>0</v>
      </c>
      <c r="F1118" t="inlineStr">
        <is>
          <t>General</t>
        </is>
      </c>
      <c r="G1118" t="inlineStr">
        <is>
          <t>General</t>
        </is>
      </c>
      <c r="H1118" t="inlineStr">
        <is>
          <t>General</t>
        </is>
      </c>
      <c r="I1118" t="inlineStr">
        <is>
          <t>General</t>
        </is>
      </c>
      <c r="K1118" t="inlineStr">
        <is>
          <t>unclassified</t>
        </is>
      </c>
      <c r="M1118" t="n">
        <v>50</v>
      </c>
    </row>
    <row r="1119">
      <c r="A1119" t="inlineStr">
        <is>
          <t>Houttuynia</t>
        </is>
      </c>
      <c r="B1119" t="inlineStr">
        <is>
          <t>Agarikon</t>
        </is>
      </c>
      <c r="C1119" t="n">
        <v>0</v>
      </c>
      <c r="D1119" t="n">
        <v>1</v>
      </c>
      <c r="E1119" t="n">
        <v>0</v>
      </c>
      <c r="F1119" t="inlineStr">
        <is>
          <t>General</t>
        </is>
      </c>
      <c r="G1119" t="inlineStr">
        <is>
          <t>General</t>
        </is>
      </c>
      <c r="H1119" t="inlineStr">
        <is>
          <t>General</t>
        </is>
      </c>
      <c r="I1119" t="inlineStr">
        <is>
          <t>General</t>
        </is>
      </c>
      <c r="K1119" t="inlineStr">
        <is>
          <t>unclassified</t>
        </is>
      </c>
      <c r="M1119" t="n">
        <v>50</v>
      </c>
    </row>
    <row r="1120">
      <c r="A1120" t="inlineStr">
        <is>
          <t>Houttuynia</t>
        </is>
      </c>
      <c r="B1120" t="inlineStr">
        <is>
          <t>Ajwain</t>
        </is>
      </c>
      <c r="C1120" t="n">
        <v>0</v>
      </c>
      <c r="D1120" t="n">
        <v>1</v>
      </c>
      <c r="E1120" t="n">
        <v>0</v>
      </c>
      <c r="F1120" t="inlineStr">
        <is>
          <t>General</t>
        </is>
      </c>
      <c r="G1120" t="inlineStr">
        <is>
          <t>General</t>
        </is>
      </c>
      <c r="H1120" t="inlineStr">
        <is>
          <t>General</t>
        </is>
      </c>
      <c r="I1120" t="inlineStr">
        <is>
          <t>General</t>
        </is>
      </c>
      <c r="K1120" t="inlineStr">
        <is>
          <t>unclassified</t>
        </is>
      </c>
      <c r="M1120" t="n">
        <v>50</v>
      </c>
    </row>
    <row r="1121">
      <c r="A1121" t="inlineStr">
        <is>
          <t>Houttuynia</t>
        </is>
      </c>
      <c r="B1121" t="inlineStr">
        <is>
          <t>Angelica Root</t>
        </is>
      </c>
      <c r="C1121" t="n">
        <v>0</v>
      </c>
      <c r="D1121" t="n">
        <v>1</v>
      </c>
      <c r="E1121" t="n">
        <v>0</v>
      </c>
      <c r="F1121" t="inlineStr">
        <is>
          <t>General</t>
        </is>
      </c>
      <c r="G1121" t="inlineStr">
        <is>
          <t>General</t>
        </is>
      </c>
      <c r="H1121" t="inlineStr">
        <is>
          <t>General</t>
        </is>
      </c>
      <c r="I1121" t="inlineStr">
        <is>
          <t>General</t>
        </is>
      </c>
      <c r="K1121" t="inlineStr">
        <is>
          <t>unclassified</t>
        </is>
      </c>
      <c r="M1121" t="n">
        <v>50</v>
      </c>
    </row>
    <row r="1122">
      <c r="A1122" t="inlineStr">
        <is>
          <t>Houttuynia</t>
        </is>
      </c>
      <c r="B1122" t="inlineStr">
        <is>
          <t>Caraway</t>
        </is>
      </c>
      <c r="C1122" t="n">
        <v>0</v>
      </c>
      <c r="D1122" t="n">
        <v>1</v>
      </c>
      <c r="E1122" t="n">
        <v>0</v>
      </c>
      <c r="F1122" t="inlineStr">
        <is>
          <t>General</t>
        </is>
      </c>
      <c r="G1122" t="inlineStr">
        <is>
          <t>General</t>
        </is>
      </c>
      <c r="H1122" t="inlineStr">
        <is>
          <t>General</t>
        </is>
      </c>
      <c r="I1122" t="inlineStr">
        <is>
          <t>General</t>
        </is>
      </c>
      <c r="K1122" t="inlineStr">
        <is>
          <t>unclassified</t>
        </is>
      </c>
      <c r="M1122" t="n">
        <v>50</v>
      </c>
    </row>
    <row r="1123">
      <c r="A1123" t="inlineStr">
        <is>
          <t>Houttuynia</t>
        </is>
      </c>
      <c r="B1123" t="inlineStr">
        <is>
          <t>Cardamom</t>
        </is>
      </c>
      <c r="C1123" t="n">
        <v>0</v>
      </c>
      <c r="D1123" t="n">
        <v>1</v>
      </c>
      <c r="E1123" t="n">
        <v>0</v>
      </c>
      <c r="F1123" t="inlineStr">
        <is>
          <t>General</t>
        </is>
      </c>
      <c r="G1123" t="inlineStr">
        <is>
          <t>General</t>
        </is>
      </c>
      <c r="H1123" t="inlineStr">
        <is>
          <t>General</t>
        </is>
      </c>
      <c r="I1123" t="inlineStr">
        <is>
          <t>General</t>
        </is>
      </c>
      <c r="K1123" t="inlineStr">
        <is>
          <t>unclassified</t>
        </is>
      </c>
      <c r="M1123" t="n">
        <v>50</v>
      </c>
    </row>
    <row r="1124">
      <c r="A1124" t="inlineStr">
        <is>
          <t>Houttuynia</t>
        </is>
      </c>
      <c r="B1124" t="inlineStr">
        <is>
          <t>Celastrus Paniculatus</t>
        </is>
      </c>
      <c r="C1124" t="n">
        <v>0</v>
      </c>
      <c r="D1124" t="n">
        <v>1</v>
      </c>
      <c r="E1124" t="n">
        <v>0</v>
      </c>
      <c r="F1124" t="inlineStr">
        <is>
          <t>General</t>
        </is>
      </c>
      <c r="G1124" t="inlineStr">
        <is>
          <t>General</t>
        </is>
      </c>
      <c r="H1124" t="inlineStr">
        <is>
          <t>General</t>
        </is>
      </c>
      <c r="I1124" t="inlineStr">
        <is>
          <t>General</t>
        </is>
      </c>
      <c r="K1124" t="inlineStr">
        <is>
          <t>unclassified</t>
        </is>
      </c>
      <c r="M1124" t="n">
        <v>50</v>
      </c>
    </row>
    <row r="1125">
      <c r="A1125" t="inlineStr">
        <is>
          <t>Houttuynia</t>
        </is>
      </c>
      <c r="B1125" t="inlineStr">
        <is>
          <t>Cordyceps</t>
        </is>
      </c>
      <c r="C1125" t="n">
        <v>0</v>
      </c>
      <c r="D1125" t="n">
        <v>1</v>
      </c>
      <c r="E1125" t="n">
        <v>0</v>
      </c>
      <c r="F1125" t="inlineStr">
        <is>
          <t>General</t>
        </is>
      </c>
      <c r="G1125" t="inlineStr">
        <is>
          <t>General</t>
        </is>
      </c>
      <c r="H1125" t="inlineStr">
        <is>
          <t>General</t>
        </is>
      </c>
      <c r="I1125" t="inlineStr">
        <is>
          <t>General</t>
        </is>
      </c>
      <c r="K1125" t="inlineStr">
        <is>
          <t>unclassified</t>
        </is>
      </c>
      <c r="M1125" t="n">
        <v>50</v>
      </c>
    </row>
    <row r="1126">
      <c r="A1126" t="inlineStr">
        <is>
          <t>Houttuynia</t>
        </is>
      </c>
      <c r="B1126" t="inlineStr">
        <is>
          <t>Elecampane</t>
        </is>
      </c>
      <c r="C1126" t="n">
        <v>0</v>
      </c>
      <c r="D1126" t="n">
        <v>1</v>
      </c>
      <c r="E1126" t="n">
        <v>0</v>
      </c>
      <c r="F1126" t="inlineStr">
        <is>
          <t>General</t>
        </is>
      </c>
      <c r="G1126" t="inlineStr">
        <is>
          <t>General</t>
        </is>
      </c>
      <c r="H1126" t="inlineStr">
        <is>
          <t>General</t>
        </is>
      </c>
      <c r="I1126" t="inlineStr">
        <is>
          <t>General</t>
        </is>
      </c>
      <c r="K1126" t="inlineStr">
        <is>
          <t>unclassified</t>
        </is>
      </c>
      <c r="M1126" t="n">
        <v>50</v>
      </c>
    </row>
    <row r="1127">
      <c r="A1127" t="inlineStr">
        <is>
          <t>Houttuynia</t>
        </is>
      </c>
      <c r="B1127" t="inlineStr">
        <is>
          <t>Eleuthero</t>
        </is>
      </c>
      <c r="C1127" t="n">
        <v>0</v>
      </c>
      <c r="D1127" t="n">
        <v>1</v>
      </c>
      <c r="E1127" t="n">
        <v>0</v>
      </c>
      <c r="F1127" t="inlineStr">
        <is>
          <t>General</t>
        </is>
      </c>
      <c r="G1127" t="inlineStr">
        <is>
          <t>General</t>
        </is>
      </c>
      <c r="H1127" t="inlineStr">
        <is>
          <t>General</t>
        </is>
      </c>
      <c r="I1127" t="inlineStr">
        <is>
          <t>General</t>
        </is>
      </c>
      <c r="K1127" t="inlineStr">
        <is>
          <t>unclassified</t>
        </is>
      </c>
      <c r="M1127" t="n">
        <v>50</v>
      </c>
    </row>
    <row r="1128">
      <c r="A1128" t="inlineStr">
        <is>
          <t>Houttuynia</t>
        </is>
      </c>
      <c r="B1128" t="inlineStr">
        <is>
          <t>Galangal</t>
        </is>
      </c>
      <c r="C1128" t="n">
        <v>0</v>
      </c>
      <c r="D1128" t="n">
        <v>1</v>
      </c>
      <c r="E1128" t="n">
        <v>0</v>
      </c>
      <c r="F1128" t="inlineStr">
        <is>
          <t>General</t>
        </is>
      </c>
      <c r="G1128" t="inlineStr">
        <is>
          <t>General</t>
        </is>
      </c>
      <c r="H1128" t="inlineStr">
        <is>
          <t>General</t>
        </is>
      </c>
      <c r="I1128" t="inlineStr">
        <is>
          <t>General</t>
        </is>
      </c>
      <c r="K1128" t="inlineStr">
        <is>
          <t>unclassified</t>
        </is>
      </c>
      <c r="M1128" t="n">
        <v>50</v>
      </c>
    </row>
    <row r="1129">
      <c r="A1129" t="inlineStr">
        <is>
          <t>Houttuynia</t>
        </is>
      </c>
      <c r="B1129" t="inlineStr">
        <is>
          <t>Gudmar</t>
        </is>
      </c>
      <c r="C1129" t="n">
        <v>0</v>
      </c>
      <c r="D1129" t="n">
        <v>1</v>
      </c>
      <c r="E1129" t="n">
        <v>0</v>
      </c>
      <c r="F1129" t="inlineStr">
        <is>
          <t>General</t>
        </is>
      </c>
      <c r="G1129" t="inlineStr">
        <is>
          <t>General</t>
        </is>
      </c>
      <c r="H1129" t="inlineStr">
        <is>
          <t>General</t>
        </is>
      </c>
      <c r="I1129" t="inlineStr">
        <is>
          <t>General</t>
        </is>
      </c>
      <c r="K1129" t="inlineStr">
        <is>
          <t>unclassified</t>
        </is>
      </c>
      <c r="M1129" t="n">
        <v>50</v>
      </c>
    </row>
    <row r="1130">
      <c r="A1130" t="inlineStr">
        <is>
          <t>Houttuynia</t>
        </is>
      </c>
      <c r="B1130" t="inlineStr">
        <is>
          <t>Isatis</t>
        </is>
      </c>
      <c r="C1130" t="n">
        <v>0</v>
      </c>
      <c r="D1130" t="n">
        <v>1</v>
      </c>
      <c r="E1130" t="n">
        <v>0</v>
      </c>
      <c r="F1130" t="inlineStr">
        <is>
          <t>General</t>
        </is>
      </c>
      <c r="G1130" t="inlineStr">
        <is>
          <t>General</t>
        </is>
      </c>
      <c r="H1130" t="inlineStr">
        <is>
          <t>General</t>
        </is>
      </c>
      <c r="I1130" t="inlineStr">
        <is>
          <t>General</t>
        </is>
      </c>
      <c r="K1130" t="inlineStr">
        <is>
          <t>unclassified</t>
        </is>
      </c>
      <c r="M1130" t="n">
        <v>50</v>
      </c>
    </row>
    <row r="1131">
      <c r="A1131" t="inlineStr">
        <is>
          <t>Houttuynia</t>
        </is>
      </c>
      <c r="B1131" t="inlineStr">
        <is>
          <t>Maitake D-Fraction</t>
        </is>
      </c>
      <c r="C1131" t="n">
        <v>0</v>
      </c>
      <c r="D1131" t="n">
        <v>1</v>
      </c>
      <c r="E1131" t="n">
        <v>0</v>
      </c>
      <c r="F1131" t="inlineStr">
        <is>
          <t>General</t>
        </is>
      </c>
      <c r="G1131" t="inlineStr">
        <is>
          <t>General</t>
        </is>
      </c>
      <c r="H1131" t="inlineStr">
        <is>
          <t>General</t>
        </is>
      </c>
      <c r="I1131" t="inlineStr">
        <is>
          <t>General</t>
        </is>
      </c>
      <c r="K1131" t="inlineStr">
        <is>
          <t>unclassified</t>
        </is>
      </c>
      <c r="M1131" t="n">
        <v>50</v>
      </c>
    </row>
    <row r="1132">
      <c r="A1132" t="inlineStr">
        <is>
          <t>Houttuynia</t>
        </is>
      </c>
      <c r="B1132" t="inlineStr">
        <is>
          <t>Muira Puama</t>
        </is>
      </c>
      <c r="C1132" t="n">
        <v>0</v>
      </c>
      <c r="D1132" t="n">
        <v>1</v>
      </c>
      <c r="E1132" t="n">
        <v>0</v>
      </c>
      <c r="F1132" t="inlineStr">
        <is>
          <t>General</t>
        </is>
      </c>
      <c r="G1132" t="inlineStr">
        <is>
          <t>General</t>
        </is>
      </c>
      <c r="H1132" t="inlineStr">
        <is>
          <t>General</t>
        </is>
      </c>
      <c r="I1132" t="inlineStr">
        <is>
          <t>General</t>
        </is>
      </c>
      <c r="K1132" t="inlineStr">
        <is>
          <t>unclassified</t>
        </is>
      </c>
      <c r="M1132" t="n">
        <v>50</v>
      </c>
    </row>
    <row r="1133">
      <c r="A1133" t="inlineStr">
        <is>
          <t>Houttuynia</t>
        </is>
      </c>
      <c r="B1133" t="inlineStr">
        <is>
          <t>Nettle Root</t>
        </is>
      </c>
      <c r="C1133" t="n">
        <v>0</v>
      </c>
      <c r="D1133" t="n">
        <v>1</v>
      </c>
      <c r="E1133" t="n">
        <v>0</v>
      </c>
      <c r="F1133" t="inlineStr">
        <is>
          <t>General</t>
        </is>
      </c>
      <c r="G1133" t="inlineStr">
        <is>
          <t>General</t>
        </is>
      </c>
      <c r="H1133" t="inlineStr">
        <is>
          <t>General</t>
        </is>
      </c>
      <c r="I1133" t="inlineStr">
        <is>
          <t>General</t>
        </is>
      </c>
      <c r="K1133" t="inlineStr">
        <is>
          <t>unclassified</t>
        </is>
      </c>
      <c r="M1133" t="n">
        <v>50</v>
      </c>
    </row>
    <row r="1134">
      <c r="A1134" t="inlineStr">
        <is>
          <t>Houttuynia</t>
        </is>
      </c>
      <c r="B1134" t="inlineStr">
        <is>
          <t>Passionflower</t>
        </is>
      </c>
      <c r="C1134" t="n">
        <v>0</v>
      </c>
      <c r="D1134" t="n">
        <v>1</v>
      </c>
      <c r="E1134" t="n">
        <v>0</v>
      </c>
      <c r="F1134" t="inlineStr">
        <is>
          <t>General</t>
        </is>
      </c>
      <c r="G1134" t="inlineStr">
        <is>
          <t>General</t>
        </is>
      </c>
      <c r="H1134" t="inlineStr">
        <is>
          <t>General</t>
        </is>
      </c>
      <c r="I1134" t="inlineStr">
        <is>
          <t>General</t>
        </is>
      </c>
      <c r="K1134" t="inlineStr">
        <is>
          <t>unclassified</t>
        </is>
      </c>
      <c r="M1134" t="n">
        <v>50</v>
      </c>
    </row>
    <row r="1135">
      <c r="A1135" t="inlineStr">
        <is>
          <t>Houttuynia</t>
        </is>
      </c>
      <c r="B1135" t="inlineStr">
        <is>
          <t>Poria</t>
        </is>
      </c>
      <c r="C1135" t="n">
        <v>0</v>
      </c>
      <c r="D1135" t="n">
        <v>1</v>
      </c>
      <c r="E1135" t="n">
        <v>0</v>
      </c>
      <c r="F1135" t="inlineStr">
        <is>
          <t>General</t>
        </is>
      </c>
      <c r="G1135" t="inlineStr">
        <is>
          <t>General</t>
        </is>
      </c>
      <c r="H1135" t="inlineStr">
        <is>
          <t>General</t>
        </is>
      </c>
      <c r="I1135" t="inlineStr">
        <is>
          <t>General</t>
        </is>
      </c>
      <c r="K1135" t="inlineStr">
        <is>
          <t>unclassified</t>
        </is>
      </c>
      <c r="M1135" t="n">
        <v>50</v>
      </c>
    </row>
    <row r="1136">
      <c r="A1136" t="inlineStr">
        <is>
          <t>Houttuynia</t>
        </is>
      </c>
      <c r="B1136" t="inlineStr">
        <is>
          <t>Punarnava</t>
        </is>
      </c>
      <c r="C1136" t="n">
        <v>0</v>
      </c>
      <c r="D1136" t="n">
        <v>1</v>
      </c>
      <c r="E1136" t="n">
        <v>0</v>
      </c>
      <c r="F1136" t="inlineStr">
        <is>
          <t>General</t>
        </is>
      </c>
      <c r="G1136" t="inlineStr">
        <is>
          <t>General</t>
        </is>
      </c>
      <c r="H1136" t="inlineStr">
        <is>
          <t>General</t>
        </is>
      </c>
      <c r="I1136" t="inlineStr">
        <is>
          <t>General</t>
        </is>
      </c>
      <c r="K1136" t="inlineStr">
        <is>
          <t>unclassified</t>
        </is>
      </c>
      <c r="M1136" t="n">
        <v>50</v>
      </c>
    </row>
    <row r="1137">
      <c r="A1137" t="inlineStr">
        <is>
          <t>Houttuynia</t>
        </is>
      </c>
      <c r="B1137" t="inlineStr">
        <is>
          <t>Rehmannia Prepared</t>
        </is>
      </c>
      <c r="C1137" t="n">
        <v>0</v>
      </c>
      <c r="D1137" t="n">
        <v>1</v>
      </c>
      <c r="E1137" t="n">
        <v>0</v>
      </c>
      <c r="F1137" t="inlineStr">
        <is>
          <t>General</t>
        </is>
      </c>
      <c r="G1137" t="inlineStr">
        <is>
          <t>General</t>
        </is>
      </c>
      <c r="H1137" t="inlineStr">
        <is>
          <t>General</t>
        </is>
      </c>
      <c r="I1137" t="inlineStr">
        <is>
          <t>General</t>
        </is>
      </c>
      <c r="K1137" t="inlineStr">
        <is>
          <t>unclassified</t>
        </is>
      </c>
      <c r="M1137" t="n">
        <v>50</v>
      </c>
    </row>
    <row r="1138">
      <c r="A1138" t="inlineStr">
        <is>
          <t>Houttuynia</t>
        </is>
      </c>
      <c r="B1138" t="inlineStr">
        <is>
          <t>Reishi</t>
        </is>
      </c>
      <c r="C1138" t="n">
        <v>0</v>
      </c>
      <c r="D1138" t="n">
        <v>1</v>
      </c>
      <c r="E1138" t="n">
        <v>0</v>
      </c>
      <c r="F1138" t="inlineStr">
        <is>
          <t>General</t>
        </is>
      </c>
      <c r="G1138" t="inlineStr">
        <is>
          <t>General</t>
        </is>
      </c>
      <c r="H1138" t="inlineStr">
        <is>
          <t>General</t>
        </is>
      </c>
      <c r="I1138" t="inlineStr">
        <is>
          <t>General</t>
        </is>
      </c>
      <c r="K1138" t="inlineStr">
        <is>
          <t>unclassified</t>
        </is>
      </c>
      <c r="M1138" t="n">
        <v>50</v>
      </c>
    </row>
    <row r="1139">
      <c r="A1139" t="inlineStr">
        <is>
          <t>Houttuynia</t>
        </is>
      </c>
      <c r="B1139" t="inlineStr">
        <is>
          <t>Sophora Flavescens</t>
        </is>
      </c>
      <c r="C1139" t="n">
        <v>0</v>
      </c>
      <c r="D1139" t="n">
        <v>1</v>
      </c>
      <c r="E1139" t="n">
        <v>0</v>
      </c>
      <c r="F1139" t="inlineStr">
        <is>
          <t>General</t>
        </is>
      </c>
      <c r="G1139" t="inlineStr">
        <is>
          <t>General</t>
        </is>
      </c>
      <c r="H1139" t="inlineStr">
        <is>
          <t>General</t>
        </is>
      </c>
      <c r="I1139" t="inlineStr">
        <is>
          <t>General</t>
        </is>
      </c>
      <c r="K1139" t="inlineStr">
        <is>
          <t>unclassified</t>
        </is>
      </c>
      <c r="M1139" t="n">
        <v>50</v>
      </c>
    </row>
    <row r="1140">
      <c r="A1140" t="inlineStr">
        <is>
          <t>Houttuynia</t>
        </is>
      </c>
      <c r="B1140" t="inlineStr">
        <is>
          <t>Tamarind</t>
        </is>
      </c>
      <c r="C1140" t="n">
        <v>0</v>
      </c>
      <c r="D1140" t="n">
        <v>1</v>
      </c>
      <c r="E1140" t="n">
        <v>0</v>
      </c>
      <c r="F1140" t="inlineStr">
        <is>
          <t>General</t>
        </is>
      </c>
      <c r="G1140" t="inlineStr">
        <is>
          <t>General</t>
        </is>
      </c>
      <c r="H1140" t="inlineStr">
        <is>
          <t>General</t>
        </is>
      </c>
      <c r="I1140" t="inlineStr">
        <is>
          <t>General</t>
        </is>
      </c>
      <c r="K1140" t="inlineStr">
        <is>
          <t>unclassified</t>
        </is>
      </c>
      <c r="M1140" t="n">
        <v>50</v>
      </c>
    </row>
    <row r="1141">
      <c r="A1141" t="inlineStr">
        <is>
          <t>Houttuynia</t>
        </is>
      </c>
      <c r="B1141" t="inlineStr">
        <is>
          <t>Yohimbe</t>
        </is>
      </c>
      <c r="C1141" t="n">
        <v>0</v>
      </c>
      <c r="D1141" t="n">
        <v>1</v>
      </c>
      <c r="E1141" t="n">
        <v>0</v>
      </c>
      <c r="F1141" t="inlineStr">
        <is>
          <t>General</t>
        </is>
      </c>
      <c r="G1141" t="inlineStr">
        <is>
          <t>General</t>
        </is>
      </c>
      <c r="H1141" t="inlineStr">
        <is>
          <t>General</t>
        </is>
      </c>
      <c r="I1141" t="inlineStr">
        <is>
          <t>General</t>
        </is>
      </c>
      <c r="K1141" t="inlineStr">
        <is>
          <t>unclassified</t>
        </is>
      </c>
      <c r="M1141" t="n">
        <v>50</v>
      </c>
    </row>
    <row r="1142">
      <c r="A1142" t="inlineStr">
        <is>
          <t>Isatis</t>
        </is>
      </c>
      <c r="B1142" t="inlineStr">
        <is>
          <t>Agarikon</t>
        </is>
      </c>
      <c r="C1142" t="n">
        <v>0</v>
      </c>
      <c r="D1142" t="n">
        <v>1</v>
      </c>
      <c r="E1142" t="n">
        <v>0</v>
      </c>
      <c r="F1142" t="inlineStr">
        <is>
          <t>General</t>
        </is>
      </c>
      <c r="G1142" t="inlineStr">
        <is>
          <t>General</t>
        </is>
      </c>
      <c r="H1142" t="inlineStr">
        <is>
          <t>General</t>
        </is>
      </c>
      <c r="I1142" t="inlineStr">
        <is>
          <t>General</t>
        </is>
      </c>
      <c r="K1142" t="inlineStr">
        <is>
          <t>unclassified</t>
        </is>
      </c>
      <c r="M1142" t="n">
        <v>50</v>
      </c>
    </row>
    <row r="1143">
      <c r="A1143" t="inlineStr">
        <is>
          <t>Isatis</t>
        </is>
      </c>
      <c r="B1143" t="inlineStr">
        <is>
          <t>Ajwain</t>
        </is>
      </c>
      <c r="C1143" t="n">
        <v>0</v>
      </c>
      <c r="D1143" t="n">
        <v>1</v>
      </c>
      <c r="E1143" t="n">
        <v>0</v>
      </c>
      <c r="F1143" t="inlineStr">
        <is>
          <t>General</t>
        </is>
      </c>
      <c r="G1143" t="inlineStr">
        <is>
          <t>General</t>
        </is>
      </c>
      <c r="H1143" t="inlineStr">
        <is>
          <t>General</t>
        </is>
      </c>
      <c r="I1143" t="inlineStr">
        <is>
          <t>General</t>
        </is>
      </c>
      <c r="K1143" t="inlineStr">
        <is>
          <t>unclassified</t>
        </is>
      </c>
      <c r="M1143" t="n">
        <v>50</v>
      </c>
    </row>
    <row r="1144">
      <c r="A1144" t="inlineStr">
        <is>
          <t>Isatis</t>
        </is>
      </c>
      <c r="B1144" t="inlineStr">
        <is>
          <t>Angelica Root</t>
        </is>
      </c>
      <c r="C1144" t="n">
        <v>0</v>
      </c>
      <c r="D1144" t="n">
        <v>1</v>
      </c>
      <c r="E1144" t="n">
        <v>0</v>
      </c>
      <c r="F1144" t="inlineStr">
        <is>
          <t>General</t>
        </is>
      </c>
      <c r="G1144" t="inlineStr">
        <is>
          <t>General</t>
        </is>
      </c>
      <c r="H1144" t="inlineStr">
        <is>
          <t>General</t>
        </is>
      </c>
      <c r="I1144" t="inlineStr">
        <is>
          <t>General</t>
        </is>
      </c>
      <c r="K1144" t="inlineStr">
        <is>
          <t>unclassified</t>
        </is>
      </c>
      <c r="M1144" t="n">
        <v>50</v>
      </c>
    </row>
    <row r="1145">
      <c r="A1145" t="inlineStr">
        <is>
          <t>Isatis</t>
        </is>
      </c>
      <c r="B1145" t="inlineStr">
        <is>
          <t>Caraway</t>
        </is>
      </c>
      <c r="C1145" t="n">
        <v>0</v>
      </c>
      <c r="D1145" t="n">
        <v>1</v>
      </c>
      <c r="E1145" t="n">
        <v>0</v>
      </c>
      <c r="F1145" t="inlineStr">
        <is>
          <t>General</t>
        </is>
      </c>
      <c r="G1145" t="inlineStr">
        <is>
          <t>General</t>
        </is>
      </c>
      <c r="H1145" t="inlineStr">
        <is>
          <t>General</t>
        </is>
      </c>
      <c r="I1145" t="inlineStr">
        <is>
          <t>General</t>
        </is>
      </c>
      <c r="K1145" t="inlineStr">
        <is>
          <t>unclassified</t>
        </is>
      </c>
      <c r="M1145" t="n">
        <v>50</v>
      </c>
    </row>
    <row r="1146">
      <c r="A1146" t="inlineStr">
        <is>
          <t>Isatis</t>
        </is>
      </c>
      <c r="B1146" t="inlineStr">
        <is>
          <t>Cardamom</t>
        </is>
      </c>
      <c r="C1146" t="n">
        <v>0</v>
      </c>
      <c r="D1146" t="n">
        <v>1</v>
      </c>
      <c r="E1146" t="n">
        <v>0</v>
      </c>
      <c r="F1146" t="inlineStr">
        <is>
          <t>General</t>
        </is>
      </c>
      <c r="G1146" t="inlineStr">
        <is>
          <t>General</t>
        </is>
      </c>
      <c r="H1146" t="inlineStr">
        <is>
          <t>General</t>
        </is>
      </c>
      <c r="I1146" t="inlineStr">
        <is>
          <t>General</t>
        </is>
      </c>
      <c r="K1146" t="inlineStr">
        <is>
          <t>unclassified</t>
        </is>
      </c>
      <c r="M1146" t="n">
        <v>50</v>
      </c>
    </row>
    <row r="1147">
      <c r="A1147" t="inlineStr">
        <is>
          <t>Isatis</t>
        </is>
      </c>
      <c r="B1147" t="inlineStr">
        <is>
          <t>Celastrus Paniculatus</t>
        </is>
      </c>
      <c r="C1147" t="n">
        <v>0</v>
      </c>
      <c r="D1147" t="n">
        <v>1</v>
      </c>
      <c r="E1147" t="n">
        <v>0</v>
      </c>
      <c r="F1147" t="inlineStr">
        <is>
          <t>General</t>
        </is>
      </c>
      <c r="G1147" t="inlineStr">
        <is>
          <t>General</t>
        </is>
      </c>
      <c r="H1147" t="inlineStr">
        <is>
          <t>General</t>
        </is>
      </c>
      <c r="I1147" t="inlineStr">
        <is>
          <t>General</t>
        </is>
      </c>
      <c r="K1147" t="inlineStr">
        <is>
          <t>unclassified</t>
        </is>
      </c>
      <c r="M1147" t="n">
        <v>50</v>
      </c>
    </row>
    <row r="1148">
      <c r="A1148" t="inlineStr">
        <is>
          <t>Isatis</t>
        </is>
      </c>
      <c r="B1148" t="inlineStr">
        <is>
          <t>Cordyceps</t>
        </is>
      </c>
      <c r="C1148" t="n">
        <v>0</v>
      </c>
      <c r="D1148" t="n">
        <v>1</v>
      </c>
      <c r="E1148" t="n">
        <v>0</v>
      </c>
      <c r="F1148" t="inlineStr">
        <is>
          <t>General</t>
        </is>
      </c>
      <c r="G1148" t="inlineStr">
        <is>
          <t>General</t>
        </is>
      </c>
      <c r="H1148" t="inlineStr">
        <is>
          <t>General</t>
        </is>
      </c>
      <c r="I1148" t="inlineStr">
        <is>
          <t>General</t>
        </is>
      </c>
      <c r="K1148" t="inlineStr">
        <is>
          <t>unclassified</t>
        </is>
      </c>
      <c r="M1148" t="n">
        <v>50</v>
      </c>
    </row>
    <row r="1149">
      <c r="A1149" t="inlineStr">
        <is>
          <t>Isatis</t>
        </is>
      </c>
      <c r="B1149" t="inlineStr">
        <is>
          <t>Elecampane</t>
        </is>
      </c>
      <c r="C1149" t="n">
        <v>0</v>
      </c>
      <c r="D1149" t="n">
        <v>1</v>
      </c>
      <c r="E1149" t="n">
        <v>0</v>
      </c>
      <c r="F1149" t="inlineStr">
        <is>
          <t>General</t>
        </is>
      </c>
      <c r="G1149" t="inlineStr">
        <is>
          <t>General</t>
        </is>
      </c>
      <c r="H1149" t="inlineStr">
        <is>
          <t>General</t>
        </is>
      </c>
      <c r="I1149" t="inlineStr">
        <is>
          <t>General</t>
        </is>
      </c>
      <c r="K1149" t="inlineStr">
        <is>
          <t>unclassified</t>
        </is>
      </c>
      <c r="M1149" t="n">
        <v>50</v>
      </c>
    </row>
    <row r="1150">
      <c r="A1150" t="inlineStr">
        <is>
          <t>Isatis</t>
        </is>
      </c>
      <c r="B1150" t="inlineStr">
        <is>
          <t>Eleuthero</t>
        </is>
      </c>
      <c r="C1150" t="n">
        <v>0</v>
      </c>
      <c r="D1150" t="n">
        <v>1</v>
      </c>
      <c r="E1150" t="n">
        <v>0</v>
      </c>
      <c r="F1150" t="inlineStr">
        <is>
          <t>General</t>
        </is>
      </c>
      <c r="G1150" t="inlineStr">
        <is>
          <t>General</t>
        </is>
      </c>
      <c r="H1150" t="inlineStr">
        <is>
          <t>General</t>
        </is>
      </c>
      <c r="I1150" t="inlineStr">
        <is>
          <t>General</t>
        </is>
      </c>
      <c r="K1150" t="inlineStr">
        <is>
          <t>unclassified</t>
        </is>
      </c>
      <c r="M1150" t="n">
        <v>50</v>
      </c>
    </row>
    <row r="1151">
      <c r="A1151" t="inlineStr">
        <is>
          <t>Isatis</t>
        </is>
      </c>
      <c r="B1151" t="inlineStr">
        <is>
          <t>Galangal</t>
        </is>
      </c>
      <c r="C1151" t="n">
        <v>0</v>
      </c>
      <c r="D1151" t="n">
        <v>1</v>
      </c>
      <c r="E1151" t="n">
        <v>0</v>
      </c>
      <c r="F1151" t="inlineStr">
        <is>
          <t>General</t>
        </is>
      </c>
      <c r="G1151" t="inlineStr">
        <is>
          <t>General</t>
        </is>
      </c>
      <c r="H1151" t="inlineStr">
        <is>
          <t>General</t>
        </is>
      </c>
      <c r="I1151" t="inlineStr">
        <is>
          <t>General</t>
        </is>
      </c>
      <c r="K1151" t="inlineStr">
        <is>
          <t>unclassified</t>
        </is>
      </c>
      <c r="M1151" t="n">
        <v>50</v>
      </c>
    </row>
    <row r="1152">
      <c r="A1152" t="inlineStr">
        <is>
          <t>Isatis</t>
        </is>
      </c>
      <c r="B1152" t="inlineStr">
        <is>
          <t>Gudmar</t>
        </is>
      </c>
      <c r="C1152" t="n">
        <v>0</v>
      </c>
      <c r="D1152" t="n">
        <v>1</v>
      </c>
      <c r="E1152" t="n">
        <v>0</v>
      </c>
      <c r="F1152" t="inlineStr">
        <is>
          <t>General</t>
        </is>
      </c>
      <c r="G1152" t="inlineStr">
        <is>
          <t>General</t>
        </is>
      </c>
      <c r="H1152" t="inlineStr">
        <is>
          <t>General</t>
        </is>
      </c>
      <c r="I1152" t="inlineStr">
        <is>
          <t>General</t>
        </is>
      </c>
      <c r="K1152" t="inlineStr">
        <is>
          <t>unclassified</t>
        </is>
      </c>
      <c r="M1152" t="n">
        <v>50</v>
      </c>
    </row>
    <row r="1153">
      <c r="A1153" t="inlineStr">
        <is>
          <t>Isatis</t>
        </is>
      </c>
      <c r="B1153" t="inlineStr">
        <is>
          <t>Maitake D-Fraction</t>
        </is>
      </c>
      <c r="C1153" t="n">
        <v>0</v>
      </c>
      <c r="D1153" t="n">
        <v>1</v>
      </c>
      <c r="E1153" t="n">
        <v>0</v>
      </c>
      <c r="F1153" t="inlineStr">
        <is>
          <t>General</t>
        </is>
      </c>
      <c r="G1153" t="inlineStr">
        <is>
          <t>General</t>
        </is>
      </c>
      <c r="H1153" t="inlineStr">
        <is>
          <t>General</t>
        </is>
      </c>
      <c r="I1153" t="inlineStr">
        <is>
          <t>General</t>
        </is>
      </c>
      <c r="K1153" t="inlineStr">
        <is>
          <t>unclassified</t>
        </is>
      </c>
      <c r="M1153" t="n">
        <v>50</v>
      </c>
    </row>
    <row r="1154">
      <c r="A1154" t="inlineStr">
        <is>
          <t>Isatis</t>
        </is>
      </c>
      <c r="B1154" t="inlineStr">
        <is>
          <t>Muira Puama</t>
        </is>
      </c>
      <c r="C1154" t="n">
        <v>0</v>
      </c>
      <c r="D1154" t="n">
        <v>1</v>
      </c>
      <c r="E1154" t="n">
        <v>0</v>
      </c>
      <c r="F1154" t="inlineStr">
        <is>
          <t>General</t>
        </is>
      </c>
      <c r="G1154" t="inlineStr">
        <is>
          <t>General</t>
        </is>
      </c>
      <c r="H1154" t="inlineStr">
        <is>
          <t>General</t>
        </is>
      </c>
      <c r="I1154" t="inlineStr">
        <is>
          <t>General</t>
        </is>
      </c>
      <c r="K1154" t="inlineStr">
        <is>
          <t>unclassified</t>
        </is>
      </c>
      <c r="M1154" t="n">
        <v>50</v>
      </c>
    </row>
    <row r="1155">
      <c r="A1155" t="inlineStr">
        <is>
          <t>Isatis</t>
        </is>
      </c>
      <c r="B1155" t="inlineStr">
        <is>
          <t>Nettle Root</t>
        </is>
      </c>
      <c r="C1155" t="n">
        <v>0</v>
      </c>
      <c r="D1155" t="n">
        <v>1</v>
      </c>
      <c r="E1155" t="n">
        <v>0</v>
      </c>
      <c r="F1155" t="inlineStr">
        <is>
          <t>General</t>
        </is>
      </c>
      <c r="G1155" t="inlineStr">
        <is>
          <t>General</t>
        </is>
      </c>
      <c r="H1155" t="inlineStr">
        <is>
          <t>General</t>
        </is>
      </c>
      <c r="I1155" t="inlineStr">
        <is>
          <t>General</t>
        </is>
      </c>
      <c r="K1155" t="inlineStr">
        <is>
          <t>unclassified</t>
        </is>
      </c>
      <c r="M1155" t="n">
        <v>50</v>
      </c>
    </row>
    <row r="1156">
      <c r="A1156" t="inlineStr">
        <is>
          <t>Isatis</t>
        </is>
      </c>
      <c r="B1156" t="inlineStr">
        <is>
          <t>Passionflower</t>
        </is>
      </c>
      <c r="C1156" t="n">
        <v>0</v>
      </c>
      <c r="D1156" t="n">
        <v>1</v>
      </c>
      <c r="E1156" t="n">
        <v>0</v>
      </c>
      <c r="F1156" t="inlineStr">
        <is>
          <t>General</t>
        </is>
      </c>
      <c r="G1156" t="inlineStr">
        <is>
          <t>General</t>
        </is>
      </c>
      <c r="H1156" t="inlineStr">
        <is>
          <t>General</t>
        </is>
      </c>
      <c r="I1156" t="inlineStr">
        <is>
          <t>General</t>
        </is>
      </c>
      <c r="K1156" t="inlineStr">
        <is>
          <t>unclassified</t>
        </is>
      </c>
      <c r="M1156" t="n">
        <v>50</v>
      </c>
    </row>
    <row r="1157">
      <c r="A1157" t="inlineStr">
        <is>
          <t>Isatis</t>
        </is>
      </c>
      <c r="B1157" t="inlineStr">
        <is>
          <t>Poria</t>
        </is>
      </c>
      <c r="C1157" t="n">
        <v>0</v>
      </c>
      <c r="D1157" t="n">
        <v>1</v>
      </c>
      <c r="E1157" t="n">
        <v>0</v>
      </c>
      <c r="F1157" t="inlineStr">
        <is>
          <t>General</t>
        </is>
      </c>
      <c r="G1157" t="inlineStr">
        <is>
          <t>General</t>
        </is>
      </c>
      <c r="H1157" t="inlineStr">
        <is>
          <t>General</t>
        </is>
      </c>
      <c r="I1157" t="inlineStr">
        <is>
          <t>General</t>
        </is>
      </c>
      <c r="K1157" t="inlineStr">
        <is>
          <t>unclassified</t>
        </is>
      </c>
      <c r="M1157" t="n">
        <v>50</v>
      </c>
    </row>
    <row r="1158">
      <c r="A1158" t="inlineStr">
        <is>
          <t>Isatis</t>
        </is>
      </c>
      <c r="B1158" t="inlineStr">
        <is>
          <t>Punarnava</t>
        </is>
      </c>
      <c r="C1158" t="n">
        <v>0</v>
      </c>
      <c r="D1158" t="n">
        <v>1</v>
      </c>
      <c r="E1158" t="n">
        <v>0</v>
      </c>
      <c r="F1158" t="inlineStr">
        <is>
          <t>General</t>
        </is>
      </c>
      <c r="G1158" t="inlineStr">
        <is>
          <t>General</t>
        </is>
      </c>
      <c r="H1158" t="inlineStr">
        <is>
          <t>General</t>
        </is>
      </c>
      <c r="I1158" t="inlineStr">
        <is>
          <t>General</t>
        </is>
      </c>
      <c r="K1158" t="inlineStr">
        <is>
          <t>unclassified</t>
        </is>
      </c>
      <c r="M1158" t="n">
        <v>50</v>
      </c>
    </row>
    <row r="1159">
      <c r="A1159" t="inlineStr">
        <is>
          <t>Isatis</t>
        </is>
      </c>
      <c r="B1159" t="inlineStr">
        <is>
          <t>Rehmannia Prepared</t>
        </is>
      </c>
      <c r="C1159" t="n">
        <v>0</v>
      </c>
      <c r="D1159" t="n">
        <v>1</v>
      </c>
      <c r="E1159" t="n">
        <v>0</v>
      </c>
      <c r="F1159" t="inlineStr">
        <is>
          <t>General</t>
        </is>
      </c>
      <c r="G1159" t="inlineStr">
        <is>
          <t>General</t>
        </is>
      </c>
      <c r="H1159" t="inlineStr">
        <is>
          <t>General</t>
        </is>
      </c>
      <c r="I1159" t="inlineStr">
        <is>
          <t>General</t>
        </is>
      </c>
      <c r="K1159" t="inlineStr">
        <is>
          <t>unclassified</t>
        </is>
      </c>
      <c r="M1159" t="n">
        <v>50</v>
      </c>
    </row>
    <row r="1160">
      <c r="A1160" t="inlineStr">
        <is>
          <t>Isatis</t>
        </is>
      </c>
      <c r="B1160" t="inlineStr">
        <is>
          <t>Reishi</t>
        </is>
      </c>
      <c r="C1160" t="n">
        <v>0</v>
      </c>
      <c r="D1160" t="n">
        <v>1</v>
      </c>
      <c r="E1160" t="n">
        <v>0</v>
      </c>
      <c r="F1160" t="inlineStr">
        <is>
          <t>General</t>
        </is>
      </c>
      <c r="G1160" t="inlineStr">
        <is>
          <t>General</t>
        </is>
      </c>
      <c r="H1160" t="inlineStr">
        <is>
          <t>General</t>
        </is>
      </c>
      <c r="I1160" t="inlineStr">
        <is>
          <t>General</t>
        </is>
      </c>
      <c r="K1160" t="inlineStr">
        <is>
          <t>unclassified</t>
        </is>
      </c>
      <c r="M1160" t="n">
        <v>50</v>
      </c>
    </row>
    <row r="1161">
      <c r="A1161" t="inlineStr">
        <is>
          <t>Isatis</t>
        </is>
      </c>
      <c r="B1161" t="inlineStr">
        <is>
          <t>Sophora Flavescens</t>
        </is>
      </c>
      <c r="C1161" t="n">
        <v>0</v>
      </c>
      <c r="D1161" t="n">
        <v>1</v>
      </c>
      <c r="E1161" t="n">
        <v>0</v>
      </c>
      <c r="F1161" t="inlineStr">
        <is>
          <t>General</t>
        </is>
      </c>
      <c r="G1161" t="inlineStr">
        <is>
          <t>General</t>
        </is>
      </c>
      <c r="H1161" t="inlineStr">
        <is>
          <t>General</t>
        </is>
      </c>
      <c r="I1161" t="inlineStr">
        <is>
          <t>General</t>
        </is>
      </c>
      <c r="K1161" t="inlineStr">
        <is>
          <t>unclassified</t>
        </is>
      </c>
      <c r="M1161" t="n">
        <v>50</v>
      </c>
    </row>
    <row r="1162">
      <c r="A1162" t="inlineStr">
        <is>
          <t>Isatis</t>
        </is>
      </c>
      <c r="B1162" t="inlineStr">
        <is>
          <t>Tamarind</t>
        </is>
      </c>
      <c r="C1162" t="n">
        <v>0</v>
      </c>
      <c r="D1162" t="n">
        <v>1</v>
      </c>
      <c r="E1162" t="n">
        <v>0</v>
      </c>
      <c r="F1162" t="inlineStr">
        <is>
          <t>General</t>
        </is>
      </c>
      <c r="G1162" t="inlineStr">
        <is>
          <t>General</t>
        </is>
      </c>
      <c r="H1162" t="inlineStr">
        <is>
          <t>General</t>
        </is>
      </c>
      <c r="I1162" t="inlineStr">
        <is>
          <t>General</t>
        </is>
      </c>
      <c r="K1162" t="inlineStr">
        <is>
          <t>unclassified</t>
        </is>
      </c>
      <c r="M1162" t="n">
        <v>50</v>
      </c>
    </row>
    <row r="1163">
      <c r="A1163" t="inlineStr">
        <is>
          <t>Isatis</t>
        </is>
      </c>
      <c r="B1163" t="inlineStr">
        <is>
          <t>Yohimbe</t>
        </is>
      </c>
      <c r="C1163" t="n">
        <v>0</v>
      </c>
      <c r="D1163" t="n">
        <v>1</v>
      </c>
      <c r="E1163" t="n">
        <v>0</v>
      </c>
      <c r="F1163" t="inlineStr">
        <is>
          <t>General</t>
        </is>
      </c>
      <c r="G1163" t="inlineStr">
        <is>
          <t>General</t>
        </is>
      </c>
      <c r="H1163" t="inlineStr">
        <is>
          <t>General</t>
        </is>
      </c>
      <c r="I1163" t="inlineStr">
        <is>
          <t>General</t>
        </is>
      </c>
      <c r="K1163" t="inlineStr">
        <is>
          <t>unclassified</t>
        </is>
      </c>
      <c r="M1163" t="n">
        <v>50</v>
      </c>
    </row>
    <row r="1164">
      <c r="A1164" t="inlineStr">
        <is>
          <t>Jatamansi</t>
        </is>
      </c>
      <c r="B1164" t="inlineStr">
        <is>
          <t>Agarikon</t>
        </is>
      </c>
      <c r="C1164" t="n">
        <v>0</v>
      </c>
      <c r="D1164" t="n">
        <v>1</v>
      </c>
      <c r="E1164" t="n">
        <v>0</v>
      </c>
      <c r="F1164" t="inlineStr">
        <is>
          <t>General</t>
        </is>
      </c>
      <c r="G1164" t="inlineStr">
        <is>
          <t>General</t>
        </is>
      </c>
      <c r="H1164" t="inlineStr">
        <is>
          <t>General</t>
        </is>
      </c>
      <c r="I1164" t="inlineStr">
        <is>
          <t>General</t>
        </is>
      </c>
      <c r="K1164" t="inlineStr">
        <is>
          <t>unclassified</t>
        </is>
      </c>
      <c r="M1164" t="n">
        <v>50</v>
      </c>
    </row>
    <row r="1165">
      <c r="A1165" t="inlineStr">
        <is>
          <t>Jatamansi</t>
        </is>
      </c>
      <c r="B1165" t="inlineStr">
        <is>
          <t>Ajwain</t>
        </is>
      </c>
      <c r="C1165" t="n">
        <v>0</v>
      </c>
      <c r="D1165" t="n">
        <v>1</v>
      </c>
      <c r="E1165" t="n">
        <v>0</v>
      </c>
      <c r="F1165" t="inlineStr">
        <is>
          <t>General</t>
        </is>
      </c>
      <c r="G1165" t="inlineStr">
        <is>
          <t>General</t>
        </is>
      </c>
      <c r="H1165" t="inlineStr">
        <is>
          <t>General</t>
        </is>
      </c>
      <c r="I1165" t="inlineStr">
        <is>
          <t>General</t>
        </is>
      </c>
      <c r="K1165" t="inlineStr">
        <is>
          <t>unclassified</t>
        </is>
      </c>
      <c r="M1165" t="n">
        <v>50</v>
      </c>
    </row>
    <row r="1166">
      <c r="A1166" t="inlineStr">
        <is>
          <t>Jatamansi</t>
        </is>
      </c>
      <c r="B1166" t="inlineStr">
        <is>
          <t>Angelica Root</t>
        </is>
      </c>
      <c r="C1166" t="n">
        <v>0</v>
      </c>
      <c r="D1166" t="n">
        <v>1</v>
      </c>
      <c r="E1166" t="n">
        <v>0</v>
      </c>
      <c r="F1166" t="inlineStr">
        <is>
          <t>General</t>
        </is>
      </c>
      <c r="G1166" t="inlineStr">
        <is>
          <t>General</t>
        </is>
      </c>
      <c r="H1166" t="inlineStr">
        <is>
          <t>General</t>
        </is>
      </c>
      <c r="I1166" t="inlineStr">
        <is>
          <t>General</t>
        </is>
      </c>
      <c r="K1166" t="inlineStr">
        <is>
          <t>unclassified</t>
        </is>
      </c>
      <c r="M1166" t="n">
        <v>50</v>
      </c>
    </row>
    <row r="1167">
      <c r="A1167" t="inlineStr">
        <is>
          <t>Jatamansi</t>
        </is>
      </c>
      <c r="B1167" t="inlineStr">
        <is>
          <t>Ashoka</t>
        </is>
      </c>
      <c r="C1167" t="n">
        <v>0</v>
      </c>
      <c r="D1167" t="n">
        <v>1</v>
      </c>
      <c r="E1167" t="n">
        <v>0</v>
      </c>
      <c r="F1167" t="inlineStr">
        <is>
          <t>General</t>
        </is>
      </c>
      <c r="G1167" t="inlineStr">
        <is>
          <t>General</t>
        </is>
      </c>
      <c r="H1167" t="inlineStr">
        <is>
          <t>General</t>
        </is>
      </c>
      <c r="I1167" t="inlineStr">
        <is>
          <t>General</t>
        </is>
      </c>
      <c r="K1167" t="inlineStr">
        <is>
          <t>unclassified</t>
        </is>
      </c>
      <c r="M1167" t="n">
        <v>50</v>
      </c>
    </row>
    <row r="1168">
      <c r="A1168" t="inlineStr">
        <is>
          <t>Jatamansi</t>
        </is>
      </c>
      <c r="B1168" t="inlineStr">
        <is>
          <t>Caraway</t>
        </is>
      </c>
      <c r="C1168" t="n">
        <v>0</v>
      </c>
      <c r="D1168" t="n">
        <v>1</v>
      </c>
      <c r="E1168" t="n">
        <v>0</v>
      </c>
      <c r="F1168" t="inlineStr">
        <is>
          <t>General</t>
        </is>
      </c>
      <c r="G1168" t="inlineStr">
        <is>
          <t>General</t>
        </is>
      </c>
      <c r="H1168" t="inlineStr">
        <is>
          <t>General</t>
        </is>
      </c>
      <c r="I1168" t="inlineStr">
        <is>
          <t>General</t>
        </is>
      </c>
      <c r="K1168" t="inlineStr">
        <is>
          <t>unclassified</t>
        </is>
      </c>
      <c r="M1168" t="n">
        <v>50</v>
      </c>
    </row>
    <row r="1169">
      <c r="A1169" t="inlineStr">
        <is>
          <t>Jatamansi</t>
        </is>
      </c>
      <c r="B1169" t="inlineStr">
        <is>
          <t>Cardamom</t>
        </is>
      </c>
      <c r="C1169" t="n">
        <v>0</v>
      </c>
      <c r="D1169" t="n">
        <v>1</v>
      </c>
      <c r="E1169" t="n">
        <v>0</v>
      </c>
      <c r="F1169" t="inlineStr">
        <is>
          <t>General</t>
        </is>
      </c>
      <c r="G1169" t="inlineStr">
        <is>
          <t>General</t>
        </is>
      </c>
      <c r="H1169" t="inlineStr">
        <is>
          <t>General</t>
        </is>
      </c>
      <c r="I1169" t="inlineStr">
        <is>
          <t>General</t>
        </is>
      </c>
      <c r="K1169" t="inlineStr">
        <is>
          <t>unclassified</t>
        </is>
      </c>
      <c r="M1169" t="n">
        <v>50</v>
      </c>
    </row>
    <row r="1170">
      <c r="A1170" t="inlineStr">
        <is>
          <t>Jatamansi</t>
        </is>
      </c>
      <c r="B1170" t="inlineStr">
        <is>
          <t>Celastrus Paniculatus</t>
        </is>
      </c>
      <c r="C1170" t="n">
        <v>0</v>
      </c>
      <c r="D1170" t="n">
        <v>1</v>
      </c>
      <c r="E1170" t="n">
        <v>0</v>
      </c>
      <c r="F1170" t="inlineStr">
        <is>
          <t>General</t>
        </is>
      </c>
      <c r="G1170" t="inlineStr">
        <is>
          <t>General</t>
        </is>
      </c>
      <c r="H1170" t="inlineStr">
        <is>
          <t>General</t>
        </is>
      </c>
      <c r="I1170" t="inlineStr">
        <is>
          <t>General</t>
        </is>
      </c>
      <c r="K1170" t="inlineStr">
        <is>
          <t>unclassified</t>
        </is>
      </c>
      <c r="M1170" t="n">
        <v>50</v>
      </c>
    </row>
    <row r="1171">
      <c r="A1171" t="inlineStr">
        <is>
          <t>Jatamansi</t>
        </is>
      </c>
      <c r="B1171" t="inlineStr">
        <is>
          <t>Cistanche</t>
        </is>
      </c>
      <c r="C1171" t="n">
        <v>0</v>
      </c>
      <c r="D1171" t="n">
        <v>1</v>
      </c>
      <c r="E1171" t="n">
        <v>0</v>
      </c>
      <c r="F1171" t="inlineStr">
        <is>
          <t>General</t>
        </is>
      </c>
      <c r="G1171" t="inlineStr">
        <is>
          <t>General</t>
        </is>
      </c>
      <c r="H1171" t="inlineStr">
        <is>
          <t>General</t>
        </is>
      </c>
      <c r="I1171" t="inlineStr">
        <is>
          <t>General</t>
        </is>
      </c>
      <c r="K1171" t="inlineStr">
        <is>
          <t>unclassified</t>
        </is>
      </c>
      <c r="M1171" t="n">
        <v>50</v>
      </c>
    </row>
    <row r="1172">
      <c r="A1172" t="inlineStr">
        <is>
          <t>Jatamansi</t>
        </is>
      </c>
      <c r="B1172" t="inlineStr">
        <is>
          <t>Cordyceps</t>
        </is>
      </c>
      <c r="C1172" t="n">
        <v>0</v>
      </c>
      <c r="D1172" t="n">
        <v>1</v>
      </c>
      <c r="E1172" t="n">
        <v>0</v>
      </c>
      <c r="F1172" t="inlineStr">
        <is>
          <t>General</t>
        </is>
      </c>
      <c r="G1172" t="inlineStr">
        <is>
          <t>General</t>
        </is>
      </c>
      <c r="H1172" t="inlineStr">
        <is>
          <t>General</t>
        </is>
      </c>
      <c r="I1172" t="inlineStr">
        <is>
          <t>General</t>
        </is>
      </c>
      <c r="K1172" t="inlineStr">
        <is>
          <t>unclassified</t>
        </is>
      </c>
      <c r="M1172" t="n">
        <v>50</v>
      </c>
    </row>
    <row r="1173">
      <c r="A1173" t="inlineStr">
        <is>
          <t>Jatamansi</t>
        </is>
      </c>
      <c r="B1173" t="inlineStr">
        <is>
          <t>Dendrobium</t>
        </is>
      </c>
      <c r="C1173" t="n">
        <v>0</v>
      </c>
      <c r="D1173" t="n">
        <v>1</v>
      </c>
      <c r="E1173" t="n">
        <v>0</v>
      </c>
      <c r="F1173" t="inlineStr">
        <is>
          <t>General</t>
        </is>
      </c>
      <c r="G1173" t="inlineStr">
        <is>
          <t>General</t>
        </is>
      </c>
      <c r="H1173" t="inlineStr">
        <is>
          <t>General</t>
        </is>
      </c>
      <c r="I1173" t="inlineStr">
        <is>
          <t>General</t>
        </is>
      </c>
      <c r="K1173" t="inlineStr">
        <is>
          <t>unclassified</t>
        </is>
      </c>
      <c r="M1173" t="n">
        <v>50</v>
      </c>
    </row>
    <row r="1174">
      <c r="A1174" t="inlineStr">
        <is>
          <t>Jatamansi</t>
        </is>
      </c>
      <c r="B1174" t="inlineStr">
        <is>
          <t>Elecampane</t>
        </is>
      </c>
      <c r="C1174" t="n">
        <v>0</v>
      </c>
      <c r="D1174" t="n">
        <v>1</v>
      </c>
      <c r="E1174" t="n">
        <v>0</v>
      </c>
      <c r="F1174" t="inlineStr">
        <is>
          <t>General</t>
        </is>
      </c>
      <c r="G1174" t="inlineStr">
        <is>
          <t>General</t>
        </is>
      </c>
      <c r="H1174" t="inlineStr">
        <is>
          <t>General</t>
        </is>
      </c>
      <c r="I1174" t="inlineStr">
        <is>
          <t>General</t>
        </is>
      </c>
      <c r="K1174" t="inlineStr">
        <is>
          <t>unclassified</t>
        </is>
      </c>
      <c r="M1174" t="n">
        <v>50</v>
      </c>
    </row>
    <row r="1175">
      <c r="A1175" t="inlineStr">
        <is>
          <t>Jatamansi</t>
        </is>
      </c>
      <c r="B1175" t="inlineStr">
        <is>
          <t>Eleuthero</t>
        </is>
      </c>
      <c r="C1175" t="n">
        <v>0</v>
      </c>
      <c r="D1175" t="n">
        <v>1</v>
      </c>
      <c r="E1175" t="n">
        <v>0</v>
      </c>
      <c r="F1175" t="inlineStr">
        <is>
          <t>General</t>
        </is>
      </c>
      <c r="G1175" t="inlineStr">
        <is>
          <t>General</t>
        </is>
      </c>
      <c r="H1175" t="inlineStr">
        <is>
          <t>General</t>
        </is>
      </c>
      <c r="I1175" t="inlineStr">
        <is>
          <t>General</t>
        </is>
      </c>
      <c r="K1175" t="inlineStr">
        <is>
          <t>unclassified</t>
        </is>
      </c>
      <c r="M1175" t="n">
        <v>50</v>
      </c>
    </row>
    <row r="1176">
      <c r="A1176" t="inlineStr">
        <is>
          <t>Jatamansi</t>
        </is>
      </c>
      <c r="B1176" t="inlineStr">
        <is>
          <t>Galangal</t>
        </is>
      </c>
      <c r="C1176" t="n">
        <v>0</v>
      </c>
      <c r="D1176" t="n">
        <v>1</v>
      </c>
      <c r="E1176" t="n">
        <v>0</v>
      </c>
      <c r="F1176" t="inlineStr">
        <is>
          <t>General</t>
        </is>
      </c>
      <c r="G1176" t="inlineStr">
        <is>
          <t>General</t>
        </is>
      </c>
      <c r="H1176" t="inlineStr">
        <is>
          <t>General</t>
        </is>
      </c>
      <c r="I1176" t="inlineStr">
        <is>
          <t>General</t>
        </is>
      </c>
      <c r="K1176" t="inlineStr">
        <is>
          <t>unclassified</t>
        </is>
      </c>
      <c r="M1176" t="n">
        <v>50</v>
      </c>
    </row>
    <row r="1177">
      <c r="A1177" t="inlineStr">
        <is>
          <t>Jatamansi</t>
        </is>
      </c>
      <c r="B1177" t="inlineStr">
        <is>
          <t>Gastrodia</t>
        </is>
      </c>
      <c r="C1177" t="n">
        <v>0</v>
      </c>
      <c r="D1177" t="n">
        <v>1</v>
      </c>
      <c r="E1177" t="n">
        <v>0</v>
      </c>
      <c r="F1177" t="inlineStr">
        <is>
          <t>General</t>
        </is>
      </c>
      <c r="G1177" t="inlineStr">
        <is>
          <t>General</t>
        </is>
      </c>
      <c r="H1177" t="inlineStr">
        <is>
          <t>General</t>
        </is>
      </c>
      <c r="I1177" t="inlineStr">
        <is>
          <t>General</t>
        </is>
      </c>
      <c r="K1177" t="inlineStr">
        <is>
          <t>unclassified</t>
        </is>
      </c>
      <c r="M1177" t="n">
        <v>50</v>
      </c>
    </row>
    <row r="1178">
      <c r="A1178" t="inlineStr">
        <is>
          <t>Jatamansi</t>
        </is>
      </c>
      <c r="B1178" t="inlineStr">
        <is>
          <t>Gudmar</t>
        </is>
      </c>
      <c r="C1178" t="n">
        <v>0</v>
      </c>
      <c r="D1178" t="n">
        <v>1</v>
      </c>
      <c r="E1178" t="n">
        <v>0</v>
      </c>
      <c r="F1178" t="inlineStr">
        <is>
          <t>General</t>
        </is>
      </c>
      <c r="G1178" t="inlineStr">
        <is>
          <t>General</t>
        </is>
      </c>
      <c r="H1178" t="inlineStr">
        <is>
          <t>General</t>
        </is>
      </c>
      <c r="I1178" t="inlineStr">
        <is>
          <t>General</t>
        </is>
      </c>
      <c r="K1178" t="inlineStr">
        <is>
          <t>unclassified</t>
        </is>
      </c>
      <c r="M1178" t="n">
        <v>50</v>
      </c>
    </row>
    <row r="1179">
      <c r="A1179" t="inlineStr">
        <is>
          <t>Jatamansi</t>
        </is>
      </c>
      <c r="B1179" t="inlineStr">
        <is>
          <t>Hops</t>
        </is>
      </c>
      <c r="C1179" t="n">
        <v>0</v>
      </c>
      <c r="D1179" t="n">
        <v>1</v>
      </c>
      <c r="E1179" t="n">
        <v>0</v>
      </c>
      <c r="F1179" t="inlineStr">
        <is>
          <t>General</t>
        </is>
      </c>
      <c r="G1179" t="inlineStr">
        <is>
          <t>General</t>
        </is>
      </c>
      <c r="H1179" t="inlineStr">
        <is>
          <t>General</t>
        </is>
      </c>
      <c r="I1179" t="inlineStr">
        <is>
          <t>General</t>
        </is>
      </c>
      <c r="K1179" t="inlineStr">
        <is>
          <t>unclassified</t>
        </is>
      </c>
      <c r="M1179" t="n">
        <v>50</v>
      </c>
    </row>
    <row r="1180">
      <c r="A1180" t="inlineStr">
        <is>
          <t>Jatamansi</t>
        </is>
      </c>
      <c r="B1180" t="inlineStr">
        <is>
          <t>Houttuynia</t>
        </is>
      </c>
      <c r="C1180" t="n">
        <v>0</v>
      </c>
      <c r="D1180" t="n">
        <v>1</v>
      </c>
      <c r="E1180" t="n">
        <v>0</v>
      </c>
      <c r="F1180" t="inlineStr">
        <is>
          <t>General</t>
        </is>
      </c>
      <c r="G1180" t="inlineStr">
        <is>
          <t>General</t>
        </is>
      </c>
      <c r="H1180" t="inlineStr">
        <is>
          <t>General</t>
        </is>
      </c>
      <c r="I1180" t="inlineStr">
        <is>
          <t>General</t>
        </is>
      </c>
      <c r="K1180" t="inlineStr">
        <is>
          <t>unclassified</t>
        </is>
      </c>
      <c r="M1180" t="n">
        <v>50</v>
      </c>
    </row>
    <row r="1181">
      <c r="A1181" t="inlineStr">
        <is>
          <t>Jatamansi</t>
        </is>
      </c>
      <c r="B1181" t="inlineStr">
        <is>
          <t>Isatis</t>
        </is>
      </c>
      <c r="C1181" t="n">
        <v>0</v>
      </c>
      <c r="D1181" t="n">
        <v>1</v>
      </c>
      <c r="E1181" t="n">
        <v>0</v>
      </c>
      <c r="F1181" t="inlineStr">
        <is>
          <t>General</t>
        </is>
      </c>
      <c r="G1181" t="inlineStr">
        <is>
          <t>General</t>
        </is>
      </c>
      <c r="H1181" t="inlineStr">
        <is>
          <t>General</t>
        </is>
      </c>
      <c r="I1181" t="inlineStr">
        <is>
          <t>General</t>
        </is>
      </c>
      <c r="K1181" t="inlineStr">
        <is>
          <t>unclassified</t>
        </is>
      </c>
      <c r="M1181" t="n">
        <v>50</v>
      </c>
    </row>
    <row r="1182">
      <c r="A1182" t="inlineStr">
        <is>
          <t>Jatamansi</t>
        </is>
      </c>
      <c r="B1182" t="inlineStr">
        <is>
          <t>Lemongrass</t>
        </is>
      </c>
      <c r="C1182" t="n">
        <v>0</v>
      </c>
      <c r="D1182" t="n">
        <v>1</v>
      </c>
      <c r="E1182" t="n">
        <v>0</v>
      </c>
      <c r="F1182" t="inlineStr">
        <is>
          <t>General</t>
        </is>
      </c>
      <c r="G1182" t="inlineStr">
        <is>
          <t>General</t>
        </is>
      </c>
      <c r="H1182" t="inlineStr">
        <is>
          <t>General</t>
        </is>
      </c>
      <c r="I1182" t="inlineStr">
        <is>
          <t>General</t>
        </is>
      </c>
      <c r="K1182" t="inlineStr">
        <is>
          <t>unclassified</t>
        </is>
      </c>
      <c r="M1182" t="n">
        <v>50</v>
      </c>
    </row>
    <row r="1183">
      <c r="A1183" t="inlineStr">
        <is>
          <t>Jatamansi</t>
        </is>
      </c>
      <c r="B1183" t="inlineStr">
        <is>
          <t>Longan</t>
        </is>
      </c>
      <c r="C1183" t="n">
        <v>0</v>
      </c>
      <c r="D1183" t="n">
        <v>1</v>
      </c>
      <c r="E1183" t="n">
        <v>0</v>
      </c>
      <c r="F1183" t="inlineStr">
        <is>
          <t>General</t>
        </is>
      </c>
      <c r="G1183" t="inlineStr">
        <is>
          <t>General</t>
        </is>
      </c>
      <c r="H1183" t="inlineStr">
        <is>
          <t>General</t>
        </is>
      </c>
      <c r="I1183" t="inlineStr">
        <is>
          <t>General</t>
        </is>
      </c>
      <c r="K1183" t="inlineStr">
        <is>
          <t>unclassified</t>
        </is>
      </c>
      <c r="M1183" t="n">
        <v>50</v>
      </c>
    </row>
    <row r="1184">
      <c r="A1184" t="inlineStr">
        <is>
          <t>Jatamansi</t>
        </is>
      </c>
      <c r="B1184" t="inlineStr">
        <is>
          <t>Maitake D-Fraction</t>
        </is>
      </c>
      <c r="C1184" t="n">
        <v>0</v>
      </c>
      <c r="D1184" t="n">
        <v>1</v>
      </c>
      <c r="E1184" t="n">
        <v>0</v>
      </c>
      <c r="F1184" t="inlineStr">
        <is>
          <t>General</t>
        </is>
      </c>
      <c r="G1184" t="inlineStr">
        <is>
          <t>General</t>
        </is>
      </c>
      <c r="H1184" t="inlineStr">
        <is>
          <t>General</t>
        </is>
      </c>
      <c r="I1184" t="inlineStr">
        <is>
          <t>General</t>
        </is>
      </c>
      <c r="K1184" t="inlineStr">
        <is>
          <t>unclassified</t>
        </is>
      </c>
      <c r="M1184" t="n">
        <v>50</v>
      </c>
    </row>
    <row r="1185">
      <c r="A1185" t="inlineStr">
        <is>
          <t>Jatamansi</t>
        </is>
      </c>
      <c r="B1185" t="inlineStr">
        <is>
          <t>Muira Puama</t>
        </is>
      </c>
      <c r="C1185" t="n">
        <v>0</v>
      </c>
      <c r="D1185" t="n">
        <v>1</v>
      </c>
      <c r="E1185" t="n">
        <v>0</v>
      </c>
      <c r="F1185" t="inlineStr">
        <is>
          <t>General</t>
        </is>
      </c>
      <c r="G1185" t="inlineStr">
        <is>
          <t>General</t>
        </is>
      </c>
      <c r="H1185" t="inlineStr">
        <is>
          <t>General</t>
        </is>
      </c>
      <c r="I1185" t="inlineStr">
        <is>
          <t>General</t>
        </is>
      </c>
      <c r="K1185" t="inlineStr">
        <is>
          <t>unclassified</t>
        </is>
      </c>
      <c r="M1185" t="n">
        <v>50</v>
      </c>
    </row>
    <row r="1186">
      <c r="A1186" t="inlineStr">
        <is>
          <t>Jatamansi</t>
        </is>
      </c>
      <c r="B1186" t="inlineStr">
        <is>
          <t>Nettle Root</t>
        </is>
      </c>
      <c r="C1186" t="n">
        <v>0</v>
      </c>
      <c r="D1186" t="n">
        <v>1</v>
      </c>
      <c r="E1186" t="n">
        <v>0</v>
      </c>
      <c r="F1186" t="inlineStr">
        <is>
          <t>General</t>
        </is>
      </c>
      <c r="G1186" t="inlineStr">
        <is>
          <t>General</t>
        </is>
      </c>
      <c r="H1186" t="inlineStr">
        <is>
          <t>General</t>
        </is>
      </c>
      <c r="I1186" t="inlineStr">
        <is>
          <t>General</t>
        </is>
      </c>
      <c r="K1186" t="inlineStr">
        <is>
          <t>unclassified</t>
        </is>
      </c>
      <c r="M1186" t="n">
        <v>50</v>
      </c>
    </row>
    <row r="1187">
      <c r="A1187" t="inlineStr">
        <is>
          <t>Jatamansi</t>
        </is>
      </c>
      <c r="B1187" t="inlineStr">
        <is>
          <t>Passionflower</t>
        </is>
      </c>
      <c r="C1187" t="n">
        <v>0</v>
      </c>
      <c r="D1187" t="n">
        <v>1</v>
      </c>
      <c r="E1187" t="n">
        <v>0</v>
      </c>
      <c r="F1187" t="inlineStr">
        <is>
          <t>General</t>
        </is>
      </c>
      <c r="G1187" t="inlineStr">
        <is>
          <t>General</t>
        </is>
      </c>
      <c r="H1187" t="inlineStr">
        <is>
          <t>General</t>
        </is>
      </c>
      <c r="I1187" t="inlineStr">
        <is>
          <t>General</t>
        </is>
      </c>
      <c r="K1187" t="inlineStr">
        <is>
          <t>unclassified</t>
        </is>
      </c>
      <c r="M1187" t="n">
        <v>50</v>
      </c>
    </row>
    <row r="1188">
      <c r="A1188" t="inlineStr">
        <is>
          <t>Jatamansi</t>
        </is>
      </c>
      <c r="B1188" t="inlineStr">
        <is>
          <t>Perilla</t>
        </is>
      </c>
      <c r="C1188" t="n">
        <v>0</v>
      </c>
      <c r="D1188" t="n">
        <v>1</v>
      </c>
      <c r="E1188" t="n">
        <v>0</v>
      </c>
      <c r="F1188" t="inlineStr">
        <is>
          <t>General</t>
        </is>
      </c>
      <c r="G1188" t="inlineStr">
        <is>
          <t>General</t>
        </is>
      </c>
      <c r="H1188" t="inlineStr">
        <is>
          <t>General</t>
        </is>
      </c>
      <c r="I1188" t="inlineStr">
        <is>
          <t>General</t>
        </is>
      </c>
      <c r="K1188" t="inlineStr">
        <is>
          <t>unclassified</t>
        </is>
      </c>
      <c r="M1188" t="n">
        <v>50</v>
      </c>
    </row>
    <row r="1189">
      <c r="A1189" t="inlineStr">
        <is>
          <t>Jatamansi</t>
        </is>
      </c>
      <c r="B1189" t="inlineStr">
        <is>
          <t>Poria</t>
        </is>
      </c>
      <c r="C1189" t="n">
        <v>0</v>
      </c>
      <c r="D1189" t="n">
        <v>1</v>
      </c>
      <c r="E1189" t="n">
        <v>0</v>
      </c>
      <c r="F1189" t="inlineStr">
        <is>
          <t>General</t>
        </is>
      </c>
      <c r="G1189" t="inlineStr">
        <is>
          <t>General</t>
        </is>
      </c>
      <c r="H1189" t="inlineStr">
        <is>
          <t>General</t>
        </is>
      </c>
      <c r="I1189" t="inlineStr">
        <is>
          <t>General</t>
        </is>
      </c>
      <c r="K1189" t="inlineStr">
        <is>
          <t>unclassified</t>
        </is>
      </c>
      <c r="M1189" t="n">
        <v>50</v>
      </c>
    </row>
    <row r="1190">
      <c r="A1190" t="inlineStr">
        <is>
          <t>Jatamansi</t>
        </is>
      </c>
      <c r="B1190" t="inlineStr">
        <is>
          <t>Punarnava</t>
        </is>
      </c>
      <c r="C1190" t="n">
        <v>0</v>
      </c>
      <c r="D1190" t="n">
        <v>1</v>
      </c>
      <c r="E1190" t="n">
        <v>0</v>
      </c>
      <c r="F1190" t="inlineStr">
        <is>
          <t>General</t>
        </is>
      </c>
      <c r="G1190" t="inlineStr">
        <is>
          <t>General</t>
        </is>
      </c>
      <c r="H1190" t="inlineStr">
        <is>
          <t>General</t>
        </is>
      </c>
      <c r="I1190" t="inlineStr">
        <is>
          <t>General</t>
        </is>
      </c>
      <c r="K1190" t="inlineStr">
        <is>
          <t>unclassified</t>
        </is>
      </c>
      <c r="M1190" t="n">
        <v>50</v>
      </c>
    </row>
    <row r="1191">
      <c r="A1191" t="inlineStr">
        <is>
          <t>Jatamansi</t>
        </is>
      </c>
      <c r="B1191" t="inlineStr">
        <is>
          <t>Rehmannia Prepared</t>
        </is>
      </c>
      <c r="C1191" t="n">
        <v>0</v>
      </c>
      <c r="D1191" t="n">
        <v>1</v>
      </c>
      <c r="E1191" t="n">
        <v>0</v>
      </c>
      <c r="F1191" t="inlineStr">
        <is>
          <t>General</t>
        </is>
      </c>
      <c r="G1191" t="inlineStr">
        <is>
          <t>General</t>
        </is>
      </c>
      <c r="H1191" t="inlineStr">
        <is>
          <t>General</t>
        </is>
      </c>
      <c r="I1191" t="inlineStr">
        <is>
          <t>General</t>
        </is>
      </c>
      <c r="K1191" t="inlineStr">
        <is>
          <t>unclassified</t>
        </is>
      </c>
      <c r="M1191" t="n">
        <v>50</v>
      </c>
    </row>
    <row r="1192">
      <c r="A1192" t="inlineStr">
        <is>
          <t>Jatamansi</t>
        </is>
      </c>
      <c r="B1192" t="inlineStr">
        <is>
          <t>Reishi</t>
        </is>
      </c>
      <c r="C1192" t="n">
        <v>0</v>
      </c>
      <c r="D1192" t="n">
        <v>1</v>
      </c>
      <c r="E1192" t="n">
        <v>0</v>
      </c>
      <c r="F1192" t="inlineStr">
        <is>
          <t>General</t>
        </is>
      </c>
      <c r="G1192" t="inlineStr">
        <is>
          <t>General</t>
        </is>
      </c>
      <c r="H1192" t="inlineStr">
        <is>
          <t>General</t>
        </is>
      </c>
      <c r="I1192" t="inlineStr">
        <is>
          <t>General</t>
        </is>
      </c>
      <c r="K1192" t="inlineStr">
        <is>
          <t>unclassified</t>
        </is>
      </c>
      <c r="M1192" t="n">
        <v>50</v>
      </c>
    </row>
    <row r="1193">
      <c r="A1193" t="inlineStr">
        <is>
          <t>Jatamansi</t>
        </is>
      </c>
      <c r="B1193" t="inlineStr">
        <is>
          <t>Sophora Flavescens</t>
        </is>
      </c>
      <c r="C1193" t="n">
        <v>0</v>
      </c>
      <c r="D1193" t="n">
        <v>1</v>
      </c>
      <c r="E1193" t="n">
        <v>0</v>
      </c>
      <c r="F1193" t="inlineStr">
        <is>
          <t>General</t>
        </is>
      </c>
      <c r="G1193" t="inlineStr">
        <is>
          <t>General</t>
        </is>
      </c>
      <c r="H1193" t="inlineStr">
        <is>
          <t>General</t>
        </is>
      </c>
      <c r="I1193" t="inlineStr">
        <is>
          <t>General</t>
        </is>
      </c>
      <c r="K1193" t="inlineStr">
        <is>
          <t>unclassified</t>
        </is>
      </c>
      <c r="M1193" t="n">
        <v>50</v>
      </c>
    </row>
    <row r="1194">
      <c r="A1194" t="inlineStr">
        <is>
          <t>Jatamansi</t>
        </is>
      </c>
      <c r="B1194" t="inlineStr">
        <is>
          <t>Soursop</t>
        </is>
      </c>
      <c r="C1194" t="n">
        <v>0</v>
      </c>
      <c r="D1194" t="n">
        <v>1</v>
      </c>
      <c r="E1194" t="n">
        <v>0</v>
      </c>
      <c r="F1194" t="inlineStr">
        <is>
          <t>General</t>
        </is>
      </c>
      <c r="G1194" t="inlineStr">
        <is>
          <t>General</t>
        </is>
      </c>
      <c r="H1194" t="inlineStr">
        <is>
          <t>General</t>
        </is>
      </c>
      <c r="I1194" t="inlineStr">
        <is>
          <t>General</t>
        </is>
      </c>
      <c r="K1194" t="inlineStr">
        <is>
          <t>unclassified</t>
        </is>
      </c>
      <c r="M1194" t="n">
        <v>50</v>
      </c>
    </row>
    <row r="1195">
      <c r="A1195" t="inlineStr">
        <is>
          <t>Jatamansi</t>
        </is>
      </c>
      <c r="B1195" t="inlineStr">
        <is>
          <t>Tamarind</t>
        </is>
      </c>
      <c r="C1195" t="n">
        <v>0</v>
      </c>
      <c r="D1195" t="n">
        <v>1</v>
      </c>
      <c r="E1195" t="n">
        <v>0</v>
      </c>
      <c r="F1195" t="inlineStr">
        <is>
          <t>General</t>
        </is>
      </c>
      <c r="G1195" t="inlineStr">
        <is>
          <t>General</t>
        </is>
      </c>
      <c r="H1195" t="inlineStr">
        <is>
          <t>General</t>
        </is>
      </c>
      <c r="I1195" t="inlineStr">
        <is>
          <t>General</t>
        </is>
      </c>
      <c r="K1195" t="inlineStr">
        <is>
          <t>unclassified</t>
        </is>
      </c>
      <c r="M1195" t="n">
        <v>50</v>
      </c>
    </row>
    <row r="1196">
      <c r="A1196" t="inlineStr">
        <is>
          <t>Jatamansi</t>
        </is>
      </c>
      <c r="B1196" t="inlineStr">
        <is>
          <t>White Peony</t>
        </is>
      </c>
      <c r="C1196" t="n">
        <v>0</v>
      </c>
      <c r="D1196" t="n">
        <v>1</v>
      </c>
      <c r="E1196" t="n">
        <v>0</v>
      </c>
      <c r="F1196" t="inlineStr">
        <is>
          <t>General</t>
        </is>
      </c>
      <c r="G1196" t="inlineStr">
        <is>
          <t>General</t>
        </is>
      </c>
      <c r="H1196" t="inlineStr">
        <is>
          <t>General</t>
        </is>
      </c>
      <c r="I1196" t="inlineStr">
        <is>
          <t>General</t>
        </is>
      </c>
      <c r="K1196" t="inlineStr">
        <is>
          <t>unclassified</t>
        </is>
      </c>
      <c r="M1196" t="n">
        <v>50</v>
      </c>
    </row>
    <row r="1197">
      <c r="A1197" t="inlineStr">
        <is>
          <t>Jatamansi</t>
        </is>
      </c>
      <c r="B1197" t="inlineStr">
        <is>
          <t>Yohimbe</t>
        </is>
      </c>
      <c r="C1197" t="n">
        <v>0</v>
      </c>
      <c r="D1197" t="n">
        <v>1</v>
      </c>
      <c r="E1197" t="n">
        <v>0</v>
      </c>
      <c r="F1197" t="inlineStr">
        <is>
          <t>General</t>
        </is>
      </c>
      <c r="G1197" t="inlineStr">
        <is>
          <t>General</t>
        </is>
      </c>
      <c r="H1197" t="inlineStr">
        <is>
          <t>General</t>
        </is>
      </c>
      <c r="I1197" t="inlineStr">
        <is>
          <t>General</t>
        </is>
      </c>
      <c r="K1197" t="inlineStr">
        <is>
          <t>unclassified</t>
        </is>
      </c>
      <c r="M1197" t="n">
        <v>50</v>
      </c>
    </row>
    <row r="1198">
      <c r="A1198" t="inlineStr">
        <is>
          <t>Juniper</t>
        </is>
      </c>
      <c r="B1198" t="inlineStr">
        <is>
          <t>Mangosteen</t>
        </is>
      </c>
      <c r="C1198" t="n">
        <v>0</v>
      </c>
      <c r="D1198" t="n">
        <v>1</v>
      </c>
      <c r="E1198" t="n">
        <v>0</v>
      </c>
      <c r="F1198" t="inlineStr">
        <is>
          <t>General</t>
        </is>
      </c>
      <c r="G1198" t="inlineStr">
        <is>
          <t>General</t>
        </is>
      </c>
      <c r="H1198" t="inlineStr">
        <is>
          <t>General</t>
        </is>
      </c>
      <c r="I1198" t="inlineStr">
        <is>
          <t>General</t>
        </is>
      </c>
      <c r="K1198" t="inlineStr">
        <is>
          <t>adrenergic signaling</t>
        </is>
      </c>
      <c r="M1198" t="n">
        <v>50</v>
      </c>
    </row>
    <row r="1199">
      <c r="A1199" t="inlineStr">
        <is>
          <t>Kava</t>
        </is>
      </c>
      <c r="B1199" t="inlineStr">
        <is>
          <t>Agarikon</t>
        </is>
      </c>
      <c r="C1199" t="n">
        <v>0</v>
      </c>
      <c r="D1199" t="n">
        <v>1</v>
      </c>
      <c r="E1199" t="n">
        <v>0</v>
      </c>
      <c r="F1199" t="inlineStr">
        <is>
          <t>General</t>
        </is>
      </c>
      <c r="G1199" t="inlineStr">
        <is>
          <t>General</t>
        </is>
      </c>
      <c r="H1199" t="inlineStr">
        <is>
          <t>General</t>
        </is>
      </c>
      <c r="I1199" t="inlineStr">
        <is>
          <t>General</t>
        </is>
      </c>
      <c r="K1199" t="inlineStr">
        <is>
          <t>unclassified</t>
        </is>
      </c>
      <c r="M1199" t="n">
        <v>50</v>
      </c>
    </row>
    <row r="1200">
      <c r="A1200" t="inlineStr">
        <is>
          <t>Kava</t>
        </is>
      </c>
      <c r="B1200" t="inlineStr">
        <is>
          <t>Ajwain</t>
        </is>
      </c>
      <c r="C1200" t="n">
        <v>0</v>
      </c>
      <c r="D1200" t="n">
        <v>1</v>
      </c>
      <c r="E1200" t="n">
        <v>0</v>
      </c>
      <c r="F1200" t="inlineStr">
        <is>
          <t>General</t>
        </is>
      </c>
      <c r="G1200" t="inlineStr">
        <is>
          <t>General</t>
        </is>
      </c>
      <c r="H1200" t="inlineStr">
        <is>
          <t>General</t>
        </is>
      </c>
      <c r="I1200" t="inlineStr">
        <is>
          <t>General</t>
        </is>
      </c>
      <c r="K1200" t="inlineStr">
        <is>
          <t>unclassified</t>
        </is>
      </c>
      <c r="M1200" t="n">
        <v>50</v>
      </c>
    </row>
    <row r="1201">
      <c r="A1201" t="inlineStr">
        <is>
          <t>Kava</t>
        </is>
      </c>
      <c r="B1201" t="inlineStr">
        <is>
          <t>Angelica Root</t>
        </is>
      </c>
      <c r="C1201" t="n">
        <v>0</v>
      </c>
      <c r="D1201" t="n">
        <v>1</v>
      </c>
      <c r="E1201" t="n">
        <v>0</v>
      </c>
      <c r="F1201" t="inlineStr">
        <is>
          <t>General</t>
        </is>
      </c>
      <c r="G1201" t="inlineStr">
        <is>
          <t>General</t>
        </is>
      </c>
      <c r="H1201" t="inlineStr">
        <is>
          <t>General</t>
        </is>
      </c>
      <c r="I1201" t="inlineStr">
        <is>
          <t>General</t>
        </is>
      </c>
      <c r="K1201" t="inlineStr">
        <is>
          <t>unclassified</t>
        </is>
      </c>
      <c r="M1201" t="n">
        <v>50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Rank</t>
        </is>
      </c>
      <c r="B1" t="inlineStr">
        <is>
          <t>Herb A</t>
        </is>
      </c>
      <c r="C1" t="inlineStr">
        <is>
          <t>Herb B</t>
        </is>
      </c>
      <c r="D1" t="inlineStr">
        <is>
          <t>Relationship Score</t>
        </is>
      </c>
      <c r="E1" t="inlineStr">
        <is>
          <t>Shared Compounds</t>
        </is>
      </c>
      <c r="F1" t="inlineStr">
        <is>
          <t>Shared Pathways</t>
        </is>
      </c>
      <c r="G1" t="inlineStr">
        <is>
          <t>Shared Specificity</t>
        </is>
      </c>
      <c r="H1" t="inlineStr">
        <is>
          <t>Cluster Pair</t>
        </is>
      </c>
    </row>
    <row r="2">
      <c r="A2" t="n">
        <v>1</v>
      </c>
      <c r="B2" t="inlineStr">
        <is>
          <t>Gymnema</t>
        </is>
      </c>
      <c r="C2" t="inlineStr">
        <is>
          <t>Gudmar</t>
        </is>
      </c>
      <c r="D2" t="n">
        <v>95</v>
      </c>
      <c r="E2" t="inlineStr">
        <is>
          <t>gymnemic acids</t>
        </is>
      </c>
      <c r="F2" t="inlineStr">
        <is>
          <t>unclassified</t>
        </is>
      </c>
      <c r="H2" t="inlineStr">
        <is>
          <t>General ↔ General</t>
        </is>
      </c>
    </row>
    <row r="3">
      <c r="A3" t="n">
        <v>2</v>
      </c>
      <c r="B3" t="inlineStr">
        <is>
          <t>Holy Basil</t>
        </is>
      </c>
      <c r="C3" t="inlineStr">
        <is>
          <t>Holy Basil Purple</t>
        </is>
      </c>
      <c r="D3" t="n">
        <v>95</v>
      </c>
      <c r="E3" t="inlineStr">
        <is>
          <t>eugenol</t>
        </is>
      </c>
      <c r="F3" t="inlineStr">
        <is>
          <t>unclassified</t>
        </is>
      </c>
      <c r="H3" t="inlineStr">
        <is>
          <t>Adaptogenic ↔ Adaptogenic</t>
        </is>
      </c>
    </row>
    <row r="4">
      <c r="A4" t="n">
        <v>3</v>
      </c>
      <c r="B4" t="inlineStr">
        <is>
          <t>Maitake D-Fraction</t>
        </is>
      </c>
      <c r="C4" t="inlineStr">
        <is>
          <t>Reishi</t>
        </is>
      </c>
      <c r="D4" t="n">
        <v>95</v>
      </c>
      <c r="E4" t="inlineStr">
        <is>
          <t>beta-glucans</t>
        </is>
      </c>
      <c r="F4" t="inlineStr">
        <is>
          <t>unclassified</t>
        </is>
      </c>
      <c r="H4" t="inlineStr">
        <is>
          <t>General ↔ General</t>
        </is>
      </c>
    </row>
    <row r="5">
      <c r="A5" t="n">
        <v>4</v>
      </c>
      <c r="B5" t="inlineStr">
        <is>
          <t>Muira Puama</t>
        </is>
      </c>
      <c r="C5" t="inlineStr">
        <is>
          <t>Nettle Root</t>
        </is>
      </c>
      <c r="D5" t="n">
        <v>95</v>
      </c>
      <c r="E5" t="inlineStr">
        <is>
          <t>beta-sitosterol</t>
        </is>
      </c>
      <c r="F5" t="inlineStr">
        <is>
          <t>unclassified</t>
        </is>
      </c>
      <c r="H5" t="inlineStr">
        <is>
          <t>General ↔ General</t>
        </is>
      </c>
    </row>
    <row r="6">
      <c r="A6" t="n">
        <v>5</v>
      </c>
      <c r="B6" t="inlineStr">
        <is>
          <t>Rosemary</t>
        </is>
      </c>
      <c r="C6" t="inlineStr">
        <is>
          <t>Ajwain</t>
        </is>
      </c>
      <c r="D6" t="n">
        <v>65</v>
      </c>
      <c r="E6" t="inlineStr">
        <is>
          <t>thymol</t>
        </is>
      </c>
      <c r="F6" t="inlineStr">
        <is>
          <t>unclassified</t>
        </is>
      </c>
      <c r="H6" t="inlineStr">
        <is>
          <t>General ↔ General</t>
        </is>
      </c>
    </row>
    <row r="7">
      <c r="A7" t="n">
        <v>6</v>
      </c>
      <c r="B7" t="inlineStr">
        <is>
          <t>Sage</t>
        </is>
      </c>
      <c r="C7" t="inlineStr">
        <is>
          <t>Ajwain</t>
        </is>
      </c>
      <c r="D7" t="n">
        <v>65</v>
      </c>
      <c r="E7" t="inlineStr">
        <is>
          <t>carvacrol</t>
        </is>
      </c>
      <c r="F7" t="inlineStr">
        <is>
          <t>unclassified</t>
        </is>
      </c>
      <c r="H7" t="inlineStr">
        <is>
          <t>General ↔ General</t>
        </is>
      </c>
    </row>
    <row r="8">
      <c r="A8" t="n">
        <v>7</v>
      </c>
      <c r="B8" t="inlineStr">
        <is>
          <t>Damiana</t>
        </is>
      </c>
      <c r="C8" t="inlineStr">
        <is>
          <t>Blue Lotus</t>
        </is>
      </c>
      <c r="D8" t="n">
        <v>59</v>
      </c>
      <c r="E8" t="inlineStr">
        <is>
          <t>nuciferine</t>
        </is>
      </c>
      <c r="F8" t="inlineStr">
        <is>
          <t>unclassified</t>
        </is>
      </c>
      <c r="H8" t="inlineStr">
        <is>
          <t>General ↔ General</t>
        </is>
      </c>
    </row>
    <row r="9">
      <c r="A9" t="n">
        <v>8</v>
      </c>
      <c r="B9" t="inlineStr">
        <is>
          <t>Turmeric</t>
        </is>
      </c>
      <c r="C9" t="inlineStr">
        <is>
          <t>Dong Quai</t>
        </is>
      </c>
      <c r="D9" t="n">
        <v>59</v>
      </c>
      <c r="E9" t="inlineStr">
        <is>
          <t>curcumin</t>
        </is>
      </c>
      <c r="F9" t="inlineStr">
        <is>
          <t>unclassified</t>
        </is>
      </c>
      <c r="H9" t="inlineStr">
        <is>
          <t>General ↔ General</t>
        </is>
      </c>
    </row>
    <row r="10">
      <c r="A10" t="n">
        <v>9</v>
      </c>
      <c r="B10" t="inlineStr">
        <is>
          <t>Agarikon</t>
        </is>
      </c>
      <c r="C10" t="inlineStr">
        <is>
          <t>Ajwain</t>
        </is>
      </c>
      <c r="D10" t="n">
        <v>50</v>
      </c>
      <c r="F10" t="inlineStr">
        <is>
          <t>unclassified</t>
        </is>
      </c>
      <c r="H10" t="inlineStr">
        <is>
          <t>General ↔ General</t>
        </is>
      </c>
    </row>
    <row r="11">
      <c r="A11" t="n">
        <v>10</v>
      </c>
      <c r="B11" t="inlineStr">
        <is>
          <t>Agarikon</t>
        </is>
      </c>
      <c r="C11" t="inlineStr">
        <is>
          <t>Angelica Root</t>
        </is>
      </c>
      <c r="D11" t="n">
        <v>50</v>
      </c>
      <c r="F11" t="inlineStr">
        <is>
          <t>unclassified</t>
        </is>
      </c>
      <c r="H11" t="inlineStr">
        <is>
          <t>General ↔ General</t>
        </is>
      </c>
    </row>
    <row r="12">
      <c r="A12" t="n">
        <v>11</v>
      </c>
      <c r="B12" t="inlineStr">
        <is>
          <t>Agarikon</t>
        </is>
      </c>
      <c r="C12" t="inlineStr">
        <is>
          <t>Caraway</t>
        </is>
      </c>
      <c r="D12" t="n">
        <v>50</v>
      </c>
      <c r="F12" t="inlineStr">
        <is>
          <t>unclassified</t>
        </is>
      </c>
      <c r="H12" t="inlineStr">
        <is>
          <t>General ↔ General</t>
        </is>
      </c>
    </row>
    <row r="13">
      <c r="A13" t="n">
        <v>12</v>
      </c>
      <c r="B13" t="inlineStr">
        <is>
          <t>Agarikon</t>
        </is>
      </c>
      <c r="C13" t="inlineStr">
        <is>
          <t>Cardamom</t>
        </is>
      </c>
      <c r="D13" t="n">
        <v>50</v>
      </c>
      <c r="F13" t="inlineStr">
        <is>
          <t>unclassified</t>
        </is>
      </c>
      <c r="H13" t="inlineStr">
        <is>
          <t>General ↔ General</t>
        </is>
      </c>
    </row>
    <row r="14">
      <c r="A14" t="n">
        <v>13</v>
      </c>
      <c r="B14" t="inlineStr">
        <is>
          <t>Agarikon</t>
        </is>
      </c>
      <c r="C14" t="inlineStr">
        <is>
          <t>Celastrus Paniculatus</t>
        </is>
      </c>
      <c r="D14" t="n">
        <v>50</v>
      </c>
      <c r="F14" t="inlineStr">
        <is>
          <t>unclassified</t>
        </is>
      </c>
      <c r="H14" t="inlineStr">
        <is>
          <t>General ↔ General</t>
        </is>
      </c>
    </row>
    <row r="15">
      <c r="A15" t="n">
        <v>14</v>
      </c>
      <c r="B15" t="inlineStr">
        <is>
          <t>Agarikon</t>
        </is>
      </c>
      <c r="C15" t="inlineStr">
        <is>
          <t>Cordyceps</t>
        </is>
      </c>
      <c r="D15" t="n">
        <v>50</v>
      </c>
      <c r="F15" t="inlineStr">
        <is>
          <t>unclassified</t>
        </is>
      </c>
      <c r="H15" t="inlineStr">
        <is>
          <t>General ↔ General</t>
        </is>
      </c>
    </row>
    <row r="16">
      <c r="A16" t="n">
        <v>15</v>
      </c>
      <c r="B16" t="inlineStr">
        <is>
          <t>Agarikon</t>
        </is>
      </c>
      <c r="C16" t="inlineStr">
        <is>
          <t>Elecampane</t>
        </is>
      </c>
      <c r="D16" t="n">
        <v>50</v>
      </c>
      <c r="F16" t="inlineStr">
        <is>
          <t>unclassified</t>
        </is>
      </c>
      <c r="H16" t="inlineStr">
        <is>
          <t>General ↔ General</t>
        </is>
      </c>
    </row>
    <row r="17">
      <c r="A17" t="n">
        <v>16</v>
      </c>
      <c r="B17" t="inlineStr">
        <is>
          <t>Agarikon</t>
        </is>
      </c>
      <c r="C17" t="inlineStr">
        <is>
          <t>Eleuthero</t>
        </is>
      </c>
      <c r="D17" t="n">
        <v>50</v>
      </c>
      <c r="F17" t="inlineStr">
        <is>
          <t>unclassified</t>
        </is>
      </c>
      <c r="H17" t="inlineStr">
        <is>
          <t>General ↔ General</t>
        </is>
      </c>
    </row>
    <row r="18">
      <c r="A18" t="n">
        <v>17</v>
      </c>
      <c r="B18" t="inlineStr">
        <is>
          <t>Agarikon</t>
        </is>
      </c>
      <c r="C18" t="inlineStr">
        <is>
          <t>Galangal</t>
        </is>
      </c>
      <c r="D18" t="n">
        <v>50</v>
      </c>
      <c r="F18" t="inlineStr">
        <is>
          <t>unclassified</t>
        </is>
      </c>
      <c r="H18" t="inlineStr">
        <is>
          <t>General ↔ General</t>
        </is>
      </c>
    </row>
    <row r="19">
      <c r="A19" t="n">
        <v>18</v>
      </c>
      <c r="B19" t="inlineStr">
        <is>
          <t>Agarikon</t>
        </is>
      </c>
      <c r="C19" t="inlineStr">
        <is>
          <t>Gudmar</t>
        </is>
      </c>
      <c r="D19" t="n">
        <v>50</v>
      </c>
      <c r="F19" t="inlineStr">
        <is>
          <t>unclassified</t>
        </is>
      </c>
      <c r="H19" t="inlineStr">
        <is>
          <t>General ↔ General</t>
        </is>
      </c>
    </row>
    <row r="20">
      <c r="A20" t="n">
        <v>19</v>
      </c>
      <c r="B20" t="inlineStr">
        <is>
          <t>Agarikon</t>
        </is>
      </c>
      <c r="C20" t="inlineStr">
        <is>
          <t>Nettle Root</t>
        </is>
      </c>
      <c r="D20" t="n">
        <v>50</v>
      </c>
      <c r="F20" t="inlineStr">
        <is>
          <t>unclassified</t>
        </is>
      </c>
      <c r="H20" t="inlineStr">
        <is>
          <t>General ↔ General</t>
        </is>
      </c>
    </row>
    <row r="21">
      <c r="A21" t="n">
        <v>20</v>
      </c>
      <c r="B21" t="inlineStr">
        <is>
          <t>Agarikon</t>
        </is>
      </c>
      <c r="C21" t="inlineStr">
        <is>
          <t>Passionflower</t>
        </is>
      </c>
      <c r="D21" t="n">
        <v>50</v>
      </c>
      <c r="F21" t="inlineStr">
        <is>
          <t>unclassified</t>
        </is>
      </c>
      <c r="H21" t="inlineStr">
        <is>
          <t>General ↔ General</t>
        </is>
      </c>
    </row>
    <row r="22">
      <c r="A22" t="n">
        <v>21</v>
      </c>
      <c r="B22" t="inlineStr">
        <is>
          <t>Agarikon</t>
        </is>
      </c>
      <c r="C22" t="inlineStr">
        <is>
          <t>Punarnava</t>
        </is>
      </c>
      <c r="D22" t="n">
        <v>50</v>
      </c>
      <c r="F22" t="inlineStr">
        <is>
          <t>unclassified</t>
        </is>
      </c>
      <c r="H22" t="inlineStr">
        <is>
          <t>General ↔ General</t>
        </is>
      </c>
    </row>
    <row r="23">
      <c r="A23" t="n">
        <v>22</v>
      </c>
      <c r="B23" t="inlineStr">
        <is>
          <t>Agarikon</t>
        </is>
      </c>
      <c r="C23" t="inlineStr">
        <is>
          <t>Reishi</t>
        </is>
      </c>
      <c r="D23" t="n">
        <v>50</v>
      </c>
      <c r="F23" t="inlineStr">
        <is>
          <t>unclassified</t>
        </is>
      </c>
      <c r="H23" t="inlineStr">
        <is>
          <t>General ↔ General</t>
        </is>
      </c>
    </row>
    <row r="24">
      <c r="A24" t="n">
        <v>23</v>
      </c>
      <c r="B24" t="inlineStr">
        <is>
          <t>Agarikon</t>
        </is>
      </c>
      <c r="C24" t="inlineStr">
        <is>
          <t>Tamarind</t>
        </is>
      </c>
      <c r="D24" t="n">
        <v>50</v>
      </c>
      <c r="F24" t="inlineStr">
        <is>
          <t>unclassified</t>
        </is>
      </c>
      <c r="H24" t="inlineStr">
        <is>
          <t>General ↔ General</t>
        </is>
      </c>
    </row>
    <row r="25">
      <c r="A25" t="n">
        <v>24</v>
      </c>
      <c r="B25" t="inlineStr">
        <is>
          <t>Agarikon</t>
        </is>
      </c>
      <c r="C25" t="inlineStr">
        <is>
          <t>Yohimbe</t>
        </is>
      </c>
      <c r="D25" t="n">
        <v>50</v>
      </c>
      <c r="F25" t="inlineStr">
        <is>
          <t>unclassified</t>
        </is>
      </c>
      <c r="H25" t="inlineStr">
        <is>
          <t>General ↔ General</t>
        </is>
      </c>
    </row>
    <row r="26">
      <c r="A26" t="n">
        <v>25</v>
      </c>
      <c r="B26" t="inlineStr">
        <is>
          <t>Ajwain</t>
        </is>
      </c>
      <c r="C26" t="inlineStr">
        <is>
          <t>Celastrus Paniculatus</t>
        </is>
      </c>
      <c r="D26" t="n">
        <v>50</v>
      </c>
      <c r="F26" t="inlineStr">
        <is>
          <t>unclassified</t>
        </is>
      </c>
      <c r="H26" t="inlineStr">
        <is>
          <t>General ↔ General</t>
        </is>
      </c>
    </row>
    <row r="27">
      <c r="A27" t="n">
        <v>26</v>
      </c>
      <c r="B27" t="inlineStr">
        <is>
          <t>Ajwain</t>
        </is>
      </c>
      <c r="C27" t="inlineStr">
        <is>
          <t>Cordyceps</t>
        </is>
      </c>
      <c r="D27" t="n">
        <v>50</v>
      </c>
      <c r="F27" t="inlineStr">
        <is>
          <t>unclassified</t>
        </is>
      </c>
      <c r="H27" t="inlineStr">
        <is>
          <t>General ↔ General</t>
        </is>
      </c>
    </row>
    <row r="28">
      <c r="A28" t="n">
        <v>27</v>
      </c>
      <c r="B28" t="inlineStr">
        <is>
          <t>Ajwain</t>
        </is>
      </c>
      <c r="C28" t="inlineStr">
        <is>
          <t>Eleuthero</t>
        </is>
      </c>
      <c r="D28" t="n">
        <v>50</v>
      </c>
      <c r="F28" t="inlineStr">
        <is>
          <t>unclassified</t>
        </is>
      </c>
      <c r="H28" t="inlineStr">
        <is>
          <t>General ↔ General</t>
        </is>
      </c>
    </row>
    <row r="29">
      <c r="A29" t="n">
        <v>28</v>
      </c>
      <c r="B29" t="inlineStr">
        <is>
          <t>Ajwain</t>
        </is>
      </c>
      <c r="C29" t="inlineStr">
        <is>
          <t>Gudmar</t>
        </is>
      </c>
      <c r="D29" t="n">
        <v>50</v>
      </c>
      <c r="F29" t="inlineStr">
        <is>
          <t>unclassified</t>
        </is>
      </c>
      <c r="H29" t="inlineStr">
        <is>
          <t>General ↔ General</t>
        </is>
      </c>
    </row>
    <row r="30">
      <c r="A30" t="n">
        <v>29</v>
      </c>
      <c r="B30" t="inlineStr">
        <is>
          <t>Ajwain</t>
        </is>
      </c>
      <c r="C30" t="inlineStr">
        <is>
          <t>Nettle Root</t>
        </is>
      </c>
      <c r="D30" t="n">
        <v>50</v>
      </c>
      <c r="F30" t="inlineStr">
        <is>
          <t>unclassified</t>
        </is>
      </c>
      <c r="H30" t="inlineStr">
        <is>
          <t>General ↔ General</t>
        </is>
      </c>
    </row>
    <row r="31">
      <c r="A31" t="n">
        <v>30</v>
      </c>
      <c r="B31" t="inlineStr">
        <is>
          <t>Ajwain</t>
        </is>
      </c>
      <c r="C31" t="inlineStr">
        <is>
          <t>Passionflower</t>
        </is>
      </c>
      <c r="D31" t="n">
        <v>50</v>
      </c>
      <c r="F31" t="inlineStr">
        <is>
          <t>unclassified</t>
        </is>
      </c>
      <c r="H31" t="inlineStr">
        <is>
          <t>General ↔ General</t>
        </is>
      </c>
    </row>
    <row r="32">
      <c r="A32" t="n">
        <v>31</v>
      </c>
      <c r="B32" t="inlineStr">
        <is>
          <t>Ajwain</t>
        </is>
      </c>
      <c r="C32" t="inlineStr">
        <is>
          <t>Punarnava</t>
        </is>
      </c>
      <c r="D32" t="n">
        <v>50</v>
      </c>
      <c r="F32" t="inlineStr">
        <is>
          <t>unclassified</t>
        </is>
      </c>
      <c r="H32" t="inlineStr">
        <is>
          <t>General ↔ General</t>
        </is>
      </c>
    </row>
    <row r="33">
      <c r="A33" t="n">
        <v>32</v>
      </c>
      <c r="B33" t="inlineStr">
        <is>
          <t>Ajwain</t>
        </is>
      </c>
      <c r="C33" t="inlineStr">
        <is>
          <t>Reishi</t>
        </is>
      </c>
      <c r="D33" t="n">
        <v>50</v>
      </c>
      <c r="F33" t="inlineStr">
        <is>
          <t>unclassified</t>
        </is>
      </c>
      <c r="H33" t="inlineStr">
        <is>
          <t>General ↔ General</t>
        </is>
      </c>
    </row>
    <row r="34">
      <c r="A34" t="n">
        <v>33</v>
      </c>
      <c r="B34" t="inlineStr">
        <is>
          <t>Ajwain</t>
        </is>
      </c>
      <c r="C34" t="inlineStr">
        <is>
          <t>Tamarind</t>
        </is>
      </c>
      <c r="D34" t="n">
        <v>50</v>
      </c>
      <c r="F34" t="inlineStr">
        <is>
          <t>unclassified</t>
        </is>
      </c>
      <c r="H34" t="inlineStr">
        <is>
          <t>General ↔ General</t>
        </is>
      </c>
    </row>
    <row r="35">
      <c r="A35" t="n">
        <v>34</v>
      </c>
      <c r="B35" t="inlineStr">
        <is>
          <t>Ajwain</t>
        </is>
      </c>
      <c r="C35" t="inlineStr">
        <is>
          <t>Yohimbe</t>
        </is>
      </c>
      <c r="D35" t="n">
        <v>50</v>
      </c>
      <c r="F35" t="inlineStr">
        <is>
          <t>unclassified</t>
        </is>
      </c>
      <c r="H35" t="inlineStr">
        <is>
          <t>General ↔ General</t>
        </is>
      </c>
    </row>
    <row r="36">
      <c r="A36" t="n">
        <v>35</v>
      </c>
      <c r="B36" t="inlineStr">
        <is>
          <t>Angelica Root</t>
        </is>
      </c>
      <c r="C36" t="inlineStr">
        <is>
          <t>Ajwain</t>
        </is>
      </c>
      <c r="D36" t="n">
        <v>50</v>
      </c>
      <c r="F36" t="inlineStr">
        <is>
          <t>unclassified</t>
        </is>
      </c>
      <c r="H36" t="inlineStr">
        <is>
          <t>General ↔ General</t>
        </is>
      </c>
    </row>
    <row r="37">
      <c r="A37" t="n">
        <v>36</v>
      </c>
      <c r="B37" t="inlineStr">
        <is>
          <t>Angelica Root</t>
        </is>
      </c>
      <c r="C37" t="inlineStr">
        <is>
          <t>Caraway</t>
        </is>
      </c>
      <c r="D37" t="n">
        <v>50</v>
      </c>
      <c r="F37" t="inlineStr">
        <is>
          <t>unclassified</t>
        </is>
      </c>
      <c r="H37" t="inlineStr">
        <is>
          <t>General ↔ General</t>
        </is>
      </c>
    </row>
    <row r="38">
      <c r="A38" t="n">
        <v>37</v>
      </c>
      <c r="B38" t="inlineStr">
        <is>
          <t>Angelica Root</t>
        </is>
      </c>
      <c r="C38" t="inlineStr">
        <is>
          <t>Cardamom</t>
        </is>
      </c>
      <c r="D38" t="n">
        <v>50</v>
      </c>
      <c r="F38" t="inlineStr">
        <is>
          <t>unclassified</t>
        </is>
      </c>
      <c r="H38" t="inlineStr">
        <is>
          <t>General ↔ General</t>
        </is>
      </c>
    </row>
    <row r="39">
      <c r="A39" t="n">
        <v>38</v>
      </c>
      <c r="B39" t="inlineStr">
        <is>
          <t>Angelica Root</t>
        </is>
      </c>
      <c r="C39" t="inlineStr">
        <is>
          <t>Celastrus Paniculatus</t>
        </is>
      </c>
      <c r="D39" t="n">
        <v>50</v>
      </c>
      <c r="F39" t="inlineStr">
        <is>
          <t>unclassified</t>
        </is>
      </c>
      <c r="H39" t="inlineStr">
        <is>
          <t>General ↔ General</t>
        </is>
      </c>
    </row>
    <row r="40">
      <c r="A40" t="n">
        <v>39</v>
      </c>
      <c r="B40" t="inlineStr">
        <is>
          <t>Angelica Root</t>
        </is>
      </c>
      <c r="C40" t="inlineStr">
        <is>
          <t>Cordyceps</t>
        </is>
      </c>
      <c r="D40" t="n">
        <v>50</v>
      </c>
      <c r="F40" t="inlineStr">
        <is>
          <t>unclassified</t>
        </is>
      </c>
      <c r="H40" t="inlineStr">
        <is>
          <t>General ↔ General</t>
        </is>
      </c>
    </row>
    <row r="41">
      <c r="A41" t="n">
        <v>40</v>
      </c>
      <c r="B41" t="inlineStr">
        <is>
          <t>Angelica Root</t>
        </is>
      </c>
      <c r="C41" t="inlineStr">
        <is>
          <t>Eleuthero</t>
        </is>
      </c>
      <c r="D41" t="n">
        <v>50</v>
      </c>
      <c r="F41" t="inlineStr">
        <is>
          <t>unclassified</t>
        </is>
      </c>
      <c r="H41" t="inlineStr">
        <is>
          <t>General ↔ General</t>
        </is>
      </c>
    </row>
    <row r="42">
      <c r="A42" t="n">
        <v>41</v>
      </c>
      <c r="B42" t="inlineStr">
        <is>
          <t>Angelica Root</t>
        </is>
      </c>
      <c r="C42" t="inlineStr">
        <is>
          <t>Galangal</t>
        </is>
      </c>
      <c r="D42" t="n">
        <v>50</v>
      </c>
      <c r="F42" t="inlineStr">
        <is>
          <t>unclassified</t>
        </is>
      </c>
      <c r="H42" t="inlineStr">
        <is>
          <t>General ↔ General</t>
        </is>
      </c>
    </row>
    <row r="43">
      <c r="A43" t="n">
        <v>42</v>
      </c>
      <c r="B43" t="inlineStr">
        <is>
          <t>Angelica Root</t>
        </is>
      </c>
      <c r="C43" t="inlineStr">
        <is>
          <t>Gudmar</t>
        </is>
      </c>
      <c r="D43" t="n">
        <v>50</v>
      </c>
      <c r="F43" t="inlineStr">
        <is>
          <t>unclassified</t>
        </is>
      </c>
      <c r="H43" t="inlineStr">
        <is>
          <t>General ↔ General</t>
        </is>
      </c>
    </row>
    <row r="44">
      <c r="A44" t="n">
        <v>43</v>
      </c>
      <c r="B44" t="inlineStr">
        <is>
          <t>Angelica Root</t>
        </is>
      </c>
      <c r="C44" t="inlineStr">
        <is>
          <t>Nettle Root</t>
        </is>
      </c>
      <c r="D44" t="n">
        <v>50</v>
      </c>
      <c r="F44" t="inlineStr">
        <is>
          <t>unclassified</t>
        </is>
      </c>
      <c r="H44" t="inlineStr">
        <is>
          <t>General ↔ General</t>
        </is>
      </c>
    </row>
    <row r="45">
      <c r="A45" t="n">
        <v>44</v>
      </c>
      <c r="B45" t="inlineStr">
        <is>
          <t>Angelica Root</t>
        </is>
      </c>
      <c r="C45" t="inlineStr">
        <is>
          <t>Passionflower</t>
        </is>
      </c>
      <c r="D45" t="n">
        <v>50</v>
      </c>
      <c r="F45" t="inlineStr">
        <is>
          <t>unclassified</t>
        </is>
      </c>
      <c r="H45" t="inlineStr">
        <is>
          <t>General ↔ General</t>
        </is>
      </c>
    </row>
    <row r="46">
      <c r="A46" t="n">
        <v>45</v>
      </c>
      <c r="B46" t="inlineStr">
        <is>
          <t>Angelica Root</t>
        </is>
      </c>
      <c r="C46" t="inlineStr">
        <is>
          <t>Punarnava</t>
        </is>
      </c>
      <c r="D46" t="n">
        <v>50</v>
      </c>
      <c r="F46" t="inlineStr">
        <is>
          <t>unclassified</t>
        </is>
      </c>
      <c r="H46" t="inlineStr">
        <is>
          <t>General ↔ General</t>
        </is>
      </c>
    </row>
    <row r="47">
      <c r="A47" t="n">
        <v>46</v>
      </c>
      <c r="B47" t="inlineStr">
        <is>
          <t>Angelica Root</t>
        </is>
      </c>
      <c r="C47" t="inlineStr">
        <is>
          <t>Reishi</t>
        </is>
      </c>
      <c r="D47" t="n">
        <v>50</v>
      </c>
      <c r="F47" t="inlineStr">
        <is>
          <t>unclassified</t>
        </is>
      </c>
      <c r="H47" t="inlineStr">
        <is>
          <t>General ↔ General</t>
        </is>
      </c>
    </row>
    <row r="48">
      <c r="A48" t="n">
        <v>47</v>
      </c>
      <c r="B48" t="inlineStr">
        <is>
          <t>Angelica Root</t>
        </is>
      </c>
      <c r="C48" t="inlineStr">
        <is>
          <t>Tamarind</t>
        </is>
      </c>
      <c r="D48" t="n">
        <v>50</v>
      </c>
      <c r="F48" t="inlineStr">
        <is>
          <t>unclassified</t>
        </is>
      </c>
      <c r="H48" t="inlineStr">
        <is>
          <t>General ↔ General</t>
        </is>
      </c>
    </row>
    <row r="49">
      <c r="A49" t="n">
        <v>48</v>
      </c>
      <c r="B49" t="inlineStr">
        <is>
          <t>Angelica Root</t>
        </is>
      </c>
      <c r="C49" t="inlineStr">
        <is>
          <t>Yohimbe</t>
        </is>
      </c>
      <c r="D49" t="n">
        <v>50</v>
      </c>
      <c r="F49" t="inlineStr">
        <is>
          <t>unclassified</t>
        </is>
      </c>
      <c r="H49" t="inlineStr">
        <is>
          <t>General ↔ General</t>
        </is>
      </c>
    </row>
    <row r="50">
      <c r="A50" t="n">
        <v>49</v>
      </c>
      <c r="B50" t="inlineStr">
        <is>
          <t>Artichoke</t>
        </is>
      </c>
      <c r="C50" t="inlineStr">
        <is>
          <t>Agarikon</t>
        </is>
      </c>
      <c r="D50" t="n">
        <v>50</v>
      </c>
      <c r="F50" t="inlineStr">
        <is>
          <t>unclassified</t>
        </is>
      </c>
      <c r="H50" t="inlineStr">
        <is>
          <t>General ↔ General</t>
        </is>
      </c>
    </row>
    <row r="51">
      <c r="A51" t="n">
        <v>50</v>
      </c>
      <c r="B51" t="inlineStr">
        <is>
          <t>Artichoke</t>
        </is>
      </c>
      <c r="C51" t="inlineStr">
        <is>
          <t>Ajwain</t>
        </is>
      </c>
      <c r="D51" t="n">
        <v>50</v>
      </c>
      <c r="F51" t="inlineStr">
        <is>
          <t>unclassified</t>
        </is>
      </c>
      <c r="H51" t="inlineStr">
        <is>
          <t>General ↔ General</t>
        </is>
      </c>
    </row>
    <row r="52">
      <c r="A52" t="n">
        <v>51</v>
      </c>
      <c r="B52" t="inlineStr">
        <is>
          <t>Artichoke</t>
        </is>
      </c>
      <c r="C52" t="inlineStr">
        <is>
          <t>Angelica Root</t>
        </is>
      </c>
      <c r="D52" t="n">
        <v>50</v>
      </c>
      <c r="F52" t="inlineStr">
        <is>
          <t>unclassified</t>
        </is>
      </c>
      <c r="H52" t="inlineStr">
        <is>
          <t>General ↔ General</t>
        </is>
      </c>
    </row>
    <row r="53">
      <c r="A53" t="n">
        <v>52</v>
      </c>
      <c r="B53" t="inlineStr">
        <is>
          <t>Artichoke</t>
        </is>
      </c>
      <c r="C53" t="inlineStr">
        <is>
          <t>Ashoka</t>
        </is>
      </c>
      <c r="D53" t="n">
        <v>50</v>
      </c>
      <c r="F53" t="inlineStr">
        <is>
          <t>unclassified</t>
        </is>
      </c>
      <c r="H53" t="inlineStr">
        <is>
          <t>General ↔ General</t>
        </is>
      </c>
    </row>
    <row r="54">
      <c r="A54" t="n">
        <v>53</v>
      </c>
      <c r="B54" t="inlineStr">
        <is>
          <t>Artichoke</t>
        </is>
      </c>
      <c r="C54" t="inlineStr">
        <is>
          <t>Boldo</t>
        </is>
      </c>
      <c r="D54" t="n">
        <v>50</v>
      </c>
      <c r="F54" t="inlineStr">
        <is>
          <t>unclassified</t>
        </is>
      </c>
      <c r="H54" t="inlineStr">
        <is>
          <t>General ↔ General</t>
        </is>
      </c>
    </row>
    <row r="55">
      <c r="A55" t="n">
        <v>54</v>
      </c>
      <c r="B55" t="inlineStr">
        <is>
          <t>Artichoke</t>
        </is>
      </c>
      <c r="C55" t="inlineStr">
        <is>
          <t>Burdock</t>
        </is>
      </c>
      <c r="D55" t="n">
        <v>50</v>
      </c>
      <c r="F55" t="inlineStr">
        <is>
          <t>unclassified</t>
        </is>
      </c>
      <c r="H55" t="inlineStr">
        <is>
          <t>General ↔ General</t>
        </is>
      </c>
    </row>
    <row r="56">
      <c r="A56" t="n">
        <v>55</v>
      </c>
      <c r="B56" t="inlineStr">
        <is>
          <t>Artichoke</t>
        </is>
      </c>
      <c r="C56" t="inlineStr">
        <is>
          <t>Calendula</t>
        </is>
      </c>
      <c r="D56" t="n">
        <v>50</v>
      </c>
      <c r="F56" t="inlineStr">
        <is>
          <t>unclassified</t>
        </is>
      </c>
      <c r="H56" t="inlineStr">
        <is>
          <t>General ↔ General</t>
        </is>
      </c>
    </row>
    <row r="57">
      <c r="A57" t="n">
        <v>56</v>
      </c>
      <c r="B57" t="inlineStr">
        <is>
          <t>Artichoke</t>
        </is>
      </c>
      <c r="C57" t="inlineStr">
        <is>
          <t>Caraway</t>
        </is>
      </c>
      <c r="D57" t="n">
        <v>50</v>
      </c>
      <c r="F57" t="inlineStr">
        <is>
          <t>unclassified</t>
        </is>
      </c>
      <c r="H57" t="inlineStr">
        <is>
          <t>General ↔ General</t>
        </is>
      </c>
    </row>
    <row r="58">
      <c r="A58" t="n">
        <v>57</v>
      </c>
      <c r="B58" t="inlineStr">
        <is>
          <t>Artichoke</t>
        </is>
      </c>
      <c r="C58" t="inlineStr">
        <is>
          <t>Cardamom</t>
        </is>
      </c>
      <c r="D58" t="n">
        <v>50</v>
      </c>
      <c r="F58" t="inlineStr">
        <is>
          <t>unclassified</t>
        </is>
      </c>
      <c r="H58" t="inlineStr">
        <is>
          <t>General ↔ General</t>
        </is>
      </c>
    </row>
    <row r="59">
      <c r="A59" t="n">
        <v>58</v>
      </c>
      <c r="B59" t="inlineStr">
        <is>
          <t>Artichoke</t>
        </is>
      </c>
      <c r="C59" t="inlineStr">
        <is>
          <t>Celastrus Paniculatus</t>
        </is>
      </c>
      <c r="D59" t="n">
        <v>50</v>
      </c>
      <c r="F59" t="inlineStr">
        <is>
          <t>unclassified</t>
        </is>
      </c>
      <c r="H59" t="inlineStr">
        <is>
          <t>General ↔ General</t>
        </is>
      </c>
    </row>
    <row r="60">
      <c r="A60" t="n">
        <v>59</v>
      </c>
      <c r="B60" t="inlineStr">
        <is>
          <t>Artichoke</t>
        </is>
      </c>
      <c r="C60" t="inlineStr">
        <is>
          <t>Cinnamon</t>
        </is>
      </c>
      <c r="D60" t="n">
        <v>50</v>
      </c>
      <c r="F60" t="inlineStr">
        <is>
          <t>unclassified</t>
        </is>
      </c>
      <c r="H60" t="inlineStr">
        <is>
          <t>General ↔ General</t>
        </is>
      </c>
    </row>
    <row r="61">
      <c r="A61" t="n">
        <v>60</v>
      </c>
      <c r="B61" t="inlineStr">
        <is>
          <t>Artichoke</t>
        </is>
      </c>
      <c r="C61" t="inlineStr">
        <is>
          <t>Cistanche</t>
        </is>
      </c>
      <c r="D61" t="n">
        <v>50</v>
      </c>
      <c r="F61" t="inlineStr">
        <is>
          <t>unclassified</t>
        </is>
      </c>
      <c r="H61" t="inlineStr">
        <is>
          <t>General ↔ General</t>
        </is>
      </c>
    </row>
    <row r="62">
      <c r="A62" t="n">
        <v>61</v>
      </c>
      <c r="B62" t="inlineStr">
        <is>
          <t>Artichoke</t>
        </is>
      </c>
      <c r="C62" t="inlineStr">
        <is>
          <t>Cordyceps</t>
        </is>
      </c>
      <c r="D62" t="n">
        <v>50</v>
      </c>
      <c r="F62" t="inlineStr">
        <is>
          <t>unclassified</t>
        </is>
      </c>
      <c r="H62" t="inlineStr">
        <is>
          <t>General ↔ General</t>
        </is>
      </c>
    </row>
    <row r="63">
      <c r="A63" t="n">
        <v>62</v>
      </c>
      <c r="B63" t="inlineStr">
        <is>
          <t>Artichoke</t>
        </is>
      </c>
      <c r="C63" t="inlineStr">
        <is>
          <t>Dandelion</t>
        </is>
      </c>
      <c r="D63" t="n">
        <v>50</v>
      </c>
      <c r="F63" t="inlineStr">
        <is>
          <t>unclassified</t>
        </is>
      </c>
      <c r="H63" t="inlineStr">
        <is>
          <t>General ↔ General</t>
        </is>
      </c>
    </row>
    <row r="64">
      <c r="A64" t="n">
        <v>63</v>
      </c>
      <c r="B64" t="inlineStr">
        <is>
          <t>Artichoke</t>
        </is>
      </c>
      <c r="C64" t="inlineStr">
        <is>
          <t>Dendrobium</t>
        </is>
      </c>
      <c r="D64" t="n">
        <v>50</v>
      </c>
      <c r="F64" t="inlineStr">
        <is>
          <t>unclassified</t>
        </is>
      </c>
      <c r="H64" t="inlineStr">
        <is>
          <t>General ↔ General</t>
        </is>
      </c>
    </row>
    <row r="65">
      <c r="A65" t="n">
        <v>64</v>
      </c>
      <c r="B65" t="inlineStr">
        <is>
          <t>Artichoke</t>
        </is>
      </c>
      <c r="C65" t="inlineStr">
        <is>
          <t>Elecampane</t>
        </is>
      </c>
      <c r="D65" t="n">
        <v>50</v>
      </c>
      <c r="F65" t="inlineStr">
        <is>
          <t>unclassified</t>
        </is>
      </c>
      <c r="H65" t="inlineStr">
        <is>
          <t>General ↔ General</t>
        </is>
      </c>
    </row>
    <row r="66">
      <c r="A66" t="n">
        <v>65</v>
      </c>
      <c r="B66" t="inlineStr">
        <is>
          <t>Artichoke</t>
        </is>
      </c>
      <c r="C66" t="inlineStr">
        <is>
          <t>Eleuthero</t>
        </is>
      </c>
      <c r="D66" t="n">
        <v>50</v>
      </c>
      <c r="F66" t="inlineStr">
        <is>
          <t>unclassified</t>
        </is>
      </c>
      <c r="H66" t="inlineStr">
        <is>
          <t>General ↔ General</t>
        </is>
      </c>
    </row>
    <row r="67">
      <c r="A67" t="n">
        <v>66</v>
      </c>
      <c r="B67" t="inlineStr">
        <is>
          <t>Artichoke</t>
        </is>
      </c>
      <c r="C67" t="inlineStr">
        <is>
          <t>Fennel</t>
        </is>
      </c>
      <c r="D67" t="n">
        <v>50</v>
      </c>
      <c r="F67" t="inlineStr">
        <is>
          <t>unclassified</t>
        </is>
      </c>
      <c r="H67" t="inlineStr">
        <is>
          <t>General ↔ General</t>
        </is>
      </c>
    </row>
    <row r="68">
      <c r="A68" t="n">
        <v>67</v>
      </c>
      <c r="B68" t="inlineStr">
        <is>
          <t>Artichoke</t>
        </is>
      </c>
      <c r="C68" t="inlineStr">
        <is>
          <t>Galangal</t>
        </is>
      </c>
      <c r="D68" t="n">
        <v>50</v>
      </c>
      <c r="F68" t="inlineStr">
        <is>
          <t>unclassified</t>
        </is>
      </c>
      <c r="H68" t="inlineStr">
        <is>
          <t>General ↔ General</t>
        </is>
      </c>
    </row>
    <row r="69">
      <c r="A69" t="n">
        <v>68</v>
      </c>
      <c r="B69" t="inlineStr">
        <is>
          <t>Artichoke</t>
        </is>
      </c>
      <c r="C69" t="inlineStr">
        <is>
          <t>Gastrodia</t>
        </is>
      </c>
      <c r="D69" t="n">
        <v>50</v>
      </c>
      <c r="F69" t="inlineStr">
        <is>
          <t>unclassified</t>
        </is>
      </c>
      <c r="H69" t="inlineStr">
        <is>
          <t>General ↔ General</t>
        </is>
      </c>
    </row>
    <row r="70">
      <c r="A70" t="n">
        <v>69</v>
      </c>
      <c r="B70" t="inlineStr">
        <is>
          <t>Artichoke</t>
        </is>
      </c>
      <c r="C70" t="inlineStr">
        <is>
          <t>Gudmar</t>
        </is>
      </c>
      <c r="D70" t="n">
        <v>50</v>
      </c>
      <c r="F70" t="inlineStr">
        <is>
          <t>unclassified</t>
        </is>
      </c>
      <c r="H70" t="inlineStr">
        <is>
          <t>General ↔ General</t>
        </is>
      </c>
    </row>
    <row r="71">
      <c r="A71" t="n">
        <v>70</v>
      </c>
      <c r="B71" t="inlineStr">
        <is>
          <t>Artichoke</t>
        </is>
      </c>
      <c r="C71" t="inlineStr">
        <is>
          <t>Gymnema</t>
        </is>
      </c>
      <c r="D71" t="n">
        <v>50</v>
      </c>
      <c r="F71" t="inlineStr">
        <is>
          <t>unclassified</t>
        </is>
      </c>
      <c r="H71" t="inlineStr">
        <is>
          <t>General ↔ General</t>
        </is>
      </c>
    </row>
    <row r="72">
      <c r="A72" t="n">
        <v>71</v>
      </c>
      <c r="B72" t="inlineStr">
        <is>
          <t>Artichoke</t>
        </is>
      </c>
      <c r="C72" t="inlineStr">
        <is>
          <t>Hops</t>
        </is>
      </c>
      <c r="D72" t="n">
        <v>50</v>
      </c>
      <c r="F72" t="inlineStr">
        <is>
          <t>unclassified</t>
        </is>
      </c>
      <c r="H72" t="inlineStr">
        <is>
          <t>General ↔ General</t>
        </is>
      </c>
    </row>
    <row r="73">
      <c r="A73" t="n">
        <v>72</v>
      </c>
      <c r="B73" t="inlineStr">
        <is>
          <t>Artichoke</t>
        </is>
      </c>
      <c r="C73" t="inlineStr">
        <is>
          <t>Houttuynia</t>
        </is>
      </c>
      <c r="D73" t="n">
        <v>50</v>
      </c>
      <c r="F73" t="inlineStr">
        <is>
          <t>unclassified</t>
        </is>
      </c>
      <c r="H73" t="inlineStr">
        <is>
          <t>General ↔ General</t>
        </is>
      </c>
    </row>
    <row r="74">
      <c r="A74" t="n">
        <v>73</v>
      </c>
      <c r="B74" t="inlineStr">
        <is>
          <t>Artichoke</t>
        </is>
      </c>
      <c r="C74" t="inlineStr">
        <is>
          <t>Isatis</t>
        </is>
      </c>
      <c r="D74" t="n">
        <v>50</v>
      </c>
      <c r="F74" t="inlineStr">
        <is>
          <t>unclassified</t>
        </is>
      </c>
      <c r="H74" t="inlineStr">
        <is>
          <t>General ↔ General</t>
        </is>
      </c>
    </row>
    <row r="75">
      <c r="A75" t="n">
        <v>74</v>
      </c>
      <c r="B75" t="inlineStr">
        <is>
          <t>Artichoke</t>
        </is>
      </c>
      <c r="C75" t="inlineStr">
        <is>
          <t>Jatamansi</t>
        </is>
      </c>
      <c r="D75" t="n">
        <v>50</v>
      </c>
      <c r="F75" t="inlineStr">
        <is>
          <t>unclassified</t>
        </is>
      </c>
      <c r="H75" t="inlineStr">
        <is>
          <t>General ↔ General</t>
        </is>
      </c>
    </row>
    <row r="76">
      <c r="A76" t="n">
        <v>75</v>
      </c>
      <c r="B76" t="inlineStr">
        <is>
          <t>Artichoke</t>
        </is>
      </c>
      <c r="C76" t="inlineStr">
        <is>
          <t>Lemon Verbena</t>
        </is>
      </c>
      <c r="D76" t="n">
        <v>50</v>
      </c>
      <c r="F76" t="inlineStr">
        <is>
          <t>unclassified</t>
        </is>
      </c>
      <c r="H76" t="inlineStr">
        <is>
          <t>General ↔ General</t>
        </is>
      </c>
    </row>
    <row r="77">
      <c r="A77" t="n">
        <v>76</v>
      </c>
      <c r="B77" t="inlineStr">
        <is>
          <t>Artichoke</t>
        </is>
      </c>
      <c r="C77" t="inlineStr">
        <is>
          <t>Lemongrass</t>
        </is>
      </c>
      <c r="D77" t="n">
        <v>50</v>
      </c>
      <c r="F77" t="inlineStr">
        <is>
          <t>unclassified</t>
        </is>
      </c>
      <c r="H77" t="inlineStr">
        <is>
          <t>General ↔ General</t>
        </is>
      </c>
    </row>
    <row r="78">
      <c r="A78" t="n">
        <v>77</v>
      </c>
      <c r="B78" t="inlineStr">
        <is>
          <t>Artichoke</t>
        </is>
      </c>
      <c r="C78" t="inlineStr">
        <is>
          <t>Longan</t>
        </is>
      </c>
      <c r="D78" t="n">
        <v>50</v>
      </c>
      <c r="F78" t="inlineStr">
        <is>
          <t>unclassified</t>
        </is>
      </c>
      <c r="H78" t="inlineStr">
        <is>
          <t>General ↔ General</t>
        </is>
      </c>
    </row>
    <row r="79">
      <c r="A79" t="n">
        <v>78</v>
      </c>
      <c r="B79" t="inlineStr">
        <is>
          <t>Artichoke</t>
        </is>
      </c>
      <c r="C79" t="inlineStr">
        <is>
          <t>Maitake D-Fraction</t>
        </is>
      </c>
      <c r="D79" t="n">
        <v>50</v>
      </c>
      <c r="F79" t="inlineStr">
        <is>
          <t>unclassified</t>
        </is>
      </c>
      <c r="H79" t="inlineStr">
        <is>
          <t>General ↔ General</t>
        </is>
      </c>
    </row>
    <row r="80">
      <c r="A80" t="n">
        <v>79</v>
      </c>
      <c r="B80" t="inlineStr">
        <is>
          <t>Artichoke</t>
        </is>
      </c>
      <c r="C80" t="inlineStr">
        <is>
          <t>Milk Oats</t>
        </is>
      </c>
      <c r="D80" t="n">
        <v>50</v>
      </c>
      <c r="F80" t="inlineStr">
        <is>
          <t>unclassified</t>
        </is>
      </c>
      <c r="H80" t="inlineStr">
        <is>
          <t>General ↔ General</t>
        </is>
      </c>
    </row>
    <row r="81">
      <c r="A81" t="n">
        <v>80</v>
      </c>
      <c r="B81" t="inlineStr">
        <is>
          <t>Artichoke</t>
        </is>
      </c>
      <c r="C81" t="inlineStr">
        <is>
          <t>Mugwort</t>
        </is>
      </c>
      <c r="D81" t="n">
        <v>50</v>
      </c>
      <c r="F81" t="inlineStr">
        <is>
          <t>unclassified</t>
        </is>
      </c>
      <c r="H81" t="inlineStr">
        <is>
          <t>General ↔ General</t>
        </is>
      </c>
    </row>
    <row r="82">
      <c r="A82" t="n">
        <v>81</v>
      </c>
      <c r="B82" t="inlineStr">
        <is>
          <t>Artichoke</t>
        </is>
      </c>
      <c r="C82" t="inlineStr">
        <is>
          <t>Muira Puama</t>
        </is>
      </c>
      <c r="D82" t="n">
        <v>50</v>
      </c>
      <c r="F82" t="inlineStr">
        <is>
          <t>unclassified</t>
        </is>
      </c>
      <c r="H82" t="inlineStr">
        <is>
          <t>General ↔ General</t>
        </is>
      </c>
    </row>
    <row r="83">
      <c r="A83" t="n">
        <v>82</v>
      </c>
      <c r="B83" t="inlineStr">
        <is>
          <t>Artichoke</t>
        </is>
      </c>
      <c r="C83" t="inlineStr">
        <is>
          <t>Mulberry Leaf</t>
        </is>
      </c>
      <c r="D83" t="n">
        <v>50</v>
      </c>
      <c r="F83" t="inlineStr">
        <is>
          <t>unclassified</t>
        </is>
      </c>
      <c r="H83" t="inlineStr">
        <is>
          <t>General ↔ General</t>
        </is>
      </c>
    </row>
    <row r="84">
      <c r="A84" t="n">
        <v>83</v>
      </c>
      <c r="B84" t="inlineStr">
        <is>
          <t>Artichoke</t>
        </is>
      </c>
      <c r="C84" t="inlineStr">
        <is>
          <t>Myrtle</t>
        </is>
      </c>
      <c r="D84" t="n">
        <v>50</v>
      </c>
      <c r="F84" t="inlineStr">
        <is>
          <t>unclassified</t>
        </is>
      </c>
      <c r="H84" t="inlineStr">
        <is>
          <t>General ↔ General</t>
        </is>
      </c>
    </row>
    <row r="85">
      <c r="A85" t="n">
        <v>84</v>
      </c>
      <c r="B85" t="inlineStr">
        <is>
          <t>Artichoke</t>
        </is>
      </c>
      <c r="C85" t="inlineStr">
        <is>
          <t>Neem</t>
        </is>
      </c>
      <c r="D85" t="n">
        <v>50</v>
      </c>
      <c r="F85" t="inlineStr">
        <is>
          <t>unclassified</t>
        </is>
      </c>
      <c r="H85" t="inlineStr">
        <is>
          <t>General ↔ General</t>
        </is>
      </c>
    </row>
    <row r="86">
      <c r="A86" t="n">
        <v>85</v>
      </c>
      <c r="B86" t="inlineStr">
        <is>
          <t>Artichoke</t>
        </is>
      </c>
      <c r="C86" t="inlineStr">
        <is>
          <t>Nettle Root</t>
        </is>
      </c>
      <c r="D86" t="n">
        <v>50</v>
      </c>
      <c r="F86" t="inlineStr">
        <is>
          <t>unclassified</t>
        </is>
      </c>
      <c r="H86" t="inlineStr">
        <is>
          <t>General ↔ General</t>
        </is>
      </c>
    </row>
    <row r="87">
      <c r="A87" t="n">
        <v>86</v>
      </c>
      <c r="B87" t="inlineStr">
        <is>
          <t>Artichoke</t>
        </is>
      </c>
      <c r="C87" t="inlineStr">
        <is>
          <t>Noni</t>
        </is>
      </c>
      <c r="D87" t="n">
        <v>50</v>
      </c>
      <c r="F87" t="inlineStr">
        <is>
          <t>unclassified</t>
        </is>
      </c>
      <c r="H87" t="inlineStr">
        <is>
          <t>General ↔ General</t>
        </is>
      </c>
    </row>
    <row r="88">
      <c r="A88" t="n">
        <v>87</v>
      </c>
      <c r="B88" t="inlineStr">
        <is>
          <t>Artichoke</t>
        </is>
      </c>
      <c r="C88" t="inlineStr">
        <is>
          <t>Oatstraw</t>
        </is>
      </c>
      <c r="D88" t="n">
        <v>50</v>
      </c>
      <c r="F88" t="inlineStr">
        <is>
          <t>unclassified</t>
        </is>
      </c>
      <c r="H88" t="inlineStr">
        <is>
          <t>General ↔ General</t>
        </is>
      </c>
    </row>
    <row r="89">
      <c r="A89" t="n">
        <v>88</v>
      </c>
      <c r="B89" t="inlineStr">
        <is>
          <t>Artichoke</t>
        </is>
      </c>
      <c r="C89" t="inlineStr">
        <is>
          <t>Passionflower</t>
        </is>
      </c>
      <c r="D89" t="n">
        <v>50</v>
      </c>
      <c r="F89" t="inlineStr">
        <is>
          <t>unclassified</t>
        </is>
      </c>
      <c r="H89" t="inlineStr">
        <is>
          <t>General ↔ General</t>
        </is>
      </c>
    </row>
    <row r="90">
      <c r="A90" t="n">
        <v>89</v>
      </c>
      <c r="B90" t="inlineStr">
        <is>
          <t>Artichoke</t>
        </is>
      </c>
      <c r="C90" t="inlineStr">
        <is>
          <t>Pau d'Arco</t>
        </is>
      </c>
      <c r="D90" t="n">
        <v>50</v>
      </c>
      <c r="F90" t="inlineStr">
        <is>
          <t>unclassified</t>
        </is>
      </c>
      <c r="H90" t="inlineStr">
        <is>
          <t>General ↔ General</t>
        </is>
      </c>
    </row>
    <row r="91">
      <c r="A91" t="n">
        <v>90</v>
      </c>
      <c r="B91" t="inlineStr">
        <is>
          <t>Artichoke</t>
        </is>
      </c>
      <c r="C91" t="inlineStr">
        <is>
          <t>Perilla</t>
        </is>
      </c>
      <c r="D91" t="n">
        <v>50</v>
      </c>
      <c r="F91" t="inlineStr">
        <is>
          <t>unclassified</t>
        </is>
      </c>
      <c r="H91" t="inlineStr">
        <is>
          <t>General ↔ General</t>
        </is>
      </c>
    </row>
    <row r="92">
      <c r="A92" t="n">
        <v>91</v>
      </c>
      <c r="B92" t="inlineStr">
        <is>
          <t>Artichoke</t>
        </is>
      </c>
      <c r="C92" t="inlineStr">
        <is>
          <t>Pomegranate</t>
        </is>
      </c>
      <c r="D92" t="n">
        <v>50</v>
      </c>
      <c r="F92" t="inlineStr">
        <is>
          <t>unclassified</t>
        </is>
      </c>
      <c r="H92" t="inlineStr">
        <is>
          <t>General ↔ General</t>
        </is>
      </c>
    </row>
    <row r="93">
      <c r="A93" t="n">
        <v>92</v>
      </c>
      <c r="B93" t="inlineStr">
        <is>
          <t>Artichoke</t>
        </is>
      </c>
      <c r="C93" t="inlineStr">
        <is>
          <t>Poria</t>
        </is>
      </c>
      <c r="D93" t="n">
        <v>50</v>
      </c>
      <c r="F93" t="inlineStr">
        <is>
          <t>unclassified</t>
        </is>
      </c>
      <c r="H93" t="inlineStr">
        <is>
          <t>General ↔ General</t>
        </is>
      </c>
    </row>
    <row r="94">
      <c r="A94" t="n">
        <v>93</v>
      </c>
      <c r="B94" t="inlineStr">
        <is>
          <t>Artichoke</t>
        </is>
      </c>
      <c r="C94" t="inlineStr">
        <is>
          <t>Punarnava</t>
        </is>
      </c>
      <c r="D94" t="n">
        <v>50</v>
      </c>
      <c r="F94" t="inlineStr">
        <is>
          <t>unclassified</t>
        </is>
      </c>
      <c r="H94" t="inlineStr">
        <is>
          <t>General ↔ General</t>
        </is>
      </c>
    </row>
    <row r="95">
      <c r="A95" t="n">
        <v>94</v>
      </c>
      <c r="B95" t="inlineStr">
        <is>
          <t>Artichoke</t>
        </is>
      </c>
      <c r="C95" t="inlineStr">
        <is>
          <t>Red Clover</t>
        </is>
      </c>
      <c r="D95" t="n">
        <v>50</v>
      </c>
      <c r="F95" t="inlineStr">
        <is>
          <t>unclassified</t>
        </is>
      </c>
      <c r="H95" t="inlineStr">
        <is>
          <t>General ↔ General</t>
        </is>
      </c>
    </row>
    <row r="96">
      <c r="A96" t="n">
        <v>95</v>
      </c>
      <c r="B96" t="inlineStr">
        <is>
          <t>Artichoke</t>
        </is>
      </c>
      <c r="C96" t="inlineStr">
        <is>
          <t>Rehmannia Prepared</t>
        </is>
      </c>
      <c r="D96" t="n">
        <v>50</v>
      </c>
      <c r="F96" t="inlineStr">
        <is>
          <t>unclassified</t>
        </is>
      </c>
      <c r="H96" t="inlineStr">
        <is>
          <t>General ↔ General</t>
        </is>
      </c>
    </row>
    <row r="97">
      <c r="A97" t="n">
        <v>96</v>
      </c>
      <c r="B97" t="inlineStr">
        <is>
          <t>Artichoke</t>
        </is>
      </c>
      <c r="C97" t="inlineStr">
        <is>
          <t>Reishi</t>
        </is>
      </c>
      <c r="D97" t="n">
        <v>50</v>
      </c>
      <c r="F97" t="inlineStr">
        <is>
          <t>unclassified</t>
        </is>
      </c>
      <c r="H97" t="inlineStr">
        <is>
          <t>General ↔ General</t>
        </is>
      </c>
    </row>
    <row r="98">
      <c r="A98" t="n">
        <v>97</v>
      </c>
      <c r="B98" t="inlineStr">
        <is>
          <t>Artichoke</t>
        </is>
      </c>
      <c r="C98" t="inlineStr">
        <is>
          <t>Rose Hips</t>
        </is>
      </c>
      <c r="D98" t="n">
        <v>50</v>
      </c>
      <c r="F98" t="inlineStr">
        <is>
          <t>unclassified</t>
        </is>
      </c>
      <c r="H98" t="inlineStr">
        <is>
          <t>General ↔ General</t>
        </is>
      </c>
    </row>
    <row r="99">
      <c r="A99" t="n">
        <v>98</v>
      </c>
      <c r="B99" t="inlineStr">
        <is>
          <t>Artichoke</t>
        </is>
      </c>
      <c r="C99" t="inlineStr">
        <is>
          <t>Sophora Flavescens</t>
        </is>
      </c>
      <c r="D99" t="n">
        <v>50</v>
      </c>
      <c r="F99" t="inlineStr">
        <is>
          <t>unclassified</t>
        </is>
      </c>
      <c r="H99" t="inlineStr">
        <is>
          <t>General ↔ General</t>
        </is>
      </c>
    </row>
    <row r="100">
      <c r="A100" t="n">
        <v>99</v>
      </c>
      <c r="B100" t="inlineStr">
        <is>
          <t>Artichoke</t>
        </is>
      </c>
      <c r="C100" t="inlineStr">
        <is>
          <t>Soursop</t>
        </is>
      </c>
      <c r="D100" t="n">
        <v>50</v>
      </c>
      <c r="F100" t="inlineStr">
        <is>
          <t>unclassified</t>
        </is>
      </c>
      <c r="H100" t="inlineStr">
        <is>
          <t>General ↔ General</t>
        </is>
      </c>
    </row>
    <row r="101">
      <c r="A101" t="n">
        <v>100</v>
      </c>
      <c r="B101" t="inlineStr">
        <is>
          <t>Artichoke</t>
        </is>
      </c>
      <c r="C101" t="inlineStr">
        <is>
          <t>Tamarind</t>
        </is>
      </c>
      <c r="D101" t="n">
        <v>50</v>
      </c>
      <c r="F101" t="inlineStr">
        <is>
          <t>unclassified</t>
        </is>
      </c>
      <c r="H101" t="inlineStr">
        <is>
          <t>General ↔ General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Cluster</t>
        </is>
      </c>
      <c r="B1" t="inlineStr">
        <is>
          <t>Herb Count</t>
        </is>
      </c>
      <c r="C1" t="inlineStr">
        <is>
          <t>Top Herbs</t>
        </is>
      </c>
      <c r="D1" t="inlineStr">
        <is>
          <t>Dominant Anchor Classes</t>
        </is>
      </c>
    </row>
    <row r="2">
      <c r="A2" t="inlineStr">
        <is>
          <t>General</t>
        </is>
      </c>
      <c r="B2" t="n">
        <v>133</v>
      </c>
      <c r="C2" t="inlineStr">
        <is>
          <t>Blue Lotus; Turmeric; Ajwain; Agarikon; Angelica Root; Artichoke; Ashoka; Boldo</t>
        </is>
      </c>
      <c r="D2" t="inlineStr">
        <is>
          <t>carvacrol; gymnemic acids; beta-sitosterol; beta-glucans; diallyl sulfide</t>
        </is>
      </c>
    </row>
    <row r="3">
      <c r="A3" t="inlineStr">
        <is>
          <t>Metabolic</t>
        </is>
      </c>
      <c r="B3" t="n">
        <v>14</v>
      </c>
      <c r="C3" t="inlineStr">
        <is>
          <t>Black Pepper; Ashitaba; Banaba; Curry Leaf; Eucommia; Guarana; Kuding Tea; Moringa</t>
        </is>
      </c>
      <c r="D3" t="inlineStr">
        <is>
          <t>caffeine; apigenin; corosolic acid; 4-hydroxyderricin; moringin</t>
        </is>
      </c>
    </row>
    <row r="4">
      <c r="A4" t="inlineStr">
        <is>
          <t>Adaptogenic</t>
        </is>
      </c>
      <c r="B4" t="n">
        <v>11</v>
      </c>
      <c r="C4" t="inlineStr">
        <is>
          <t>Green Tea; Holy Basil; Holy Basil Purple; Maca; Maral Root; Rhodiola; Rhodiola Rosea; Roselle Seed</t>
        </is>
      </c>
      <c r="D4" t="inlineStr">
        <is>
          <t>eugenol; macamides; rosavin; pfaffic acid; ecdysterone</t>
        </is>
      </c>
    </row>
    <row r="5">
      <c r="A5" t="inlineStr">
        <is>
          <t>Neurocognitive</t>
        </is>
      </c>
      <c r="B5" t="n">
        <v>9</v>
      </c>
      <c r="C5" t="inlineStr">
        <is>
          <t>Ginkgo Biloba; Panax Ginseng; Ashwagandha; Chinese Skullcap; Black Cohosh; Corydalis; Polygala; Shankhpushpi</t>
        </is>
      </c>
      <c r="D5" t="inlineStr">
        <is>
          <t>Flavonoid; Steroidal lactone; Phenolic acid; convolvine; tenuifolin</t>
        </is>
      </c>
    </row>
    <row r="6">
      <c r="A6" t="inlineStr">
        <is>
          <t>Inflammation / Recovery</t>
        </is>
      </c>
      <c r="B6" t="n">
        <v>3</v>
      </c>
      <c r="C6" t="inlineStr">
        <is>
          <t>Chamomile; Cissus; Notoginseng</t>
        </is>
      </c>
      <c r="D6" t="inlineStr">
        <is>
          <t>chamazulene</t>
        </is>
      </c>
    </row>
    <row r="7">
      <c r="A7" t="inlineStr">
        <is>
          <t>Vascular</t>
        </is>
      </c>
      <c r="B7" t="n">
        <v>2</v>
      </c>
      <c r="C7" t="inlineStr">
        <is>
          <t>Epimedium; Arjuna</t>
        </is>
      </c>
      <c r="D7" t="inlineStr">
        <is>
          <t>arjunolic acid; Flavonoid</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31</t>
        </is>
      </c>
    </row>
    <row r="3">
      <c r="A3" t="inlineStr">
        <is>
          <t>Focus</t>
        </is>
      </c>
      <c r="B3" t="inlineStr">
        <is>
          <t>Relationship intelligence</t>
        </is>
      </c>
    </row>
    <row r="4">
      <c r="A4" t="inlineStr">
        <is>
          <t>Herbs enriched</t>
        </is>
      </c>
      <c r="B4" t="n">
        <v>172</v>
      </c>
    </row>
    <row r="5">
      <c r="A5" t="inlineStr">
        <is>
          <t>Similarity pairs scored</t>
        </is>
      </c>
      <c r="B5" t="n">
        <v>11739</v>
      </c>
    </row>
    <row r="6">
      <c r="A6" t="inlineStr">
        <is>
          <t>Top relationships exported</t>
        </is>
      </c>
      <c r="B6" t="n">
        <v>100</v>
      </c>
    </row>
    <row r="7">
      <c r="A7" t="inlineStr">
        <is>
          <t>Clusters found</t>
        </is>
      </c>
      <c r="B7" t="n">
        <v>6</v>
      </c>
    </row>
    <row r="8">
      <c r="A8" t="inlineStr">
        <is>
          <t>Top herb pair</t>
        </is>
      </c>
      <c r="B8" t="inlineStr">
        <is>
          <t>Gymnema + Gudmar</t>
        </is>
      </c>
    </row>
    <row r="9">
      <c r="A9" t="inlineStr">
        <is>
          <t>Top relationship score</t>
        </is>
      </c>
      <c r="B9" t="n">
        <v>95</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201"/>
  <sheetViews>
    <sheetView workbookViewId="0">
      <selection activeCell="A1" sqref="A1"/>
    </sheetView>
  </sheetViews>
  <sheetFormatPr baseColWidth="8" defaultRowHeight="15"/>
  <sheetData>
    <row r="1">
      <c r="A1" t="inlineStr">
        <is>
          <t>Herb A</t>
        </is>
      </c>
      <c r="B1" t="inlineStr">
        <is>
          <t>Herb B</t>
        </is>
      </c>
      <c r="C1" t="inlineStr">
        <is>
          <t>Relationship Score</t>
        </is>
      </c>
      <c r="D1" t="inlineStr">
        <is>
          <t>Shared Compounds</t>
        </is>
      </c>
      <c r="E1" t="inlineStr">
        <is>
          <t>Shared Pathways</t>
        </is>
      </c>
      <c r="F1" t="inlineStr">
        <is>
          <t>Shared Specificity</t>
        </is>
      </c>
      <c r="G1" t="inlineStr">
        <is>
          <t>Category A</t>
        </is>
      </c>
      <c r="H1" t="inlineStr">
        <is>
          <t>Category B</t>
        </is>
      </c>
      <c r="I1" t="inlineStr">
        <is>
          <t>Cluster A</t>
        </is>
      </c>
      <c r="J1" t="inlineStr">
        <is>
          <t>Cluster B</t>
        </is>
      </c>
    </row>
    <row r="2">
      <c r="A2" t="inlineStr">
        <is>
          <t>Gymnema</t>
        </is>
      </c>
      <c r="B2" t="inlineStr">
        <is>
          <t>Gudmar</t>
        </is>
      </c>
      <c r="C2" t="n">
        <v>95</v>
      </c>
      <c r="D2" t="inlineStr">
        <is>
          <t>gymnemic acids</t>
        </is>
      </c>
      <c r="E2" t="inlineStr">
        <is>
          <t>unclassified</t>
        </is>
      </c>
      <c r="G2" t="inlineStr">
        <is>
          <t>General</t>
        </is>
      </c>
      <c r="H2" t="inlineStr">
        <is>
          <t>General</t>
        </is>
      </c>
      <c r="I2" t="inlineStr">
        <is>
          <t>Generalist</t>
        </is>
      </c>
      <c r="J2" t="inlineStr">
        <is>
          <t>Generalist</t>
        </is>
      </c>
    </row>
    <row r="3">
      <c r="A3" t="inlineStr">
        <is>
          <t>Holy Basil</t>
        </is>
      </c>
      <c r="B3" t="inlineStr">
        <is>
          <t>Holy Basil Purple</t>
        </is>
      </c>
      <c r="C3" t="n">
        <v>95</v>
      </c>
      <c r="D3" t="inlineStr">
        <is>
          <t>eugenol</t>
        </is>
      </c>
      <c r="E3" t="inlineStr">
        <is>
          <t>unclassified</t>
        </is>
      </c>
      <c r="G3" t="inlineStr">
        <is>
          <t>Stress</t>
        </is>
      </c>
      <c r="H3" t="inlineStr">
        <is>
          <t>Stress</t>
        </is>
      </c>
      <c r="I3" t="inlineStr">
        <is>
          <t>Stress / Adaptogenic</t>
        </is>
      </c>
      <c r="J3" t="inlineStr">
        <is>
          <t>Stress / Adaptogenic</t>
        </is>
      </c>
    </row>
    <row r="4">
      <c r="A4" t="inlineStr">
        <is>
          <t>Maitake D-Fraction</t>
        </is>
      </c>
      <c r="B4" t="inlineStr">
        <is>
          <t>Reishi</t>
        </is>
      </c>
      <c r="C4" t="n">
        <v>95</v>
      </c>
      <c r="D4" t="inlineStr">
        <is>
          <t>beta-glucans</t>
        </is>
      </c>
      <c r="E4" t="inlineStr">
        <is>
          <t>unclassified</t>
        </is>
      </c>
      <c r="G4" t="inlineStr">
        <is>
          <t>General</t>
        </is>
      </c>
      <c r="H4" t="inlineStr">
        <is>
          <t>General</t>
        </is>
      </c>
      <c r="I4" t="inlineStr">
        <is>
          <t>Generalist</t>
        </is>
      </c>
      <c r="J4" t="inlineStr">
        <is>
          <t>Generalist</t>
        </is>
      </c>
    </row>
    <row r="5">
      <c r="A5" t="inlineStr">
        <is>
          <t>Muira Puama</t>
        </is>
      </c>
      <c r="B5" t="inlineStr">
        <is>
          <t>Nettle Root</t>
        </is>
      </c>
      <c r="C5" t="n">
        <v>95</v>
      </c>
      <c r="D5" t="inlineStr">
        <is>
          <t>beta-sitosterol</t>
        </is>
      </c>
      <c r="E5" t="inlineStr">
        <is>
          <t>unclassified</t>
        </is>
      </c>
      <c r="G5" t="inlineStr">
        <is>
          <t>General</t>
        </is>
      </c>
      <c r="H5" t="inlineStr">
        <is>
          <t>General</t>
        </is>
      </c>
      <c r="I5" t="inlineStr">
        <is>
          <t>Generalist</t>
        </is>
      </c>
      <c r="J5" t="inlineStr">
        <is>
          <t>Generalist</t>
        </is>
      </c>
    </row>
    <row r="6">
      <c r="A6" t="inlineStr">
        <is>
          <t>Rosemary</t>
        </is>
      </c>
      <c r="B6" t="inlineStr">
        <is>
          <t>Ajwain</t>
        </is>
      </c>
      <c r="C6" t="n">
        <v>65</v>
      </c>
      <c r="D6" t="inlineStr">
        <is>
          <t>thymol</t>
        </is>
      </c>
      <c r="E6" t="inlineStr">
        <is>
          <t>unclassified</t>
        </is>
      </c>
      <c r="G6" t="inlineStr">
        <is>
          <t>General</t>
        </is>
      </c>
      <c r="H6" t="inlineStr">
        <is>
          <t>General</t>
        </is>
      </c>
      <c r="I6" t="inlineStr">
        <is>
          <t>Generalist</t>
        </is>
      </c>
      <c r="J6" t="inlineStr">
        <is>
          <t>Generalist</t>
        </is>
      </c>
    </row>
    <row r="7">
      <c r="A7" t="inlineStr">
        <is>
          <t>Sage</t>
        </is>
      </c>
      <c r="B7" t="inlineStr">
        <is>
          <t>Ajwain</t>
        </is>
      </c>
      <c r="C7" t="n">
        <v>65</v>
      </c>
      <c r="D7" t="inlineStr">
        <is>
          <t>carvacrol</t>
        </is>
      </c>
      <c r="E7" t="inlineStr">
        <is>
          <t>unclassified</t>
        </is>
      </c>
      <c r="G7" t="inlineStr">
        <is>
          <t>General</t>
        </is>
      </c>
      <c r="H7" t="inlineStr">
        <is>
          <t>General</t>
        </is>
      </c>
      <c r="I7" t="inlineStr">
        <is>
          <t>Generalist</t>
        </is>
      </c>
      <c r="J7" t="inlineStr">
        <is>
          <t>Generalist</t>
        </is>
      </c>
    </row>
    <row r="8">
      <c r="A8" t="inlineStr">
        <is>
          <t>Damiana</t>
        </is>
      </c>
      <c r="B8" t="inlineStr">
        <is>
          <t>Blue Lotus</t>
        </is>
      </c>
      <c r="C8" t="n">
        <v>59</v>
      </c>
      <c r="D8" t="inlineStr">
        <is>
          <t>nuciferine</t>
        </is>
      </c>
      <c r="E8" t="inlineStr">
        <is>
          <t>unclassified</t>
        </is>
      </c>
      <c r="G8" t="inlineStr">
        <is>
          <t>General</t>
        </is>
      </c>
      <c r="H8" t="inlineStr">
        <is>
          <t>General</t>
        </is>
      </c>
      <c r="I8" t="inlineStr">
        <is>
          <t>Generalist</t>
        </is>
      </c>
      <c r="J8" t="inlineStr">
        <is>
          <t>Generalist</t>
        </is>
      </c>
    </row>
    <row r="9">
      <c r="A9" t="inlineStr">
        <is>
          <t>Turmeric</t>
        </is>
      </c>
      <c r="B9" t="inlineStr">
        <is>
          <t>Dong Quai</t>
        </is>
      </c>
      <c r="C9" t="n">
        <v>59</v>
      </c>
      <c r="D9" t="inlineStr">
        <is>
          <t>curcumin</t>
        </is>
      </c>
      <c r="E9" t="inlineStr">
        <is>
          <t>unclassified</t>
        </is>
      </c>
      <c r="G9" t="inlineStr">
        <is>
          <t>General</t>
        </is>
      </c>
      <c r="H9" t="inlineStr">
        <is>
          <t>General</t>
        </is>
      </c>
      <c r="I9" t="inlineStr">
        <is>
          <t>Generalist</t>
        </is>
      </c>
      <c r="J9" t="inlineStr">
        <is>
          <t>Generalist</t>
        </is>
      </c>
    </row>
    <row r="10">
      <c r="A10" t="inlineStr">
        <is>
          <t>Agarikon</t>
        </is>
      </c>
      <c r="B10" t="inlineStr">
        <is>
          <t>Ajwain</t>
        </is>
      </c>
      <c r="C10" t="n">
        <v>50</v>
      </c>
      <c r="E10" t="inlineStr">
        <is>
          <t>unclassified</t>
        </is>
      </c>
      <c r="G10" t="inlineStr">
        <is>
          <t>General</t>
        </is>
      </c>
      <c r="H10" t="inlineStr">
        <is>
          <t>General</t>
        </is>
      </c>
      <c r="I10" t="inlineStr">
        <is>
          <t>Generalist</t>
        </is>
      </c>
      <c r="J10" t="inlineStr">
        <is>
          <t>Generalist</t>
        </is>
      </c>
    </row>
    <row r="11">
      <c r="A11" t="inlineStr">
        <is>
          <t>Agarikon</t>
        </is>
      </c>
      <c r="B11" t="inlineStr">
        <is>
          <t>Angelica Root</t>
        </is>
      </c>
      <c r="C11" t="n">
        <v>50</v>
      </c>
      <c r="E11" t="inlineStr">
        <is>
          <t>unclassified</t>
        </is>
      </c>
      <c r="G11" t="inlineStr">
        <is>
          <t>General</t>
        </is>
      </c>
      <c r="H11" t="inlineStr">
        <is>
          <t>General</t>
        </is>
      </c>
      <c r="I11" t="inlineStr">
        <is>
          <t>Generalist</t>
        </is>
      </c>
      <c r="J11" t="inlineStr">
        <is>
          <t>Generalist</t>
        </is>
      </c>
    </row>
    <row r="12">
      <c r="A12" t="inlineStr">
        <is>
          <t>Agarikon</t>
        </is>
      </c>
      <c r="B12" t="inlineStr">
        <is>
          <t>Caraway</t>
        </is>
      </c>
      <c r="C12" t="n">
        <v>50</v>
      </c>
      <c r="E12" t="inlineStr">
        <is>
          <t>unclassified</t>
        </is>
      </c>
      <c r="G12" t="inlineStr">
        <is>
          <t>General</t>
        </is>
      </c>
      <c r="H12" t="inlineStr">
        <is>
          <t>General</t>
        </is>
      </c>
      <c r="I12" t="inlineStr">
        <is>
          <t>Generalist</t>
        </is>
      </c>
      <c r="J12" t="inlineStr">
        <is>
          <t>Generalist</t>
        </is>
      </c>
    </row>
    <row r="13">
      <c r="A13" t="inlineStr">
        <is>
          <t>Agarikon</t>
        </is>
      </c>
      <c r="B13" t="inlineStr">
        <is>
          <t>Cardamom</t>
        </is>
      </c>
      <c r="C13" t="n">
        <v>50</v>
      </c>
      <c r="E13" t="inlineStr">
        <is>
          <t>unclassified</t>
        </is>
      </c>
      <c r="G13" t="inlineStr">
        <is>
          <t>General</t>
        </is>
      </c>
      <c r="H13" t="inlineStr">
        <is>
          <t>General</t>
        </is>
      </c>
      <c r="I13" t="inlineStr">
        <is>
          <t>Generalist</t>
        </is>
      </c>
      <c r="J13" t="inlineStr">
        <is>
          <t>Generalist</t>
        </is>
      </c>
    </row>
    <row r="14">
      <c r="A14" t="inlineStr">
        <is>
          <t>Agarikon</t>
        </is>
      </c>
      <c r="B14" t="inlineStr">
        <is>
          <t>Celastrus Paniculatus</t>
        </is>
      </c>
      <c r="C14" t="n">
        <v>50</v>
      </c>
      <c r="E14" t="inlineStr">
        <is>
          <t>unclassified</t>
        </is>
      </c>
      <c r="G14" t="inlineStr">
        <is>
          <t>General</t>
        </is>
      </c>
      <c r="H14" t="inlineStr">
        <is>
          <t>General</t>
        </is>
      </c>
      <c r="I14" t="inlineStr">
        <is>
          <t>Generalist</t>
        </is>
      </c>
      <c r="J14" t="inlineStr">
        <is>
          <t>Generalist</t>
        </is>
      </c>
    </row>
    <row r="15">
      <c r="A15" t="inlineStr">
        <is>
          <t>Agarikon</t>
        </is>
      </c>
      <c r="B15" t="inlineStr">
        <is>
          <t>Cordyceps</t>
        </is>
      </c>
      <c r="C15" t="n">
        <v>50</v>
      </c>
      <c r="E15" t="inlineStr">
        <is>
          <t>unclassified</t>
        </is>
      </c>
      <c r="G15" t="inlineStr">
        <is>
          <t>General</t>
        </is>
      </c>
      <c r="H15" t="inlineStr">
        <is>
          <t>General</t>
        </is>
      </c>
      <c r="I15" t="inlineStr">
        <is>
          <t>Generalist</t>
        </is>
      </c>
      <c r="J15" t="inlineStr">
        <is>
          <t>Generalist</t>
        </is>
      </c>
    </row>
    <row r="16">
      <c r="A16" t="inlineStr">
        <is>
          <t>Agarikon</t>
        </is>
      </c>
      <c r="B16" t="inlineStr">
        <is>
          <t>Elecampane</t>
        </is>
      </c>
      <c r="C16" t="n">
        <v>50</v>
      </c>
      <c r="E16" t="inlineStr">
        <is>
          <t>unclassified</t>
        </is>
      </c>
      <c r="G16" t="inlineStr">
        <is>
          <t>General</t>
        </is>
      </c>
      <c r="H16" t="inlineStr">
        <is>
          <t>General</t>
        </is>
      </c>
      <c r="I16" t="inlineStr">
        <is>
          <t>Generalist</t>
        </is>
      </c>
      <c r="J16" t="inlineStr">
        <is>
          <t>Generalist</t>
        </is>
      </c>
    </row>
    <row r="17">
      <c r="A17" t="inlineStr">
        <is>
          <t>Agarikon</t>
        </is>
      </c>
      <c r="B17" t="inlineStr">
        <is>
          <t>Eleuthero</t>
        </is>
      </c>
      <c r="C17" t="n">
        <v>50</v>
      </c>
      <c r="E17" t="inlineStr">
        <is>
          <t>unclassified</t>
        </is>
      </c>
      <c r="G17" t="inlineStr">
        <is>
          <t>General</t>
        </is>
      </c>
      <c r="H17" t="inlineStr">
        <is>
          <t>General</t>
        </is>
      </c>
      <c r="I17" t="inlineStr">
        <is>
          <t>Generalist</t>
        </is>
      </c>
      <c r="J17" t="inlineStr">
        <is>
          <t>Generalist</t>
        </is>
      </c>
    </row>
    <row r="18">
      <c r="A18" t="inlineStr">
        <is>
          <t>Agarikon</t>
        </is>
      </c>
      <c r="B18" t="inlineStr">
        <is>
          <t>Galangal</t>
        </is>
      </c>
      <c r="C18" t="n">
        <v>50</v>
      </c>
      <c r="E18" t="inlineStr">
        <is>
          <t>unclassified</t>
        </is>
      </c>
      <c r="G18" t="inlineStr">
        <is>
          <t>General</t>
        </is>
      </c>
      <c r="H18" t="inlineStr">
        <is>
          <t>General</t>
        </is>
      </c>
      <c r="I18" t="inlineStr">
        <is>
          <t>Generalist</t>
        </is>
      </c>
      <c r="J18" t="inlineStr">
        <is>
          <t>Generalist</t>
        </is>
      </c>
    </row>
    <row r="19">
      <c r="A19" t="inlineStr">
        <is>
          <t>Agarikon</t>
        </is>
      </c>
      <c r="B19" t="inlineStr">
        <is>
          <t>Gudmar</t>
        </is>
      </c>
      <c r="C19" t="n">
        <v>50</v>
      </c>
      <c r="E19" t="inlineStr">
        <is>
          <t>unclassified</t>
        </is>
      </c>
      <c r="G19" t="inlineStr">
        <is>
          <t>General</t>
        </is>
      </c>
      <c r="H19" t="inlineStr">
        <is>
          <t>General</t>
        </is>
      </c>
      <c r="I19" t="inlineStr">
        <is>
          <t>Generalist</t>
        </is>
      </c>
      <c r="J19" t="inlineStr">
        <is>
          <t>Generalist</t>
        </is>
      </c>
    </row>
    <row r="20">
      <c r="A20" t="inlineStr">
        <is>
          <t>Agarikon</t>
        </is>
      </c>
      <c r="B20" t="inlineStr">
        <is>
          <t>Nettle Root</t>
        </is>
      </c>
      <c r="C20" t="n">
        <v>50</v>
      </c>
      <c r="E20" t="inlineStr">
        <is>
          <t>unclassified</t>
        </is>
      </c>
      <c r="G20" t="inlineStr">
        <is>
          <t>General</t>
        </is>
      </c>
      <c r="H20" t="inlineStr">
        <is>
          <t>General</t>
        </is>
      </c>
      <c r="I20" t="inlineStr">
        <is>
          <t>Generalist</t>
        </is>
      </c>
      <c r="J20" t="inlineStr">
        <is>
          <t>Generalist</t>
        </is>
      </c>
    </row>
    <row r="21">
      <c r="A21" t="inlineStr">
        <is>
          <t>Agarikon</t>
        </is>
      </c>
      <c r="B21" t="inlineStr">
        <is>
          <t>Passionflower</t>
        </is>
      </c>
      <c r="C21" t="n">
        <v>50</v>
      </c>
      <c r="E21" t="inlineStr">
        <is>
          <t>unclassified</t>
        </is>
      </c>
      <c r="G21" t="inlineStr">
        <is>
          <t>General</t>
        </is>
      </c>
      <c r="H21" t="inlineStr">
        <is>
          <t>General</t>
        </is>
      </c>
      <c r="I21" t="inlineStr">
        <is>
          <t>Generalist</t>
        </is>
      </c>
      <c r="J21" t="inlineStr">
        <is>
          <t>Generalist</t>
        </is>
      </c>
    </row>
    <row r="22">
      <c r="A22" t="inlineStr">
        <is>
          <t>Agarikon</t>
        </is>
      </c>
      <c r="B22" t="inlineStr">
        <is>
          <t>Punarnava</t>
        </is>
      </c>
      <c r="C22" t="n">
        <v>50</v>
      </c>
      <c r="E22" t="inlineStr">
        <is>
          <t>unclassified</t>
        </is>
      </c>
      <c r="G22" t="inlineStr">
        <is>
          <t>General</t>
        </is>
      </c>
      <c r="H22" t="inlineStr">
        <is>
          <t>General</t>
        </is>
      </c>
      <c r="I22" t="inlineStr">
        <is>
          <t>Generalist</t>
        </is>
      </c>
      <c r="J22" t="inlineStr">
        <is>
          <t>Generalist</t>
        </is>
      </c>
    </row>
    <row r="23">
      <c r="A23" t="inlineStr">
        <is>
          <t>Agarikon</t>
        </is>
      </c>
      <c r="B23" t="inlineStr">
        <is>
          <t>Reishi</t>
        </is>
      </c>
      <c r="C23" t="n">
        <v>50</v>
      </c>
      <c r="E23" t="inlineStr">
        <is>
          <t>unclassified</t>
        </is>
      </c>
      <c r="G23" t="inlineStr">
        <is>
          <t>General</t>
        </is>
      </c>
      <c r="H23" t="inlineStr">
        <is>
          <t>General</t>
        </is>
      </c>
      <c r="I23" t="inlineStr">
        <is>
          <t>Generalist</t>
        </is>
      </c>
      <c r="J23" t="inlineStr">
        <is>
          <t>Generalist</t>
        </is>
      </c>
    </row>
    <row r="24">
      <c r="A24" t="inlineStr">
        <is>
          <t>Agarikon</t>
        </is>
      </c>
      <c r="B24" t="inlineStr">
        <is>
          <t>Tamarind</t>
        </is>
      </c>
      <c r="C24" t="n">
        <v>50</v>
      </c>
      <c r="E24" t="inlineStr">
        <is>
          <t>unclassified</t>
        </is>
      </c>
      <c r="G24" t="inlineStr">
        <is>
          <t>General</t>
        </is>
      </c>
      <c r="H24" t="inlineStr">
        <is>
          <t>General</t>
        </is>
      </c>
      <c r="I24" t="inlineStr">
        <is>
          <t>Generalist</t>
        </is>
      </c>
      <c r="J24" t="inlineStr">
        <is>
          <t>Generalist</t>
        </is>
      </c>
    </row>
    <row r="25">
      <c r="A25" t="inlineStr">
        <is>
          <t>Agarikon</t>
        </is>
      </c>
      <c r="B25" t="inlineStr">
        <is>
          <t>Yohimbe</t>
        </is>
      </c>
      <c r="C25" t="n">
        <v>50</v>
      </c>
      <c r="E25" t="inlineStr">
        <is>
          <t>unclassified</t>
        </is>
      </c>
      <c r="G25" t="inlineStr">
        <is>
          <t>General</t>
        </is>
      </c>
      <c r="H25" t="inlineStr">
        <is>
          <t>General</t>
        </is>
      </c>
      <c r="I25" t="inlineStr">
        <is>
          <t>Generalist</t>
        </is>
      </c>
      <c r="J25" t="inlineStr">
        <is>
          <t>Generalist</t>
        </is>
      </c>
    </row>
    <row r="26">
      <c r="A26" t="inlineStr">
        <is>
          <t>Ajwain</t>
        </is>
      </c>
      <c r="B26" t="inlineStr">
        <is>
          <t>Celastrus Paniculatus</t>
        </is>
      </c>
      <c r="C26" t="n">
        <v>50</v>
      </c>
      <c r="E26" t="inlineStr">
        <is>
          <t>unclassified</t>
        </is>
      </c>
      <c r="G26" t="inlineStr">
        <is>
          <t>General</t>
        </is>
      </c>
      <c r="H26" t="inlineStr">
        <is>
          <t>General</t>
        </is>
      </c>
      <c r="I26" t="inlineStr">
        <is>
          <t>Generalist</t>
        </is>
      </c>
      <c r="J26" t="inlineStr">
        <is>
          <t>Generalist</t>
        </is>
      </c>
    </row>
    <row r="27">
      <c r="A27" t="inlineStr">
        <is>
          <t>Ajwain</t>
        </is>
      </c>
      <c r="B27" t="inlineStr">
        <is>
          <t>Cordyceps</t>
        </is>
      </c>
      <c r="C27" t="n">
        <v>50</v>
      </c>
      <c r="E27" t="inlineStr">
        <is>
          <t>unclassified</t>
        </is>
      </c>
      <c r="G27" t="inlineStr">
        <is>
          <t>General</t>
        </is>
      </c>
      <c r="H27" t="inlineStr">
        <is>
          <t>General</t>
        </is>
      </c>
      <c r="I27" t="inlineStr">
        <is>
          <t>Generalist</t>
        </is>
      </c>
      <c r="J27" t="inlineStr">
        <is>
          <t>Generalist</t>
        </is>
      </c>
    </row>
    <row r="28">
      <c r="A28" t="inlineStr">
        <is>
          <t>Ajwain</t>
        </is>
      </c>
      <c r="B28" t="inlineStr">
        <is>
          <t>Eleuthero</t>
        </is>
      </c>
      <c r="C28" t="n">
        <v>50</v>
      </c>
      <c r="E28" t="inlineStr">
        <is>
          <t>unclassified</t>
        </is>
      </c>
      <c r="G28" t="inlineStr">
        <is>
          <t>General</t>
        </is>
      </c>
      <c r="H28" t="inlineStr">
        <is>
          <t>General</t>
        </is>
      </c>
      <c r="I28" t="inlineStr">
        <is>
          <t>Generalist</t>
        </is>
      </c>
      <c r="J28" t="inlineStr">
        <is>
          <t>Generalist</t>
        </is>
      </c>
    </row>
    <row r="29">
      <c r="A29" t="inlineStr">
        <is>
          <t>Ajwain</t>
        </is>
      </c>
      <c r="B29" t="inlineStr">
        <is>
          <t>Gudmar</t>
        </is>
      </c>
      <c r="C29" t="n">
        <v>50</v>
      </c>
      <c r="E29" t="inlineStr">
        <is>
          <t>unclassified</t>
        </is>
      </c>
      <c r="G29" t="inlineStr">
        <is>
          <t>General</t>
        </is>
      </c>
      <c r="H29" t="inlineStr">
        <is>
          <t>General</t>
        </is>
      </c>
      <c r="I29" t="inlineStr">
        <is>
          <t>Generalist</t>
        </is>
      </c>
      <c r="J29" t="inlineStr">
        <is>
          <t>Generalist</t>
        </is>
      </c>
    </row>
    <row r="30">
      <c r="A30" t="inlineStr">
        <is>
          <t>Ajwain</t>
        </is>
      </c>
      <c r="B30" t="inlineStr">
        <is>
          <t>Nettle Root</t>
        </is>
      </c>
      <c r="C30" t="n">
        <v>50</v>
      </c>
      <c r="E30" t="inlineStr">
        <is>
          <t>unclassified</t>
        </is>
      </c>
      <c r="G30" t="inlineStr">
        <is>
          <t>General</t>
        </is>
      </c>
      <c r="H30" t="inlineStr">
        <is>
          <t>General</t>
        </is>
      </c>
      <c r="I30" t="inlineStr">
        <is>
          <t>Generalist</t>
        </is>
      </c>
      <c r="J30" t="inlineStr">
        <is>
          <t>Generalist</t>
        </is>
      </c>
    </row>
    <row r="31">
      <c r="A31" t="inlineStr">
        <is>
          <t>Ajwain</t>
        </is>
      </c>
      <c r="B31" t="inlineStr">
        <is>
          <t>Passionflower</t>
        </is>
      </c>
      <c r="C31" t="n">
        <v>50</v>
      </c>
      <c r="E31" t="inlineStr">
        <is>
          <t>unclassified</t>
        </is>
      </c>
      <c r="G31" t="inlineStr">
        <is>
          <t>General</t>
        </is>
      </c>
      <c r="H31" t="inlineStr">
        <is>
          <t>General</t>
        </is>
      </c>
      <c r="I31" t="inlineStr">
        <is>
          <t>Generalist</t>
        </is>
      </c>
      <c r="J31" t="inlineStr">
        <is>
          <t>Generalist</t>
        </is>
      </c>
    </row>
    <row r="32">
      <c r="A32" t="inlineStr">
        <is>
          <t>Ajwain</t>
        </is>
      </c>
      <c r="B32" t="inlineStr">
        <is>
          <t>Punarnava</t>
        </is>
      </c>
      <c r="C32" t="n">
        <v>50</v>
      </c>
      <c r="E32" t="inlineStr">
        <is>
          <t>unclassified</t>
        </is>
      </c>
      <c r="G32" t="inlineStr">
        <is>
          <t>General</t>
        </is>
      </c>
      <c r="H32" t="inlineStr">
        <is>
          <t>General</t>
        </is>
      </c>
      <c r="I32" t="inlineStr">
        <is>
          <t>Generalist</t>
        </is>
      </c>
      <c r="J32" t="inlineStr">
        <is>
          <t>Generalist</t>
        </is>
      </c>
    </row>
    <row r="33">
      <c r="A33" t="inlineStr">
        <is>
          <t>Ajwain</t>
        </is>
      </c>
      <c r="B33" t="inlineStr">
        <is>
          <t>Reishi</t>
        </is>
      </c>
      <c r="C33" t="n">
        <v>50</v>
      </c>
      <c r="E33" t="inlineStr">
        <is>
          <t>unclassified</t>
        </is>
      </c>
      <c r="G33" t="inlineStr">
        <is>
          <t>General</t>
        </is>
      </c>
      <c r="H33" t="inlineStr">
        <is>
          <t>General</t>
        </is>
      </c>
      <c r="I33" t="inlineStr">
        <is>
          <t>Generalist</t>
        </is>
      </c>
      <c r="J33" t="inlineStr">
        <is>
          <t>Generalist</t>
        </is>
      </c>
    </row>
    <row r="34">
      <c r="A34" t="inlineStr">
        <is>
          <t>Ajwain</t>
        </is>
      </c>
      <c r="B34" t="inlineStr">
        <is>
          <t>Tamarind</t>
        </is>
      </c>
      <c r="C34" t="n">
        <v>50</v>
      </c>
      <c r="E34" t="inlineStr">
        <is>
          <t>unclassified</t>
        </is>
      </c>
      <c r="G34" t="inlineStr">
        <is>
          <t>General</t>
        </is>
      </c>
      <c r="H34" t="inlineStr">
        <is>
          <t>General</t>
        </is>
      </c>
      <c r="I34" t="inlineStr">
        <is>
          <t>Generalist</t>
        </is>
      </c>
      <c r="J34" t="inlineStr">
        <is>
          <t>Generalist</t>
        </is>
      </c>
    </row>
    <row r="35">
      <c r="A35" t="inlineStr">
        <is>
          <t>Ajwain</t>
        </is>
      </c>
      <c r="B35" t="inlineStr">
        <is>
          <t>Yohimbe</t>
        </is>
      </c>
      <c r="C35" t="n">
        <v>50</v>
      </c>
      <c r="E35" t="inlineStr">
        <is>
          <t>unclassified</t>
        </is>
      </c>
      <c r="G35" t="inlineStr">
        <is>
          <t>General</t>
        </is>
      </c>
      <c r="H35" t="inlineStr">
        <is>
          <t>General</t>
        </is>
      </c>
      <c r="I35" t="inlineStr">
        <is>
          <t>Generalist</t>
        </is>
      </c>
      <c r="J35" t="inlineStr">
        <is>
          <t>Generalist</t>
        </is>
      </c>
    </row>
    <row r="36">
      <c r="A36" t="inlineStr">
        <is>
          <t>Angelica Root</t>
        </is>
      </c>
      <c r="B36" t="inlineStr">
        <is>
          <t>Ajwain</t>
        </is>
      </c>
      <c r="C36" t="n">
        <v>50</v>
      </c>
      <c r="E36" t="inlineStr">
        <is>
          <t>unclassified</t>
        </is>
      </c>
      <c r="G36" t="inlineStr">
        <is>
          <t>General</t>
        </is>
      </c>
      <c r="H36" t="inlineStr">
        <is>
          <t>General</t>
        </is>
      </c>
      <c r="I36" t="inlineStr">
        <is>
          <t>Generalist</t>
        </is>
      </c>
      <c r="J36" t="inlineStr">
        <is>
          <t>Generalist</t>
        </is>
      </c>
    </row>
    <row r="37">
      <c r="A37" t="inlineStr">
        <is>
          <t>Angelica Root</t>
        </is>
      </c>
      <c r="B37" t="inlineStr">
        <is>
          <t>Caraway</t>
        </is>
      </c>
      <c r="C37" t="n">
        <v>50</v>
      </c>
      <c r="E37" t="inlineStr">
        <is>
          <t>unclassified</t>
        </is>
      </c>
      <c r="G37" t="inlineStr">
        <is>
          <t>General</t>
        </is>
      </c>
      <c r="H37" t="inlineStr">
        <is>
          <t>General</t>
        </is>
      </c>
      <c r="I37" t="inlineStr">
        <is>
          <t>Generalist</t>
        </is>
      </c>
      <c r="J37" t="inlineStr">
        <is>
          <t>Generalist</t>
        </is>
      </c>
    </row>
    <row r="38">
      <c r="A38" t="inlineStr">
        <is>
          <t>Angelica Root</t>
        </is>
      </c>
      <c r="B38" t="inlineStr">
        <is>
          <t>Cardamom</t>
        </is>
      </c>
      <c r="C38" t="n">
        <v>50</v>
      </c>
      <c r="E38" t="inlineStr">
        <is>
          <t>unclassified</t>
        </is>
      </c>
      <c r="G38" t="inlineStr">
        <is>
          <t>General</t>
        </is>
      </c>
      <c r="H38" t="inlineStr">
        <is>
          <t>General</t>
        </is>
      </c>
      <c r="I38" t="inlineStr">
        <is>
          <t>Generalist</t>
        </is>
      </c>
      <c r="J38" t="inlineStr">
        <is>
          <t>Generalist</t>
        </is>
      </c>
    </row>
    <row r="39">
      <c r="A39" t="inlineStr">
        <is>
          <t>Angelica Root</t>
        </is>
      </c>
      <c r="B39" t="inlineStr">
        <is>
          <t>Celastrus Paniculatus</t>
        </is>
      </c>
      <c r="C39" t="n">
        <v>50</v>
      </c>
      <c r="E39" t="inlineStr">
        <is>
          <t>unclassified</t>
        </is>
      </c>
      <c r="G39" t="inlineStr">
        <is>
          <t>General</t>
        </is>
      </c>
      <c r="H39" t="inlineStr">
        <is>
          <t>General</t>
        </is>
      </c>
      <c r="I39" t="inlineStr">
        <is>
          <t>Generalist</t>
        </is>
      </c>
      <c r="J39" t="inlineStr">
        <is>
          <t>Generalist</t>
        </is>
      </c>
    </row>
    <row r="40">
      <c r="A40" t="inlineStr">
        <is>
          <t>Angelica Root</t>
        </is>
      </c>
      <c r="B40" t="inlineStr">
        <is>
          <t>Cordyceps</t>
        </is>
      </c>
      <c r="C40" t="n">
        <v>50</v>
      </c>
      <c r="E40" t="inlineStr">
        <is>
          <t>unclassified</t>
        </is>
      </c>
      <c r="G40" t="inlineStr">
        <is>
          <t>General</t>
        </is>
      </c>
      <c r="H40" t="inlineStr">
        <is>
          <t>General</t>
        </is>
      </c>
      <c r="I40" t="inlineStr">
        <is>
          <t>Generalist</t>
        </is>
      </c>
      <c r="J40" t="inlineStr">
        <is>
          <t>Generalist</t>
        </is>
      </c>
    </row>
    <row r="41">
      <c r="A41" t="inlineStr">
        <is>
          <t>Angelica Root</t>
        </is>
      </c>
      <c r="B41" t="inlineStr">
        <is>
          <t>Eleuthero</t>
        </is>
      </c>
      <c r="C41" t="n">
        <v>50</v>
      </c>
      <c r="E41" t="inlineStr">
        <is>
          <t>unclassified</t>
        </is>
      </c>
      <c r="G41" t="inlineStr">
        <is>
          <t>General</t>
        </is>
      </c>
      <c r="H41" t="inlineStr">
        <is>
          <t>General</t>
        </is>
      </c>
      <c r="I41" t="inlineStr">
        <is>
          <t>Generalist</t>
        </is>
      </c>
      <c r="J41" t="inlineStr">
        <is>
          <t>Generalist</t>
        </is>
      </c>
    </row>
    <row r="42">
      <c r="A42" t="inlineStr">
        <is>
          <t>Angelica Root</t>
        </is>
      </c>
      <c r="B42" t="inlineStr">
        <is>
          <t>Galangal</t>
        </is>
      </c>
      <c r="C42" t="n">
        <v>50</v>
      </c>
      <c r="E42" t="inlineStr">
        <is>
          <t>unclassified</t>
        </is>
      </c>
      <c r="G42" t="inlineStr">
        <is>
          <t>General</t>
        </is>
      </c>
      <c r="H42" t="inlineStr">
        <is>
          <t>General</t>
        </is>
      </c>
      <c r="I42" t="inlineStr">
        <is>
          <t>Generalist</t>
        </is>
      </c>
      <c r="J42" t="inlineStr">
        <is>
          <t>Generalist</t>
        </is>
      </c>
    </row>
    <row r="43">
      <c r="A43" t="inlineStr">
        <is>
          <t>Angelica Root</t>
        </is>
      </c>
      <c r="B43" t="inlineStr">
        <is>
          <t>Gudmar</t>
        </is>
      </c>
      <c r="C43" t="n">
        <v>50</v>
      </c>
      <c r="E43" t="inlineStr">
        <is>
          <t>unclassified</t>
        </is>
      </c>
      <c r="G43" t="inlineStr">
        <is>
          <t>General</t>
        </is>
      </c>
      <c r="H43" t="inlineStr">
        <is>
          <t>General</t>
        </is>
      </c>
      <c r="I43" t="inlineStr">
        <is>
          <t>Generalist</t>
        </is>
      </c>
      <c r="J43" t="inlineStr">
        <is>
          <t>Generalist</t>
        </is>
      </c>
    </row>
    <row r="44">
      <c r="A44" t="inlineStr">
        <is>
          <t>Angelica Root</t>
        </is>
      </c>
      <c r="B44" t="inlineStr">
        <is>
          <t>Nettle Root</t>
        </is>
      </c>
      <c r="C44" t="n">
        <v>50</v>
      </c>
      <c r="E44" t="inlineStr">
        <is>
          <t>unclassified</t>
        </is>
      </c>
      <c r="G44" t="inlineStr">
        <is>
          <t>General</t>
        </is>
      </c>
      <c r="H44" t="inlineStr">
        <is>
          <t>General</t>
        </is>
      </c>
      <c r="I44" t="inlineStr">
        <is>
          <t>Generalist</t>
        </is>
      </c>
      <c r="J44" t="inlineStr">
        <is>
          <t>Generalist</t>
        </is>
      </c>
    </row>
    <row r="45">
      <c r="A45" t="inlineStr">
        <is>
          <t>Angelica Root</t>
        </is>
      </c>
      <c r="B45" t="inlineStr">
        <is>
          <t>Passionflower</t>
        </is>
      </c>
      <c r="C45" t="n">
        <v>50</v>
      </c>
      <c r="E45" t="inlineStr">
        <is>
          <t>unclassified</t>
        </is>
      </c>
      <c r="G45" t="inlineStr">
        <is>
          <t>General</t>
        </is>
      </c>
      <c r="H45" t="inlineStr">
        <is>
          <t>General</t>
        </is>
      </c>
      <c r="I45" t="inlineStr">
        <is>
          <t>Generalist</t>
        </is>
      </c>
      <c r="J45" t="inlineStr">
        <is>
          <t>Generalist</t>
        </is>
      </c>
    </row>
    <row r="46">
      <c r="A46" t="inlineStr">
        <is>
          <t>Angelica Root</t>
        </is>
      </c>
      <c r="B46" t="inlineStr">
        <is>
          <t>Punarnava</t>
        </is>
      </c>
      <c r="C46" t="n">
        <v>50</v>
      </c>
      <c r="E46" t="inlineStr">
        <is>
          <t>unclassified</t>
        </is>
      </c>
      <c r="G46" t="inlineStr">
        <is>
          <t>General</t>
        </is>
      </c>
      <c r="H46" t="inlineStr">
        <is>
          <t>General</t>
        </is>
      </c>
      <c r="I46" t="inlineStr">
        <is>
          <t>Generalist</t>
        </is>
      </c>
      <c r="J46" t="inlineStr">
        <is>
          <t>Generalist</t>
        </is>
      </c>
    </row>
    <row r="47">
      <c r="A47" t="inlineStr">
        <is>
          <t>Angelica Root</t>
        </is>
      </c>
      <c r="B47" t="inlineStr">
        <is>
          <t>Reishi</t>
        </is>
      </c>
      <c r="C47" t="n">
        <v>50</v>
      </c>
      <c r="E47" t="inlineStr">
        <is>
          <t>unclassified</t>
        </is>
      </c>
      <c r="G47" t="inlineStr">
        <is>
          <t>General</t>
        </is>
      </c>
      <c r="H47" t="inlineStr">
        <is>
          <t>General</t>
        </is>
      </c>
      <c r="I47" t="inlineStr">
        <is>
          <t>Generalist</t>
        </is>
      </c>
      <c r="J47" t="inlineStr">
        <is>
          <t>Generalist</t>
        </is>
      </c>
    </row>
    <row r="48">
      <c r="A48" t="inlineStr">
        <is>
          <t>Angelica Root</t>
        </is>
      </c>
      <c r="B48" t="inlineStr">
        <is>
          <t>Tamarind</t>
        </is>
      </c>
      <c r="C48" t="n">
        <v>50</v>
      </c>
      <c r="E48" t="inlineStr">
        <is>
          <t>unclassified</t>
        </is>
      </c>
      <c r="G48" t="inlineStr">
        <is>
          <t>General</t>
        </is>
      </c>
      <c r="H48" t="inlineStr">
        <is>
          <t>General</t>
        </is>
      </c>
      <c r="I48" t="inlineStr">
        <is>
          <t>Generalist</t>
        </is>
      </c>
      <c r="J48" t="inlineStr">
        <is>
          <t>Generalist</t>
        </is>
      </c>
    </row>
    <row r="49">
      <c r="A49" t="inlineStr">
        <is>
          <t>Angelica Root</t>
        </is>
      </c>
      <c r="B49" t="inlineStr">
        <is>
          <t>Yohimbe</t>
        </is>
      </c>
      <c r="C49" t="n">
        <v>50</v>
      </c>
      <c r="E49" t="inlineStr">
        <is>
          <t>unclassified</t>
        </is>
      </c>
      <c r="G49" t="inlineStr">
        <is>
          <t>General</t>
        </is>
      </c>
      <c r="H49" t="inlineStr">
        <is>
          <t>General</t>
        </is>
      </c>
      <c r="I49" t="inlineStr">
        <is>
          <t>Generalist</t>
        </is>
      </c>
      <c r="J49" t="inlineStr">
        <is>
          <t>Generalist</t>
        </is>
      </c>
    </row>
    <row r="50">
      <c r="A50" t="inlineStr">
        <is>
          <t>Artichoke</t>
        </is>
      </c>
      <c r="B50" t="inlineStr">
        <is>
          <t>Agarikon</t>
        </is>
      </c>
      <c r="C50" t="n">
        <v>50</v>
      </c>
      <c r="E50" t="inlineStr">
        <is>
          <t>unclassified</t>
        </is>
      </c>
      <c r="G50" t="inlineStr">
        <is>
          <t>General</t>
        </is>
      </c>
      <c r="H50" t="inlineStr">
        <is>
          <t>General</t>
        </is>
      </c>
      <c r="I50" t="inlineStr">
        <is>
          <t>Generalist</t>
        </is>
      </c>
      <c r="J50" t="inlineStr">
        <is>
          <t>Generalist</t>
        </is>
      </c>
    </row>
    <row r="51">
      <c r="A51" t="inlineStr">
        <is>
          <t>Artichoke</t>
        </is>
      </c>
      <c r="B51" t="inlineStr">
        <is>
          <t>Ajwain</t>
        </is>
      </c>
      <c r="C51" t="n">
        <v>50</v>
      </c>
      <c r="E51" t="inlineStr">
        <is>
          <t>unclassified</t>
        </is>
      </c>
      <c r="G51" t="inlineStr">
        <is>
          <t>General</t>
        </is>
      </c>
      <c r="H51" t="inlineStr">
        <is>
          <t>General</t>
        </is>
      </c>
      <c r="I51" t="inlineStr">
        <is>
          <t>Generalist</t>
        </is>
      </c>
      <c r="J51" t="inlineStr">
        <is>
          <t>Generalist</t>
        </is>
      </c>
    </row>
    <row r="52">
      <c r="A52" t="inlineStr">
        <is>
          <t>Artichoke</t>
        </is>
      </c>
      <c r="B52" t="inlineStr">
        <is>
          <t>Angelica Root</t>
        </is>
      </c>
      <c r="C52" t="n">
        <v>50</v>
      </c>
      <c r="E52" t="inlineStr">
        <is>
          <t>unclassified</t>
        </is>
      </c>
      <c r="G52" t="inlineStr">
        <is>
          <t>General</t>
        </is>
      </c>
      <c r="H52" t="inlineStr">
        <is>
          <t>General</t>
        </is>
      </c>
      <c r="I52" t="inlineStr">
        <is>
          <t>Generalist</t>
        </is>
      </c>
      <c r="J52" t="inlineStr">
        <is>
          <t>Generalist</t>
        </is>
      </c>
    </row>
    <row r="53">
      <c r="A53" t="inlineStr">
        <is>
          <t>Artichoke</t>
        </is>
      </c>
      <c r="B53" t="inlineStr">
        <is>
          <t>Ashoka</t>
        </is>
      </c>
      <c r="C53" t="n">
        <v>50</v>
      </c>
      <c r="E53" t="inlineStr">
        <is>
          <t>unclassified</t>
        </is>
      </c>
      <c r="G53" t="inlineStr">
        <is>
          <t>General</t>
        </is>
      </c>
      <c r="H53" t="inlineStr">
        <is>
          <t>General</t>
        </is>
      </c>
      <c r="I53" t="inlineStr">
        <is>
          <t>Generalist</t>
        </is>
      </c>
      <c r="J53" t="inlineStr">
        <is>
          <t>Generalist</t>
        </is>
      </c>
    </row>
    <row r="54">
      <c r="A54" t="inlineStr">
        <is>
          <t>Artichoke</t>
        </is>
      </c>
      <c r="B54" t="inlineStr">
        <is>
          <t>Boldo</t>
        </is>
      </c>
      <c r="C54" t="n">
        <v>50</v>
      </c>
      <c r="E54" t="inlineStr">
        <is>
          <t>unclassified</t>
        </is>
      </c>
      <c r="G54" t="inlineStr">
        <is>
          <t>General</t>
        </is>
      </c>
      <c r="H54" t="inlineStr">
        <is>
          <t>General</t>
        </is>
      </c>
      <c r="I54" t="inlineStr">
        <is>
          <t>Generalist</t>
        </is>
      </c>
      <c r="J54" t="inlineStr">
        <is>
          <t>Generalist</t>
        </is>
      </c>
    </row>
    <row r="55">
      <c r="A55" t="inlineStr">
        <is>
          <t>Artichoke</t>
        </is>
      </c>
      <c r="B55" t="inlineStr">
        <is>
          <t>Burdock</t>
        </is>
      </c>
      <c r="C55" t="n">
        <v>50</v>
      </c>
      <c r="E55" t="inlineStr">
        <is>
          <t>unclassified</t>
        </is>
      </c>
      <c r="G55" t="inlineStr">
        <is>
          <t>General</t>
        </is>
      </c>
      <c r="H55" t="inlineStr">
        <is>
          <t>General</t>
        </is>
      </c>
      <c r="I55" t="inlineStr">
        <is>
          <t>Generalist</t>
        </is>
      </c>
      <c r="J55" t="inlineStr">
        <is>
          <t>Generalist</t>
        </is>
      </c>
    </row>
    <row r="56">
      <c r="A56" t="inlineStr">
        <is>
          <t>Artichoke</t>
        </is>
      </c>
      <c r="B56" t="inlineStr">
        <is>
          <t>Calendula</t>
        </is>
      </c>
      <c r="C56" t="n">
        <v>50</v>
      </c>
      <c r="E56" t="inlineStr">
        <is>
          <t>unclassified</t>
        </is>
      </c>
      <c r="G56" t="inlineStr">
        <is>
          <t>General</t>
        </is>
      </c>
      <c r="H56" t="inlineStr">
        <is>
          <t>General</t>
        </is>
      </c>
      <c r="I56" t="inlineStr">
        <is>
          <t>Generalist</t>
        </is>
      </c>
      <c r="J56" t="inlineStr">
        <is>
          <t>Generalist</t>
        </is>
      </c>
    </row>
    <row r="57">
      <c r="A57" t="inlineStr">
        <is>
          <t>Artichoke</t>
        </is>
      </c>
      <c r="B57" t="inlineStr">
        <is>
          <t>Caraway</t>
        </is>
      </c>
      <c r="C57" t="n">
        <v>50</v>
      </c>
      <c r="E57" t="inlineStr">
        <is>
          <t>unclassified</t>
        </is>
      </c>
      <c r="G57" t="inlineStr">
        <is>
          <t>General</t>
        </is>
      </c>
      <c r="H57" t="inlineStr">
        <is>
          <t>General</t>
        </is>
      </c>
      <c r="I57" t="inlineStr">
        <is>
          <t>Generalist</t>
        </is>
      </c>
      <c r="J57" t="inlineStr">
        <is>
          <t>Generalist</t>
        </is>
      </c>
    </row>
    <row r="58">
      <c r="A58" t="inlineStr">
        <is>
          <t>Artichoke</t>
        </is>
      </c>
      <c r="B58" t="inlineStr">
        <is>
          <t>Cardamom</t>
        </is>
      </c>
      <c r="C58" t="n">
        <v>50</v>
      </c>
      <c r="E58" t="inlineStr">
        <is>
          <t>unclassified</t>
        </is>
      </c>
      <c r="G58" t="inlineStr">
        <is>
          <t>General</t>
        </is>
      </c>
      <c r="H58" t="inlineStr">
        <is>
          <t>General</t>
        </is>
      </c>
      <c r="I58" t="inlineStr">
        <is>
          <t>Generalist</t>
        </is>
      </c>
      <c r="J58" t="inlineStr">
        <is>
          <t>Generalist</t>
        </is>
      </c>
    </row>
    <row r="59">
      <c r="A59" t="inlineStr">
        <is>
          <t>Artichoke</t>
        </is>
      </c>
      <c r="B59" t="inlineStr">
        <is>
          <t>Celastrus Paniculatus</t>
        </is>
      </c>
      <c r="C59" t="n">
        <v>50</v>
      </c>
      <c r="E59" t="inlineStr">
        <is>
          <t>unclassified</t>
        </is>
      </c>
      <c r="G59" t="inlineStr">
        <is>
          <t>General</t>
        </is>
      </c>
      <c r="H59" t="inlineStr">
        <is>
          <t>General</t>
        </is>
      </c>
      <c r="I59" t="inlineStr">
        <is>
          <t>Generalist</t>
        </is>
      </c>
      <c r="J59" t="inlineStr">
        <is>
          <t>Generalist</t>
        </is>
      </c>
    </row>
    <row r="60">
      <c r="A60" t="inlineStr">
        <is>
          <t>Artichoke</t>
        </is>
      </c>
      <c r="B60" t="inlineStr">
        <is>
          <t>Cinnamon</t>
        </is>
      </c>
      <c r="C60" t="n">
        <v>50</v>
      </c>
      <c r="E60" t="inlineStr">
        <is>
          <t>unclassified</t>
        </is>
      </c>
      <c r="G60" t="inlineStr">
        <is>
          <t>General</t>
        </is>
      </c>
      <c r="H60" t="inlineStr">
        <is>
          <t>General</t>
        </is>
      </c>
      <c r="I60" t="inlineStr">
        <is>
          <t>Generalist</t>
        </is>
      </c>
      <c r="J60" t="inlineStr">
        <is>
          <t>Generalist</t>
        </is>
      </c>
    </row>
    <row r="61">
      <c r="A61" t="inlineStr">
        <is>
          <t>Artichoke</t>
        </is>
      </c>
      <c r="B61" t="inlineStr">
        <is>
          <t>Cistanche</t>
        </is>
      </c>
      <c r="C61" t="n">
        <v>50</v>
      </c>
      <c r="E61" t="inlineStr">
        <is>
          <t>unclassified</t>
        </is>
      </c>
      <c r="G61" t="inlineStr">
        <is>
          <t>General</t>
        </is>
      </c>
      <c r="H61" t="inlineStr">
        <is>
          <t>General</t>
        </is>
      </c>
      <c r="I61" t="inlineStr">
        <is>
          <t>Generalist</t>
        </is>
      </c>
      <c r="J61" t="inlineStr">
        <is>
          <t>Generalist</t>
        </is>
      </c>
    </row>
    <row r="62">
      <c r="A62" t="inlineStr">
        <is>
          <t>Artichoke</t>
        </is>
      </c>
      <c r="B62" t="inlineStr">
        <is>
          <t>Cordyceps</t>
        </is>
      </c>
      <c r="C62" t="n">
        <v>50</v>
      </c>
      <c r="E62" t="inlineStr">
        <is>
          <t>unclassified</t>
        </is>
      </c>
      <c r="G62" t="inlineStr">
        <is>
          <t>General</t>
        </is>
      </c>
      <c r="H62" t="inlineStr">
        <is>
          <t>General</t>
        </is>
      </c>
      <c r="I62" t="inlineStr">
        <is>
          <t>Generalist</t>
        </is>
      </c>
      <c r="J62" t="inlineStr">
        <is>
          <t>Generalist</t>
        </is>
      </c>
    </row>
    <row r="63">
      <c r="A63" t="inlineStr">
        <is>
          <t>Artichoke</t>
        </is>
      </c>
      <c r="B63" t="inlineStr">
        <is>
          <t>Dandelion</t>
        </is>
      </c>
      <c r="C63" t="n">
        <v>50</v>
      </c>
      <c r="E63" t="inlineStr">
        <is>
          <t>unclassified</t>
        </is>
      </c>
      <c r="G63" t="inlineStr">
        <is>
          <t>General</t>
        </is>
      </c>
      <c r="H63" t="inlineStr">
        <is>
          <t>General</t>
        </is>
      </c>
      <c r="I63" t="inlineStr">
        <is>
          <t>Generalist</t>
        </is>
      </c>
      <c r="J63" t="inlineStr">
        <is>
          <t>Generalist</t>
        </is>
      </c>
    </row>
    <row r="64">
      <c r="A64" t="inlineStr">
        <is>
          <t>Artichoke</t>
        </is>
      </c>
      <c r="B64" t="inlineStr">
        <is>
          <t>Dendrobium</t>
        </is>
      </c>
      <c r="C64" t="n">
        <v>50</v>
      </c>
      <c r="E64" t="inlineStr">
        <is>
          <t>unclassified</t>
        </is>
      </c>
      <c r="G64" t="inlineStr">
        <is>
          <t>General</t>
        </is>
      </c>
      <c r="H64" t="inlineStr">
        <is>
          <t>General</t>
        </is>
      </c>
      <c r="I64" t="inlineStr">
        <is>
          <t>Generalist</t>
        </is>
      </c>
      <c r="J64" t="inlineStr">
        <is>
          <t>Generalist</t>
        </is>
      </c>
    </row>
    <row r="65">
      <c r="A65" t="inlineStr">
        <is>
          <t>Artichoke</t>
        </is>
      </c>
      <c r="B65" t="inlineStr">
        <is>
          <t>Elecampane</t>
        </is>
      </c>
      <c r="C65" t="n">
        <v>50</v>
      </c>
      <c r="E65" t="inlineStr">
        <is>
          <t>unclassified</t>
        </is>
      </c>
      <c r="G65" t="inlineStr">
        <is>
          <t>General</t>
        </is>
      </c>
      <c r="H65" t="inlineStr">
        <is>
          <t>General</t>
        </is>
      </c>
      <c r="I65" t="inlineStr">
        <is>
          <t>Generalist</t>
        </is>
      </c>
      <c r="J65" t="inlineStr">
        <is>
          <t>Generalist</t>
        </is>
      </c>
    </row>
    <row r="66">
      <c r="A66" t="inlineStr">
        <is>
          <t>Artichoke</t>
        </is>
      </c>
      <c r="B66" t="inlineStr">
        <is>
          <t>Eleuthero</t>
        </is>
      </c>
      <c r="C66" t="n">
        <v>50</v>
      </c>
      <c r="E66" t="inlineStr">
        <is>
          <t>unclassified</t>
        </is>
      </c>
      <c r="G66" t="inlineStr">
        <is>
          <t>General</t>
        </is>
      </c>
      <c r="H66" t="inlineStr">
        <is>
          <t>General</t>
        </is>
      </c>
      <c r="I66" t="inlineStr">
        <is>
          <t>Generalist</t>
        </is>
      </c>
      <c r="J66" t="inlineStr">
        <is>
          <t>Generalist</t>
        </is>
      </c>
    </row>
    <row r="67">
      <c r="A67" t="inlineStr">
        <is>
          <t>Artichoke</t>
        </is>
      </c>
      <c r="B67" t="inlineStr">
        <is>
          <t>Fennel</t>
        </is>
      </c>
      <c r="C67" t="n">
        <v>50</v>
      </c>
      <c r="E67" t="inlineStr">
        <is>
          <t>unclassified</t>
        </is>
      </c>
      <c r="G67" t="inlineStr">
        <is>
          <t>General</t>
        </is>
      </c>
      <c r="H67" t="inlineStr">
        <is>
          <t>General</t>
        </is>
      </c>
      <c r="I67" t="inlineStr">
        <is>
          <t>Generalist</t>
        </is>
      </c>
      <c r="J67" t="inlineStr">
        <is>
          <t>Generalist</t>
        </is>
      </c>
    </row>
    <row r="68">
      <c r="A68" t="inlineStr">
        <is>
          <t>Artichoke</t>
        </is>
      </c>
      <c r="B68" t="inlineStr">
        <is>
          <t>Galangal</t>
        </is>
      </c>
      <c r="C68" t="n">
        <v>50</v>
      </c>
      <c r="E68" t="inlineStr">
        <is>
          <t>unclassified</t>
        </is>
      </c>
      <c r="G68" t="inlineStr">
        <is>
          <t>General</t>
        </is>
      </c>
      <c r="H68" t="inlineStr">
        <is>
          <t>General</t>
        </is>
      </c>
      <c r="I68" t="inlineStr">
        <is>
          <t>Generalist</t>
        </is>
      </c>
      <c r="J68" t="inlineStr">
        <is>
          <t>Generalist</t>
        </is>
      </c>
    </row>
    <row r="69">
      <c r="A69" t="inlineStr">
        <is>
          <t>Artichoke</t>
        </is>
      </c>
      <c r="B69" t="inlineStr">
        <is>
          <t>Gastrodia</t>
        </is>
      </c>
      <c r="C69" t="n">
        <v>50</v>
      </c>
      <c r="E69" t="inlineStr">
        <is>
          <t>unclassified</t>
        </is>
      </c>
      <c r="G69" t="inlineStr">
        <is>
          <t>General</t>
        </is>
      </c>
      <c r="H69" t="inlineStr">
        <is>
          <t>General</t>
        </is>
      </c>
      <c r="I69" t="inlineStr">
        <is>
          <t>Generalist</t>
        </is>
      </c>
      <c r="J69" t="inlineStr">
        <is>
          <t>Generalist</t>
        </is>
      </c>
    </row>
    <row r="70">
      <c r="A70" t="inlineStr">
        <is>
          <t>Artichoke</t>
        </is>
      </c>
      <c r="B70" t="inlineStr">
        <is>
          <t>Gudmar</t>
        </is>
      </c>
      <c r="C70" t="n">
        <v>50</v>
      </c>
      <c r="E70" t="inlineStr">
        <is>
          <t>unclassified</t>
        </is>
      </c>
      <c r="G70" t="inlineStr">
        <is>
          <t>General</t>
        </is>
      </c>
      <c r="H70" t="inlineStr">
        <is>
          <t>General</t>
        </is>
      </c>
      <c r="I70" t="inlineStr">
        <is>
          <t>Generalist</t>
        </is>
      </c>
      <c r="J70" t="inlineStr">
        <is>
          <t>Generalist</t>
        </is>
      </c>
    </row>
    <row r="71">
      <c r="A71" t="inlineStr">
        <is>
          <t>Artichoke</t>
        </is>
      </c>
      <c r="B71" t="inlineStr">
        <is>
          <t>Gymnema</t>
        </is>
      </c>
      <c r="C71" t="n">
        <v>50</v>
      </c>
      <c r="E71" t="inlineStr">
        <is>
          <t>unclassified</t>
        </is>
      </c>
      <c r="G71" t="inlineStr">
        <is>
          <t>General</t>
        </is>
      </c>
      <c r="H71" t="inlineStr">
        <is>
          <t>General</t>
        </is>
      </c>
      <c r="I71" t="inlineStr">
        <is>
          <t>Generalist</t>
        </is>
      </c>
      <c r="J71" t="inlineStr">
        <is>
          <t>Generalist</t>
        </is>
      </c>
    </row>
    <row r="72">
      <c r="A72" t="inlineStr">
        <is>
          <t>Artichoke</t>
        </is>
      </c>
      <c r="B72" t="inlineStr">
        <is>
          <t>Hops</t>
        </is>
      </c>
      <c r="C72" t="n">
        <v>50</v>
      </c>
      <c r="E72" t="inlineStr">
        <is>
          <t>unclassified</t>
        </is>
      </c>
      <c r="G72" t="inlineStr">
        <is>
          <t>General</t>
        </is>
      </c>
      <c r="H72" t="inlineStr">
        <is>
          <t>General</t>
        </is>
      </c>
      <c r="I72" t="inlineStr">
        <is>
          <t>Generalist</t>
        </is>
      </c>
      <c r="J72" t="inlineStr">
        <is>
          <t>Generalist</t>
        </is>
      </c>
    </row>
    <row r="73">
      <c r="A73" t="inlineStr">
        <is>
          <t>Artichoke</t>
        </is>
      </c>
      <c r="B73" t="inlineStr">
        <is>
          <t>Houttuynia</t>
        </is>
      </c>
      <c r="C73" t="n">
        <v>50</v>
      </c>
      <c r="E73" t="inlineStr">
        <is>
          <t>unclassified</t>
        </is>
      </c>
      <c r="G73" t="inlineStr">
        <is>
          <t>General</t>
        </is>
      </c>
      <c r="H73" t="inlineStr">
        <is>
          <t>General</t>
        </is>
      </c>
      <c r="I73" t="inlineStr">
        <is>
          <t>Generalist</t>
        </is>
      </c>
      <c r="J73" t="inlineStr">
        <is>
          <t>Generalist</t>
        </is>
      </c>
    </row>
    <row r="74">
      <c r="A74" t="inlineStr">
        <is>
          <t>Artichoke</t>
        </is>
      </c>
      <c r="B74" t="inlineStr">
        <is>
          <t>Isatis</t>
        </is>
      </c>
      <c r="C74" t="n">
        <v>50</v>
      </c>
      <c r="E74" t="inlineStr">
        <is>
          <t>unclassified</t>
        </is>
      </c>
      <c r="G74" t="inlineStr">
        <is>
          <t>General</t>
        </is>
      </c>
      <c r="H74" t="inlineStr">
        <is>
          <t>General</t>
        </is>
      </c>
      <c r="I74" t="inlineStr">
        <is>
          <t>Generalist</t>
        </is>
      </c>
      <c r="J74" t="inlineStr">
        <is>
          <t>Generalist</t>
        </is>
      </c>
    </row>
    <row r="75">
      <c r="A75" t="inlineStr">
        <is>
          <t>Artichoke</t>
        </is>
      </c>
      <c r="B75" t="inlineStr">
        <is>
          <t>Jatamansi</t>
        </is>
      </c>
      <c r="C75" t="n">
        <v>50</v>
      </c>
      <c r="E75" t="inlineStr">
        <is>
          <t>unclassified</t>
        </is>
      </c>
      <c r="G75" t="inlineStr">
        <is>
          <t>General</t>
        </is>
      </c>
      <c r="H75" t="inlineStr">
        <is>
          <t>General</t>
        </is>
      </c>
      <c r="I75" t="inlineStr">
        <is>
          <t>Generalist</t>
        </is>
      </c>
      <c r="J75" t="inlineStr">
        <is>
          <t>Generalist</t>
        </is>
      </c>
    </row>
    <row r="76">
      <c r="A76" t="inlineStr">
        <is>
          <t>Artichoke</t>
        </is>
      </c>
      <c r="B76" t="inlineStr">
        <is>
          <t>Lemon Verbena</t>
        </is>
      </c>
      <c r="C76" t="n">
        <v>50</v>
      </c>
      <c r="E76" t="inlineStr">
        <is>
          <t>unclassified</t>
        </is>
      </c>
      <c r="G76" t="inlineStr">
        <is>
          <t>General</t>
        </is>
      </c>
      <c r="H76" t="inlineStr">
        <is>
          <t>General</t>
        </is>
      </c>
      <c r="I76" t="inlineStr">
        <is>
          <t>Generalist</t>
        </is>
      </c>
      <c r="J76" t="inlineStr">
        <is>
          <t>Generalist</t>
        </is>
      </c>
    </row>
    <row r="77">
      <c r="A77" t="inlineStr">
        <is>
          <t>Artichoke</t>
        </is>
      </c>
      <c r="B77" t="inlineStr">
        <is>
          <t>Lemongrass</t>
        </is>
      </c>
      <c r="C77" t="n">
        <v>50</v>
      </c>
      <c r="E77" t="inlineStr">
        <is>
          <t>unclassified</t>
        </is>
      </c>
      <c r="G77" t="inlineStr">
        <is>
          <t>General</t>
        </is>
      </c>
      <c r="H77" t="inlineStr">
        <is>
          <t>General</t>
        </is>
      </c>
      <c r="I77" t="inlineStr">
        <is>
          <t>Generalist</t>
        </is>
      </c>
      <c r="J77" t="inlineStr">
        <is>
          <t>Generalist</t>
        </is>
      </c>
    </row>
    <row r="78">
      <c r="A78" t="inlineStr">
        <is>
          <t>Artichoke</t>
        </is>
      </c>
      <c r="B78" t="inlineStr">
        <is>
          <t>Longan</t>
        </is>
      </c>
      <c r="C78" t="n">
        <v>50</v>
      </c>
      <c r="E78" t="inlineStr">
        <is>
          <t>unclassified</t>
        </is>
      </c>
      <c r="G78" t="inlineStr">
        <is>
          <t>General</t>
        </is>
      </c>
      <c r="H78" t="inlineStr">
        <is>
          <t>General</t>
        </is>
      </c>
      <c r="I78" t="inlineStr">
        <is>
          <t>Generalist</t>
        </is>
      </c>
      <c r="J78" t="inlineStr">
        <is>
          <t>Generalist</t>
        </is>
      </c>
    </row>
    <row r="79">
      <c r="A79" t="inlineStr">
        <is>
          <t>Artichoke</t>
        </is>
      </c>
      <c r="B79" t="inlineStr">
        <is>
          <t>Maitake D-Fraction</t>
        </is>
      </c>
      <c r="C79" t="n">
        <v>50</v>
      </c>
      <c r="E79" t="inlineStr">
        <is>
          <t>unclassified</t>
        </is>
      </c>
      <c r="G79" t="inlineStr">
        <is>
          <t>General</t>
        </is>
      </c>
      <c r="H79" t="inlineStr">
        <is>
          <t>General</t>
        </is>
      </c>
      <c r="I79" t="inlineStr">
        <is>
          <t>Generalist</t>
        </is>
      </c>
      <c r="J79" t="inlineStr">
        <is>
          <t>Generalist</t>
        </is>
      </c>
    </row>
    <row r="80">
      <c r="A80" t="inlineStr">
        <is>
          <t>Artichoke</t>
        </is>
      </c>
      <c r="B80" t="inlineStr">
        <is>
          <t>Milk Oats</t>
        </is>
      </c>
      <c r="C80" t="n">
        <v>50</v>
      </c>
      <c r="E80" t="inlineStr">
        <is>
          <t>unclassified</t>
        </is>
      </c>
      <c r="G80" t="inlineStr">
        <is>
          <t>General</t>
        </is>
      </c>
      <c r="H80" t="inlineStr">
        <is>
          <t>General</t>
        </is>
      </c>
      <c r="I80" t="inlineStr">
        <is>
          <t>Generalist</t>
        </is>
      </c>
      <c r="J80" t="inlineStr">
        <is>
          <t>Generalist</t>
        </is>
      </c>
    </row>
    <row r="81">
      <c r="A81" t="inlineStr">
        <is>
          <t>Artichoke</t>
        </is>
      </c>
      <c r="B81" t="inlineStr">
        <is>
          <t>Mugwort</t>
        </is>
      </c>
      <c r="C81" t="n">
        <v>50</v>
      </c>
      <c r="E81" t="inlineStr">
        <is>
          <t>unclassified</t>
        </is>
      </c>
      <c r="G81" t="inlineStr">
        <is>
          <t>General</t>
        </is>
      </c>
      <c r="H81" t="inlineStr">
        <is>
          <t>General</t>
        </is>
      </c>
      <c r="I81" t="inlineStr">
        <is>
          <t>Generalist</t>
        </is>
      </c>
      <c r="J81" t="inlineStr">
        <is>
          <t>Generalist</t>
        </is>
      </c>
    </row>
    <row r="82">
      <c r="A82" t="inlineStr">
        <is>
          <t>Artichoke</t>
        </is>
      </c>
      <c r="B82" t="inlineStr">
        <is>
          <t>Muira Puama</t>
        </is>
      </c>
      <c r="C82" t="n">
        <v>50</v>
      </c>
      <c r="E82" t="inlineStr">
        <is>
          <t>unclassified</t>
        </is>
      </c>
      <c r="G82" t="inlineStr">
        <is>
          <t>General</t>
        </is>
      </c>
      <c r="H82" t="inlineStr">
        <is>
          <t>General</t>
        </is>
      </c>
      <c r="I82" t="inlineStr">
        <is>
          <t>Generalist</t>
        </is>
      </c>
      <c r="J82" t="inlineStr">
        <is>
          <t>Generalist</t>
        </is>
      </c>
    </row>
    <row r="83">
      <c r="A83" t="inlineStr">
        <is>
          <t>Artichoke</t>
        </is>
      </c>
      <c r="B83" t="inlineStr">
        <is>
          <t>Mulberry Leaf</t>
        </is>
      </c>
      <c r="C83" t="n">
        <v>50</v>
      </c>
      <c r="E83" t="inlineStr">
        <is>
          <t>unclassified</t>
        </is>
      </c>
      <c r="G83" t="inlineStr">
        <is>
          <t>General</t>
        </is>
      </c>
      <c r="H83" t="inlineStr">
        <is>
          <t>General</t>
        </is>
      </c>
      <c r="I83" t="inlineStr">
        <is>
          <t>Generalist</t>
        </is>
      </c>
      <c r="J83" t="inlineStr">
        <is>
          <t>Generalist</t>
        </is>
      </c>
    </row>
    <row r="84">
      <c r="A84" t="inlineStr">
        <is>
          <t>Artichoke</t>
        </is>
      </c>
      <c r="B84" t="inlineStr">
        <is>
          <t>Myrtle</t>
        </is>
      </c>
      <c r="C84" t="n">
        <v>50</v>
      </c>
      <c r="E84" t="inlineStr">
        <is>
          <t>unclassified</t>
        </is>
      </c>
      <c r="G84" t="inlineStr">
        <is>
          <t>General</t>
        </is>
      </c>
      <c r="H84" t="inlineStr">
        <is>
          <t>General</t>
        </is>
      </c>
      <c r="I84" t="inlineStr">
        <is>
          <t>Generalist</t>
        </is>
      </c>
      <c r="J84" t="inlineStr">
        <is>
          <t>Generalist</t>
        </is>
      </c>
    </row>
    <row r="85">
      <c r="A85" t="inlineStr">
        <is>
          <t>Artichoke</t>
        </is>
      </c>
      <c r="B85" t="inlineStr">
        <is>
          <t>Neem</t>
        </is>
      </c>
      <c r="C85" t="n">
        <v>50</v>
      </c>
      <c r="E85" t="inlineStr">
        <is>
          <t>unclassified</t>
        </is>
      </c>
      <c r="G85" t="inlineStr">
        <is>
          <t>General</t>
        </is>
      </c>
      <c r="H85" t="inlineStr">
        <is>
          <t>General</t>
        </is>
      </c>
      <c r="I85" t="inlineStr">
        <is>
          <t>Generalist</t>
        </is>
      </c>
      <c r="J85" t="inlineStr">
        <is>
          <t>Generalist</t>
        </is>
      </c>
    </row>
    <row r="86">
      <c r="A86" t="inlineStr">
        <is>
          <t>Artichoke</t>
        </is>
      </c>
      <c r="B86" t="inlineStr">
        <is>
          <t>Nettle Root</t>
        </is>
      </c>
      <c r="C86" t="n">
        <v>50</v>
      </c>
      <c r="E86" t="inlineStr">
        <is>
          <t>unclassified</t>
        </is>
      </c>
      <c r="G86" t="inlineStr">
        <is>
          <t>General</t>
        </is>
      </c>
      <c r="H86" t="inlineStr">
        <is>
          <t>General</t>
        </is>
      </c>
      <c r="I86" t="inlineStr">
        <is>
          <t>Generalist</t>
        </is>
      </c>
      <c r="J86" t="inlineStr">
        <is>
          <t>Generalist</t>
        </is>
      </c>
    </row>
    <row r="87">
      <c r="A87" t="inlineStr">
        <is>
          <t>Artichoke</t>
        </is>
      </c>
      <c r="B87" t="inlineStr">
        <is>
          <t>Noni</t>
        </is>
      </c>
      <c r="C87" t="n">
        <v>50</v>
      </c>
      <c r="E87" t="inlineStr">
        <is>
          <t>unclassified</t>
        </is>
      </c>
      <c r="G87" t="inlineStr">
        <is>
          <t>General</t>
        </is>
      </c>
      <c r="H87" t="inlineStr">
        <is>
          <t>General</t>
        </is>
      </c>
      <c r="I87" t="inlineStr">
        <is>
          <t>Generalist</t>
        </is>
      </c>
      <c r="J87" t="inlineStr">
        <is>
          <t>Generalist</t>
        </is>
      </c>
    </row>
    <row r="88">
      <c r="A88" t="inlineStr">
        <is>
          <t>Artichoke</t>
        </is>
      </c>
      <c r="B88" t="inlineStr">
        <is>
          <t>Oatstraw</t>
        </is>
      </c>
      <c r="C88" t="n">
        <v>50</v>
      </c>
      <c r="E88" t="inlineStr">
        <is>
          <t>unclassified</t>
        </is>
      </c>
      <c r="G88" t="inlineStr">
        <is>
          <t>General</t>
        </is>
      </c>
      <c r="H88" t="inlineStr">
        <is>
          <t>General</t>
        </is>
      </c>
      <c r="I88" t="inlineStr">
        <is>
          <t>Generalist</t>
        </is>
      </c>
      <c r="J88" t="inlineStr">
        <is>
          <t>Generalist</t>
        </is>
      </c>
    </row>
    <row r="89">
      <c r="A89" t="inlineStr">
        <is>
          <t>Artichoke</t>
        </is>
      </c>
      <c r="B89" t="inlineStr">
        <is>
          <t>Passionflower</t>
        </is>
      </c>
      <c r="C89" t="n">
        <v>50</v>
      </c>
      <c r="E89" t="inlineStr">
        <is>
          <t>unclassified</t>
        </is>
      </c>
      <c r="G89" t="inlineStr">
        <is>
          <t>General</t>
        </is>
      </c>
      <c r="H89" t="inlineStr">
        <is>
          <t>General</t>
        </is>
      </c>
      <c r="I89" t="inlineStr">
        <is>
          <t>Generalist</t>
        </is>
      </c>
      <c r="J89" t="inlineStr">
        <is>
          <t>Generalist</t>
        </is>
      </c>
    </row>
    <row r="90">
      <c r="A90" t="inlineStr">
        <is>
          <t>Artichoke</t>
        </is>
      </c>
      <c r="B90" t="inlineStr">
        <is>
          <t>Pau d'Arco</t>
        </is>
      </c>
      <c r="C90" t="n">
        <v>50</v>
      </c>
      <c r="E90" t="inlineStr">
        <is>
          <t>unclassified</t>
        </is>
      </c>
      <c r="G90" t="inlineStr">
        <is>
          <t>General</t>
        </is>
      </c>
      <c r="H90" t="inlineStr">
        <is>
          <t>General</t>
        </is>
      </c>
      <c r="I90" t="inlineStr">
        <is>
          <t>Generalist</t>
        </is>
      </c>
      <c r="J90" t="inlineStr">
        <is>
          <t>Generalist</t>
        </is>
      </c>
    </row>
    <row r="91">
      <c r="A91" t="inlineStr">
        <is>
          <t>Artichoke</t>
        </is>
      </c>
      <c r="B91" t="inlineStr">
        <is>
          <t>Perilla</t>
        </is>
      </c>
      <c r="C91" t="n">
        <v>50</v>
      </c>
      <c r="E91" t="inlineStr">
        <is>
          <t>unclassified</t>
        </is>
      </c>
      <c r="G91" t="inlineStr">
        <is>
          <t>General</t>
        </is>
      </c>
      <c r="H91" t="inlineStr">
        <is>
          <t>General</t>
        </is>
      </c>
      <c r="I91" t="inlineStr">
        <is>
          <t>Generalist</t>
        </is>
      </c>
      <c r="J91" t="inlineStr">
        <is>
          <t>Generalist</t>
        </is>
      </c>
    </row>
    <row r="92">
      <c r="A92" t="inlineStr">
        <is>
          <t>Artichoke</t>
        </is>
      </c>
      <c r="B92" t="inlineStr">
        <is>
          <t>Pomegranate</t>
        </is>
      </c>
      <c r="C92" t="n">
        <v>50</v>
      </c>
      <c r="E92" t="inlineStr">
        <is>
          <t>unclassified</t>
        </is>
      </c>
      <c r="G92" t="inlineStr">
        <is>
          <t>General</t>
        </is>
      </c>
      <c r="H92" t="inlineStr">
        <is>
          <t>General</t>
        </is>
      </c>
      <c r="I92" t="inlineStr">
        <is>
          <t>Generalist</t>
        </is>
      </c>
      <c r="J92" t="inlineStr">
        <is>
          <t>Generalist</t>
        </is>
      </c>
    </row>
    <row r="93">
      <c r="A93" t="inlineStr">
        <is>
          <t>Artichoke</t>
        </is>
      </c>
      <c r="B93" t="inlineStr">
        <is>
          <t>Poria</t>
        </is>
      </c>
      <c r="C93" t="n">
        <v>50</v>
      </c>
      <c r="E93" t="inlineStr">
        <is>
          <t>unclassified</t>
        </is>
      </c>
      <c r="G93" t="inlineStr">
        <is>
          <t>General</t>
        </is>
      </c>
      <c r="H93" t="inlineStr">
        <is>
          <t>General</t>
        </is>
      </c>
      <c r="I93" t="inlineStr">
        <is>
          <t>Generalist</t>
        </is>
      </c>
      <c r="J93" t="inlineStr">
        <is>
          <t>Generalist</t>
        </is>
      </c>
    </row>
    <row r="94">
      <c r="A94" t="inlineStr">
        <is>
          <t>Artichoke</t>
        </is>
      </c>
      <c r="B94" t="inlineStr">
        <is>
          <t>Punarnava</t>
        </is>
      </c>
      <c r="C94" t="n">
        <v>50</v>
      </c>
      <c r="E94" t="inlineStr">
        <is>
          <t>unclassified</t>
        </is>
      </c>
      <c r="G94" t="inlineStr">
        <is>
          <t>General</t>
        </is>
      </c>
      <c r="H94" t="inlineStr">
        <is>
          <t>General</t>
        </is>
      </c>
      <c r="I94" t="inlineStr">
        <is>
          <t>Generalist</t>
        </is>
      </c>
      <c r="J94" t="inlineStr">
        <is>
          <t>Generalist</t>
        </is>
      </c>
    </row>
    <row r="95">
      <c r="A95" t="inlineStr">
        <is>
          <t>Artichoke</t>
        </is>
      </c>
      <c r="B95" t="inlineStr">
        <is>
          <t>Red Clover</t>
        </is>
      </c>
      <c r="C95" t="n">
        <v>50</v>
      </c>
      <c r="E95" t="inlineStr">
        <is>
          <t>unclassified</t>
        </is>
      </c>
      <c r="G95" t="inlineStr">
        <is>
          <t>General</t>
        </is>
      </c>
      <c r="H95" t="inlineStr">
        <is>
          <t>General</t>
        </is>
      </c>
      <c r="I95" t="inlineStr">
        <is>
          <t>Generalist</t>
        </is>
      </c>
      <c r="J95" t="inlineStr">
        <is>
          <t>Generalist</t>
        </is>
      </c>
    </row>
    <row r="96">
      <c r="A96" t="inlineStr">
        <is>
          <t>Artichoke</t>
        </is>
      </c>
      <c r="B96" t="inlineStr">
        <is>
          <t>Rehmannia Prepared</t>
        </is>
      </c>
      <c r="C96" t="n">
        <v>50</v>
      </c>
      <c r="E96" t="inlineStr">
        <is>
          <t>unclassified</t>
        </is>
      </c>
      <c r="G96" t="inlineStr">
        <is>
          <t>General</t>
        </is>
      </c>
      <c r="H96" t="inlineStr">
        <is>
          <t>General</t>
        </is>
      </c>
      <c r="I96" t="inlineStr">
        <is>
          <t>Generalist</t>
        </is>
      </c>
      <c r="J96" t="inlineStr">
        <is>
          <t>Generalist</t>
        </is>
      </c>
    </row>
    <row r="97">
      <c r="A97" t="inlineStr">
        <is>
          <t>Artichoke</t>
        </is>
      </c>
      <c r="B97" t="inlineStr">
        <is>
          <t>Reishi</t>
        </is>
      </c>
      <c r="C97" t="n">
        <v>50</v>
      </c>
      <c r="E97" t="inlineStr">
        <is>
          <t>unclassified</t>
        </is>
      </c>
      <c r="G97" t="inlineStr">
        <is>
          <t>General</t>
        </is>
      </c>
      <c r="H97" t="inlineStr">
        <is>
          <t>General</t>
        </is>
      </c>
      <c r="I97" t="inlineStr">
        <is>
          <t>Generalist</t>
        </is>
      </c>
      <c r="J97" t="inlineStr">
        <is>
          <t>Generalist</t>
        </is>
      </c>
    </row>
    <row r="98">
      <c r="A98" t="inlineStr">
        <is>
          <t>Artichoke</t>
        </is>
      </c>
      <c r="B98" t="inlineStr">
        <is>
          <t>Rose Hips</t>
        </is>
      </c>
      <c r="C98" t="n">
        <v>50</v>
      </c>
      <c r="E98" t="inlineStr">
        <is>
          <t>unclassified</t>
        </is>
      </c>
      <c r="G98" t="inlineStr">
        <is>
          <t>General</t>
        </is>
      </c>
      <c r="H98" t="inlineStr">
        <is>
          <t>General</t>
        </is>
      </c>
      <c r="I98" t="inlineStr">
        <is>
          <t>Generalist</t>
        </is>
      </c>
      <c r="J98" t="inlineStr">
        <is>
          <t>Generalist</t>
        </is>
      </c>
    </row>
    <row r="99">
      <c r="A99" t="inlineStr">
        <is>
          <t>Artichoke</t>
        </is>
      </c>
      <c r="B99" t="inlineStr">
        <is>
          <t>Sophora Flavescens</t>
        </is>
      </c>
      <c r="C99" t="n">
        <v>50</v>
      </c>
      <c r="E99" t="inlineStr">
        <is>
          <t>unclassified</t>
        </is>
      </c>
      <c r="G99" t="inlineStr">
        <is>
          <t>General</t>
        </is>
      </c>
      <c r="H99" t="inlineStr">
        <is>
          <t>General</t>
        </is>
      </c>
      <c r="I99" t="inlineStr">
        <is>
          <t>Generalist</t>
        </is>
      </c>
      <c r="J99" t="inlineStr">
        <is>
          <t>Generalist</t>
        </is>
      </c>
    </row>
    <row r="100">
      <c r="A100" t="inlineStr">
        <is>
          <t>Artichoke</t>
        </is>
      </c>
      <c r="B100" t="inlineStr">
        <is>
          <t>Soursop</t>
        </is>
      </c>
      <c r="C100" t="n">
        <v>50</v>
      </c>
      <c r="E100" t="inlineStr">
        <is>
          <t>unclassified</t>
        </is>
      </c>
      <c r="G100" t="inlineStr">
        <is>
          <t>General</t>
        </is>
      </c>
      <c r="H100" t="inlineStr">
        <is>
          <t>General</t>
        </is>
      </c>
      <c r="I100" t="inlineStr">
        <is>
          <t>Generalist</t>
        </is>
      </c>
      <c r="J100" t="inlineStr">
        <is>
          <t>Generalist</t>
        </is>
      </c>
    </row>
    <row r="101">
      <c r="A101" t="inlineStr">
        <is>
          <t>Artichoke</t>
        </is>
      </c>
      <c r="B101" t="inlineStr">
        <is>
          <t>Tamarind</t>
        </is>
      </c>
      <c r="C101" t="n">
        <v>50</v>
      </c>
      <c r="E101" t="inlineStr">
        <is>
          <t>unclassified</t>
        </is>
      </c>
      <c r="G101" t="inlineStr">
        <is>
          <t>General</t>
        </is>
      </c>
      <c r="H101" t="inlineStr">
        <is>
          <t>General</t>
        </is>
      </c>
      <c r="I101" t="inlineStr">
        <is>
          <t>Generalist</t>
        </is>
      </c>
      <c r="J101" t="inlineStr">
        <is>
          <t>Generalist</t>
        </is>
      </c>
    </row>
    <row r="102">
      <c r="A102" t="inlineStr">
        <is>
          <t>Artichoke</t>
        </is>
      </c>
      <c r="B102" t="inlineStr">
        <is>
          <t>White Peony</t>
        </is>
      </c>
      <c r="C102" t="n">
        <v>50</v>
      </c>
      <c r="E102" t="inlineStr">
        <is>
          <t>unclassified</t>
        </is>
      </c>
      <c r="G102" t="inlineStr">
        <is>
          <t>General</t>
        </is>
      </c>
      <c r="H102" t="inlineStr">
        <is>
          <t>General</t>
        </is>
      </c>
      <c r="I102" t="inlineStr">
        <is>
          <t>Generalist</t>
        </is>
      </c>
      <c r="J102" t="inlineStr">
        <is>
          <t>Generalist</t>
        </is>
      </c>
    </row>
    <row r="103">
      <c r="A103" t="inlineStr">
        <is>
          <t>Artichoke</t>
        </is>
      </c>
      <c r="B103" t="inlineStr">
        <is>
          <t>Yohimbe</t>
        </is>
      </c>
      <c r="C103" t="n">
        <v>50</v>
      </c>
      <c r="E103" t="inlineStr">
        <is>
          <t>unclassified</t>
        </is>
      </c>
      <c r="G103" t="inlineStr">
        <is>
          <t>General</t>
        </is>
      </c>
      <c r="H103" t="inlineStr">
        <is>
          <t>General</t>
        </is>
      </c>
      <c r="I103" t="inlineStr">
        <is>
          <t>Generalist</t>
        </is>
      </c>
      <c r="J103" t="inlineStr">
        <is>
          <t>Generalist</t>
        </is>
      </c>
    </row>
    <row r="104">
      <c r="A104" t="inlineStr">
        <is>
          <t>Ashitaba</t>
        </is>
      </c>
      <c r="B104" t="inlineStr">
        <is>
          <t>Curry Leaf</t>
        </is>
      </c>
      <c r="C104" t="n">
        <v>50</v>
      </c>
      <c r="E104" t="inlineStr">
        <is>
          <t>unclassified</t>
        </is>
      </c>
      <c r="G104" t="inlineStr">
        <is>
          <t>Metabolic Support</t>
        </is>
      </c>
      <c r="H104" t="inlineStr">
        <is>
          <t>Metabolic Support</t>
        </is>
      </c>
      <c r="I104" t="inlineStr">
        <is>
          <t>Metabolic</t>
        </is>
      </c>
      <c r="J104" t="inlineStr">
        <is>
          <t>Metabolic</t>
        </is>
      </c>
    </row>
    <row r="105">
      <c r="A105" t="inlineStr">
        <is>
          <t>Ashitaba</t>
        </is>
      </c>
      <c r="B105" t="inlineStr">
        <is>
          <t>Eucommia</t>
        </is>
      </c>
      <c r="C105" t="n">
        <v>50</v>
      </c>
      <c r="E105" t="inlineStr">
        <is>
          <t>unclassified</t>
        </is>
      </c>
      <c r="G105" t="inlineStr">
        <is>
          <t>Metabolic Support</t>
        </is>
      </c>
      <c r="H105" t="inlineStr">
        <is>
          <t>Metabolic Support</t>
        </is>
      </c>
      <c r="I105" t="inlineStr">
        <is>
          <t>Metabolic</t>
        </is>
      </c>
      <c r="J105" t="inlineStr">
        <is>
          <t>Metabolic</t>
        </is>
      </c>
    </row>
    <row r="106">
      <c r="A106" t="inlineStr">
        <is>
          <t>Ashitaba</t>
        </is>
      </c>
      <c r="B106" t="inlineStr">
        <is>
          <t>Kuding Tea</t>
        </is>
      </c>
      <c r="C106" t="n">
        <v>50</v>
      </c>
      <c r="E106" t="inlineStr">
        <is>
          <t>unclassified</t>
        </is>
      </c>
      <c r="G106" t="inlineStr">
        <is>
          <t>Metabolic Support</t>
        </is>
      </c>
      <c r="H106" t="inlineStr">
        <is>
          <t>Metabolic Support</t>
        </is>
      </c>
      <c r="I106" t="inlineStr">
        <is>
          <t>Metabolic</t>
        </is>
      </c>
      <c r="J106" t="inlineStr">
        <is>
          <t>Metabolic</t>
        </is>
      </c>
    </row>
    <row r="107">
      <c r="A107" t="inlineStr">
        <is>
          <t>Ashitaba</t>
        </is>
      </c>
      <c r="B107" t="inlineStr">
        <is>
          <t>Moringa</t>
        </is>
      </c>
      <c r="C107" t="n">
        <v>50</v>
      </c>
      <c r="E107" t="inlineStr">
        <is>
          <t>unclassified</t>
        </is>
      </c>
      <c r="G107" t="inlineStr">
        <is>
          <t>Metabolic Support</t>
        </is>
      </c>
      <c r="H107" t="inlineStr">
        <is>
          <t>Metabolic Support</t>
        </is>
      </c>
      <c r="I107" t="inlineStr">
        <is>
          <t>Metabolic</t>
        </is>
      </c>
      <c r="J107" t="inlineStr">
        <is>
          <t>Metabolic</t>
        </is>
      </c>
    </row>
    <row r="108">
      <c r="A108" t="inlineStr">
        <is>
          <t>Ashoka</t>
        </is>
      </c>
      <c r="B108" t="inlineStr">
        <is>
          <t>Agarikon</t>
        </is>
      </c>
      <c r="C108" t="n">
        <v>50</v>
      </c>
      <c r="E108" t="inlineStr">
        <is>
          <t>unclassified</t>
        </is>
      </c>
      <c r="G108" t="inlineStr">
        <is>
          <t>General</t>
        </is>
      </c>
      <c r="H108" t="inlineStr">
        <is>
          <t>General</t>
        </is>
      </c>
      <c r="I108" t="inlineStr">
        <is>
          <t>Generalist</t>
        </is>
      </c>
      <c r="J108" t="inlineStr">
        <is>
          <t>Generalist</t>
        </is>
      </c>
    </row>
    <row r="109">
      <c r="A109" t="inlineStr">
        <is>
          <t>Ashoka</t>
        </is>
      </c>
      <c r="B109" t="inlineStr">
        <is>
          <t>Ajwain</t>
        </is>
      </c>
      <c r="C109" t="n">
        <v>50</v>
      </c>
      <c r="E109" t="inlineStr">
        <is>
          <t>unclassified</t>
        </is>
      </c>
      <c r="G109" t="inlineStr">
        <is>
          <t>General</t>
        </is>
      </c>
      <c r="H109" t="inlineStr">
        <is>
          <t>General</t>
        </is>
      </c>
      <c r="I109" t="inlineStr">
        <is>
          <t>Generalist</t>
        </is>
      </c>
      <c r="J109" t="inlineStr">
        <is>
          <t>Generalist</t>
        </is>
      </c>
    </row>
    <row r="110">
      <c r="A110" t="inlineStr">
        <is>
          <t>Ashoka</t>
        </is>
      </c>
      <c r="B110" t="inlineStr">
        <is>
          <t>Angelica Root</t>
        </is>
      </c>
      <c r="C110" t="n">
        <v>50</v>
      </c>
      <c r="E110" t="inlineStr">
        <is>
          <t>unclassified</t>
        </is>
      </c>
      <c r="G110" t="inlineStr">
        <is>
          <t>General</t>
        </is>
      </c>
      <c r="H110" t="inlineStr">
        <is>
          <t>General</t>
        </is>
      </c>
      <c r="I110" t="inlineStr">
        <is>
          <t>Generalist</t>
        </is>
      </c>
      <c r="J110" t="inlineStr">
        <is>
          <t>Generalist</t>
        </is>
      </c>
    </row>
    <row r="111">
      <c r="A111" t="inlineStr">
        <is>
          <t>Ashoka</t>
        </is>
      </c>
      <c r="B111" t="inlineStr">
        <is>
          <t>Caraway</t>
        </is>
      </c>
      <c r="C111" t="n">
        <v>50</v>
      </c>
      <c r="E111" t="inlineStr">
        <is>
          <t>unclassified</t>
        </is>
      </c>
      <c r="G111" t="inlineStr">
        <is>
          <t>General</t>
        </is>
      </c>
      <c r="H111" t="inlineStr">
        <is>
          <t>General</t>
        </is>
      </c>
      <c r="I111" t="inlineStr">
        <is>
          <t>Generalist</t>
        </is>
      </c>
      <c r="J111" t="inlineStr">
        <is>
          <t>Generalist</t>
        </is>
      </c>
    </row>
    <row r="112">
      <c r="A112" t="inlineStr">
        <is>
          <t>Ashoka</t>
        </is>
      </c>
      <c r="B112" t="inlineStr">
        <is>
          <t>Cardamom</t>
        </is>
      </c>
      <c r="C112" t="n">
        <v>50</v>
      </c>
      <c r="E112" t="inlineStr">
        <is>
          <t>unclassified</t>
        </is>
      </c>
      <c r="G112" t="inlineStr">
        <is>
          <t>General</t>
        </is>
      </c>
      <c r="H112" t="inlineStr">
        <is>
          <t>General</t>
        </is>
      </c>
      <c r="I112" t="inlineStr">
        <is>
          <t>Generalist</t>
        </is>
      </c>
      <c r="J112" t="inlineStr">
        <is>
          <t>Generalist</t>
        </is>
      </c>
    </row>
    <row r="113">
      <c r="A113" t="inlineStr">
        <is>
          <t>Ashoka</t>
        </is>
      </c>
      <c r="B113" t="inlineStr">
        <is>
          <t>Celastrus Paniculatus</t>
        </is>
      </c>
      <c r="C113" t="n">
        <v>50</v>
      </c>
      <c r="E113" t="inlineStr">
        <is>
          <t>unclassified</t>
        </is>
      </c>
      <c r="G113" t="inlineStr">
        <is>
          <t>General</t>
        </is>
      </c>
      <c r="H113" t="inlineStr">
        <is>
          <t>General</t>
        </is>
      </c>
      <c r="I113" t="inlineStr">
        <is>
          <t>Generalist</t>
        </is>
      </c>
      <c r="J113" t="inlineStr">
        <is>
          <t>Generalist</t>
        </is>
      </c>
    </row>
    <row r="114">
      <c r="A114" t="inlineStr">
        <is>
          <t>Ashoka</t>
        </is>
      </c>
      <c r="B114" t="inlineStr">
        <is>
          <t>Cistanche</t>
        </is>
      </c>
      <c r="C114" t="n">
        <v>50</v>
      </c>
      <c r="E114" t="inlineStr">
        <is>
          <t>unclassified</t>
        </is>
      </c>
      <c r="G114" t="inlineStr">
        <is>
          <t>General</t>
        </is>
      </c>
      <c r="H114" t="inlineStr">
        <is>
          <t>General</t>
        </is>
      </c>
      <c r="I114" t="inlineStr">
        <is>
          <t>Generalist</t>
        </is>
      </c>
      <c r="J114" t="inlineStr">
        <is>
          <t>Generalist</t>
        </is>
      </c>
    </row>
    <row r="115">
      <c r="A115" t="inlineStr">
        <is>
          <t>Ashoka</t>
        </is>
      </c>
      <c r="B115" t="inlineStr">
        <is>
          <t>Cordyceps</t>
        </is>
      </c>
      <c r="C115" t="n">
        <v>50</v>
      </c>
      <c r="E115" t="inlineStr">
        <is>
          <t>unclassified</t>
        </is>
      </c>
      <c r="G115" t="inlineStr">
        <is>
          <t>General</t>
        </is>
      </c>
      <c r="H115" t="inlineStr">
        <is>
          <t>General</t>
        </is>
      </c>
      <c r="I115" t="inlineStr">
        <is>
          <t>Generalist</t>
        </is>
      </c>
      <c r="J115" t="inlineStr">
        <is>
          <t>Generalist</t>
        </is>
      </c>
    </row>
    <row r="116">
      <c r="A116" t="inlineStr">
        <is>
          <t>Ashoka</t>
        </is>
      </c>
      <c r="B116" t="inlineStr">
        <is>
          <t>Dendrobium</t>
        </is>
      </c>
      <c r="C116" t="n">
        <v>50</v>
      </c>
      <c r="E116" t="inlineStr">
        <is>
          <t>unclassified</t>
        </is>
      </c>
      <c r="G116" t="inlineStr">
        <is>
          <t>General</t>
        </is>
      </c>
      <c r="H116" t="inlineStr">
        <is>
          <t>General</t>
        </is>
      </c>
      <c r="I116" t="inlineStr">
        <is>
          <t>Generalist</t>
        </is>
      </c>
      <c r="J116" t="inlineStr">
        <is>
          <t>Generalist</t>
        </is>
      </c>
    </row>
    <row r="117">
      <c r="A117" t="inlineStr">
        <is>
          <t>Ashoka</t>
        </is>
      </c>
      <c r="B117" t="inlineStr">
        <is>
          <t>Elecampane</t>
        </is>
      </c>
      <c r="C117" t="n">
        <v>50</v>
      </c>
      <c r="E117" t="inlineStr">
        <is>
          <t>unclassified</t>
        </is>
      </c>
      <c r="G117" t="inlineStr">
        <is>
          <t>General</t>
        </is>
      </c>
      <c r="H117" t="inlineStr">
        <is>
          <t>General</t>
        </is>
      </c>
      <c r="I117" t="inlineStr">
        <is>
          <t>Generalist</t>
        </is>
      </c>
      <c r="J117" t="inlineStr">
        <is>
          <t>Generalist</t>
        </is>
      </c>
    </row>
    <row r="118">
      <c r="A118" t="inlineStr">
        <is>
          <t>Ashoka</t>
        </is>
      </c>
      <c r="B118" t="inlineStr">
        <is>
          <t>Eleuthero</t>
        </is>
      </c>
      <c r="C118" t="n">
        <v>50</v>
      </c>
      <c r="E118" t="inlineStr">
        <is>
          <t>unclassified</t>
        </is>
      </c>
      <c r="G118" t="inlineStr">
        <is>
          <t>General</t>
        </is>
      </c>
      <c r="H118" t="inlineStr">
        <is>
          <t>General</t>
        </is>
      </c>
      <c r="I118" t="inlineStr">
        <is>
          <t>Generalist</t>
        </is>
      </c>
      <c r="J118" t="inlineStr">
        <is>
          <t>Generalist</t>
        </is>
      </c>
    </row>
    <row r="119">
      <c r="A119" t="inlineStr">
        <is>
          <t>Ashoka</t>
        </is>
      </c>
      <c r="B119" t="inlineStr">
        <is>
          <t>Galangal</t>
        </is>
      </c>
      <c r="C119" t="n">
        <v>50</v>
      </c>
      <c r="E119" t="inlineStr">
        <is>
          <t>unclassified</t>
        </is>
      </c>
      <c r="G119" t="inlineStr">
        <is>
          <t>General</t>
        </is>
      </c>
      <c r="H119" t="inlineStr">
        <is>
          <t>General</t>
        </is>
      </c>
      <c r="I119" t="inlineStr">
        <is>
          <t>Generalist</t>
        </is>
      </c>
      <c r="J119" t="inlineStr">
        <is>
          <t>Generalist</t>
        </is>
      </c>
    </row>
    <row r="120">
      <c r="A120" t="inlineStr">
        <is>
          <t>Ashoka</t>
        </is>
      </c>
      <c r="B120" t="inlineStr">
        <is>
          <t>Gastrodia</t>
        </is>
      </c>
      <c r="C120" t="n">
        <v>50</v>
      </c>
      <c r="E120" t="inlineStr">
        <is>
          <t>unclassified</t>
        </is>
      </c>
      <c r="G120" t="inlineStr">
        <is>
          <t>General</t>
        </is>
      </c>
      <c r="H120" t="inlineStr">
        <is>
          <t>General</t>
        </is>
      </c>
      <c r="I120" t="inlineStr">
        <is>
          <t>Generalist</t>
        </is>
      </c>
      <c r="J120" t="inlineStr">
        <is>
          <t>Generalist</t>
        </is>
      </c>
    </row>
    <row r="121">
      <c r="A121" t="inlineStr">
        <is>
          <t>Ashoka</t>
        </is>
      </c>
      <c r="B121" t="inlineStr">
        <is>
          <t>Gudmar</t>
        </is>
      </c>
      <c r="C121" t="n">
        <v>50</v>
      </c>
      <c r="E121" t="inlineStr">
        <is>
          <t>unclassified</t>
        </is>
      </c>
      <c r="G121" t="inlineStr">
        <is>
          <t>General</t>
        </is>
      </c>
      <c r="H121" t="inlineStr">
        <is>
          <t>General</t>
        </is>
      </c>
      <c r="I121" t="inlineStr">
        <is>
          <t>Generalist</t>
        </is>
      </c>
      <c r="J121" t="inlineStr">
        <is>
          <t>Generalist</t>
        </is>
      </c>
    </row>
    <row r="122">
      <c r="A122" t="inlineStr">
        <is>
          <t>Ashoka</t>
        </is>
      </c>
      <c r="B122" t="inlineStr">
        <is>
          <t>Hops</t>
        </is>
      </c>
      <c r="C122" t="n">
        <v>50</v>
      </c>
      <c r="E122" t="inlineStr">
        <is>
          <t>unclassified</t>
        </is>
      </c>
      <c r="G122" t="inlineStr">
        <is>
          <t>General</t>
        </is>
      </c>
      <c r="H122" t="inlineStr">
        <is>
          <t>General</t>
        </is>
      </c>
      <c r="I122" t="inlineStr">
        <is>
          <t>Generalist</t>
        </is>
      </c>
      <c r="J122" t="inlineStr">
        <is>
          <t>Generalist</t>
        </is>
      </c>
    </row>
    <row r="123">
      <c r="A123" t="inlineStr">
        <is>
          <t>Ashoka</t>
        </is>
      </c>
      <c r="B123" t="inlineStr">
        <is>
          <t>Houttuynia</t>
        </is>
      </c>
      <c r="C123" t="n">
        <v>50</v>
      </c>
      <c r="E123" t="inlineStr">
        <is>
          <t>unclassified</t>
        </is>
      </c>
      <c r="G123" t="inlineStr">
        <is>
          <t>General</t>
        </is>
      </c>
      <c r="H123" t="inlineStr">
        <is>
          <t>General</t>
        </is>
      </c>
      <c r="I123" t="inlineStr">
        <is>
          <t>Generalist</t>
        </is>
      </c>
      <c r="J123" t="inlineStr">
        <is>
          <t>Generalist</t>
        </is>
      </c>
    </row>
    <row r="124">
      <c r="A124" t="inlineStr">
        <is>
          <t>Ashoka</t>
        </is>
      </c>
      <c r="B124" t="inlineStr">
        <is>
          <t>Isatis</t>
        </is>
      </c>
      <c r="C124" t="n">
        <v>50</v>
      </c>
      <c r="E124" t="inlineStr">
        <is>
          <t>unclassified</t>
        </is>
      </c>
      <c r="G124" t="inlineStr">
        <is>
          <t>General</t>
        </is>
      </c>
      <c r="H124" t="inlineStr">
        <is>
          <t>General</t>
        </is>
      </c>
      <c r="I124" t="inlineStr">
        <is>
          <t>Generalist</t>
        </is>
      </c>
      <c r="J124" t="inlineStr">
        <is>
          <t>Generalist</t>
        </is>
      </c>
    </row>
    <row r="125">
      <c r="A125" t="inlineStr">
        <is>
          <t>Ashoka</t>
        </is>
      </c>
      <c r="B125" t="inlineStr">
        <is>
          <t>Lemongrass</t>
        </is>
      </c>
      <c r="C125" t="n">
        <v>50</v>
      </c>
      <c r="E125" t="inlineStr">
        <is>
          <t>unclassified</t>
        </is>
      </c>
      <c r="G125" t="inlineStr">
        <is>
          <t>General</t>
        </is>
      </c>
      <c r="H125" t="inlineStr">
        <is>
          <t>General</t>
        </is>
      </c>
      <c r="I125" t="inlineStr">
        <is>
          <t>Generalist</t>
        </is>
      </c>
      <c r="J125" t="inlineStr">
        <is>
          <t>Generalist</t>
        </is>
      </c>
    </row>
    <row r="126">
      <c r="A126" t="inlineStr">
        <is>
          <t>Ashoka</t>
        </is>
      </c>
      <c r="B126" t="inlineStr">
        <is>
          <t>Longan</t>
        </is>
      </c>
      <c r="C126" t="n">
        <v>50</v>
      </c>
      <c r="E126" t="inlineStr">
        <is>
          <t>unclassified</t>
        </is>
      </c>
      <c r="G126" t="inlineStr">
        <is>
          <t>General</t>
        </is>
      </c>
      <c r="H126" t="inlineStr">
        <is>
          <t>General</t>
        </is>
      </c>
      <c r="I126" t="inlineStr">
        <is>
          <t>Generalist</t>
        </is>
      </c>
      <c r="J126" t="inlineStr">
        <is>
          <t>Generalist</t>
        </is>
      </c>
    </row>
    <row r="127">
      <c r="A127" t="inlineStr">
        <is>
          <t>Ashoka</t>
        </is>
      </c>
      <c r="B127" t="inlineStr">
        <is>
          <t>Maitake D-Fraction</t>
        </is>
      </c>
      <c r="C127" t="n">
        <v>50</v>
      </c>
      <c r="E127" t="inlineStr">
        <is>
          <t>unclassified</t>
        </is>
      </c>
      <c r="G127" t="inlineStr">
        <is>
          <t>General</t>
        </is>
      </c>
      <c r="H127" t="inlineStr">
        <is>
          <t>General</t>
        </is>
      </c>
      <c r="I127" t="inlineStr">
        <is>
          <t>Generalist</t>
        </is>
      </c>
      <c r="J127" t="inlineStr">
        <is>
          <t>Generalist</t>
        </is>
      </c>
    </row>
    <row r="128">
      <c r="A128" t="inlineStr">
        <is>
          <t>Ashoka</t>
        </is>
      </c>
      <c r="B128" t="inlineStr">
        <is>
          <t>Muira Puama</t>
        </is>
      </c>
      <c r="C128" t="n">
        <v>50</v>
      </c>
      <c r="E128" t="inlineStr">
        <is>
          <t>unclassified</t>
        </is>
      </c>
      <c r="G128" t="inlineStr">
        <is>
          <t>General</t>
        </is>
      </c>
      <c r="H128" t="inlineStr">
        <is>
          <t>General</t>
        </is>
      </c>
      <c r="I128" t="inlineStr">
        <is>
          <t>Generalist</t>
        </is>
      </c>
      <c r="J128" t="inlineStr">
        <is>
          <t>Generalist</t>
        </is>
      </c>
    </row>
    <row r="129">
      <c r="A129" t="inlineStr">
        <is>
          <t>Ashoka</t>
        </is>
      </c>
      <c r="B129" t="inlineStr">
        <is>
          <t>Nettle Root</t>
        </is>
      </c>
      <c r="C129" t="n">
        <v>50</v>
      </c>
      <c r="E129" t="inlineStr">
        <is>
          <t>unclassified</t>
        </is>
      </c>
      <c r="G129" t="inlineStr">
        <is>
          <t>General</t>
        </is>
      </c>
      <c r="H129" t="inlineStr">
        <is>
          <t>General</t>
        </is>
      </c>
      <c r="I129" t="inlineStr">
        <is>
          <t>Generalist</t>
        </is>
      </c>
      <c r="J129" t="inlineStr">
        <is>
          <t>Generalist</t>
        </is>
      </c>
    </row>
    <row r="130">
      <c r="A130" t="inlineStr">
        <is>
          <t>Ashoka</t>
        </is>
      </c>
      <c r="B130" t="inlineStr">
        <is>
          <t>Passionflower</t>
        </is>
      </c>
      <c r="C130" t="n">
        <v>50</v>
      </c>
      <c r="E130" t="inlineStr">
        <is>
          <t>unclassified</t>
        </is>
      </c>
      <c r="G130" t="inlineStr">
        <is>
          <t>General</t>
        </is>
      </c>
      <c r="H130" t="inlineStr">
        <is>
          <t>General</t>
        </is>
      </c>
      <c r="I130" t="inlineStr">
        <is>
          <t>Generalist</t>
        </is>
      </c>
      <c r="J130" t="inlineStr">
        <is>
          <t>Generalist</t>
        </is>
      </c>
    </row>
    <row r="131">
      <c r="A131" t="inlineStr">
        <is>
          <t>Ashoka</t>
        </is>
      </c>
      <c r="B131" t="inlineStr">
        <is>
          <t>Perilla</t>
        </is>
      </c>
      <c r="C131" t="n">
        <v>50</v>
      </c>
      <c r="E131" t="inlineStr">
        <is>
          <t>unclassified</t>
        </is>
      </c>
      <c r="G131" t="inlineStr">
        <is>
          <t>General</t>
        </is>
      </c>
      <c r="H131" t="inlineStr">
        <is>
          <t>General</t>
        </is>
      </c>
      <c r="I131" t="inlineStr">
        <is>
          <t>Generalist</t>
        </is>
      </c>
      <c r="J131" t="inlineStr">
        <is>
          <t>Generalist</t>
        </is>
      </c>
    </row>
    <row r="132">
      <c r="A132" t="inlineStr">
        <is>
          <t>Ashoka</t>
        </is>
      </c>
      <c r="B132" t="inlineStr">
        <is>
          <t>Poria</t>
        </is>
      </c>
      <c r="C132" t="n">
        <v>50</v>
      </c>
      <c r="E132" t="inlineStr">
        <is>
          <t>unclassified</t>
        </is>
      </c>
      <c r="G132" t="inlineStr">
        <is>
          <t>General</t>
        </is>
      </c>
      <c r="H132" t="inlineStr">
        <is>
          <t>General</t>
        </is>
      </c>
      <c r="I132" t="inlineStr">
        <is>
          <t>Generalist</t>
        </is>
      </c>
      <c r="J132" t="inlineStr">
        <is>
          <t>Generalist</t>
        </is>
      </c>
    </row>
    <row r="133">
      <c r="A133" t="inlineStr">
        <is>
          <t>Ashoka</t>
        </is>
      </c>
      <c r="B133" t="inlineStr">
        <is>
          <t>Punarnava</t>
        </is>
      </c>
      <c r="C133" t="n">
        <v>50</v>
      </c>
      <c r="E133" t="inlineStr">
        <is>
          <t>unclassified</t>
        </is>
      </c>
      <c r="G133" t="inlineStr">
        <is>
          <t>General</t>
        </is>
      </c>
      <c r="H133" t="inlineStr">
        <is>
          <t>General</t>
        </is>
      </c>
      <c r="I133" t="inlineStr">
        <is>
          <t>Generalist</t>
        </is>
      </c>
      <c r="J133" t="inlineStr">
        <is>
          <t>Generalist</t>
        </is>
      </c>
    </row>
    <row r="134">
      <c r="A134" t="inlineStr">
        <is>
          <t>Ashoka</t>
        </is>
      </c>
      <c r="B134" t="inlineStr">
        <is>
          <t>Rehmannia Prepared</t>
        </is>
      </c>
      <c r="C134" t="n">
        <v>50</v>
      </c>
      <c r="E134" t="inlineStr">
        <is>
          <t>unclassified</t>
        </is>
      </c>
      <c r="G134" t="inlineStr">
        <is>
          <t>General</t>
        </is>
      </c>
      <c r="H134" t="inlineStr">
        <is>
          <t>General</t>
        </is>
      </c>
      <c r="I134" t="inlineStr">
        <is>
          <t>Generalist</t>
        </is>
      </c>
      <c r="J134" t="inlineStr">
        <is>
          <t>Generalist</t>
        </is>
      </c>
    </row>
    <row r="135">
      <c r="A135" t="inlineStr">
        <is>
          <t>Ashoka</t>
        </is>
      </c>
      <c r="B135" t="inlineStr">
        <is>
          <t>Reishi</t>
        </is>
      </c>
      <c r="C135" t="n">
        <v>50</v>
      </c>
      <c r="E135" t="inlineStr">
        <is>
          <t>unclassified</t>
        </is>
      </c>
      <c r="G135" t="inlineStr">
        <is>
          <t>General</t>
        </is>
      </c>
      <c r="H135" t="inlineStr">
        <is>
          <t>General</t>
        </is>
      </c>
      <c r="I135" t="inlineStr">
        <is>
          <t>Generalist</t>
        </is>
      </c>
      <c r="J135" t="inlineStr">
        <is>
          <t>Generalist</t>
        </is>
      </c>
    </row>
    <row r="136">
      <c r="A136" t="inlineStr">
        <is>
          <t>Ashoka</t>
        </is>
      </c>
      <c r="B136" t="inlineStr">
        <is>
          <t>Sophora Flavescens</t>
        </is>
      </c>
      <c r="C136" t="n">
        <v>50</v>
      </c>
      <c r="E136" t="inlineStr">
        <is>
          <t>unclassified</t>
        </is>
      </c>
      <c r="G136" t="inlineStr">
        <is>
          <t>General</t>
        </is>
      </c>
      <c r="H136" t="inlineStr">
        <is>
          <t>General</t>
        </is>
      </c>
      <c r="I136" t="inlineStr">
        <is>
          <t>Generalist</t>
        </is>
      </c>
      <c r="J136" t="inlineStr">
        <is>
          <t>Generalist</t>
        </is>
      </c>
    </row>
    <row r="137">
      <c r="A137" t="inlineStr">
        <is>
          <t>Ashoka</t>
        </is>
      </c>
      <c r="B137" t="inlineStr">
        <is>
          <t>Tamarind</t>
        </is>
      </c>
      <c r="C137" t="n">
        <v>50</v>
      </c>
      <c r="E137" t="inlineStr">
        <is>
          <t>unclassified</t>
        </is>
      </c>
      <c r="G137" t="inlineStr">
        <is>
          <t>General</t>
        </is>
      </c>
      <c r="H137" t="inlineStr">
        <is>
          <t>General</t>
        </is>
      </c>
      <c r="I137" t="inlineStr">
        <is>
          <t>Generalist</t>
        </is>
      </c>
      <c r="J137" t="inlineStr">
        <is>
          <t>Generalist</t>
        </is>
      </c>
    </row>
    <row r="138">
      <c r="A138" t="inlineStr">
        <is>
          <t>Ashoka</t>
        </is>
      </c>
      <c r="B138" t="inlineStr">
        <is>
          <t>White Peony</t>
        </is>
      </c>
      <c r="C138" t="n">
        <v>50</v>
      </c>
      <c r="E138" t="inlineStr">
        <is>
          <t>unclassified</t>
        </is>
      </c>
      <c r="G138" t="inlineStr">
        <is>
          <t>General</t>
        </is>
      </c>
      <c r="H138" t="inlineStr">
        <is>
          <t>General</t>
        </is>
      </c>
      <c r="I138" t="inlineStr">
        <is>
          <t>Generalist</t>
        </is>
      </c>
      <c r="J138" t="inlineStr">
        <is>
          <t>Generalist</t>
        </is>
      </c>
    </row>
    <row r="139">
      <c r="A139" t="inlineStr">
        <is>
          <t>Ashoka</t>
        </is>
      </c>
      <c r="B139" t="inlineStr">
        <is>
          <t>Yohimbe</t>
        </is>
      </c>
      <c r="C139" t="n">
        <v>50</v>
      </c>
      <c r="E139" t="inlineStr">
        <is>
          <t>unclassified</t>
        </is>
      </c>
      <c r="G139" t="inlineStr">
        <is>
          <t>General</t>
        </is>
      </c>
      <c r="H139" t="inlineStr">
        <is>
          <t>General</t>
        </is>
      </c>
      <c r="I139" t="inlineStr">
        <is>
          <t>Generalist</t>
        </is>
      </c>
      <c r="J139" t="inlineStr">
        <is>
          <t>Generalist</t>
        </is>
      </c>
    </row>
    <row r="140">
      <c r="A140" t="inlineStr">
        <is>
          <t>Banaba</t>
        </is>
      </c>
      <c r="B140" t="inlineStr">
        <is>
          <t>Ashitaba</t>
        </is>
      </c>
      <c r="C140" t="n">
        <v>50</v>
      </c>
      <c r="E140" t="inlineStr">
        <is>
          <t>unclassified</t>
        </is>
      </c>
      <c r="G140" t="inlineStr">
        <is>
          <t>Metabolic Support</t>
        </is>
      </c>
      <c r="H140" t="inlineStr">
        <is>
          <t>Metabolic Support</t>
        </is>
      </c>
      <c r="I140" t="inlineStr">
        <is>
          <t>Metabolic</t>
        </is>
      </c>
      <c r="J140" t="inlineStr">
        <is>
          <t>Metabolic</t>
        </is>
      </c>
    </row>
    <row r="141">
      <c r="A141" t="inlineStr">
        <is>
          <t>Banaba</t>
        </is>
      </c>
      <c r="B141" t="inlineStr">
        <is>
          <t>Curry Leaf</t>
        </is>
      </c>
      <c r="C141" t="n">
        <v>50</v>
      </c>
      <c r="E141" t="inlineStr">
        <is>
          <t>unclassified</t>
        </is>
      </c>
      <c r="G141" t="inlineStr">
        <is>
          <t>Metabolic Support</t>
        </is>
      </c>
      <c r="H141" t="inlineStr">
        <is>
          <t>Metabolic Support</t>
        </is>
      </c>
      <c r="I141" t="inlineStr">
        <is>
          <t>Metabolic</t>
        </is>
      </c>
      <c r="J141" t="inlineStr">
        <is>
          <t>Metabolic</t>
        </is>
      </c>
    </row>
    <row r="142">
      <c r="A142" t="inlineStr">
        <is>
          <t>Banaba</t>
        </is>
      </c>
      <c r="B142" t="inlineStr">
        <is>
          <t>Eucommia</t>
        </is>
      </c>
      <c r="C142" t="n">
        <v>50</v>
      </c>
      <c r="E142" t="inlineStr">
        <is>
          <t>unclassified</t>
        </is>
      </c>
      <c r="G142" t="inlineStr">
        <is>
          <t>Metabolic Support</t>
        </is>
      </c>
      <c r="H142" t="inlineStr">
        <is>
          <t>Metabolic Support</t>
        </is>
      </c>
      <c r="I142" t="inlineStr">
        <is>
          <t>Metabolic</t>
        </is>
      </c>
      <c r="J142" t="inlineStr">
        <is>
          <t>Metabolic</t>
        </is>
      </c>
    </row>
    <row r="143">
      <c r="A143" t="inlineStr">
        <is>
          <t>Banaba</t>
        </is>
      </c>
      <c r="B143" t="inlineStr">
        <is>
          <t>Kuding Tea</t>
        </is>
      </c>
      <c r="C143" t="n">
        <v>50</v>
      </c>
      <c r="E143" t="inlineStr">
        <is>
          <t>unclassified</t>
        </is>
      </c>
      <c r="G143" t="inlineStr">
        <is>
          <t>Metabolic Support</t>
        </is>
      </c>
      <c r="H143" t="inlineStr">
        <is>
          <t>Metabolic Support</t>
        </is>
      </c>
      <c r="I143" t="inlineStr">
        <is>
          <t>Metabolic</t>
        </is>
      </c>
      <c r="J143" t="inlineStr">
        <is>
          <t>Metabolic</t>
        </is>
      </c>
    </row>
    <row r="144">
      <c r="A144" t="inlineStr">
        <is>
          <t>Banaba</t>
        </is>
      </c>
      <c r="B144" t="inlineStr">
        <is>
          <t>Moringa</t>
        </is>
      </c>
      <c r="C144" t="n">
        <v>50</v>
      </c>
      <c r="E144" t="inlineStr">
        <is>
          <t>unclassified</t>
        </is>
      </c>
      <c r="G144" t="inlineStr">
        <is>
          <t>Metabolic Support</t>
        </is>
      </c>
      <c r="H144" t="inlineStr">
        <is>
          <t>Metabolic Support</t>
        </is>
      </c>
      <c r="I144" t="inlineStr">
        <is>
          <t>Metabolic</t>
        </is>
      </c>
      <c r="J144" t="inlineStr">
        <is>
          <t>Metabolic</t>
        </is>
      </c>
    </row>
    <row r="145">
      <c r="A145" t="inlineStr">
        <is>
          <t>Blue Lotus</t>
        </is>
      </c>
      <c r="B145" t="inlineStr">
        <is>
          <t>Agarikon</t>
        </is>
      </c>
      <c r="C145" t="n">
        <v>50</v>
      </c>
      <c r="E145" t="inlineStr">
        <is>
          <t>unclassified</t>
        </is>
      </c>
      <c r="G145" t="inlineStr">
        <is>
          <t>General</t>
        </is>
      </c>
      <c r="H145" t="inlineStr">
        <is>
          <t>General</t>
        </is>
      </c>
      <c r="I145" t="inlineStr">
        <is>
          <t>Generalist</t>
        </is>
      </c>
      <c r="J145" t="inlineStr">
        <is>
          <t>Generalist</t>
        </is>
      </c>
    </row>
    <row r="146">
      <c r="A146" t="inlineStr">
        <is>
          <t>Blue Lotus</t>
        </is>
      </c>
      <c r="B146" t="inlineStr">
        <is>
          <t>Ajwain</t>
        </is>
      </c>
      <c r="C146" t="n">
        <v>50</v>
      </c>
      <c r="E146" t="inlineStr">
        <is>
          <t>unclassified</t>
        </is>
      </c>
      <c r="G146" t="inlineStr">
        <is>
          <t>General</t>
        </is>
      </c>
      <c r="H146" t="inlineStr">
        <is>
          <t>General</t>
        </is>
      </c>
      <c r="I146" t="inlineStr">
        <is>
          <t>Generalist</t>
        </is>
      </c>
      <c r="J146" t="inlineStr">
        <is>
          <t>Generalist</t>
        </is>
      </c>
    </row>
    <row r="147">
      <c r="A147" t="inlineStr">
        <is>
          <t>Blue Lotus</t>
        </is>
      </c>
      <c r="B147" t="inlineStr">
        <is>
          <t>Angelica Root</t>
        </is>
      </c>
      <c r="C147" t="n">
        <v>50</v>
      </c>
      <c r="E147" t="inlineStr">
        <is>
          <t>unclassified</t>
        </is>
      </c>
      <c r="G147" t="inlineStr">
        <is>
          <t>General</t>
        </is>
      </c>
      <c r="H147" t="inlineStr">
        <is>
          <t>General</t>
        </is>
      </c>
      <c r="I147" t="inlineStr">
        <is>
          <t>Generalist</t>
        </is>
      </c>
      <c r="J147" t="inlineStr">
        <is>
          <t>Generalist</t>
        </is>
      </c>
    </row>
    <row r="148">
      <c r="A148" t="inlineStr">
        <is>
          <t>Blue Lotus</t>
        </is>
      </c>
      <c r="B148" t="inlineStr">
        <is>
          <t>Artichoke</t>
        </is>
      </c>
      <c r="C148" t="n">
        <v>50</v>
      </c>
      <c r="E148" t="inlineStr">
        <is>
          <t>unclassified</t>
        </is>
      </c>
      <c r="G148" t="inlineStr">
        <is>
          <t>General</t>
        </is>
      </c>
      <c r="H148" t="inlineStr">
        <is>
          <t>General</t>
        </is>
      </c>
      <c r="I148" t="inlineStr">
        <is>
          <t>Generalist</t>
        </is>
      </c>
      <c r="J148" t="inlineStr">
        <is>
          <t>Generalist</t>
        </is>
      </c>
    </row>
    <row r="149">
      <c r="A149" t="inlineStr">
        <is>
          <t>Blue Lotus</t>
        </is>
      </c>
      <c r="B149" t="inlineStr">
        <is>
          <t>Ashoka</t>
        </is>
      </c>
      <c r="C149" t="n">
        <v>50</v>
      </c>
      <c r="E149" t="inlineStr">
        <is>
          <t>unclassified</t>
        </is>
      </c>
      <c r="G149" t="inlineStr">
        <is>
          <t>General</t>
        </is>
      </c>
      <c r="H149" t="inlineStr">
        <is>
          <t>General</t>
        </is>
      </c>
      <c r="I149" t="inlineStr">
        <is>
          <t>Generalist</t>
        </is>
      </c>
      <c r="J149" t="inlineStr">
        <is>
          <t>Generalist</t>
        </is>
      </c>
    </row>
    <row r="150">
      <c r="A150" t="inlineStr">
        <is>
          <t>Blue Lotus</t>
        </is>
      </c>
      <c r="B150" t="inlineStr">
        <is>
          <t>Boldo</t>
        </is>
      </c>
      <c r="C150" t="n">
        <v>50</v>
      </c>
      <c r="E150" t="inlineStr">
        <is>
          <t>unclassified</t>
        </is>
      </c>
      <c r="G150" t="inlineStr">
        <is>
          <t>General</t>
        </is>
      </c>
      <c r="H150" t="inlineStr">
        <is>
          <t>General</t>
        </is>
      </c>
      <c r="I150" t="inlineStr">
        <is>
          <t>Generalist</t>
        </is>
      </c>
      <c r="J150" t="inlineStr">
        <is>
          <t>Generalist</t>
        </is>
      </c>
    </row>
    <row r="151">
      <c r="A151" t="inlineStr">
        <is>
          <t>Blue Lotus</t>
        </is>
      </c>
      <c r="B151" t="inlineStr">
        <is>
          <t>Burdock</t>
        </is>
      </c>
      <c r="C151" t="n">
        <v>50</v>
      </c>
      <c r="E151" t="inlineStr">
        <is>
          <t>unclassified</t>
        </is>
      </c>
      <c r="G151" t="inlineStr">
        <is>
          <t>General</t>
        </is>
      </c>
      <c r="H151" t="inlineStr">
        <is>
          <t>General</t>
        </is>
      </c>
      <c r="I151" t="inlineStr">
        <is>
          <t>Generalist</t>
        </is>
      </c>
      <c r="J151" t="inlineStr">
        <is>
          <t>Generalist</t>
        </is>
      </c>
    </row>
    <row r="152">
      <c r="A152" t="inlineStr">
        <is>
          <t>Blue Lotus</t>
        </is>
      </c>
      <c r="B152" t="inlineStr">
        <is>
          <t>Butterbur</t>
        </is>
      </c>
      <c r="C152" t="n">
        <v>50</v>
      </c>
      <c r="E152" t="inlineStr">
        <is>
          <t>unclassified</t>
        </is>
      </c>
      <c r="G152" t="inlineStr">
        <is>
          <t>General</t>
        </is>
      </c>
      <c r="H152" t="inlineStr">
        <is>
          <t>General</t>
        </is>
      </c>
      <c r="I152" t="inlineStr">
        <is>
          <t>Generalist</t>
        </is>
      </c>
      <c r="J152" t="inlineStr">
        <is>
          <t>Generalist</t>
        </is>
      </c>
    </row>
    <row r="153">
      <c r="A153" t="inlineStr">
        <is>
          <t>Blue Lotus</t>
        </is>
      </c>
      <c r="B153" t="inlineStr">
        <is>
          <t>Calendula</t>
        </is>
      </c>
      <c r="C153" t="n">
        <v>50</v>
      </c>
      <c r="E153" t="inlineStr">
        <is>
          <t>unclassified</t>
        </is>
      </c>
      <c r="G153" t="inlineStr">
        <is>
          <t>General</t>
        </is>
      </c>
      <c r="H153" t="inlineStr">
        <is>
          <t>General</t>
        </is>
      </c>
      <c r="I153" t="inlineStr">
        <is>
          <t>Generalist</t>
        </is>
      </c>
      <c r="J153" t="inlineStr">
        <is>
          <t>Generalist</t>
        </is>
      </c>
    </row>
    <row r="154">
      <c r="A154" t="inlineStr">
        <is>
          <t>Blue Lotus</t>
        </is>
      </c>
      <c r="B154" t="inlineStr">
        <is>
          <t>Caraway</t>
        </is>
      </c>
      <c r="C154" t="n">
        <v>50</v>
      </c>
      <c r="E154" t="inlineStr">
        <is>
          <t>unclassified</t>
        </is>
      </c>
      <c r="G154" t="inlineStr">
        <is>
          <t>General</t>
        </is>
      </c>
      <c r="H154" t="inlineStr">
        <is>
          <t>General</t>
        </is>
      </c>
      <c r="I154" t="inlineStr">
        <is>
          <t>Generalist</t>
        </is>
      </c>
      <c r="J154" t="inlineStr">
        <is>
          <t>Generalist</t>
        </is>
      </c>
    </row>
    <row r="155">
      <c r="A155" t="inlineStr">
        <is>
          <t>Blue Lotus</t>
        </is>
      </c>
      <c r="B155" t="inlineStr">
        <is>
          <t>Cardamom</t>
        </is>
      </c>
      <c r="C155" t="n">
        <v>50</v>
      </c>
      <c r="E155" t="inlineStr">
        <is>
          <t>unclassified</t>
        </is>
      </c>
      <c r="G155" t="inlineStr">
        <is>
          <t>General</t>
        </is>
      </c>
      <c r="H155" t="inlineStr">
        <is>
          <t>General</t>
        </is>
      </c>
      <c r="I155" t="inlineStr">
        <is>
          <t>Generalist</t>
        </is>
      </c>
      <c r="J155" t="inlineStr">
        <is>
          <t>Generalist</t>
        </is>
      </c>
    </row>
    <row r="156">
      <c r="A156" t="inlineStr">
        <is>
          <t>Blue Lotus</t>
        </is>
      </c>
      <c r="B156" t="inlineStr">
        <is>
          <t>Celastrus Paniculatus</t>
        </is>
      </c>
      <c r="C156" t="n">
        <v>50</v>
      </c>
      <c r="E156" t="inlineStr">
        <is>
          <t>unclassified</t>
        </is>
      </c>
      <c r="G156" t="inlineStr">
        <is>
          <t>General</t>
        </is>
      </c>
      <c r="H156" t="inlineStr">
        <is>
          <t>General</t>
        </is>
      </c>
      <c r="I156" t="inlineStr">
        <is>
          <t>Generalist</t>
        </is>
      </c>
      <c r="J156" t="inlineStr">
        <is>
          <t>Generalist</t>
        </is>
      </c>
    </row>
    <row r="157">
      <c r="A157" t="inlineStr">
        <is>
          <t>Blue Lotus</t>
        </is>
      </c>
      <c r="B157" t="inlineStr">
        <is>
          <t>Cinnamon</t>
        </is>
      </c>
      <c r="C157" t="n">
        <v>50</v>
      </c>
      <c r="E157" t="inlineStr">
        <is>
          <t>unclassified</t>
        </is>
      </c>
      <c r="G157" t="inlineStr">
        <is>
          <t>General</t>
        </is>
      </c>
      <c r="H157" t="inlineStr">
        <is>
          <t>General</t>
        </is>
      </c>
      <c r="I157" t="inlineStr">
        <is>
          <t>Generalist</t>
        </is>
      </c>
      <c r="J157" t="inlineStr">
        <is>
          <t>Generalist</t>
        </is>
      </c>
    </row>
    <row r="158">
      <c r="A158" t="inlineStr">
        <is>
          <t>Blue Lotus</t>
        </is>
      </c>
      <c r="B158" t="inlineStr">
        <is>
          <t>Cistanche</t>
        </is>
      </c>
      <c r="C158" t="n">
        <v>50</v>
      </c>
      <c r="E158" t="inlineStr">
        <is>
          <t>unclassified</t>
        </is>
      </c>
      <c r="G158" t="inlineStr">
        <is>
          <t>General</t>
        </is>
      </c>
      <c r="H158" t="inlineStr">
        <is>
          <t>General</t>
        </is>
      </c>
      <c r="I158" t="inlineStr">
        <is>
          <t>Generalist</t>
        </is>
      </c>
      <c r="J158" t="inlineStr">
        <is>
          <t>Generalist</t>
        </is>
      </c>
    </row>
    <row r="159">
      <c r="A159" t="inlineStr">
        <is>
          <t>Blue Lotus</t>
        </is>
      </c>
      <c r="B159" t="inlineStr">
        <is>
          <t>Cordyceps</t>
        </is>
      </c>
      <c r="C159" t="n">
        <v>50</v>
      </c>
      <c r="E159" t="inlineStr">
        <is>
          <t>unclassified</t>
        </is>
      </c>
      <c r="G159" t="inlineStr">
        <is>
          <t>General</t>
        </is>
      </c>
      <c r="H159" t="inlineStr">
        <is>
          <t>General</t>
        </is>
      </c>
      <c r="I159" t="inlineStr">
        <is>
          <t>Generalist</t>
        </is>
      </c>
      <c r="J159" t="inlineStr">
        <is>
          <t>Generalist</t>
        </is>
      </c>
    </row>
    <row r="160">
      <c r="A160" t="inlineStr">
        <is>
          <t>Blue Lotus</t>
        </is>
      </c>
      <c r="B160" t="inlineStr">
        <is>
          <t>Dandelion</t>
        </is>
      </c>
      <c r="C160" t="n">
        <v>50</v>
      </c>
      <c r="E160" t="inlineStr">
        <is>
          <t>unclassified</t>
        </is>
      </c>
      <c r="G160" t="inlineStr">
        <is>
          <t>General</t>
        </is>
      </c>
      <c r="H160" t="inlineStr">
        <is>
          <t>General</t>
        </is>
      </c>
      <c r="I160" t="inlineStr">
        <is>
          <t>Generalist</t>
        </is>
      </c>
      <c r="J160" t="inlineStr">
        <is>
          <t>Generalist</t>
        </is>
      </c>
    </row>
    <row r="161">
      <c r="A161" t="inlineStr">
        <is>
          <t>Blue Lotus</t>
        </is>
      </c>
      <c r="B161" t="inlineStr">
        <is>
          <t>Dendrobium</t>
        </is>
      </c>
      <c r="C161" t="n">
        <v>50</v>
      </c>
      <c r="E161" t="inlineStr">
        <is>
          <t>unclassified</t>
        </is>
      </c>
      <c r="G161" t="inlineStr">
        <is>
          <t>General</t>
        </is>
      </c>
      <c r="H161" t="inlineStr">
        <is>
          <t>General</t>
        </is>
      </c>
      <c r="I161" t="inlineStr">
        <is>
          <t>Generalist</t>
        </is>
      </c>
      <c r="J161" t="inlineStr">
        <is>
          <t>Generalist</t>
        </is>
      </c>
    </row>
    <row r="162">
      <c r="A162" t="inlineStr">
        <is>
          <t>Blue Lotus</t>
        </is>
      </c>
      <c r="B162" t="inlineStr">
        <is>
          <t>Dong Quai</t>
        </is>
      </c>
      <c r="C162" t="n">
        <v>50</v>
      </c>
      <c r="E162" t="inlineStr">
        <is>
          <t>unclassified</t>
        </is>
      </c>
      <c r="G162" t="inlineStr">
        <is>
          <t>General</t>
        </is>
      </c>
      <c r="H162" t="inlineStr">
        <is>
          <t>General</t>
        </is>
      </c>
      <c r="I162" t="inlineStr">
        <is>
          <t>Generalist</t>
        </is>
      </c>
      <c r="J162" t="inlineStr">
        <is>
          <t>Generalist</t>
        </is>
      </c>
    </row>
    <row r="163">
      <c r="A163" t="inlineStr">
        <is>
          <t>Blue Lotus</t>
        </is>
      </c>
      <c r="B163" t="inlineStr">
        <is>
          <t>Elecampane</t>
        </is>
      </c>
      <c r="C163" t="n">
        <v>50</v>
      </c>
      <c r="E163" t="inlineStr">
        <is>
          <t>unclassified</t>
        </is>
      </c>
      <c r="G163" t="inlineStr">
        <is>
          <t>General</t>
        </is>
      </c>
      <c r="H163" t="inlineStr">
        <is>
          <t>General</t>
        </is>
      </c>
      <c r="I163" t="inlineStr">
        <is>
          <t>Generalist</t>
        </is>
      </c>
      <c r="J163" t="inlineStr">
        <is>
          <t>Generalist</t>
        </is>
      </c>
    </row>
    <row r="164">
      <c r="A164" t="inlineStr">
        <is>
          <t>Blue Lotus</t>
        </is>
      </c>
      <c r="B164" t="inlineStr">
        <is>
          <t>Eleuthero</t>
        </is>
      </c>
      <c r="C164" t="n">
        <v>50</v>
      </c>
      <c r="E164" t="inlineStr">
        <is>
          <t>unclassified</t>
        </is>
      </c>
      <c r="G164" t="inlineStr">
        <is>
          <t>General</t>
        </is>
      </c>
      <c r="H164" t="inlineStr">
        <is>
          <t>General</t>
        </is>
      </c>
      <c r="I164" t="inlineStr">
        <is>
          <t>Generalist</t>
        </is>
      </c>
      <c r="J164" t="inlineStr">
        <is>
          <t>Generalist</t>
        </is>
      </c>
    </row>
    <row r="165">
      <c r="A165" t="inlineStr">
        <is>
          <t>Blue Lotus</t>
        </is>
      </c>
      <c r="B165" t="inlineStr">
        <is>
          <t>Fennel</t>
        </is>
      </c>
      <c r="C165" t="n">
        <v>50</v>
      </c>
      <c r="E165" t="inlineStr">
        <is>
          <t>unclassified</t>
        </is>
      </c>
      <c r="G165" t="inlineStr">
        <is>
          <t>General</t>
        </is>
      </c>
      <c r="H165" t="inlineStr">
        <is>
          <t>General</t>
        </is>
      </c>
      <c r="I165" t="inlineStr">
        <is>
          <t>Generalist</t>
        </is>
      </c>
      <c r="J165" t="inlineStr">
        <is>
          <t>Generalist</t>
        </is>
      </c>
    </row>
    <row r="166">
      <c r="A166" t="inlineStr">
        <is>
          <t>Blue Lotus</t>
        </is>
      </c>
      <c r="B166" t="inlineStr">
        <is>
          <t>Feverfew</t>
        </is>
      </c>
      <c r="C166" t="n">
        <v>50</v>
      </c>
      <c r="E166" t="inlineStr">
        <is>
          <t>unclassified</t>
        </is>
      </c>
      <c r="G166" t="inlineStr">
        <is>
          <t>General</t>
        </is>
      </c>
      <c r="H166" t="inlineStr">
        <is>
          <t>General</t>
        </is>
      </c>
      <c r="I166" t="inlineStr">
        <is>
          <t>Generalist</t>
        </is>
      </c>
      <c r="J166" t="inlineStr">
        <is>
          <t>Generalist</t>
        </is>
      </c>
    </row>
    <row r="167">
      <c r="A167" t="inlineStr">
        <is>
          <t>Blue Lotus</t>
        </is>
      </c>
      <c r="B167" t="inlineStr">
        <is>
          <t>Galangal</t>
        </is>
      </c>
      <c r="C167" t="n">
        <v>50</v>
      </c>
      <c r="E167" t="inlineStr">
        <is>
          <t>unclassified</t>
        </is>
      </c>
      <c r="G167" t="inlineStr">
        <is>
          <t>General</t>
        </is>
      </c>
      <c r="H167" t="inlineStr">
        <is>
          <t>General</t>
        </is>
      </c>
      <c r="I167" t="inlineStr">
        <is>
          <t>Generalist</t>
        </is>
      </c>
      <c r="J167" t="inlineStr">
        <is>
          <t>Generalist</t>
        </is>
      </c>
    </row>
    <row r="168">
      <c r="A168" t="inlineStr">
        <is>
          <t>Blue Lotus</t>
        </is>
      </c>
      <c r="B168" t="inlineStr">
        <is>
          <t>Gastrodia</t>
        </is>
      </c>
      <c r="C168" t="n">
        <v>50</v>
      </c>
      <c r="E168" t="inlineStr">
        <is>
          <t>unclassified</t>
        </is>
      </c>
      <c r="G168" t="inlineStr">
        <is>
          <t>General</t>
        </is>
      </c>
      <c r="H168" t="inlineStr">
        <is>
          <t>General</t>
        </is>
      </c>
      <c r="I168" t="inlineStr">
        <is>
          <t>Generalist</t>
        </is>
      </c>
      <c r="J168" t="inlineStr">
        <is>
          <t>Generalist</t>
        </is>
      </c>
    </row>
    <row r="169">
      <c r="A169" t="inlineStr">
        <is>
          <t>Blue Lotus</t>
        </is>
      </c>
      <c r="B169" t="inlineStr">
        <is>
          <t>Gudmar</t>
        </is>
      </c>
      <c r="C169" t="n">
        <v>50</v>
      </c>
      <c r="E169" t="inlineStr">
        <is>
          <t>unclassified</t>
        </is>
      </c>
      <c r="G169" t="inlineStr">
        <is>
          <t>General</t>
        </is>
      </c>
      <c r="H169" t="inlineStr">
        <is>
          <t>General</t>
        </is>
      </c>
      <c r="I169" t="inlineStr">
        <is>
          <t>Generalist</t>
        </is>
      </c>
      <c r="J169" t="inlineStr">
        <is>
          <t>Generalist</t>
        </is>
      </c>
    </row>
    <row r="170">
      <c r="A170" t="inlineStr">
        <is>
          <t>Blue Lotus</t>
        </is>
      </c>
      <c r="B170" t="inlineStr">
        <is>
          <t>Gymnema</t>
        </is>
      </c>
      <c r="C170" t="n">
        <v>50</v>
      </c>
      <c r="E170" t="inlineStr">
        <is>
          <t>unclassified</t>
        </is>
      </c>
      <c r="G170" t="inlineStr">
        <is>
          <t>General</t>
        </is>
      </c>
      <c r="H170" t="inlineStr">
        <is>
          <t>General</t>
        </is>
      </c>
      <c r="I170" t="inlineStr">
        <is>
          <t>Generalist</t>
        </is>
      </c>
      <c r="J170" t="inlineStr">
        <is>
          <t>Generalist</t>
        </is>
      </c>
    </row>
    <row r="171">
      <c r="A171" t="inlineStr">
        <is>
          <t>Blue Lotus</t>
        </is>
      </c>
      <c r="B171" t="inlineStr">
        <is>
          <t>Hops</t>
        </is>
      </c>
      <c r="C171" t="n">
        <v>50</v>
      </c>
      <c r="E171" t="inlineStr">
        <is>
          <t>unclassified</t>
        </is>
      </c>
      <c r="G171" t="inlineStr">
        <is>
          <t>General</t>
        </is>
      </c>
      <c r="H171" t="inlineStr">
        <is>
          <t>General</t>
        </is>
      </c>
      <c r="I171" t="inlineStr">
        <is>
          <t>Generalist</t>
        </is>
      </c>
      <c r="J171" t="inlineStr">
        <is>
          <t>Generalist</t>
        </is>
      </c>
    </row>
    <row r="172">
      <c r="A172" t="inlineStr">
        <is>
          <t>Blue Lotus</t>
        </is>
      </c>
      <c r="B172" t="inlineStr">
        <is>
          <t>Houttuynia</t>
        </is>
      </c>
      <c r="C172" t="n">
        <v>50</v>
      </c>
      <c r="E172" t="inlineStr">
        <is>
          <t>unclassified</t>
        </is>
      </c>
      <c r="G172" t="inlineStr">
        <is>
          <t>General</t>
        </is>
      </c>
      <c r="H172" t="inlineStr">
        <is>
          <t>General</t>
        </is>
      </c>
      <c r="I172" t="inlineStr">
        <is>
          <t>Generalist</t>
        </is>
      </c>
      <c r="J172" t="inlineStr">
        <is>
          <t>Generalist</t>
        </is>
      </c>
    </row>
    <row r="173">
      <c r="A173" t="inlineStr">
        <is>
          <t>Blue Lotus</t>
        </is>
      </c>
      <c r="B173" t="inlineStr">
        <is>
          <t>Isatis</t>
        </is>
      </c>
      <c r="C173" t="n">
        <v>50</v>
      </c>
      <c r="E173" t="inlineStr">
        <is>
          <t>unclassified</t>
        </is>
      </c>
      <c r="G173" t="inlineStr">
        <is>
          <t>General</t>
        </is>
      </c>
      <c r="H173" t="inlineStr">
        <is>
          <t>General</t>
        </is>
      </c>
      <c r="I173" t="inlineStr">
        <is>
          <t>Generalist</t>
        </is>
      </c>
      <c r="J173" t="inlineStr">
        <is>
          <t>Generalist</t>
        </is>
      </c>
    </row>
    <row r="174">
      <c r="A174" t="inlineStr">
        <is>
          <t>Blue Lotus</t>
        </is>
      </c>
      <c r="B174" t="inlineStr">
        <is>
          <t>Jatamansi</t>
        </is>
      </c>
      <c r="C174" t="n">
        <v>50</v>
      </c>
      <c r="E174" t="inlineStr">
        <is>
          <t>unclassified</t>
        </is>
      </c>
      <c r="G174" t="inlineStr">
        <is>
          <t>General</t>
        </is>
      </c>
      <c r="H174" t="inlineStr">
        <is>
          <t>General</t>
        </is>
      </c>
      <c r="I174" t="inlineStr">
        <is>
          <t>Generalist</t>
        </is>
      </c>
      <c r="J174" t="inlineStr">
        <is>
          <t>Generalist</t>
        </is>
      </c>
    </row>
    <row r="175">
      <c r="A175" t="inlineStr">
        <is>
          <t>Blue Lotus</t>
        </is>
      </c>
      <c r="B175" t="inlineStr">
        <is>
          <t>Kudzu</t>
        </is>
      </c>
      <c r="C175" t="n">
        <v>50</v>
      </c>
      <c r="E175" t="inlineStr">
        <is>
          <t>unclassified</t>
        </is>
      </c>
      <c r="G175" t="inlineStr">
        <is>
          <t>General</t>
        </is>
      </c>
      <c r="H175" t="inlineStr">
        <is>
          <t>General</t>
        </is>
      </c>
      <c r="I175" t="inlineStr">
        <is>
          <t>Generalist</t>
        </is>
      </c>
      <c r="J175" t="inlineStr">
        <is>
          <t>Generalist</t>
        </is>
      </c>
    </row>
    <row r="176">
      <c r="A176" t="inlineStr">
        <is>
          <t>Blue Lotus</t>
        </is>
      </c>
      <c r="B176" t="inlineStr">
        <is>
          <t>Lemon Verbena</t>
        </is>
      </c>
      <c r="C176" t="n">
        <v>50</v>
      </c>
      <c r="E176" t="inlineStr">
        <is>
          <t>unclassified</t>
        </is>
      </c>
      <c r="G176" t="inlineStr">
        <is>
          <t>General</t>
        </is>
      </c>
      <c r="H176" t="inlineStr">
        <is>
          <t>General</t>
        </is>
      </c>
      <c r="I176" t="inlineStr">
        <is>
          <t>Generalist</t>
        </is>
      </c>
      <c r="J176" t="inlineStr">
        <is>
          <t>Generalist</t>
        </is>
      </c>
    </row>
    <row r="177">
      <c r="A177" t="inlineStr">
        <is>
          <t>Blue Lotus</t>
        </is>
      </c>
      <c r="B177" t="inlineStr">
        <is>
          <t>Lemongrass</t>
        </is>
      </c>
      <c r="C177" t="n">
        <v>50</v>
      </c>
      <c r="E177" t="inlineStr">
        <is>
          <t>unclassified</t>
        </is>
      </c>
      <c r="G177" t="inlineStr">
        <is>
          <t>General</t>
        </is>
      </c>
      <c r="H177" t="inlineStr">
        <is>
          <t>General</t>
        </is>
      </c>
      <c r="I177" t="inlineStr">
        <is>
          <t>Generalist</t>
        </is>
      </c>
      <c r="J177" t="inlineStr">
        <is>
          <t>Generalist</t>
        </is>
      </c>
    </row>
    <row r="178">
      <c r="A178" t="inlineStr">
        <is>
          <t>Blue Lotus</t>
        </is>
      </c>
      <c r="B178" t="inlineStr">
        <is>
          <t>Longan</t>
        </is>
      </c>
      <c r="C178" t="n">
        <v>50</v>
      </c>
      <c r="E178" t="inlineStr">
        <is>
          <t>unclassified</t>
        </is>
      </c>
      <c r="G178" t="inlineStr">
        <is>
          <t>General</t>
        </is>
      </c>
      <c r="H178" t="inlineStr">
        <is>
          <t>General</t>
        </is>
      </c>
      <c r="I178" t="inlineStr">
        <is>
          <t>Generalist</t>
        </is>
      </c>
      <c r="J178" t="inlineStr">
        <is>
          <t>Generalist</t>
        </is>
      </c>
    </row>
    <row r="179">
      <c r="A179" t="inlineStr">
        <is>
          <t>Blue Lotus</t>
        </is>
      </c>
      <c r="B179" t="inlineStr">
        <is>
          <t>Maitake D-Fraction</t>
        </is>
      </c>
      <c r="C179" t="n">
        <v>50</v>
      </c>
      <c r="E179" t="inlineStr">
        <is>
          <t>unclassified</t>
        </is>
      </c>
      <c r="G179" t="inlineStr">
        <is>
          <t>General</t>
        </is>
      </c>
      <c r="H179" t="inlineStr">
        <is>
          <t>General</t>
        </is>
      </c>
      <c r="I179" t="inlineStr">
        <is>
          <t>Generalist</t>
        </is>
      </c>
      <c r="J179" t="inlineStr">
        <is>
          <t>Generalist</t>
        </is>
      </c>
    </row>
    <row r="180">
      <c r="A180" t="inlineStr">
        <is>
          <t>Blue Lotus</t>
        </is>
      </c>
      <c r="B180" t="inlineStr">
        <is>
          <t>Milk Oats</t>
        </is>
      </c>
      <c r="C180" t="n">
        <v>50</v>
      </c>
      <c r="E180" t="inlineStr">
        <is>
          <t>unclassified</t>
        </is>
      </c>
      <c r="G180" t="inlineStr">
        <is>
          <t>General</t>
        </is>
      </c>
      <c r="H180" t="inlineStr">
        <is>
          <t>General</t>
        </is>
      </c>
      <c r="I180" t="inlineStr">
        <is>
          <t>Generalist</t>
        </is>
      </c>
      <c r="J180" t="inlineStr">
        <is>
          <t>Generalist</t>
        </is>
      </c>
    </row>
    <row r="181">
      <c r="A181" t="inlineStr">
        <is>
          <t>Blue Lotus</t>
        </is>
      </c>
      <c r="B181" t="inlineStr">
        <is>
          <t>Mugwort</t>
        </is>
      </c>
      <c r="C181" t="n">
        <v>50</v>
      </c>
      <c r="E181" t="inlineStr">
        <is>
          <t>unclassified</t>
        </is>
      </c>
      <c r="G181" t="inlineStr">
        <is>
          <t>General</t>
        </is>
      </c>
      <c r="H181" t="inlineStr">
        <is>
          <t>General</t>
        </is>
      </c>
      <c r="I181" t="inlineStr">
        <is>
          <t>Generalist</t>
        </is>
      </c>
      <c r="J181" t="inlineStr">
        <is>
          <t>Generalist</t>
        </is>
      </c>
    </row>
    <row r="182">
      <c r="A182" t="inlineStr">
        <is>
          <t>Blue Lotus</t>
        </is>
      </c>
      <c r="B182" t="inlineStr">
        <is>
          <t>Muira Puama</t>
        </is>
      </c>
      <c r="C182" t="n">
        <v>50</v>
      </c>
      <c r="E182" t="inlineStr">
        <is>
          <t>unclassified</t>
        </is>
      </c>
      <c r="G182" t="inlineStr">
        <is>
          <t>General</t>
        </is>
      </c>
      <c r="H182" t="inlineStr">
        <is>
          <t>General</t>
        </is>
      </c>
      <c r="I182" t="inlineStr">
        <is>
          <t>Generalist</t>
        </is>
      </c>
      <c r="J182" t="inlineStr">
        <is>
          <t>Generalist</t>
        </is>
      </c>
    </row>
    <row r="183">
      <c r="A183" t="inlineStr">
        <is>
          <t>Blue Lotus</t>
        </is>
      </c>
      <c r="B183" t="inlineStr">
        <is>
          <t>Mulberry Leaf</t>
        </is>
      </c>
      <c r="C183" t="n">
        <v>50</v>
      </c>
      <c r="E183" t="inlineStr">
        <is>
          <t>unclassified</t>
        </is>
      </c>
      <c r="G183" t="inlineStr">
        <is>
          <t>General</t>
        </is>
      </c>
      <c r="H183" t="inlineStr">
        <is>
          <t>General</t>
        </is>
      </c>
      <c r="I183" t="inlineStr">
        <is>
          <t>Generalist</t>
        </is>
      </c>
      <c r="J183" t="inlineStr">
        <is>
          <t>Generalist</t>
        </is>
      </c>
    </row>
    <row r="184">
      <c r="A184" t="inlineStr">
        <is>
          <t>Blue Lotus</t>
        </is>
      </c>
      <c r="B184" t="inlineStr">
        <is>
          <t>Myrtle</t>
        </is>
      </c>
      <c r="C184" t="n">
        <v>50</v>
      </c>
      <c r="E184" t="inlineStr">
        <is>
          <t>unclassified</t>
        </is>
      </c>
      <c r="G184" t="inlineStr">
        <is>
          <t>General</t>
        </is>
      </c>
      <c r="H184" t="inlineStr">
        <is>
          <t>General</t>
        </is>
      </c>
      <c r="I184" t="inlineStr">
        <is>
          <t>Generalist</t>
        </is>
      </c>
      <c r="J184" t="inlineStr">
        <is>
          <t>Generalist</t>
        </is>
      </c>
    </row>
    <row r="185">
      <c r="A185" t="inlineStr">
        <is>
          <t>Blue Lotus</t>
        </is>
      </c>
      <c r="B185" t="inlineStr">
        <is>
          <t>Neem</t>
        </is>
      </c>
      <c r="C185" t="n">
        <v>50</v>
      </c>
      <c r="E185" t="inlineStr">
        <is>
          <t>unclassified</t>
        </is>
      </c>
      <c r="G185" t="inlineStr">
        <is>
          <t>General</t>
        </is>
      </c>
      <c r="H185" t="inlineStr">
        <is>
          <t>General</t>
        </is>
      </c>
      <c r="I185" t="inlineStr">
        <is>
          <t>Generalist</t>
        </is>
      </c>
      <c r="J185" t="inlineStr">
        <is>
          <t>Generalist</t>
        </is>
      </c>
    </row>
    <row r="186">
      <c r="A186" t="inlineStr">
        <is>
          <t>Blue Lotus</t>
        </is>
      </c>
      <c r="B186" t="inlineStr">
        <is>
          <t>Nettle Root</t>
        </is>
      </c>
      <c r="C186" t="n">
        <v>50</v>
      </c>
      <c r="E186" t="inlineStr">
        <is>
          <t>unclassified</t>
        </is>
      </c>
      <c r="G186" t="inlineStr">
        <is>
          <t>General</t>
        </is>
      </c>
      <c r="H186" t="inlineStr">
        <is>
          <t>General</t>
        </is>
      </c>
      <c r="I186" t="inlineStr">
        <is>
          <t>Generalist</t>
        </is>
      </c>
      <c r="J186" t="inlineStr">
        <is>
          <t>Generalist</t>
        </is>
      </c>
    </row>
    <row r="187">
      <c r="A187" t="inlineStr">
        <is>
          <t>Blue Lotus</t>
        </is>
      </c>
      <c r="B187" t="inlineStr">
        <is>
          <t>Noni</t>
        </is>
      </c>
      <c r="C187" t="n">
        <v>50</v>
      </c>
      <c r="E187" t="inlineStr">
        <is>
          <t>unclassified</t>
        </is>
      </c>
      <c r="G187" t="inlineStr">
        <is>
          <t>General</t>
        </is>
      </c>
      <c r="H187" t="inlineStr">
        <is>
          <t>General</t>
        </is>
      </c>
      <c r="I187" t="inlineStr">
        <is>
          <t>Generalist</t>
        </is>
      </c>
      <c r="J187" t="inlineStr">
        <is>
          <t>Generalist</t>
        </is>
      </c>
    </row>
    <row r="188">
      <c r="A188" t="inlineStr">
        <is>
          <t>Blue Lotus</t>
        </is>
      </c>
      <c r="B188" t="inlineStr">
        <is>
          <t>Oatstraw</t>
        </is>
      </c>
      <c r="C188" t="n">
        <v>50</v>
      </c>
      <c r="E188" t="inlineStr">
        <is>
          <t>unclassified</t>
        </is>
      </c>
      <c r="G188" t="inlineStr">
        <is>
          <t>General</t>
        </is>
      </c>
      <c r="H188" t="inlineStr">
        <is>
          <t>General</t>
        </is>
      </c>
      <c r="I188" t="inlineStr">
        <is>
          <t>Generalist</t>
        </is>
      </c>
      <c r="J188" t="inlineStr">
        <is>
          <t>Generalist</t>
        </is>
      </c>
    </row>
    <row r="189">
      <c r="A189" t="inlineStr">
        <is>
          <t>Blue Lotus</t>
        </is>
      </c>
      <c r="B189" t="inlineStr">
        <is>
          <t>Passionflower</t>
        </is>
      </c>
      <c r="C189" t="n">
        <v>50</v>
      </c>
      <c r="E189" t="inlineStr">
        <is>
          <t>unclassified</t>
        </is>
      </c>
      <c r="G189" t="inlineStr">
        <is>
          <t>General</t>
        </is>
      </c>
      <c r="H189" t="inlineStr">
        <is>
          <t>General</t>
        </is>
      </c>
      <c r="I189" t="inlineStr">
        <is>
          <t>Generalist</t>
        </is>
      </c>
      <c r="J189" t="inlineStr">
        <is>
          <t>Generalist</t>
        </is>
      </c>
    </row>
    <row r="190">
      <c r="A190" t="inlineStr">
        <is>
          <t>Blue Lotus</t>
        </is>
      </c>
      <c r="B190" t="inlineStr">
        <is>
          <t>Pau d'Arco</t>
        </is>
      </c>
      <c r="C190" t="n">
        <v>50</v>
      </c>
      <c r="E190" t="inlineStr">
        <is>
          <t>unclassified</t>
        </is>
      </c>
      <c r="G190" t="inlineStr">
        <is>
          <t>General</t>
        </is>
      </c>
      <c r="H190" t="inlineStr">
        <is>
          <t>General</t>
        </is>
      </c>
      <c r="I190" t="inlineStr">
        <is>
          <t>Generalist</t>
        </is>
      </c>
      <c r="J190" t="inlineStr">
        <is>
          <t>Generalist</t>
        </is>
      </c>
    </row>
    <row r="191">
      <c r="A191" t="inlineStr">
        <is>
          <t>Blue Lotus</t>
        </is>
      </c>
      <c r="B191" t="inlineStr">
        <is>
          <t>Perilla</t>
        </is>
      </c>
      <c r="C191" t="n">
        <v>50</v>
      </c>
      <c r="E191" t="inlineStr">
        <is>
          <t>unclassified</t>
        </is>
      </c>
      <c r="G191" t="inlineStr">
        <is>
          <t>General</t>
        </is>
      </c>
      <c r="H191" t="inlineStr">
        <is>
          <t>General</t>
        </is>
      </c>
      <c r="I191" t="inlineStr">
        <is>
          <t>Generalist</t>
        </is>
      </c>
      <c r="J191" t="inlineStr">
        <is>
          <t>Generalist</t>
        </is>
      </c>
    </row>
    <row r="192">
      <c r="A192" t="inlineStr">
        <is>
          <t>Blue Lotus</t>
        </is>
      </c>
      <c r="B192" t="inlineStr">
        <is>
          <t>Pomegranate</t>
        </is>
      </c>
      <c r="C192" t="n">
        <v>50</v>
      </c>
      <c r="E192" t="inlineStr">
        <is>
          <t>unclassified</t>
        </is>
      </c>
      <c r="G192" t="inlineStr">
        <is>
          <t>General</t>
        </is>
      </c>
      <c r="H192" t="inlineStr">
        <is>
          <t>General</t>
        </is>
      </c>
      <c r="I192" t="inlineStr">
        <is>
          <t>Generalist</t>
        </is>
      </c>
      <c r="J192" t="inlineStr">
        <is>
          <t>Generalist</t>
        </is>
      </c>
    </row>
    <row r="193">
      <c r="A193" t="inlineStr">
        <is>
          <t>Blue Lotus</t>
        </is>
      </c>
      <c r="B193" t="inlineStr">
        <is>
          <t>Poria</t>
        </is>
      </c>
      <c r="C193" t="n">
        <v>50</v>
      </c>
      <c r="E193" t="inlineStr">
        <is>
          <t>unclassified</t>
        </is>
      </c>
      <c r="G193" t="inlineStr">
        <is>
          <t>General</t>
        </is>
      </c>
      <c r="H193" t="inlineStr">
        <is>
          <t>General</t>
        </is>
      </c>
      <c r="I193" t="inlineStr">
        <is>
          <t>Generalist</t>
        </is>
      </c>
      <c r="J193" t="inlineStr">
        <is>
          <t>Generalist</t>
        </is>
      </c>
    </row>
    <row r="194">
      <c r="A194" t="inlineStr">
        <is>
          <t>Blue Lotus</t>
        </is>
      </c>
      <c r="B194" t="inlineStr">
        <is>
          <t>Punarnava</t>
        </is>
      </c>
      <c r="C194" t="n">
        <v>50</v>
      </c>
      <c r="E194" t="inlineStr">
        <is>
          <t>unclassified</t>
        </is>
      </c>
      <c r="G194" t="inlineStr">
        <is>
          <t>General</t>
        </is>
      </c>
      <c r="H194" t="inlineStr">
        <is>
          <t>General</t>
        </is>
      </c>
      <c r="I194" t="inlineStr">
        <is>
          <t>Generalist</t>
        </is>
      </c>
      <c r="J194" t="inlineStr">
        <is>
          <t>Generalist</t>
        </is>
      </c>
    </row>
    <row r="195">
      <c r="A195" t="inlineStr">
        <is>
          <t>Blue Lotus</t>
        </is>
      </c>
      <c r="B195" t="inlineStr">
        <is>
          <t>Red Clover</t>
        </is>
      </c>
      <c r="C195" t="n">
        <v>50</v>
      </c>
      <c r="E195" t="inlineStr">
        <is>
          <t>unclassified</t>
        </is>
      </c>
      <c r="G195" t="inlineStr">
        <is>
          <t>General</t>
        </is>
      </c>
      <c r="H195" t="inlineStr">
        <is>
          <t>General</t>
        </is>
      </c>
      <c r="I195" t="inlineStr">
        <is>
          <t>Generalist</t>
        </is>
      </c>
      <c r="J195" t="inlineStr">
        <is>
          <t>Generalist</t>
        </is>
      </c>
    </row>
    <row r="196">
      <c r="A196" t="inlineStr">
        <is>
          <t>Blue Lotus</t>
        </is>
      </c>
      <c r="B196" t="inlineStr">
        <is>
          <t>Rehmannia Prepared</t>
        </is>
      </c>
      <c r="C196" t="n">
        <v>50</v>
      </c>
      <c r="E196" t="inlineStr">
        <is>
          <t>unclassified</t>
        </is>
      </c>
      <c r="G196" t="inlineStr">
        <is>
          <t>General</t>
        </is>
      </c>
      <c r="H196" t="inlineStr">
        <is>
          <t>General</t>
        </is>
      </c>
      <c r="I196" t="inlineStr">
        <is>
          <t>Generalist</t>
        </is>
      </c>
      <c r="J196" t="inlineStr">
        <is>
          <t>Generalist</t>
        </is>
      </c>
    </row>
    <row r="197">
      <c r="A197" t="inlineStr">
        <is>
          <t>Blue Lotus</t>
        </is>
      </c>
      <c r="B197" t="inlineStr">
        <is>
          <t>Reishi</t>
        </is>
      </c>
      <c r="C197" t="n">
        <v>50</v>
      </c>
      <c r="E197" t="inlineStr">
        <is>
          <t>unclassified</t>
        </is>
      </c>
      <c r="G197" t="inlineStr">
        <is>
          <t>General</t>
        </is>
      </c>
      <c r="H197" t="inlineStr">
        <is>
          <t>General</t>
        </is>
      </c>
      <c r="I197" t="inlineStr">
        <is>
          <t>Generalist</t>
        </is>
      </c>
      <c r="J197" t="inlineStr">
        <is>
          <t>Generalist</t>
        </is>
      </c>
    </row>
    <row r="198">
      <c r="A198" t="inlineStr">
        <is>
          <t>Blue Lotus</t>
        </is>
      </c>
      <c r="B198" t="inlineStr">
        <is>
          <t>Rose Hips</t>
        </is>
      </c>
      <c r="C198" t="n">
        <v>50</v>
      </c>
      <c r="E198" t="inlineStr">
        <is>
          <t>unclassified</t>
        </is>
      </c>
      <c r="G198" t="inlineStr">
        <is>
          <t>General</t>
        </is>
      </c>
      <c r="H198" t="inlineStr">
        <is>
          <t>General</t>
        </is>
      </c>
      <c r="I198" t="inlineStr">
        <is>
          <t>Generalist</t>
        </is>
      </c>
      <c r="J198" t="inlineStr">
        <is>
          <t>Generalist</t>
        </is>
      </c>
    </row>
    <row r="199">
      <c r="A199" t="inlineStr">
        <is>
          <t>Blue Lotus</t>
        </is>
      </c>
      <c r="B199" t="inlineStr">
        <is>
          <t>Rosemary</t>
        </is>
      </c>
      <c r="C199" t="n">
        <v>50</v>
      </c>
      <c r="E199" t="inlineStr">
        <is>
          <t>unclassified</t>
        </is>
      </c>
      <c r="G199" t="inlineStr">
        <is>
          <t>General</t>
        </is>
      </c>
      <c r="H199" t="inlineStr">
        <is>
          <t>General</t>
        </is>
      </c>
      <c r="I199" t="inlineStr">
        <is>
          <t>Generalist</t>
        </is>
      </c>
      <c r="J199" t="inlineStr">
        <is>
          <t>Generalist</t>
        </is>
      </c>
    </row>
    <row r="200">
      <c r="A200" t="inlineStr">
        <is>
          <t>Blue Lotus</t>
        </is>
      </c>
      <c r="B200" t="inlineStr">
        <is>
          <t>Sage</t>
        </is>
      </c>
      <c r="C200" t="n">
        <v>50</v>
      </c>
      <c r="E200" t="inlineStr">
        <is>
          <t>unclassified</t>
        </is>
      </c>
      <c r="G200" t="inlineStr">
        <is>
          <t>General</t>
        </is>
      </c>
      <c r="H200" t="inlineStr">
        <is>
          <t>General</t>
        </is>
      </c>
      <c r="I200" t="inlineStr">
        <is>
          <t>Generalist</t>
        </is>
      </c>
      <c r="J200" t="inlineStr">
        <is>
          <t>Generalist</t>
        </is>
      </c>
    </row>
    <row r="201">
      <c r="A201" t="inlineStr">
        <is>
          <t>Blue Lotus</t>
        </is>
      </c>
      <c r="B201" t="inlineStr">
        <is>
          <t>Sophora Flavescens</t>
        </is>
      </c>
      <c r="C201" t="n">
        <v>50</v>
      </c>
      <c r="E201" t="inlineStr">
        <is>
          <t>unclassified</t>
        </is>
      </c>
      <c r="G201" t="inlineStr">
        <is>
          <t>General</t>
        </is>
      </c>
      <c r="H201" t="inlineStr">
        <is>
          <t>General</t>
        </is>
      </c>
      <c r="I201" t="inlineStr">
        <is>
          <t>Generalist</t>
        </is>
      </c>
      <c r="J201" t="inlineStr">
        <is>
          <t>Generalist</t>
        </is>
      </c>
    </row>
    <row r="202">
      <c r="A202" t="inlineStr">
        <is>
          <t>Blue Lotus</t>
        </is>
      </c>
      <c r="B202" t="inlineStr">
        <is>
          <t>Soursop</t>
        </is>
      </c>
      <c r="C202" t="n">
        <v>50</v>
      </c>
      <c r="E202" t="inlineStr">
        <is>
          <t>unclassified</t>
        </is>
      </c>
      <c r="G202" t="inlineStr">
        <is>
          <t>General</t>
        </is>
      </c>
      <c r="H202" t="inlineStr">
        <is>
          <t>General</t>
        </is>
      </c>
      <c r="I202" t="inlineStr">
        <is>
          <t>Generalist</t>
        </is>
      </c>
      <c r="J202" t="inlineStr">
        <is>
          <t>Generalist</t>
        </is>
      </c>
    </row>
    <row r="203">
      <c r="A203" t="inlineStr">
        <is>
          <t>Blue Lotus</t>
        </is>
      </c>
      <c r="B203" t="inlineStr">
        <is>
          <t>Tamarind</t>
        </is>
      </c>
      <c r="C203" t="n">
        <v>50</v>
      </c>
      <c r="E203" t="inlineStr">
        <is>
          <t>unclassified</t>
        </is>
      </c>
      <c r="G203" t="inlineStr">
        <is>
          <t>General</t>
        </is>
      </c>
      <c r="H203" t="inlineStr">
        <is>
          <t>General</t>
        </is>
      </c>
      <c r="I203" t="inlineStr">
        <is>
          <t>Generalist</t>
        </is>
      </c>
      <c r="J203" t="inlineStr">
        <is>
          <t>Generalist</t>
        </is>
      </c>
    </row>
    <row r="204">
      <c r="A204" t="inlineStr">
        <is>
          <t>Blue Lotus</t>
        </is>
      </c>
      <c r="B204" t="inlineStr">
        <is>
          <t>Thyme</t>
        </is>
      </c>
      <c r="C204" t="n">
        <v>50</v>
      </c>
      <c r="E204" t="inlineStr">
        <is>
          <t>unclassified</t>
        </is>
      </c>
      <c r="G204" t="inlineStr">
        <is>
          <t>General</t>
        </is>
      </c>
      <c r="H204" t="inlineStr">
        <is>
          <t>General</t>
        </is>
      </c>
      <c r="I204" t="inlineStr">
        <is>
          <t>Generalist</t>
        </is>
      </c>
      <c r="J204" t="inlineStr">
        <is>
          <t>Generalist</t>
        </is>
      </c>
    </row>
    <row r="205">
      <c r="A205" t="inlineStr">
        <is>
          <t>Blue Lotus</t>
        </is>
      </c>
      <c r="B205" t="inlineStr">
        <is>
          <t>White Peony</t>
        </is>
      </c>
      <c r="C205" t="n">
        <v>50</v>
      </c>
      <c r="E205" t="inlineStr">
        <is>
          <t>unclassified</t>
        </is>
      </c>
      <c r="G205" t="inlineStr">
        <is>
          <t>General</t>
        </is>
      </c>
      <c r="H205" t="inlineStr">
        <is>
          <t>General</t>
        </is>
      </c>
      <c r="I205" t="inlineStr">
        <is>
          <t>Generalist</t>
        </is>
      </c>
      <c r="J205" t="inlineStr">
        <is>
          <t>Generalist</t>
        </is>
      </c>
    </row>
    <row r="206">
      <c r="A206" t="inlineStr">
        <is>
          <t>Blue Lotus</t>
        </is>
      </c>
      <c r="B206" t="inlineStr">
        <is>
          <t>Yarrow</t>
        </is>
      </c>
      <c r="C206" t="n">
        <v>50</v>
      </c>
      <c r="E206" t="inlineStr">
        <is>
          <t>unclassified</t>
        </is>
      </c>
      <c r="G206" t="inlineStr">
        <is>
          <t>General</t>
        </is>
      </c>
      <c r="H206" t="inlineStr">
        <is>
          <t>General</t>
        </is>
      </c>
      <c r="I206" t="inlineStr">
        <is>
          <t>Generalist</t>
        </is>
      </c>
      <c r="J206" t="inlineStr">
        <is>
          <t>Generalist</t>
        </is>
      </c>
    </row>
    <row r="207">
      <c r="A207" t="inlineStr">
        <is>
          <t>Blue Lotus</t>
        </is>
      </c>
      <c r="B207" t="inlineStr">
        <is>
          <t>Yohimbe</t>
        </is>
      </c>
      <c r="C207" t="n">
        <v>50</v>
      </c>
      <c r="E207" t="inlineStr">
        <is>
          <t>unclassified</t>
        </is>
      </c>
      <c r="G207" t="inlineStr">
        <is>
          <t>General</t>
        </is>
      </c>
      <c r="H207" t="inlineStr">
        <is>
          <t>General</t>
        </is>
      </c>
      <c r="I207" t="inlineStr">
        <is>
          <t>Generalist</t>
        </is>
      </c>
      <c r="J207" t="inlineStr">
        <is>
          <t>Generalist</t>
        </is>
      </c>
    </row>
    <row r="208">
      <c r="A208" t="inlineStr">
        <is>
          <t>Boldo</t>
        </is>
      </c>
      <c r="B208" t="inlineStr">
        <is>
          <t>Agarikon</t>
        </is>
      </c>
      <c r="C208" t="n">
        <v>50</v>
      </c>
      <c r="E208" t="inlineStr">
        <is>
          <t>unclassified</t>
        </is>
      </c>
      <c r="G208" t="inlineStr">
        <is>
          <t>General</t>
        </is>
      </c>
      <c r="H208" t="inlineStr">
        <is>
          <t>General</t>
        </is>
      </c>
      <c r="I208" t="inlineStr">
        <is>
          <t>Generalist</t>
        </is>
      </c>
      <c r="J208" t="inlineStr">
        <is>
          <t>Generalist</t>
        </is>
      </c>
    </row>
    <row r="209">
      <c r="A209" t="inlineStr">
        <is>
          <t>Boldo</t>
        </is>
      </c>
      <c r="B209" t="inlineStr">
        <is>
          <t>Ajwain</t>
        </is>
      </c>
      <c r="C209" t="n">
        <v>50</v>
      </c>
      <c r="E209" t="inlineStr">
        <is>
          <t>unclassified</t>
        </is>
      </c>
      <c r="G209" t="inlineStr">
        <is>
          <t>General</t>
        </is>
      </c>
      <c r="H209" t="inlineStr">
        <is>
          <t>General</t>
        </is>
      </c>
      <c r="I209" t="inlineStr">
        <is>
          <t>Generalist</t>
        </is>
      </c>
      <c r="J209" t="inlineStr">
        <is>
          <t>Generalist</t>
        </is>
      </c>
    </row>
    <row r="210">
      <c r="A210" t="inlineStr">
        <is>
          <t>Boldo</t>
        </is>
      </c>
      <c r="B210" t="inlineStr">
        <is>
          <t>Angelica Root</t>
        </is>
      </c>
      <c r="C210" t="n">
        <v>50</v>
      </c>
      <c r="E210" t="inlineStr">
        <is>
          <t>unclassified</t>
        </is>
      </c>
      <c r="G210" t="inlineStr">
        <is>
          <t>General</t>
        </is>
      </c>
      <c r="H210" t="inlineStr">
        <is>
          <t>General</t>
        </is>
      </c>
      <c r="I210" t="inlineStr">
        <is>
          <t>Generalist</t>
        </is>
      </c>
      <c r="J210" t="inlineStr">
        <is>
          <t>Generalist</t>
        </is>
      </c>
    </row>
    <row r="211">
      <c r="A211" t="inlineStr">
        <is>
          <t>Boldo</t>
        </is>
      </c>
      <c r="B211" t="inlineStr">
        <is>
          <t>Ashoka</t>
        </is>
      </c>
      <c r="C211" t="n">
        <v>50</v>
      </c>
      <c r="E211" t="inlineStr">
        <is>
          <t>unclassified</t>
        </is>
      </c>
      <c r="G211" t="inlineStr">
        <is>
          <t>General</t>
        </is>
      </c>
      <c r="H211" t="inlineStr">
        <is>
          <t>General</t>
        </is>
      </c>
      <c r="I211" t="inlineStr">
        <is>
          <t>Generalist</t>
        </is>
      </c>
      <c r="J211" t="inlineStr">
        <is>
          <t>Generalist</t>
        </is>
      </c>
    </row>
    <row r="212">
      <c r="A212" t="inlineStr">
        <is>
          <t>Boldo</t>
        </is>
      </c>
      <c r="B212" t="inlineStr">
        <is>
          <t>Caraway</t>
        </is>
      </c>
      <c r="C212" t="n">
        <v>50</v>
      </c>
      <c r="E212" t="inlineStr">
        <is>
          <t>unclassified</t>
        </is>
      </c>
      <c r="G212" t="inlineStr">
        <is>
          <t>General</t>
        </is>
      </c>
      <c r="H212" t="inlineStr">
        <is>
          <t>General</t>
        </is>
      </c>
      <c r="I212" t="inlineStr">
        <is>
          <t>Generalist</t>
        </is>
      </c>
      <c r="J212" t="inlineStr">
        <is>
          <t>Generalist</t>
        </is>
      </c>
    </row>
    <row r="213">
      <c r="A213" t="inlineStr">
        <is>
          <t>Boldo</t>
        </is>
      </c>
      <c r="B213" t="inlineStr">
        <is>
          <t>Cardamom</t>
        </is>
      </c>
      <c r="C213" t="n">
        <v>50</v>
      </c>
      <c r="E213" t="inlineStr">
        <is>
          <t>unclassified</t>
        </is>
      </c>
      <c r="G213" t="inlineStr">
        <is>
          <t>General</t>
        </is>
      </c>
      <c r="H213" t="inlineStr">
        <is>
          <t>General</t>
        </is>
      </c>
      <c r="I213" t="inlineStr">
        <is>
          <t>Generalist</t>
        </is>
      </c>
      <c r="J213" t="inlineStr">
        <is>
          <t>Generalist</t>
        </is>
      </c>
    </row>
    <row r="214">
      <c r="A214" t="inlineStr">
        <is>
          <t>Boldo</t>
        </is>
      </c>
      <c r="B214" t="inlineStr">
        <is>
          <t>Celastrus Paniculatus</t>
        </is>
      </c>
      <c r="C214" t="n">
        <v>50</v>
      </c>
      <c r="E214" t="inlineStr">
        <is>
          <t>unclassified</t>
        </is>
      </c>
      <c r="G214" t="inlineStr">
        <is>
          <t>General</t>
        </is>
      </c>
      <c r="H214" t="inlineStr">
        <is>
          <t>General</t>
        </is>
      </c>
      <c r="I214" t="inlineStr">
        <is>
          <t>Generalist</t>
        </is>
      </c>
      <c r="J214" t="inlineStr">
        <is>
          <t>Generalist</t>
        </is>
      </c>
    </row>
    <row r="215">
      <c r="A215" t="inlineStr">
        <is>
          <t>Boldo</t>
        </is>
      </c>
      <c r="B215" t="inlineStr">
        <is>
          <t>Cistanche</t>
        </is>
      </c>
      <c r="C215" t="n">
        <v>50</v>
      </c>
      <c r="E215" t="inlineStr">
        <is>
          <t>unclassified</t>
        </is>
      </c>
      <c r="G215" t="inlineStr">
        <is>
          <t>General</t>
        </is>
      </c>
      <c r="H215" t="inlineStr">
        <is>
          <t>General</t>
        </is>
      </c>
      <c r="I215" t="inlineStr">
        <is>
          <t>Generalist</t>
        </is>
      </c>
      <c r="J215" t="inlineStr">
        <is>
          <t>Generalist</t>
        </is>
      </c>
    </row>
    <row r="216">
      <c r="A216" t="inlineStr">
        <is>
          <t>Boldo</t>
        </is>
      </c>
      <c r="B216" t="inlineStr">
        <is>
          <t>Cordyceps</t>
        </is>
      </c>
      <c r="C216" t="n">
        <v>50</v>
      </c>
      <c r="E216" t="inlineStr">
        <is>
          <t>unclassified</t>
        </is>
      </c>
      <c r="G216" t="inlineStr">
        <is>
          <t>General</t>
        </is>
      </c>
      <c r="H216" t="inlineStr">
        <is>
          <t>General</t>
        </is>
      </c>
      <c r="I216" t="inlineStr">
        <is>
          <t>Generalist</t>
        </is>
      </c>
      <c r="J216" t="inlineStr">
        <is>
          <t>Generalist</t>
        </is>
      </c>
    </row>
    <row r="217">
      <c r="A217" t="inlineStr">
        <is>
          <t>Boldo</t>
        </is>
      </c>
      <c r="B217" t="inlineStr">
        <is>
          <t>Dendrobium</t>
        </is>
      </c>
      <c r="C217" t="n">
        <v>50</v>
      </c>
      <c r="E217" t="inlineStr">
        <is>
          <t>unclassified</t>
        </is>
      </c>
      <c r="G217" t="inlineStr">
        <is>
          <t>General</t>
        </is>
      </c>
      <c r="H217" t="inlineStr">
        <is>
          <t>General</t>
        </is>
      </c>
      <c r="I217" t="inlineStr">
        <is>
          <t>Generalist</t>
        </is>
      </c>
      <c r="J217" t="inlineStr">
        <is>
          <t>Generalist</t>
        </is>
      </c>
    </row>
    <row r="218">
      <c r="A218" t="inlineStr">
        <is>
          <t>Boldo</t>
        </is>
      </c>
      <c r="B218" t="inlineStr">
        <is>
          <t>Elecampane</t>
        </is>
      </c>
      <c r="C218" t="n">
        <v>50</v>
      </c>
      <c r="E218" t="inlineStr">
        <is>
          <t>unclassified</t>
        </is>
      </c>
      <c r="G218" t="inlineStr">
        <is>
          <t>General</t>
        </is>
      </c>
      <c r="H218" t="inlineStr">
        <is>
          <t>General</t>
        </is>
      </c>
      <c r="I218" t="inlineStr">
        <is>
          <t>Generalist</t>
        </is>
      </c>
      <c r="J218" t="inlineStr">
        <is>
          <t>Generalist</t>
        </is>
      </c>
    </row>
    <row r="219">
      <c r="A219" t="inlineStr">
        <is>
          <t>Boldo</t>
        </is>
      </c>
      <c r="B219" t="inlineStr">
        <is>
          <t>Eleuthero</t>
        </is>
      </c>
      <c r="C219" t="n">
        <v>50</v>
      </c>
      <c r="E219" t="inlineStr">
        <is>
          <t>unclassified</t>
        </is>
      </c>
      <c r="G219" t="inlineStr">
        <is>
          <t>General</t>
        </is>
      </c>
      <c r="H219" t="inlineStr">
        <is>
          <t>General</t>
        </is>
      </c>
      <c r="I219" t="inlineStr">
        <is>
          <t>Generalist</t>
        </is>
      </c>
      <c r="J219" t="inlineStr">
        <is>
          <t>Generalist</t>
        </is>
      </c>
    </row>
    <row r="220">
      <c r="A220" t="inlineStr">
        <is>
          <t>Boldo</t>
        </is>
      </c>
      <c r="B220" t="inlineStr">
        <is>
          <t>Galangal</t>
        </is>
      </c>
      <c r="C220" t="n">
        <v>50</v>
      </c>
      <c r="E220" t="inlineStr">
        <is>
          <t>unclassified</t>
        </is>
      </c>
      <c r="G220" t="inlineStr">
        <is>
          <t>General</t>
        </is>
      </c>
      <c r="H220" t="inlineStr">
        <is>
          <t>General</t>
        </is>
      </c>
      <c r="I220" t="inlineStr">
        <is>
          <t>Generalist</t>
        </is>
      </c>
      <c r="J220" t="inlineStr">
        <is>
          <t>Generalist</t>
        </is>
      </c>
    </row>
    <row r="221">
      <c r="A221" t="inlineStr">
        <is>
          <t>Boldo</t>
        </is>
      </c>
      <c r="B221" t="inlineStr">
        <is>
          <t>Gastrodia</t>
        </is>
      </c>
      <c r="C221" t="n">
        <v>50</v>
      </c>
      <c r="E221" t="inlineStr">
        <is>
          <t>unclassified</t>
        </is>
      </c>
      <c r="G221" t="inlineStr">
        <is>
          <t>General</t>
        </is>
      </c>
      <c r="H221" t="inlineStr">
        <is>
          <t>General</t>
        </is>
      </c>
      <c r="I221" t="inlineStr">
        <is>
          <t>Generalist</t>
        </is>
      </c>
      <c r="J221" t="inlineStr">
        <is>
          <t>Generalist</t>
        </is>
      </c>
    </row>
    <row r="222">
      <c r="A222" t="inlineStr">
        <is>
          <t>Boldo</t>
        </is>
      </c>
      <c r="B222" t="inlineStr">
        <is>
          <t>Gudmar</t>
        </is>
      </c>
      <c r="C222" t="n">
        <v>50</v>
      </c>
      <c r="E222" t="inlineStr">
        <is>
          <t>unclassified</t>
        </is>
      </c>
      <c r="G222" t="inlineStr">
        <is>
          <t>General</t>
        </is>
      </c>
      <c r="H222" t="inlineStr">
        <is>
          <t>General</t>
        </is>
      </c>
      <c r="I222" t="inlineStr">
        <is>
          <t>Generalist</t>
        </is>
      </c>
      <c r="J222" t="inlineStr">
        <is>
          <t>Generalist</t>
        </is>
      </c>
    </row>
    <row r="223">
      <c r="A223" t="inlineStr">
        <is>
          <t>Boldo</t>
        </is>
      </c>
      <c r="B223" t="inlineStr">
        <is>
          <t>Hops</t>
        </is>
      </c>
      <c r="C223" t="n">
        <v>50</v>
      </c>
      <c r="E223" t="inlineStr">
        <is>
          <t>unclassified</t>
        </is>
      </c>
      <c r="G223" t="inlineStr">
        <is>
          <t>General</t>
        </is>
      </c>
      <c r="H223" t="inlineStr">
        <is>
          <t>General</t>
        </is>
      </c>
      <c r="I223" t="inlineStr">
        <is>
          <t>Generalist</t>
        </is>
      </c>
      <c r="J223" t="inlineStr">
        <is>
          <t>Generalist</t>
        </is>
      </c>
    </row>
    <row r="224">
      <c r="A224" t="inlineStr">
        <is>
          <t>Boldo</t>
        </is>
      </c>
      <c r="B224" t="inlineStr">
        <is>
          <t>Houttuynia</t>
        </is>
      </c>
      <c r="C224" t="n">
        <v>50</v>
      </c>
      <c r="E224" t="inlineStr">
        <is>
          <t>unclassified</t>
        </is>
      </c>
      <c r="G224" t="inlineStr">
        <is>
          <t>General</t>
        </is>
      </c>
      <c r="H224" t="inlineStr">
        <is>
          <t>General</t>
        </is>
      </c>
      <c r="I224" t="inlineStr">
        <is>
          <t>Generalist</t>
        </is>
      </c>
      <c r="J224" t="inlineStr">
        <is>
          <t>Generalist</t>
        </is>
      </c>
    </row>
    <row r="225">
      <c r="A225" t="inlineStr">
        <is>
          <t>Boldo</t>
        </is>
      </c>
      <c r="B225" t="inlineStr">
        <is>
          <t>Isatis</t>
        </is>
      </c>
      <c r="C225" t="n">
        <v>50</v>
      </c>
      <c r="E225" t="inlineStr">
        <is>
          <t>unclassified</t>
        </is>
      </c>
      <c r="G225" t="inlineStr">
        <is>
          <t>General</t>
        </is>
      </c>
      <c r="H225" t="inlineStr">
        <is>
          <t>General</t>
        </is>
      </c>
      <c r="I225" t="inlineStr">
        <is>
          <t>Generalist</t>
        </is>
      </c>
      <c r="J225" t="inlineStr">
        <is>
          <t>Generalist</t>
        </is>
      </c>
    </row>
    <row r="226">
      <c r="A226" t="inlineStr">
        <is>
          <t>Boldo</t>
        </is>
      </c>
      <c r="B226" t="inlineStr">
        <is>
          <t>Jatamansi</t>
        </is>
      </c>
      <c r="C226" t="n">
        <v>50</v>
      </c>
      <c r="E226" t="inlineStr">
        <is>
          <t>unclassified</t>
        </is>
      </c>
      <c r="G226" t="inlineStr">
        <is>
          <t>General</t>
        </is>
      </c>
      <c r="H226" t="inlineStr">
        <is>
          <t>General</t>
        </is>
      </c>
      <c r="I226" t="inlineStr">
        <is>
          <t>Generalist</t>
        </is>
      </c>
      <c r="J226" t="inlineStr">
        <is>
          <t>Generalist</t>
        </is>
      </c>
    </row>
    <row r="227">
      <c r="A227" t="inlineStr">
        <is>
          <t>Boldo</t>
        </is>
      </c>
      <c r="B227" t="inlineStr">
        <is>
          <t>Lemongrass</t>
        </is>
      </c>
      <c r="C227" t="n">
        <v>50</v>
      </c>
      <c r="E227" t="inlineStr">
        <is>
          <t>unclassified</t>
        </is>
      </c>
      <c r="G227" t="inlineStr">
        <is>
          <t>General</t>
        </is>
      </c>
      <c r="H227" t="inlineStr">
        <is>
          <t>General</t>
        </is>
      </c>
      <c r="I227" t="inlineStr">
        <is>
          <t>Generalist</t>
        </is>
      </c>
      <c r="J227" t="inlineStr">
        <is>
          <t>Generalist</t>
        </is>
      </c>
    </row>
    <row r="228">
      <c r="A228" t="inlineStr">
        <is>
          <t>Boldo</t>
        </is>
      </c>
      <c r="B228" t="inlineStr">
        <is>
          <t>Longan</t>
        </is>
      </c>
      <c r="C228" t="n">
        <v>50</v>
      </c>
      <c r="E228" t="inlineStr">
        <is>
          <t>unclassified</t>
        </is>
      </c>
      <c r="G228" t="inlineStr">
        <is>
          <t>General</t>
        </is>
      </c>
      <c r="H228" t="inlineStr">
        <is>
          <t>General</t>
        </is>
      </c>
      <c r="I228" t="inlineStr">
        <is>
          <t>Generalist</t>
        </is>
      </c>
      <c r="J228" t="inlineStr">
        <is>
          <t>Generalist</t>
        </is>
      </c>
    </row>
    <row r="229">
      <c r="A229" t="inlineStr">
        <is>
          <t>Boldo</t>
        </is>
      </c>
      <c r="B229" t="inlineStr">
        <is>
          <t>Maitake D-Fraction</t>
        </is>
      </c>
      <c r="C229" t="n">
        <v>50</v>
      </c>
      <c r="E229" t="inlineStr">
        <is>
          <t>unclassified</t>
        </is>
      </c>
      <c r="G229" t="inlineStr">
        <is>
          <t>General</t>
        </is>
      </c>
      <c r="H229" t="inlineStr">
        <is>
          <t>General</t>
        </is>
      </c>
      <c r="I229" t="inlineStr">
        <is>
          <t>Generalist</t>
        </is>
      </c>
      <c r="J229" t="inlineStr">
        <is>
          <t>Generalist</t>
        </is>
      </c>
    </row>
    <row r="230">
      <c r="A230" t="inlineStr">
        <is>
          <t>Boldo</t>
        </is>
      </c>
      <c r="B230" t="inlineStr">
        <is>
          <t>Muira Puama</t>
        </is>
      </c>
      <c r="C230" t="n">
        <v>50</v>
      </c>
      <c r="E230" t="inlineStr">
        <is>
          <t>unclassified</t>
        </is>
      </c>
      <c r="G230" t="inlineStr">
        <is>
          <t>General</t>
        </is>
      </c>
      <c r="H230" t="inlineStr">
        <is>
          <t>General</t>
        </is>
      </c>
      <c r="I230" t="inlineStr">
        <is>
          <t>Generalist</t>
        </is>
      </c>
      <c r="J230" t="inlineStr">
        <is>
          <t>Generalist</t>
        </is>
      </c>
    </row>
    <row r="231">
      <c r="A231" t="inlineStr">
        <is>
          <t>Boldo</t>
        </is>
      </c>
      <c r="B231" t="inlineStr">
        <is>
          <t>Nettle Root</t>
        </is>
      </c>
      <c r="C231" t="n">
        <v>50</v>
      </c>
      <c r="E231" t="inlineStr">
        <is>
          <t>unclassified</t>
        </is>
      </c>
      <c r="G231" t="inlineStr">
        <is>
          <t>General</t>
        </is>
      </c>
      <c r="H231" t="inlineStr">
        <is>
          <t>General</t>
        </is>
      </c>
      <c r="I231" t="inlineStr">
        <is>
          <t>Generalist</t>
        </is>
      </c>
      <c r="J231" t="inlineStr">
        <is>
          <t>Generalist</t>
        </is>
      </c>
    </row>
    <row r="232">
      <c r="A232" t="inlineStr">
        <is>
          <t>Boldo</t>
        </is>
      </c>
      <c r="B232" t="inlineStr">
        <is>
          <t>Passionflower</t>
        </is>
      </c>
      <c r="C232" t="n">
        <v>50</v>
      </c>
      <c r="E232" t="inlineStr">
        <is>
          <t>unclassified</t>
        </is>
      </c>
      <c r="G232" t="inlineStr">
        <is>
          <t>General</t>
        </is>
      </c>
      <c r="H232" t="inlineStr">
        <is>
          <t>General</t>
        </is>
      </c>
      <c r="I232" t="inlineStr">
        <is>
          <t>Generalist</t>
        </is>
      </c>
      <c r="J232" t="inlineStr">
        <is>
          <t>Generalist</t>
        </is>
      </c>
    </row>
    <row r="233">
      <c r="A233" t="inlineStr">
        <is>
          <t>Boldo</t>
        </is>
      </c>
      <c r="B233" t="inlineStr">
        <is>
          <t>Perilla</t>
        </is>
      </c>
      <c r="C233" t="n">
        <v>50</v>
      </c>
      <c r="E233" t="inlineStr">
        <is>
          <t>unclassified</t>
        </is>
      </c>
      <c r="G233" t="inlineStr">
        <is>
          <t>General</t>
        </is>
      </c>
      <c r="H233" t="inlineStr">
        <is>
          <t>General</t>
        </is>
      </c>
      <c r="I233" t="inlineStr">
        <is>
          <t>Generalist</t>
        </is>
      </c>
      <c r="J233" t="inlineStr">
        <is>
          <t>Generalist</t>
        </is>
      </c>
    </row>
    <row r="234">
      <c r="A234" t="inlineStr">
        <is>
          <t>Boldo</t>
        </is>
      </c>
      <c r="B234" t="inlineStr">
        <is>
          <t>Poria</t>
        </is>
      </c>
      <c r="C234" t="n">
        <v>50</v>
      </c>
      <c r="E234" t="inlineStr">
        <is>
          <t>unclassified</t>
        </is>
      </c>
      <c r="G234" t="inlineStr">
        <is>
          <t>General</t>
        </is>
      </c>
      <c r="H234" t="inlineStr">
        <is>
          <t>General</t>
        </is>
      </c>
      <c r="I234" t="inlineStr">
        <is>
          <t>Generalist</t>
        </is>
      </c>
      <c r="J234" t="inlineStr">
        <is>
          <t>Generalist</t>
        </is>
      </c>
    </row>
    <row r="235">
      <c r="A235" t="inlineStr">
        <is>
          <t>Boldo</t>
        </is>
      </c>
      <c r="B235" t="inlineStr">
        <is>
          <t>Punarnava</t>
        </is>
      </c>
      <c r="C235" t="n">
        <v>50</v>
      </c>
      <c r="E235" t="inlineStr">
        <is>
          <t>unclassified</t>
        </is>
      </c>
      <c r="G235" t="inlineStr">
        <is>
          <t>General</t>
        </is>
      </c>
      <c r="H235" t="inlineStr">
        <is>
          <t>General</t>
        </is>
      </c>
      <c r="I235" t="inlineStr">
        <is>
          <t>Generalist</t>
        </is>
      </c>
      <c r="J235" t="inlineStr">
        <is>
          <t>Generalist</t>
        </is>
      </c>
    </row>
    <row r="236">
      <c r="A236" t="inlineStr">
        <is>
          <t>Boldo</t>
        </is>
      </c>
      <c r="B236" t="inlineStr">
        <is>
          <t>Rehmannia Prepared</t>
        </is>
      </c>
      <c r="C236" t="n">
        <v>50</v>
      </c>
      <c r="E236" t="inlineStr">
        <is>
          <t>unclassified</t>
        </is>
      </c>
      <c r="G236" t="inlineStr">
        <is>
          <t>General</t>
        </is>
      </c>
      <c r="H236" t="inlineStr">
        <is>
          <t>General</t>
        </is>
      </c>
      <c r="I236" t="inlineStr">
        <is>
          <t>Generalist</t>
        </is>
      </c>
      <c r="J236" t="inlineStr">
        <is>
          <t>Generalist</t>
        </is>
      </c>
    </row>
    <row r="237">
      <c r="A237" t="inlineStr">
        <is>
          <t>Boldo</t>
        </is>
      </c>
      <c r="B237" t="inlineStr">
        <is>
          <t>Reishi</t>
        </is>
      </c>
      <c r="C237" t="n">
        <v>50</v>
      </c>
      <c r="E237" t="inlineStr">
        <is>
          <t>unclassified</t>
        </is>
      </c>
      <c r="G237" t="inlineStr">
        <is>
          <t>General</t>
        </is>
      </c>
      <c r="H237" t="inlineStr">
        <is>
          <t>General</t>
        </is>
      </c>
      <c r="I237" t="inlineStr">
        <is>
          <t>Generalist</t>
        </is>
      </c>
      <c r="J237" t="inlineStr">
        <is>
          <t>Generalist</t>
        </is>
      </c>
    </row>
    <row r="238">
      <c r="A238" t="inlineStr">
        <is>
          <t>Boldo</t>
        </is>
      </c>
      <c r="B238" t="inlineStr">
        <is>
          <t>Sophora Flavescens</t>
        </is>
      </c>
      <c r="C238" t="n">
        <v>50</v>
      </c>
      <c r="E238" t="inlineStr">
        <is>
          <t>unclassified</t>
        </is>
      </c>
      <c r="G238" t="inlineStr">
        <is>
          <t>General</t>
        </is>
      </c>
      <c r="H238" t="inlineStr">
        <is>
          <t>General</t>
        </is>
      </c>
      <c r="I238" t="inlineStr">
        <is>
          <t>Generalist</t>
        </is>
      </c>
      <c r="J238" t="inlineStr">
        <is>
          <t>Generalist</t>
        </is>
      </c>
    </row>
    <row r="239">
      <c r="A239" t="inlineStr">
        <is>
          <t>Boldo</t>
        </is>
      </c>
      <c r="B239" t="inlineStr">
        <is>
          <t>Soursop</t>
        </is>
      </c>
      <c r="C239" t="n">
        <v>50</v>
      </c>
      <c r="E239" t="inlineStr">
        <is>
          <t>unclassified</t>
        </is>
      </c>
      <c r="G239" t="inlineStr">
        <is>
          <t>General</t>
        </is>
      </c>
      <c r="H239" t="inlineStr">
        <is>
          <t>General</t>
        </is>
      </c>
      <c r="I239" t="inlineStr">
        <is>
          <t>Generalist</t>
        </is>
      </c>
      <c r="J239" t="inlineStr">
        <is>
          <t>Generalist</t>
        </is>
      </c>
    </row>
    <row r="240">
      <c r="A240" t="inlineStr">
        <is>
          <t>Boldo</t>
        </is>
      </c>
      <c r="B240" t="inlineStr">
        <is>
          <t>Tamarind</t>
        </is>
      </c>
      <c r="C240" t="n">
        <v>50</v>
      </c>
      <c r="E240" t="inlineStr">
        <is>
          <t>unclassified</t>
        </is>
      </c>
      <c r="G240" t="inlineStr">
        <is>
          <t>General</t>
        </is>
      </c>
      <c r="H240" t="inlineStr">
        <is>
          <t>General</t>
        </is>
      </c>
      <c r="I240" t="inlineStr">
        <is>
          <t>Generalist</t>
        </is>
      </c>
      <c r="J240" t="inlineStr">
        <is>
          <t>Generalist</t>
        </is>
      </c>
    </row>
    <row r="241">
      <c r="A241" t="inlineStr">
        <is>
          <t>Boldo</t>
        </is>
      </c>
      <c r="B241" t="inlineStr">
        <is>
          <t>White Peony</t>
        </is>
      </c>
      <c r="C241" t="n">
        <v>50</v>
      </c>
      <c r="E241" t="inlineStr">
        <is>
          <t>unclassified</t>
        </is>
      </c>
      <c r="G241" t="inlineStr">
        <is>
          <t>General</t>
        </is>
      </c>
      <c r="H241" t="inlineStr">
        <is>
          <t>General</t>
        </is>
      </c>
      <c r="I241" t="inlineStr">
        <is>
          <t>Generalist</t>
        </is>
      </c>
      <c r="J241" t="inlineStr">
        <is>
          <t>Generalist</t>
        </is>
      </c>
    </row>
    <row r="242">
      <c r="A242" t="inlineStr">
        <is>
          <t>Boldo</t>
        </is>
      </c>
      <c r="B242" t="inlineStr">
        <is>
          <t>Yohimbe</t>
        </is>
      </c>
      <c r="C242" t="n">
        <v>50</v>
      </c>
      <c r="E242" t="inlineStr">
        <is>
          <t>unclassified</t>
        </is>
      </c>
      <c r="G242" t="inlineStr">
        <is>
          <t>General</t>
        </is>
      </c>
      <c r="H242" t="inlineStr">
        <is>
          <t>General</t>
        </is>
      </c>
      <c r="I242" t="inlineStr">
        <is>
          <t>Generalist</t>
        </is>
      </c>
      <c r="J242" t="inlineStr">
        <is>
          <t>Generalist</t>
        </is>
      </c>
    </row>
    <row r="243">
      <c r="A243" t="inlineStr">
        <is>
          <t>Burdock</t>
        </is>
      </c>
      <c r="B243" t="inlineStr">
        <is>
          <t>Agarikon</t>
        </is>
      </c>
      <c r="C243" t="n">
        <v>50</v>
      </c>
      <c r="E243" t="inlineStr">
        <is>
          <t>unclassified</t>
        </is>
      </c>
      <c r="G243" t="inlineStr">
        <is>
          <t>General</t>
        </is>
      </c>
      <c r="H243" t="inlineStr">
        <is>
          <t>General</t>
        </is>
      </c>
      <c r="I243" t="inlineStr">
        <is>
          <t>Generalist</t>
        </is>
      </c>
      <c r="J243" t="inlineStr">
        <is>
          <t>Generalist</t>
        </is>
      </c>
    </row>
    <row r="244">
      <c r="A244" t="inlineStr">
        <is>
          <t>Burdock</t>
        </is>
      </c>
      <c r="B244" t="inlineStr">
        <is>
          <t>Ajwain</t>
        </is>
      </c>
      <c r="C244" t="n">
        <v>50</v>
      </c>
      <c r="E244" t="inlineStr">
        <is>
          <t>unclassified</t>
        </is>
      </c>
      <c r="G244" t="inlineStr">
        <is>
          <t>General</t>
        </is>
      </c>
      <c r="H244" t="inlineStr">
        <is>
          <t>General</t>
        </is>
      </c>
      <c r="I244" t="inlineStr">
        <is>
          <t>Generalist</t>
        </is>
      </c>
      <c r="J244" t="inlineStr">
        <is>
          <t>Generalist</t>
        </is>
      </c>
    </row>
    <row r="245">
      <c r="A245" t="inlineStr">
        <is>
          <t>Burdock</t>
        </is>
      </c>
      <c r="B245" t="inlineStr">
        <is>
          <t>Angelica Root</t>
        </is>
      </c>
      <c r="C245" t="n">
        <v>50</v>
      </c>
      <c r="E245" t="inlineStr">
        <is>
          <t>unclassified</t>
        </is>
      </c>
      <c r="G245" t="inlineStr">
        <is>
          <t>General</t>
        </is>
      </c>
      <c r="H245" t="inlineStr">
        <is>
          <t>General</t>
        </is>
      </c>
      <c r="I245" t="inlineStr">
        <is>
          <t>Generalist</t>
        </is>
      </c>
      <c r="J245" t="inlineStr">
        <is>
          <t>Generalist</t>
        </is>
      </c>
    </row>
    <row r="246">
      <c r="A246" t="inlineStr">
        <is>
          <t>Burdock</t>
        </is>
      </c>
      <c r="B246" t="inlineStr">
        <is>
          <t>Ashoka</t>
        </is>
      </c>
      <c r="C246" t="n">
        <v>50</v>
      </c>
      <c r="E246" t="inlineStr">
        <is>
          <t>unclassified</t>
        </is>
      </c>
      <c r="G246" t="inlineStr">
        <is>
          <t>General</t>
        </is>
      </c>
      <c r="H246" t="inlineStr">
        <is>
          <t>General</t>
        </is>
      </c>
      <c r="I246" t="inlineStr">
        <is>
          <t>Generalist</t>
        </is>
      </c>
      <c r="J246" t="inlineStr">
        <is>
          <t>Generalist</t>
        </is>
      </c>
    </row>
    <row r="247">
      <c r="A247" t="inlineStr">
        <is>
          <t>Burdock</t>
        </is>
      </c>
      <c r="B247" t="inlineStr">
        <is>
          <t>Boldo</t>
        </is>
      </c>
      <c r="C247" t="n">
        <v>50</v>
      </c>
      <c r="E247" t="inlineStr">
        <is>
          <t>unclassified</t>
        </is>
      </c>
      <c r="G247" t="inlineStr">
        <is>
          <t>General</t>
        </is>
      </c>
      <c r="H247" t="inlineStr">
        <is>
          <t>General</t>
        </is>
      </c>
      <c r="I247" t="inlineStr">
        <is>
          <t>Generalist</t>
        </is>
      </c>
      <c r="J247" t="inlineStr">
        <is>
          <t>Generalist</t>
        </is>
      </c>
    </row>
    <row r="248">
      <c r="A248" t="inlineStr">
        <is>
          <t>Burdock</t>
        </is>
      </c>
      <c r="B248" t="inlineStr">
        <is>
          <t>Calendula</t>
        </is>
      </c>
      <c r="C248" t="n">
        <v>50</v>
      </c>
      <c r="E248" t="inlineStr">
        <is>
          <t>unclassified</t>
        </is>
      </c>
      <c r="G248" t="inlineStr">
        <is>
          <t>General</t>
        </is>
      </c>
      <c r="H248" t="inlineStr">
        <is>
          <t>General</t>
        </is>
      </c>
      <c r="I248" t="inlineStr">
        <is>
          <t>Generalist</t>
        </is>
      </c>
      <c r="J248" t="inlineStr">
        <is>
          <t>Generalist</t>
        </is>
      </c>
    </row>
    <row r="249">
      <c r="A249" t="inlineStr">
        <is>
          <t>Burdock</t>
        </is>
      </c>
      <c r="B249" t="inlineStr">
        <is>
          <t>Caraway</t>
        </is>
      </c>
      <c r="C249" t="n">
        <v>50</v>
      </c>
      <c r="E249" t="inlineStr">
        <is>
          <t>unclassified</t>
        </is>
      </c>
      <c r="G249" t="inlineStr">
        <is>
          <t>General</t>
        </is>
      </c>
      <c r="H249" t="inlineStr">
        <is>
          <t>General</t>
        </is>
      </c>
      <c r="I249" t="inlineStr">
        <is>
          <t>Generalist</t>
        </is>
      </c>
      <c r="J249" t="inlineStr">
        <is>
          <t>Generalist</t>
        </is>
      </c>
    </row>
    <row r="250">
      <c r="A250" t="inlineStr">
        <is>
          <t>Burdock</t>
        </is>
      </c>
      <c r="B250" t="inlineStr">
        <is>
          <t>Cardamom</t>
        </is>
      </c>
      <c r="C250" t="n">
        <v>50</v>
      </c>
      <c r="E250" t="inlineStr">
        <is>
          <t>unclassified</t>
        </is>
      </c>
      <c r="G250" t="inlineStr">
        <is>
          <t>General</t>
        </is>
      </c>
      <c r="H250" t="inlineStr">
        <is>
          <t>General</t>
        </is>
      </c>
      <c r="I250" t="inlineStr">
        <is>
          <t>Generalist</t>
        </is>
      </c>
      <c r="J250" t="inlineStr">
        <is>
          <t>Generalist</t>
        </is>
      </c>
    </row>
    <row r="251">
      <c r="A251" t="inlineStr">
        <is>
          <t>Burdock</t>
        </is>
      </c>
      <c r="B251" t="inlineStr">
        <is>
          <t>Celastrus Paniculatus</t>
        </is>
      </c>
      <c r="C251" t="n">
        <v>50</v>
      </c>
      <c r="E251" t="inlineStr">
        <is>
          <t>unclassified</t>
        </is>
      </c>
      <c r="G251" t="inlineStr">
        <is>
          <t>General</t>
        </is>
      </c>
      <c r="H251" t="inlineStr">
        <is>
          <t>General</t>
        </is>
      </c>
      <c r="I251" t="inlineStr">
        <is>
          <t>Generalist</t>
        </is>
      </c>
      <c r="J251" t="inlineStr">
        <is>
          <t>Generalist</t>
        </is>
      </c>
    </row>
    <row r="252">
      <c r="A252" t="inlineStr">
        <is>
          <t>Burdock</t>
        </is>
      </c>
      <c r="B252" t="inlineStr">
        <is>
          <t>Cistanche</t>
        </is>
      </c>
      <c r="C252" t="n">
        <v>50</v>
      </c>
      <c r="E252" t="inlineStr">
        <is>
          <t>unclassified</t>
        </is>
      </c>
      <c r="G252" t="inlineStr">
        <is>
          <t>General</t>
        </is>
      </c>
      <c r="H252" t="inlineStr">
        <is>
          <t>General</t>
        </is>
      </c>
      <c r="I252" t="inlineStr">
        <is>
          <t>Generalist</t>
        </is>
      </c>
      <c r="J252" t="inlineStr">
        <is>
          <t>Generalist</t>
        </is>
      </c>
    </row>
    <row r="253">
      <c r="A253" t="inlineStr">
        <is>
          <t>Burdock</t>
        </is>
      </c>
      <c r="B253" t="inlineStr">
        <is>
          <t>Cordyceps</t>
        </is>
      </c>
      <c r="C253" t="n">
        <v>50</v>
      </c>
      <c r="E253" t="inlineStr">
        <is>
          <t>unclassified</t>
        </is>
      </c>
      <c r="G253" t="inlineStr">
        <is>
          <t>General</t>
        </is>
      </c>
      <c r="H253" t="inlineStr">
        <is>
          <t>General</t>
        </is>
      </c>
      <c r="I253" t="inlineStr">
        <is>
          <t>Generalist</t>
        </is>
      </c>
      <c r="J253" t="inlineStr">
        <is>
          <t>Generalist</t>
        </is>
      </c>
    </row>
    <row r="254">
      <c r="A254" t="inlineStr">
        <is>
          <t>Burdock</t>
        </is>
      </c>
      <c r="B254" t="inlineStr">
        <is>
          <t>Dendrobium</t>
        </is>
      </c>
      <c r="C254" t="n">
        <v>50</v>
      </c>
      <c r="E254" t="inlineStr">
        <is>
          <t>unclassified</t>
        </is>
      </c>
      <c r="G254" t="inlineStr">
        <is>
          <t>General</t>
        </is>
      </c>
      <c r="H254" t="inlineStr">
        <is>
          <t>General</t>
        </is>
      </c>
      <c r="I254" t="inlineStr">
        <is>
          <t>Generalist</t>
        </is>
      </c>
      <c r="J254" t="inlineStr">
        <is>
          <t>Generalist</t>
        </is>
      </c>
    </row>
    <row r="255">
      <c r="A255" t="inlineStr">
        <is>
          <t>Burdock</t>
        </is>
      </c>
      <c r="B255" t="inlineStr">
        <is>
          <t>Elecampane</t>
        </is>
      </c>
      <c r="C255" t="n">
        <v>50</v>
      </c>
      <c r="E255" t="inlineStr">
        <is>
          <t>unclassified</t>
        </is>
      </c>
      <c r="G255" t="inlineStr">
        <is>
          <t>General</t>
        </is>
      </c>
      <c r="H255" t="inlineStr">
        <is>
          <t>General</t>
        </is>
      </c>
      <c r="I255" t="inlineStr">
        <is>
          <t>Generalist</t>
        </is>
      </c>
      <c r="J255" t="inlineStr">
        <is>
          <t>Generalist</t>
        </is>
      </c>
    </row>
    <row r="256">
      <c r="A256" t="inlineStr">
        <is>
          <t>Burdock</t>
        </is>
      </c>
      <c r="B256" t="inlineStr">
        <is>
          <t>Eleuthero</t>
        </is>
      </c>
      <c r="C256" t="n">
        <v>50</v>
      </c>
      <c r="E256" t="inlineStr">
        <is>
          <t>unclassified</t>
        </is>
      </c>
      <c r="G256" t="inlineStr">
        <is>
          <t>General</t>
        </is>
      </c>
      <c r="H256" t="inlineStr">
        <is>
          <t>General</t>
        </is>
      </c>
      <c r="I256" t="inlineStr">
        <is>
          <t>Generalist</t>
        </is>
      </c>
      <c r="J256" t="inlineStr">
        <is>
          <t>Generalist</t>
        </is>
      </c>
    </row>
    <row r="257">
      <c r="A257" t="inlineStr">
        <is>
          <t>Burdock</t>
        </is>
      </c>
      <c r="B257" t="inlineStr">
        <is>
          <t>Galangal</t>
        </is>
      </c>
      <c r="C257" t="n">
        <v>50</v>
      </c>
      <c r="E257" t="inlineStr">
        <is>
          <t>unclassified</t>
        </is>
      </c>
      <c r="G257" t="inlineStr">
        <is>
          <t>General</t>
        </is>
      </c>
      <c r="H257" t="inlineStr">
        <is>
          <t>General</t>
        </is>
      </c>
      <c r="I257" t="inlineStr">
        <is>
          <t>Generalist</t>
        </is>
      </c>
      <c r="J257" t="inlineStr">
        <is>
          <t>Generalist</t>
        </is>
      </c>
    </row>
    <row r="258">
      <c r="A258" t="inlineStr">
        <is>
          <t>Burdock</t>
        </is>
      </c>
      <c r="B258" t="inlineStr">
        <is>
          <t>Gastrodia</t>
        </is>
      </c>
      <c r="C258" t="n">
        <v>50</v>
      </c>
      <c r="E258" t="inlineStr">
        <is>
          <t>unclassified</t>
        </is>
      </c>
      <c r="G258" t="inlineStr">
        <is>
          <t>General</t>
        </is>
      </c>
      <c r="H258" t="inlineStr">
        <is>
          <t>General</t>
        </is>
      </c>
      <c r="I258" t="inlineStr">
        <is>
          <t>Generalist</t>
        </is>
      </c>
      <c r="J258" t="inlineStr">
        <is>
          <t>Generalist</t>
        </is>
      </c>
    </row>
    <row r="259">
      <c r="A259" t="inlineStr">
        <is>
          <t>Burdock</t>
        </is>
      </c>
      <c r="B259" t="inlineStr">
        <is>
          <t>Gudmar</t>
        </is>
      </c>
      <c r="C259" t="n">
        <v>50</v>
      </c>
      <c r="E259" t="inlineStr">
        <is>
          <t>unclassified</t>
        </is>
      </c>
      <c r="G259" t="inlineStr">
        <is>
          <t>General</t>
        </is>
      </c>
      <c r="H259" t="inlineStr">
        <is>
          <t>General</t>
        </is>
      </c>
      <c r="I259" t="inlineStr">
        <is>
          <t>Generalist</t>
        </is>
      </c>
      <c r="J259" t="inlineStr">
        <is>
          <t>Generalist</t>
        </is>
      </c>
    </row>
    <row r="260">
      <c r="A260" t="inlineStr">
        <is>
          <t>Burdock</t>
        </is>
      </c>
      <c r="B260" t="inlineStr">
        <is>
          <t>Gymnema</t>
        </is>
      </c>
      <c r="C260" t="n">
        <v>50</v>
      </c>
      <c r="E260" t="inlineStr">
        <is>
          <t>unclassified</t>
        </is>
      </c>
      <c r="G260" t="inlineStr">
        <is>
          <t>General</t>
        </is>
      </c>
      <c r="H260" t="inlineStr">
        <is>
          <t>General</t>
        </is>
      </c>
      <c r="I260" t="inlineStr">
        <is>
          <t>Generalist</t>
        </is>
      </c>
      <c r="J260" t="inlineStr">
        <is>
          <t>Generalist</t>
        </is>
      </c>
    </row>
    <row r="261">
      <c r="A261" t="inlineStr">
        <is>
          <t>Burdock</t>
        </is>
      </c>
      <c r="B261" t="inlineStr">
        <is>
          <t>Hops</t>
        </is>
      </c>
      <c r="C261" t="n">
        <v>50</v>
      </c>
      <c r="E261" t="inlineStr">
        <is>
          <t>unclassified</t>
        </is>
      </c>
      <c r="G261" t="inlineStr">
        <is>
          <t>General</t>
        </is>
      </c>
      <c r="H261" t="inlineStr">
        <is>
          <t>General</t>
        </is>
      </c>
      <c r="I261" t="inlineStr">
        <is>
          <t>Generalist</t>
        </is>
      </c>
      <c r="J261" t="inlineStr">
        <is>
          <t>Generalist</t>
        </is>
      </c>
    </row>
    <row r="262">
      <c r="A262" t="inlineStr">
        <is>
          <t>Burdock</t>
        </is>
      </c>
      <c r="B262" t="inlineStr">
        <is>
          <t>Houttuynia</t>
        </is>
      </c>
      <c r="C262" t="n">
        <v>50</v>
      </c>
      <c r="E262" t="inlineStr">
        <is>
          <t>unclassified</t>
        </is>
      </c>
      <c r="G262" t="inlineStr">
        <is>
          <t>General</t>
        </is>
      </c>
      <c r="H262" t="inlineStr">
        <is>
          <t>General</t>
        </is>
      </c>
      <c r="I262" t="inlineStr">
        <is>
          <t>Generalist</t>
        </is>
      </c>
      <c r="J262" t="inlineStr">
        <is>
          <t>Generalist</t>
        </is>
      </c>
    </row>
    <row r="263">
      <c r="A263" t="inlineStr">
        <is>
          <t>Burdock</t>
        </is>
      </c>
      <c r="B263" t="inlineStr">
        <is>
          <t>Isatis</t>
        </is>
      </c>
      <c r="C263" t="n">
        <v>50</v>
      </c>
      <c r="E263" t="inlineStr">
        <is>
          <t>unclassified</t>
        </is>
      </c>
      <c r="G263" t="inlineStr">
        <is>
          <t>General</t>
        </is>
      </c>
      <c r="H263" t="inlineStr">
        <is>
          <t>General</t>
        </is>
      </c>
      <c r="I263" t="inlineStr">
        <is>
          <t>Generalist</t>
        </is>
      </c>
      <c r="J263" t="inlineStr">
        <is>
          <t>Generalist</t>
        </is>
      </c>
    </row>
    <row r="264">
      <c r="A264" t="inlineStr">
        <is>
          <t>Burdock</t>
        </is>
      </c>
      <c r="B264" t="inlineStr">
        <is>
          <t>Jatamansi</t>
        </is>
      </c>
      <c r="C264" t="n">
        <v>50</v>
      </c>
      <c r="E264" t="inlineStr">
        <is>
          <t>unclassified</t>
        </is>
      </c>
      <c r="G264" t="inlineStr">
        <is>
          <t>General</t>
        </is>
      </c>
      <c r="H264" t="inlineStr">
        <is>
          <t>General</t>
        </is>
      </c>
      <c r="I264" t="inlineStr">
        <is>
          <t>Generalist</t>
        </is>
      </c>
      <c r="J264" t="inlineStr">
        <is>
          <t>Generalist</t>
        </is>
      </c>
    </row>
    <row r="265">
      <c r="A265" t="inlineStr">
        <is>
          <t>Burdock</t>
        </is>
      </c>
      <c r="B265" t="inlineStr">
        <is>
          <t>Lemon Verbena</t>
        </is>
      </c>
      <c r="C265" t="n">
        <v>50</v>
      </c>
      <c r="E265" t="inlineStr">
        <is>
          <t>unclassified</t>
        </is>
      </c>
      <c r="G265" t="inlineStr">
        <is>
          <t>General</t>
        </is>
      </c>
      <c r="H265" t="inlineStr">
        <is>
          <t>General</t>
        </is>
      </c>
      <c r="I265" t="inlineStr">
        <is>
          <t>Generalist</t>
        </is>
      </c>
      <c r="J265" t="inlineStr">
        <is>
          <t>Generalist</t>
        </is>
      </c>
    </row>
    <row r="266">
      <c r="A266" t="inlineStr">
        <is>
          <t>Burdock</t>
        </is>
      </c>
      <c r="B266" t="inlineStr">
        <is>
          <t>Lemongrass</t>
        </is>
      </c>
      <c r="C266" t="n">
        <v>50</v>
      </c>
      <c r="E266" t="inlineStr">
        <is>
          <t>unclassified</t>
        </is>
      </c>
      <c r="G266" t="inlineStr">
        <is>
          <t>General</t>
        </is>
      </c>
      <c r="H266" t="inlineStr">
        <is>
          <t>General</t>
        </is>
      </c>
      <c r="I266" t="inlineStr">
        <is>
          <t>Generalist</t>
        </is>
      </c>
      <c r="J266" t="inlineStr">
        <is>
          <t>Generalist</t>
        </is>
      </c>
    </row>
    <row r="267">
      <c r="A267" t="inlineStr">
        <is>
          <t>Burdock</t>
        </is>
      </c>
      <c r="B267" t="inlineStr">
        <is>
          <t>Longan</t>
        </is>
      </c>
      <c r="C267" t="n">
        <v>50</v>
      </c>
      <c r="E267" t="inlineStr">
        <is>
          <t>unclassified</t>
        </is>
      </c>
      <c r="G267" t="inlineStr">
        <is>
          <t>General</t>
        </is>
      </c>
      <c r="H267" t="inlineStr">
        <is>
          <t>General</t>
        </is>
      </c>
      <c r="I267" t="inlineStr">
        <is>
          <t>Generalist</t>
        </is>
      </c>
      <c r="J267" t="inlineStr">
        <is>
          <t>Generalist</t>
        </is>
      </c>
    </row>
    <row r="268">
      <c r="A268" t="inlineStr">
        <is>
          <t>Burdock</t>
        </is>
      </c>
      <c r="B268" t="inlineStr">
        <is>
          <t>Maitake D-Fraction</t>
        </is>
      </c>
      <c r="C268" t="n">
        <v>50</v>
      </c>
      <c r="E268" t="inlineStr">
        <is>
          <t>unclassified</t>
        </is>
      </c>
      <c r="G268" t="inlineStr">
        <is>
          <t>General</t>
        </is>
      </c>
      <c r="H268" t="inlineStr">
        <is>
          <t>General</t>
        </is>
      </c>
      <c r="I268" t="inlineStr">
        <is>
          <t>Generalist</t>
        </is>
      </c>
      <c r="J268" t="inlineStr">
        <is>
          <t>Generalist</t>
        </is>
      </c>
    </row>
    <row r="269">
      <c r="A269" t="inlineStr">
        <is>
          <t>Burdock</t>
        </is>
      </c>
      <c r="B269" t="inlineStr">
        <is>
          <t>Milk Oats</t>
        </is>
      </c>
      <c r="C269" t="n">
        <v>50</v>
      </c>
      <c r="E269" t="inlineStr">
        <is>
          <t>unclassified</t>
        </is>
      </c>
      <c r="G269" t="inlineStr">
        <is>
          <t>General</t>
        </is>
      </c>
      <c r="H269" t="inlineStr">
        <is>
          <t>General</t>
        </is>
      </c>
      <c r="I269" t="inlineStr">
        <is>
          <t>Generalist</t>
        </is>
      </c>
      <c r="J269" t="inlineStr">
        <is>
          <t>Generalist</t>
        </is>
      </c>
    </row>
    <row r="270">
      <c r="A270" t="inlineStr">
        <is>
          <t>Burdock</t>
        </is>
      </c>
      <c r="B270" t="inlineStr">
        <is>
          <t>Mugwort</t>
        </is>
      </c>
      <c r="C270" t="n">
        <v>50</v>
      </c>
      <c r="E270" t="inlineStr">
        <is>
          <t>unclassified</t>
        </is>
      </c>
      <c r="G270" t="inlineStr">
        <is>
          <t>General</t>
        </is>
      </c>
      <c r="H270" t="inlineStr">
        <is>
          <t>General</t>
        </is>
      </c>
      <c r="I270" t="inlineStr">
        <is>
          <t>Generalist</t>
        </is>
      </c>
      <c r="J270" t="inlineStr">
        <is>
          <t>Generalist</t>
        </is>
      </c>
    </row>
    <row r="271">
      <c r="A271" t="inlineStr">
        <is>
          <t>Burdock</t>
        </is>
      </c>
      <c r="B271" t="inlineStr">
        <is>
          <t>Muira Puama</t>
        </is>
      </c>
      <c r="C271" t="n">
        <v>50</v>
      </c>
      <c r="E271" t="inlineStr">
        <is>
          <t>unclassified</t>
        </is>
      </c>
      <c r="G271" t="inlineStr">
        <is>
          <t>General</t>
        </is>
      </c>
      <c r="H271" t="inlineStr">
        <is>
          <t>General</t>
        </is>
      </c>
      <c r="I271" t="inlineStr">
        <is>
          <t>Generalist</t>
        </is>
      </c>
      <c r="J271" t="inlineStr">
        <is>
          <t>Generalist</t>
        </is>
      </c>
    </row>
    <row r="272">
      <c r="A272" t="inlineStr">
        <is>
          <t>Burdock</t>
        </is>
      </c>
      <c r="B272" t="inlineStr">
        <is>
          <t>Mulberry Leaf</t>
        </is>
      </c>
      <c r="C272" t="n">
        <v>50</v>
      </c>
      <c r="E272" t="inlineStr">
        <is>
          <t>unclassified</t>
        </is>
      </c>
      <c r="G272" t="inlineStr">
        <is>
          <t>General</t>
        </is>
      </c>
      <c r="H272" t="inlineStr">
        <is>
          <t>General</t>
        </is>
      </c>
      <c r="I272" t="inlineStr">
        <is>
          <t>Generalist</t>
        </is>
      </c>
      <c r="J272" t="inlineStr">
        <is>
          <t>Generalist</t>
        </is>
      </c>
    </row>
    <row r="273">
      <c r="A273" t="inlineStr">
        <is>
          <t>Burdock</t>
        </is>
      </c>
      <c r="B273" t="inlineStr">
        <is>
          <t>Myrtle</t>
        </is>
      </c>
      <c r="C273" t="n">
        <v>50</v>
      </c>
      <c r="E273" t="inlineStr">
        <is>
          <t>unclassified</t>
        </is>
      </c>
      <c r="G273" t="inlineStr">
        <is>
          <t>General</t>
        </is>
      </c>
      <c r="H273" t="inlineStr">
        <is>
          <t>General</t>
        </is>
      </c>
      <c r="I273" t="inlineStr">
        <is>
          <t>Generalist</t>
        </is>
      </c>
      <c r="J273" t="inlineStr">
        <is>
          <t>Generalist</t>
        </is>
      </c>
    </row>
    <row r="274">
      <c r="A274" t="inlineStr">
        <is>
          <t>Burdock</t>
        </is>
      </c>
      <c r="B274" t="inlineStr">
        <is>
          <t>Neem</t>
        </is>
      </c>
      <c r="C274" t="n">
        <v>50</v>
      </c>
      <c r="E274" t="inlineStr">
        <is>
          <t>unclassified</t>
        </is>
      </c>
      <c r="G274" t="inlineStr">
        <is>
          <t>General</t>
        </is>
      </c>
      <c r="H274" t="inlineStr">
        <is>
          <t>General</t>
        </is>
      </c>
      <c r="I274" t="inlineStr">
        <is>
          <t>Generalist</t>
        </is>
      </c>
      <c r="J274" t="inlineStr">
        <is>
          <t>Generalist</t>
        </is>
      </c>
    </row>
    <row r="275">
      <c r="A275" t="inlineStr">
        <is>
          <t>Burdock</t>
        </is>
      </c>
      <c r="B275" t="inlineStr">
        <is>
          <t>Nettle Root</t>
        </is>
      </c>
      <c r="C275" t="n">
        <v>50</v>
      </c>
      <c r="E275" t="inlineStr">
        <is>
          <t>unclassified</t>
        </is>
      </c>
      <c r="G275" t="inlineStr">
        <is>
          <t>General</t>
        </is>
      </c>
      <c r="H275" t="inlineStr">
        <is>
          <t>General</t>
        </is>
      </c>
      <c r="I275" t="inlineStr">
        <is>
          <t>Generalist</t>
        </is>
      </c>
      <c r="J275" t="inlineStr">
        <is>
          <t>Generalist</t>
        </is>
      </c>
    </row>
    <row r="276">
      <c r="A276" t="inlineStr">
        <is>
          <t>Burdock</t>
        </is>
      </c>
      <c r="B276" t="inlineStr">
        <is>
          <t>Noni</t>
        </is>
      </c>
      <c r="C276" t="n">
        <v>50</v>
      </c>
      <c r="E276" t="inlineStr">
        <is>
          <t>unclassified</t>
        </is>
      </c>
      <c r="G276" t="inlineStr">
        <is>
          <t>General</t>
        </is>
      </c>
      <c r="H276" t="inlineStr">
        <is>
          <t>General</t>
        </is>
      </c>
      <c r="I276" t="inlineStr">
        <is>
          <t>Generalist</t>
        </is>
      </c>
      <c r="J276" t="inlineStr">
        <is>
          <t>Generalist</t>
        </is>
      </c>
    </row>
    <row r="277">
      <c r="A277" t="inlineStr">
        <is>
          <t>Burdock</t>
        </is>
      </c>
      <c r="B277" t="inlineStr">
        <is>
          <t>Oatstraw</t>
        </is>
      </c>
      <c r="C277" t="n">
        <v>50</v>
      </c>
      <c r="E277" t="inlineStr">
        <is>
          <t>unclassified</t>
        </is>
      </c>
      <c r="G277" t="inlineStr">
        <is>
          <t>General</t>
        </is>
      </c>
      <c r="H277" t="inlineStr">
        <is>
          <t>General</t>
        </is>
      </c>
      <c r="I277" t="inlineStr">
        <is>
          <t>Generalist</t>
        </is>
      </c>
      <c r="J277" t="inlineStr">
        <is>
          <t>Generalist</t>
        </is>
      </c>
    </row>
    <row r="278">
      <c r="A278" t="inlineStr">
        <is>
          <t>Burdock</t>
        </is>
      </c>
      <c r="B278" t="inlineStr">
        <is>
          <t>Passionflower</t>
        </is>
      </c>
      <c r="C278" t="n">
        <v>50</v>
      </c>
      <c r="E278" t="inlineStr">
        <is>
          <t>unclassified</t>
        </is>
      </c>
      <c r="G278" t="inlineStr">
        <is>
          <t>General</t>
        </is>
      </c>
      <c r="H278" t="inlineStr">
        <is>
          <t>General</t>
        </is>
      </c>
      <c r="I278" t="inlineStr">
        <is>
          <t>Generalist</t>
        </is>
      </c>
      <c r="J278" t="inlineStr">
        <is>
          <t>Generalist</t>
        </is>
      </c>
    </row>
    <row r="279">
      <c r="A279" t="inlineStr">
        <is>
          <t>Burdock</t>
        </is>
      </c>
      <c r="B279" t="inlineStr">
        <is>
          <t>Pau d'Arco</t>
        </is>
      </c>
      <c r="C279" t="n">
        <v>50</v>
      </c>
      <c r="E279" t="inlineStr">
        <is>
          <t>unclassified</t>
        </is>
      </c>
      <c r="G279" t="inlineStr">
        <is>
          <t>General</t>
        </is>
      </c>
      <c r="H279" t="inlineStr">
        <is>
          <t>General</t>
        </is>
      </c>
      <c r="I279" t="inlineStr">
        <is>
          <t>Generalist</t>
        </is>
      </c>
      <c r="J279" t="inlineStr">
        <is>
          <t>Generalist</t>
        </is>
      </c>
    </row>
    <row r="280">
      <c r="A280" t="inlineStr">
        <is>
          <t>Burdock</t>
        </is>
      </c>
      <c r="B280" t="inlineStr">
        <is>
          <t>Perilla</t>
        </is>
      </c>
      <c r="C280" t="n">
        <v>50</v>
      </c>
      <c r="E280" t="inlineStr">
        <is>
          <t>unclassified</t>
        </is>
      </c>
      <c r="G280" t="inlineStr">
        <is>
          <t>General</t>
        </is>
      </c>
      <c r="H280" t="inlineStr">
        <is>
          <t>General</t>
        </is>
      </c>
      <c r="I280" t="inlineStr">
        <is>
          <t>Generalist</t>
        </is>
      </c>
      <c r="J280" t="inlineStr">
        <is>
          <t>Generalist</t>
        </is>
      </c>
    </row>
    <row r="281">
      <c r="A281" t="inlineStr">
        <is>
          <t>Burdock</t>
        </is>
      </c>
      <c r="B281" t="inlineStr">
        <is>
          <t>Pomegranate</t>
        </is>
      </c>
      <c r="C281" t="n">
        <v>50</v>
      </c>
      <c r="E281" t="inlineStr">
        <is>
          <t>unclassified</t>
        </is>
      </c>
      <c r="G281" t="inlineStr">
        <is>
          <t>General</t>
        </is>
      </c>
      <c r="H281" t="inlineStr">
        <is>
          <t>General</t>
        </is>
      </c>
      <c r="I281" t="inlineStr">
        <is>
          <t>Generalist</t>
        </is>
      </c>
      <c r="J281" t="inlineStr">
        <is>
          <t>Generalist</t>
        </is>
      </c>
    </row>
    <row r="282">
      <c r="A282" t="inlineStr">
        <is>
          <t>Burdock</t>
        </is>
      </c>
      <c r="B282" t="inlineStr">
        <is>
          <t>Poria</t>
        </is>
      </c>
      <c r="C282" t="n">
        <v>50</v>
      </c>
      <c r="E282" t="inlineStr">
        <is>
          <t>unclassified</t>
        </is>
      </c>
      <c r="G282" t="inlineStr">
        <is>
          <t>General</t>
        </is>
      </c>
      <c r="H282" t="inlineStr">
        <is>
          <t>General</t>
        </is>
      </c>
      <c r="I282" t="inlineStr">
        <is>
          <t>Generalist</t>
        </is>
      </c>
      <c r="J282" t="inlineStr">
        <is>
          <t>Generalist</t>
        </is>
      </c>
    </row>
    <row r="283">
      <c r="A283" t="inlineStr">
        <is>
          <t>Burdock</t>
        </is>
      </c>
      <c r="B283" t="inlineStr">
        <is>
          <t>Punarnava</t>
        </is>
      </c>
      <c r="C283" t="n">
        <v>50</v>
      </c>
      <c r="E283" t="inlineStr">
        <is>
          <t>unclassified</t>
        </is>
      </c>
      <c r="G283" t="inlineStr">
        <is>
          <t>General</t>
        </is>
      </c>
      <c r="H283" t="inlineStr">
        <is>
          <t>General</t>
        </is>
      </c>
      <c r="I283" t="inlineStr">
        <is>
          <t>Generalist</t>
        </is>
      </c>
      <c r="J283" t="inlineStr">
        <is>
          <t>Generalist</t>
        </is>
      </c>
    </row>
    <row r="284">
      <c r="A284" t="inlineStr">
        <is>
          <t>Burdock</t>
        </is>
      </c>
      <c r="B284" t="inlineStr">
        <is>
          <t>Red Clover</t>
        </is>
      </c>
      <c r="C284" t="n">
        <v>50</v>
      </c>
      <c r="E284" t="inlineStr">
        <is>
          <t>unclassified</t>
        </is>
      </c>
      <c r="G284" t="inlineStr">
        <is>
          <t>General</t>
        </is>
      </c>
      <c r="H284" t="inlineStr">
        <is>
          <t>General</t>
        </is>
      </c>
      <c r="I284" t="inlineStr">
        <is>
          <t>Generalist</t>
        </is>
      </c>
      <c r="J284" t="inlineStr">
        <is>
          <t>Generalist</t>
        </is>
      </c>
    </row>
    <row r="285">
      <c r="A285" t="inlineStr">
        <is>
          <t>Burdock</t>
        </is>
      </c>
      <c r="B285" t="inlineStr">
        <is>
          <t>Rehmannia Prepared</t>
        </is>
      </c>
      <c r="C285" t="n">
        <v>50</v>
      </c>
      <c r="E285" t="inlineStr">
        <is>
          <t>unclassified</t>
        </is>
      </c>
      <c r="G285" t="inlineStr">
        <is>
          <t>General</t>
        </is>
      </c>
      <c r="H285" t="inlineStr">
        <is>
          <t>General</t>
        </is>
      </c>
      <c r="I285" t="inlineStr">
        <is>
          <t>Generalist</t>
        </is>
      </c>
      <c r="J285" t="inlineStr">
        <is>
          <t>Generalist</t>
        </is>
      </c>
    </row>
    <row r="286">
      <c r="A286" t="inlineStr">
        <is>
          <t>Burdock</t>
        </is>
      </c>
      <c r="B286" t="inlineStr">
        <is>
          <t>Reishi</t>
        </is>
      </c>
      <c r="C286" t="n">
        <v>50</v>
      </c>
      <c r="E286" t="inlineStr">
        <is>
          <t>unclassified</t>
        </is>
      </c>
      <c r="G286" t="inlineStr">
        <is>
          <t>General</t>
        </is>
      </c>
      <c r="H286" t="inlineStr">
        <is>
          <t>General</t>
        </is>
      </c>
      <c r="I286" t="inlineStr">
        <is>
          <t>Generalist</t>
        </is>
      </c>
      <c r="J286" t="inlineStr">
        <is>
          <t>Generalist</t>
        </is>
      </c>
    </row>
    <row r="287">
      <c r="A287" t="inlineStr">
        <is>
          <t>Burdock</t>
        </is>
      </c>
      <c r="B287" t="inlineStr">
        <is>
          <t>Rose Hips</t>
        </is>
      </c>
      <c r="C287" t="n">
        <v>50</v>
      </c>
      <c r="E287" t="inlineStr">
        <is>
          <t>unclassified</t>
        </is>
      </c>
      <c r="G287" t="inlineStr">
        <is>
          <t>General</t>
        </is>
      </c>
      <c r="H287" t="inlineStr">
        <is>
          <t>General</t>
        </is>
      </c>
      <c r="I287" t="inlineStr">
        <is>
          <t>Generalist</t>
        </is>
      </c>
      <c r="J287" t="inlineStr">
        <is>
          <t>Generalist</t>
        </is>
      </c>
    </row>
    <row r="288">
      <c r="A288" t="inlineStr">
        <is>
          <t>Burdock</t>
        </is>
      </c>
      <c r="B288" t="inlineStr">
        <is>
          <t>Sophora Flavescens</t>
        </is>
      </c>
      <c r="C288" t="n">
        <v>50</v>
      </c>
      <c r="E288" t="inlineStr">
        <is>
          <t>unclassified</t>
        </is>
      </c>
      <c r="G288" t="inlineStr">
        <is>
          <t>General</t>
        </is>
      </c>
      <c r="H288" t="inlineStr">
        <is>
          <t>General</t>
        </is>
      </c>
      <c r="I288" t="inlineStr">
        <is>
          <t>Generalist</t>
        </is>
      </c>
      <c r="J288" t="inlineStr">
        <is>
          <t>Generalist</t>
        </is>
      </c>
    </row>
    <row r="289">
      <c r="A289" t="inlineStr">
        <is>
          <t>Burdock</t>
        </is>
      </c>
      <c r="B289" t="inlineStr">
        <is>
          <t>Soursop</t>
        </is>
      </c>
      <c r="C289" t="n">
        <v>50</v>
      </c>
      <c r="E289" t="inlineStr">
        <is>
          <t>unclassified</t>
        </is>
      </c>
      <c r="G289" t="inlineStr">
        <is>
          <t>General</t>
        </is>
      </c>
      <c r="H289" t="inlineStr">
        <is>
          <t>General</t>
        </is>
      </c>
      <c r="I289" t="inlineStr">
        <is>
          <t>Generalist</t>
        </is>
      </c>
      <c r="J289" t="inlineStr">
        <is>
          <t>Generalist</t>
        </is>
      </c>
    </row>
    <row r="290">
      <c r="A290" t="inlineStr">
        <is>
          <t>Burdock</t>
        </is>
      </c>
      <c r="B290" t="inlineStr">
        <is>
          <t>Tamarind</t>
        </is>
      </c>
      <c r="C290" t="n">
        <v>50</v>
      </c>
      <c r="E290" t="inlineStr">
        <is>
          <t>unclassified</t>
        </is>
      </c>
      <c r="G290" t="inlineStr">
        <is>
          <t>General</t>
        </is>
      </c>
      <c r="H290" t="inlineStr">
        <is>
          <t>General</t>
        </is>
      </c>
      <c r="I290" t="inlineStr">
        <is>
          <t>Generalist</t>
        </is>
      </c>
      <c r="J290" t="inlineStr">
        <is>
          <t>Generalist</t>
        </is>
      </c>
    </row>
    <row r="291">
      <c r="A291" t="inlineStr">
        <is>
          <t>Burdock</t>
        </is>
      </c>
      <c r="B291" t="inlineStr">
        <is>
          <t>White Peony</t>
        </is>
      </c>
      <c r="C291" t="n">
        <v>50</v>
      </c>
      <c r="E291" t="inlineStr">
        <is>
          <t>unclassified</t>
        </is>
      </c>
      <c r="G291" t="inlineStr">
        <is>
          <t>General</t>
        </is>
      </c>
      <c r="H291" t="inlineStr">
        <is>
          <t>General</t>
        </is>
      </c>
      <c r="I291" t="inlineStr">
        <is>
          <t>Generalist</t>
        </is>
      </c>
      <c r="J291" t="inlineStr">
        <is>
          <t>Generalist</t>
        </is>
      </c>
    </row>
    <row r="292">
      <c r="A292" t="inlineStr">
        <is>
          <t>Burdock</t>
        </is>
      </c>
      <c r="B292" t="inlineStr">
        <is>
          <t>Yohimbe</t>
        </is>
      </c>
      <c r="C292" t="n">
        <v>50</v>
      </c>
      <c r="E292" t="inlineStr">
        <is>
          <t>unclassified</t>
        </is>
      </c>
      <c r="G292" t="inlineStr">
        <is>
          <t>General</t>
        </is>
      </c>
      <c r="H292" t="inlineStr">
        <is>
          <t>General</t>
        </is>
      </c>
      <c r="I292" t="inlineStr">
        <is>
          <t>Generalist</t>
        </is>
      </c>
      <c r="J292" t="inlineStr">
        <is>
          <t>Generalist</t>
        </is>
      </c>
    </row>
    <row r="293">
      <c r="A293" t="inlineStr">
        <is>
          <t>Butterbur</t>
        </is>
      </c>
      <c r="B293" t="inlineStr">
        <is>
          <t>Agarikon</t>
        </is>
      </c>
      <c r="C293" t="n">
        <v>50</v>
      </c>
      <c r="E293" t="inlineStr">
        <is>
          <t>unclassified</t>
        </is>
      </c>
      <c r="G293" t="inlineStr">
        <is>
          <t>General</t>
        </is>
      </c>
      <c r="H293" t="inlineStr">
        <is>
          <t>General</t>
        </is>
      </c>
      <c r="I293" t="inlineStr">
        <is>
          <t>Generalist</t>
        </is>
      </c>
      <c r="J293" t="inlineStr">
        <is>
          <t>Generalist</t>
        </is>
      </c>
    </row>
    <row r="294">
      <c r="A294" t="inlineStr">
        <is>
          <t>Butterbur</t>
        </is>
      </c>
      <c r="B294" t="inlineStr">
        <is>
          <t>Ajwain</t>
        </is>
      </c>
      <c r="C294" t="n">
        <v>50</v>
      </c>
      <c r="E294" t="inlineStr">
        <is>
          <t>unclassified</t>
        </is>
      </c>
      <c r="G294" t="inlineStr">
        <is>
          <t>General</t>
        </is>
      </c>
      <c r="H294" t="inlineStr">
        <is>
          <t>General</t>
        </is>
      </c>
      <c r="I294" t="inlineStr">
        <is>
          <t>Generalist</t>
        </is>
      </c>
      <c r="J294" t="inlineStr">
        <is>
          <t>Generalist</t>
        </is>
      </c>
    </row>
    <row r="295">
      <c r="A295" t="inlineStr">
        <is>
          <t>Butterbur</t>
        </is>
      </c>
      <c r="B295" t="inlineStr">
        <is>
          <t>Angelica Root</t>
        </is>
      </c>
      <c r="C295" t="n">
        <v>50</v>
      </c>
      <c r="E295" t="inlineStr">
        <is>
          <t>unclassified</t>
        </is>
      </c>
      <c r="G295" t="inlineStr">
        <is>
          <t>General</t>
        </is>
      </c>
      <c r="H295" t="inlineStr">
        <is>
          <t>General</t>
        </is>
      </c>
      <c r="I295" t="inlineStr">
        <is>
          <t>Generalist</t>
        </is>
      </c>
      <c r="J295" t="inlineStr">
        <is>
          <t>Generalist</t>
        </is>
      </c>
    </row>
    <row r="296">
      <c r="A296" t="inlineStr">
        <is>
          <t>Butterbur</t>
        </is>
      </c>
      <c r="B296" t="inlineStr">
        <is>
          <t>Artichoke</t>
        </is>
      </c>
      <c r="C296" t="n">
        <v>50</v>
      </c>
      <c r="E296" t="inlineStr">
        <is>
          <t>unclassified</t>
        </is>
      </c>
      <c r="G296" t="inlineStr">
        <is>
          <t>General</t>
        </is>
      </c>
      <c r="H296" t="inlineStr">
        <is>
          <t>General</t>
        </is>
      </c>
      <c r="I296" t="inlineStr">
        <is>
          <t>Generalist</t>
        </is>
      </c>
      <c r="J296" t="inlineStr">
        <is>
          <t>Generalist</t>
        </is>
      </c>
    </row>
    <row r="297">
      <c r="A297" t="inlineStr">
        <is>
          <t>Butterbur</t>
        </is>
      </c>
      <c r="B297" t="inlineStr">
        <is>
          <t>Ashoka</t>
        </is>
      </c>
      <c r="C297" t="n">
        <v>50</v>
      </c>
      <c r="E297" t="inlineStr">
        <is>
          <t>unclassified</t>
        </is>
      </c>
      <c r="G297" t="inlineStr">
        <is>
          <t>General</t>
        </is>
      </c>
      <c r="H297" t="inlineStr">
        <is>
          <t>General</t>
        </is>
      </c>
      <c r="I297" t="inlineStr">
        <is>
          <t>Generalist</t>
        </is>
      </c>
      <c r="J297" t="inlineStr">
        <is>
          <t>Generalist</t>
        </is>
      </c>
    </row>
    <row r="298">
      <c r="A298" t="inlineStr">
        <is>
          <t>Butterbur</t>
        </is>
      </c>
      <c r="B298" t="inlineStr">
        <is>
          <t>Boldo</t>
        </is>
      </c>
      <c r="C298" t="n">
        <v>50</v>
      </c>
      <c r="E298" t="inlineStr">
        <is>
          <t>unclassified</t>
        </is>
      </c>
      <c r="G298" t="inlineStr">
        <is>
          <t>General</t>
        </is>
      </c>
      <c r="H298" t="inlineStr">
        <is>
          <t>General</t>
        </is>
      </c>
      <c r="I298" t="inlineStr">
        <is>
          <t>Generalist</t>
        </is>
      </c>
      <c r="J298" t="inlineStr">
        <is>
          <t>Generalist</t>
        </is>
      </c>
    </row>
    <row r="299">
      <c r="A299" t="inlineStr">
        <is>
          <t>Butterbur</t>
        </is>
      </c>
      <c r="B299" t="inlineStr">
        <is>
          <t>Burdock</t>
        </is>
      </c>
      <c r="C299" t="n">
        <v>50</v>
      </c>
      <c r="E299" t="inlineStr">
        <is>
          <t>unclassified</t>
        </is>
      </c>
      <c r="G299" t="inlineStr">
        <is>
          <t>General</t>
        </is>
      </c>
      <c r="H299" t="inlineStr">
        <is>
          <t>General</t>
        </is>
      </c>
      <c r="I299" t="inlineStr">
        <is>
          <t>Generalist</t>
        </is>
      </c>
      <c r="J299" t="inlineStr">
        <is>
          <t>Generalist</t>
        </is>
      </c>
    </row>
    <row r="300">
      <c r="A300" t="inlineStr">
        <is>
          <t>Butterbur</t>
        </is>
      </c>
      <c r="B300" t="inlineStr">
        <is>
          <t>Calendula</t>
        </is>
      </c>
      <c r="C300" t="n">
        <v>50</v>
      </c>
      <c r="E300" t="inlineStr">
        <is>
          <t>unclassified</t>
        </is>
      </c>
      <c r="G300" t="inlineStr">
        <is>
          <t>General</t>
        </is>
      </c>
      <c r="H300" t="inlineStr">
        <is>
          <t>General</t>
        </is>
      </c>
      <c r="I300" t="inlineStr">
        <is>
          <t>Generalist</t>
        </is>
      </c>
      <c r="J300" t="inlineStr">
        <is>
          <t>Generalist</t>
        </is>
      </c>
    </row>
    <row r="301">
      <c r="A301" t="inlineStr">
        <is>
          <t>Butterbur</t>
        </is>
      </c>
      <c r="B301" t="inlineStr">
        <is>
          <t>Caraway</t>
        </is>
      </c>
      <c r="C301" t="n">
        <v>50</v>
      </c>
      <c r="E301" t="inlineStr">
        <is>
          <t>unclassified</t>
        </is>
      </c>
      <c r="G301" t="inlineStr">
        <is>
          <t>General</t>
        </is>
      </c>
      <c r="H301" t="inlineStr">
        <is>
          <t>General</t>
        </is>
      </c>
      <c r="I301" t="inlineStr">
        <is>
          <t>Generalist</t>
        </is>
      </c>
      <c r="J301" t="inlineStr">
        <is>
          <t>Generalist</t>
        </is>
      </c>
    </row>
    <row r="302">
      <c r="A302" t="inlineStr">
        <is>
          <t>Butterbur</t>
        </is>
      </c>
      <c r="B302" t="inlineStr">
        <is>
          <t>Cardamom</t>
        </is>
      </c>
      <c r="C302" t="n">
        <v>50</v>
      </c>
      <c r="E302" t="inlineStr">
        <is>
          <t>unclassified</t>
        </is>
      </c>
      <c r="G302" t="inlineStr">
        <is>
          <t>General</t>
        </is>
      </c>
      <c r="H302" t="inlineStr">
        <is>
          <t>General</t>
        </is>
      </c>
      <c r="I302" t="inlineStr">
        <is>
          <t>Generalist</t>
        </is>
      </c>
      <c r="J302" t="inlineStr">
        <is>
          <t>Generalist</t>
        </is>
      </c>
    </row>
    <row r="303">
      <c r="A303" t="inlineStr">
        <is>
          <t>Butterbur</t>
        </is>
      </c>
      <c r="B303" t="inlineStr">
        <is>
          <t>Celastrus Paniculatus</t>
        </is>
      </c>
      <c r="C303" t="n">
        <v>50</v>
      </c>
      <c r="E303" t="inlineStr">
        <is>
          <t>unclassified</t>
        </is>
      </c>
      <c r="G303" t="inlineStr">
        <is>
          <t>General</t>
        </is>
      </c>
      <c r="H303" t="inlineStr">
        <is>
          <t>General</t>
        </is>
      </c>
      <c r="I303" t="inlineStr">
        <is>
          <t>Generalist</t>
        </is>
      </c>
      <c r="J303" t="inlineStr">
        <is>
          <t>Generalist</t>
        </is>
      </c>
    </row>
    <row r="304">
      <c r="A304" t="inlineStr">
        <is>
          <t>Butterbur</t>
        </is>
      </c>
      <c r="B304" t="inlineStr">
        <is>
          <t>Cinnamon</t>
        </is>
      </c>
      <c r="C304" t="n">
        <v>50</v>
      </c>
      <c r="E304" t="inlineStr">
        <is>
          <t>unclassified</t>
        </is>
      </c>
      <c r="G304" t="inlineStr">
        <is>
          <t>General</t>
        </is>
      </c>
      <c r="H304" t="inlineStr">
        <is>
          <t>General</t>
        </is>
      </c>
      <c r="I304" t="inlineStr">
        <is>
          <t>Generalist</t>
        </is>
      </c>
      <c r="J304" t="inlineStr">
        <is>
          <t>Generalist</t>
        </is>
      </c>
    </row>
    <row r="305">
      <c r="A305" t="inlineStr">
        <is>
          <t>Butterbur</t>
        </is>
      </c>
      <c r="B305" t="inlineStr">
        <is>
          <t>Cistanche</t>
        </is>
      </c>
      <c r="C305" t="n">
        <v>50</v>
      </c>
      <c r="E305" t="inlineStr">
        <is>
          <t>unclassified</t>
        </is>
      </c>
      <c r="G305" t="inlineStr">
        <is>
          <t>General</t>
        </is>
      </c>
      <c r="H305" t="inlineStr">
        <is>
          <t>General</t>
        </is>
      </c>
      <c r="I305" t="inlineStr">
        <is>
          <t>Generalist</t>
        </is>
      </c>
      <c r="J305" t="inlineStr">
        <is>
          <t>Generalist</t>
        </is>
      </c>
    </row>
    <row r="306">
      <c r="A306" t="inlineStr">
        <is>
          <t>Butterbur</t>
        </is>
      </c>
      <c r="B306" t="inlineStr">
        <is>
          <t>Cordyceps</t>
        </is>
      </c>
      <c r="C306" t="n">
        <v>50</v>
      </c>
      <c r="E306" t="inlineStr">
        <is>
          <t>unclassified</t>
        </is>
      </c>
      <c r="G306" t="inlineStr">
        <is>
          <t>General</t>
        </is>
      </c>
      <c r="H306" t="inlineStr">
        <is>
          <t>General</t>
        </is>
      </c>
      <c r="I306" t="inlineStr">
        <is>
          <t>Generalist</t>
        </is>
      </c>
      <c r="J306" t="inlineStr">
        <is>
          <t>Generalist</t>
        </is>
      </c>
    </row>
    <row r="307">
      <c r="A307" t="inlineStr">
        <is>
          <t>Butterbur</t>
        </is>
      </c>
      <c r="B307" t="inlineStr">
        <is>
          <t>Dandelion</t>
        </is>
      </c>
      <c r="C307" t="n">
        <v>50</v>
      </c>
      <c r="E307" t="inlineStr">
        <is>
          <t>unclassified</t>
        </is>
      </c>
      <c r="G307" t="inlineStr">
        <is>
          <t>General</t>
        </is>
      </c>
      <c r="H307" t="inlineStr">
        <is>
          <t>General</t>
        </is>
      </c>
      <c r="I307" t="inlineStr">
        <is>
          <t>Generalist</t>
        </is>
      </c>
      <c r="J307" t="inlineStr">
        <is>
          <t>Generalist</t>
        </is>
      </c>
    </row>
    <row r="308">
      <c r="A308" t="inlineStr">
        <is>
          <t>Butterbur</t>
        </is>
      </c>
      <c r="B308" t="inlineStr">
        <is>
          <t>Dendrobium</t>
        </is>
      </c>
      <c r="C308" t="n">
        <v>50</v>
      </c>
      <c r="E308" t="inlineStr">
        <is>
          <t>unclassified</t>
        </is>
      </c>
      <c r="G308" t="inlineStr">
        <is>
          <t>General</t>
        </is>
      </c>
      <c r="H308" t="inlineStr">
        <is>
          <t>General</t>
        </is>
      </c>
      <c r="I308" t="inlineStr">
        <is>
          <t>Generalist</t>
        </is>
      </c>
      <c r="J308" t="inlineStr">
        <is>
          <t>Generalist</t>
        </is>
      </c>
    </row>
    <row r="309">
      <c r="A309" t="inlineStr">
        <is>
          <t>Butterbur</t>
        </is>
      </c>
      <c r="B309" t="inlineStr">
        <is>
          <t>Dong Quai</t>
        </is>
      </c>
      <c r="C309" t="n">
        <v>50</v>
      </c>
      <c r="E309" t="inlineStr">
        <is>
          <t>unclassified</t>
        </is>
      </c>
      <c r="G309" t="inlineStr">
        <is>
          <t>General</t>
        </is>
      </c>
      <c r="H309" t="inlineStr">
        <is>
          <t>General</t>
        </is>
      </c>
      <c r="I309" t="inlineStr">
        <is>
          <t>Generalist</t>
        </is>
      </c>
      <c r="J309" t="inlineStr">
        <is>
          <t>Generalist</t>
        </is>
      </c>
    </row>
    <row r="310">
      <c r="A310" t="inlineStr">
        <is>
          <t>Butterbur</t>
        </is>
      </c>
      <c r="B310" t="inlineStr">
        <is>
          <t>Elecampane</t>
        </is>
      </c>
      <c r="C310" t="n">
        <v>50</v>
      </c>
      <c r="E310" t="inlineStr">
        <is>
          <t>unclassified</t>
        </is>
      </c>
      <c r="G310" t="inlineStr">
        <is>
          <t>General</t>
        </is>
      </c>
      <c r="H310" t="inlineStr">
        <is>
          <t>General</t>
        </is>
      </c>
      <c r="I310" t="inlineStr">
        <is>
          <t>Generalist</t>
        </is>
      </c>
      <c r="J310" t="inlineStr">
        <is>
          <t>Generalist</t>
        </is>
      </c>
    </row>
    <row r="311">
      <c r="A311" t="inlineStr">
        <is>
          <t>Butterbur</t>
        </is>
      </c>
      <c r="B311" t="inlineStr">
        <is>
          <t>Eleuthero</t>
        </is>
      </c>
      <c r="C311" t="n">
        <v>50</v>
      </c>
      <c r="E311" t="inlineStr">
        <is>
          <t>unclassified</t>
        </is>
      </c>
      <c r="G311" t="inlineStr">
        <is>
          <t>General</t>
        </is>
      </c>
      <c r="H311" t="inlineStr">
        <is>
          <t>General</t>
        </is>
      </c>
      <c r="I311" t="inlineStr">
        <is>
          <t>Generalist</t>
        </is>
      </c>
      <c r="J311" t="inlineStr">
        <is>
          <t>Generalist</t>
        </is>
      </c>
    </row>
    <row r="312">
      <c r="A312" t="inlineStr">
        <is>
          <t>Butterbur</t>
        </is>
      </c>
      <c r="B312" t="inlineStr">
        <is>
          <t>Fennel</t>
        </is>
      </c>
      <c r="C312" t="n">
        <v>50</v>
      </c>
      <c r="E312" t="inlineStr">
        <is>
          <t>unclassified</t>
        </is>
      </c>
      <c r="G312" t="inlineStr">
        <is>
          <t>General</t>
        </is>
      </c>
      <c r="H312" t="inlineStr">
        <is>
          <t>General</t>
        </is>
      </c>
      <c r="I312" t="inlineStr">
        <is>
          <t>Generalist</t>
        </is>
      </c>
      <c r="J312" t="inlineStr">
        <is>
          <t>Generalist</t>
        </is>
      </c>
    </row>
    <row r="313">
      <c r="A313" t="inlineStr">
        <is>
          <t>Butterbur</t>
        </is>
      </c>
      <c r="B313" t="inlineStr">
        <is>
          <t>Galangal</t>
        </is>
      </c>
      <c r="C313" t="n">
        <v>50</v>
      </c>
      <c r="E313" t="inlineStr">
        <is>
          <t>unclassified</t>
        </is>
      </c>
      <c r="G313" t="inlineStr">
        <is>
          <t>General</t>
        </is>
      </c>
      <c r="H313" t="inlineStr">
        <is>
          <t>General</t>
        </is>
      </c>
      <c r="I313" t="inlineStr">
        <is>
          <t>Generalist</t>
        </is>
      </c>
      <c r="J313" t="inlineStr">
        <is>
          <t>Generalist</t>
        </is>
      </c>
    </row>
    <row r="314">
      <c r="A314" t="inlineStr">
        <is>
          <t>Butterbur</t>
        </is>
      </c>
      <c r="B314" t="inlineStr">
        <is>
          <t>Gastrodia</t>
        </is>
      </c>
      <c r="C314" t="n">
        <v>50</v>
      </c>
      <c r="E314" t="inlineStr">
        <is>
          <t>unclassified</t>
        </is>
      </c>
      <c r="G314" t="inlineStr">
        <is>
          <t>General</t>
        </is>
      </c>
      <c r="H314" t="inlineStr">
        <is>
          <t>General</t>
        </is>
      </c>
      <c r="I314" t="inlineStr">
        <is>
          <t>Generalist</t>
        </is>
      </c>
      <c r="J314" t="inlineStr">
        <is>
          <t>Generalist</t>
        </is>
      </c>
    </row>
    <row r="315">
      <c r="A315" t="inlineStr">
        <is>
          <t>Butterbur</t>
        </is>
      </c>
      <c r="B315" t="inlineStr">
        <is>
          <t>Gudmar</t>
        </is>
      </c>
      <c r="C315" t="n">
        <v>50</v>
      </c>
      <c r="E315" t="inlineStr">
        <is>
          <t>unclassified</t>
        </is>
      </c>
      <c r="G315" t="inlineStr">
        <is>
          <t>General</t>
        </is>
      </c>
      <c r="H315" t="inlineStr">
        <is>
          <t>General</t>
        </is>
      </c>
      <c r="I315" t="inlineStr">
        <is>
          <t>Generalist</t>
        </is>
      </c>
      <c r="J315" t="inlineStr">
        <is>
          <t>Generalist</t>
        </is>
      </c>
    </row>
    <row r="316">
      <c r="A316" t="inlineStr">
        <is>
          <t>Butterbur</t>
        </is>
      </c>
      <c r="B316" t="inlineStr">
        <is>
          <t>Gymnema</t>
        </is>
      </c>
      <c r="C316" t="n">
        <v>50</v>
      </c>
      <c r="E316" t="inlineStr">
        <is>
          <t>unclassified</t>
        </is>
      </c>
      <c r="G316" t="inlineStr">
        <is>
          <t>General</t>
        </is>
      </c>
      <c r="H316" t="inlineStr">
        <is>
          <t>General</t>
        </is>
      </c>
      <c r="I316" t="inlineStr">
        <is>
          <t>Generalist</t>
        </is>
      </c>
      <c r="J316" t="inlineStr">
        <is>
          <t>Generalist</t>
        </is>
      </c>
    </row>
    <row r="317">
      <c r="A317" t="inlineStr">
        <is>
          <t>Butterbur</t>
        </is>
      </c>
      <c r="B317" t="inlineStr">
        <is>
          <t>Hops</t>
        </is>
      </c>
      <c r="C317" t="n">
        <v>50</v>
      </c>
      <c r="E317" t="inlineStr">
        <is>
          <t>unclassified</t>
        </is>
      </c>
      <c r="G317" t="inlineStr">
        <is>
          <t>General</t>
        </is>
      </c>
      <c r="H317" t="inlineStr">
        <is>
          <t>General</t>
        </is>
      </c>
      <c r="I317" t="inlineStr">
        <is>
          <t>Generalist</t>
        </is>
      </c>
      <c r="J317" t="inlineStr">
        <is>
          <t>Generalist</t>
        </is>
      </c>
    </row>
    <row r="318">
      <c r="A318" t="inlineStr">
        <is>
          <t>Butterbur</t>
        </is>
      </c>
      <c r="B318" t="inlineStr">
        <is>
          <t>Houttuynia</t>
        </is>
      </c>
      <c r="C318" t="n">
        <v>50</v>
      </c>
      <c r="E318" t="inlineStr">
        <is>
          <t>unclassified</t>
        </is>
      </c>
      <c r="G318" t="inlineStr">
        <is>
          <t>General</t>
        </is>
      </c>
      <c r="H318" t="inlineStr">
        <is>
          <t>General</t>
        </is>
      </c>
      <c r="I318" t="inlineStr">
        <is>
          <t>Generalist</t>
        </is>
      </c>
      <c r="J318" t="inlineStr">
        <is>
          <t>Generalist</t>
        </is>
      </c>
    </row>
    <row r="319">
      <c r="A319" t="inlineStr">
        <is>
          <t>Butterbur</t>
        </is>
      </c>
      <c r="B319" t="inlineStr">
        <is>
          <t>Isatis</t>
        </is>
      </c>
      <c r="C319" t="n">
        <v>50</v>
      </c>
      <c r="E319" t="inlineStr">
        <is>
          <t>unclassified</t>
        </is>
      </c>
      <c r="G319" t="inlineStr">
        <is>
          <t>General</t>
        </is>
      </c>
      <c r="H319" t="inlineStr">
        <is>
          <t>General</t>
        </is>
      </c>
      <c r="I319" t="inlineStr">
        <is>
          <t>Generalist</t>
        </is>
      </c>
      <c r="J319" t="inlineStr">
        <is>
          <t>Generalist</t>
        </is>
      </c>
    </row>
    <row r="320">
      <c r="A320" t="inlineStr">
        <is>
          <t>Butterbur</t>
        </is>
      </c>
      <c r="B320" t="inlineStr">
        <is>
          <t>Jatamansi</t>
        </is>
      </c>
      <c r="C320" t="n">
        <v>50</v>
      </c>
      <c r="E320" t="inlineStr">
        <is>
          <t>unclassified</t>
        </is>
      </c>
      <c r="G320" t="inlineStr">
        <is>
          <t>General</t>
        </is>
      </c>
      <c r="H320" t="inlineStr">
        <is>
          <t>General</t>
        </is>
      </c>
      <c r="I320" t="inlineStr">
        <is>
          <t>Generalist</t>
        </is>
      </c>
      <c r="J320" t="inlineStr">
        <is>
          <t>Generalist</t>
        </is>
      </c>
    </row>
    <row r="321">
      <c r="A321" t="inlineStr">
        <is>
          <t>Butterbur</t>
        </is>
      </c>
      <c r="B321" t="inlineStr">
        <is>
          <t>Lemon Verbena</t>
        </is>
      </c>
      <c r="C321" t="n">
        <v>50</v>
      </c>
      <c r="E321" t="inlineStr">
        <is>
          <t>unclassified</t>
        </is>
      </c>
      <c r="G321" t="inlineStr">
        <is>
          <t>General</t>
        </is>
      </c>
      <c r="H321" t="inlineStr">
        <is>
          <t>General</t>
        </is>
      </c>
      <c r="I321" t="inlineStr">
        <is>
          <t>Generalist</t>
        </is>
      </c>
      <c r="J321" t="inlineStr">
        <is>
          <t>Generalist</t>
        </is>
      </c>
    </row>
    <row r="322">
      <c r="A322" t="inlineStr">
        <is>
          <t>Butterbur</t>
        </is>
      </c>
      <c r="B322" t="inlineStr">
        <is>
          <t>Lemongrass</t>
        </is>
      </c>
      <c r="C322" t="n">
        <v>50</v>
      </c>
      <c r="E322" t="inlineStr">
        <is>
          <t>unclassified</t>
        </is>
      </c>
      <c r="G322" t="inlineStr">
        <is>
          <t>General</t>
        </is>
      </c>
      <c r="H322" t="inlineStr">
        <is>
          <t>General</t>
        </is>
      </c>
      <c r="I322" t="inlineStr">
        <is>
          <t>Generalist</t>
        </is>
      </c>
      <c r="J322" t="inlineStr">
        <is>
          <t>Generalist</t>
        </is>
      </c>
    </row>
    <row r="323">
      <c r="A323" t="inlineStr">
        <is>
          <t>Butterbur</t>
        </is>
      </c>
      <c r="B323" t="inlineStr">
        <is>
          <t>Longan</t>
        </is>
      </c>
      <c r="C323" t="n">
        <v>50</v>
      </c>
      <c r="E323" t="inlineStr">
        <is>
          <t>unclassified</t>
        </is>
      </c>
      <c r="G323" t="inlineStr">
        <is>
          <t>General</t>
        </is>
      </c>
      <c r="H323" t="inlineStr">
        <is>
          <t>General</t>
        </is>
      </c>
      <c r="I323" t="inlineStr">
        <is>
          <t>Generalist</t>
        </is>
      </c>
      <c r="J323" t="inlineStr">
        <is>
          <t>Generalist</t>
        </is>
      </c>
    </row>
    <row r="324">
      <c r="A324" t="inlineStr">
        <is>
          <t>Butterbur</t>
        </is>
      </c>
      <c r="B324" t="inlineStr">
        <is>
          <t>Maitake D-Fraction</t>
        </is>
      </c>
      <c r="C324" t="n">
        <v>50</v>
      </c>
      <c r="E324" t="inlineStr">
        <is>
          <t>unclassified</t>
        </is>
      </c>
      <c r="G324" t="inlineStr">
        <is>
          <t>General</t>
        </is>
      </c>
      <c r="H324" t="inlineStr">
        <is>
          <t>General</t>
        </is>
      </c>
      <c r="I324" t="inlineStr">
        <is>
          <t>Generalist</t>
        </is>
      </c>
      <c r="J324" t="inlineStr">
        <is>
          <t>Generalist</t>
        </is>
      </c>
    </row>
    <row r="325">
      <c r="A325" t="inlineStr">
        <is>
          <t>Butterbur</t>
        </is>
      </c>
      <c r="B325" t="inlineStr">
        <is>
          <t>Milk Oats</t>
        </is>
      </c>
      <c r="C325" t="n">
        <v>50</v>
      </c>
      <c r="E325" t="inlineStr">
        <is>
          <t>unclassified</t>
        </is>
      </c>
      <c r="G325" t="inlineStr">
        <is>
          <t>General</t>
        </is>
      </c>
      <c r="H325" t="inlineStr">
        <is>
          <t>General</t>
        </is>
      </c>
      <c r="I325" t="inlineStr">
        <is>
          <t>Generalist</t>
        </is>
      </c>
      <c r="J325" t="inlineStr">
        <is>
          <t>Generalist</t>
        </is>
      </c>
    </row>
    <row r="326">
      <c r="A326" t="inlineStr">
        <is>
          <t>Butterbur</t>
        </is>
      </c>
      <c r="B326" t="inlineStr">
        <is>
          <t>Mugwort</t>
        </is>
      </c>
      <c r="C326" t="n">
        <v>50</v>
      </c>
      <c r="E326" t="inlineStr">
        <is>
          <t>unclassified</t>
        </is>
      </c>
      <c r="G326" t="inlineStr">
        <is>
          <t>General</t>
        </is>
      </c>
      <c r="H326" t="inlineStr">
        <is>
          <t>General</t>
        </is>
      </c>
      <c r="I326" t="inlineStr">
        <is>
          <t>Generalist</t>
        </is>
      </c>
      <c r="J326" t="inlineStr">
        <is>
          <t>Generalist</t>
        </is>
      </c>
    </row>
    <row r="327">
      <c r="A327" t="inlineStr">
        <is>
          <t>Butterbur</t>
        </is>
      </c>
      <c r="B327" t="inlineStr">
        <is>
          <t>Muira Puama</t>
        </is>
      </c>
      <c r="C327" t="n">
        <v>50</v>
      </c>
      <c r="E327" t="inlineStr">
        <is>
          <t>unclassified</t>
        </is>
      </c>
      <c r="G327" t="inlineStr">
        <is>
          <t>General</t>
        </is>
      </c>
      <c r="H327" t="inlineStr">
        <is>
          <t>General</t>
        </is>
      </c>
      <c r="I327" t="inlineStr">
        <is>
          <t>Generalist</t>
        </is>
      </c>
      <c r="J327" t="inlineStr">
        <is>
          <t>Generalist</t>
        </is>
      </c>
    </row>
    <row r="328">
      <c r="A328" t="inlineStr">
        <is>
          <t>Butterbur</t>
        </is>
      </c>
      <c r="B328" t="inlineStr">
        <is>
          <t>Mulberry Leaf</t>
        </is>
      </c>
      <c r="C328" t="n">
        <v>50</v>
      </c>
      <c r="E328" t="inlineStr">
        <is>
          <t>unclassified</t>
        </is>
      </c>
      <c r="G328" t="inlineStr">
        <is>
          <t>General</t>
        </is>
      </c>
      <c r="H328" t="inlineStr">
        <is>
          <t>General</t>
        </is>
      </c>
      <c r="I328" t="inlineStr">
        <is>
          <t>Generalist</t>
        </is>
      </c>
      <c r="J328" t="inlineStr">
        <is>
          <t>Generalist</t>
        </is>
      </c>
    </row>
    <row r="329">
      <c r="A329" t="inlineStr">
        <is>
          <t>Butterbur</t>
        </is>
      </c>
      <c r="B329" t="inlineStr">
        <is>
          <t>Myrtle</t>
        </is>
      </c>
      <c r="C329" t="n">
        <v>50</v>
      </c>
      <c r="E329" t="inlineStr">
        <is>
          <t>unclassified</t>
        </is>
      </c>
      <c r="G329" t="inlineStr">
        <is>
          <t>General</t>
        </is>
      </c>
      <c r="H329" t="inlineStr">
        <is>
          <t>General</t>
        </is>
      </c>
      <c r="I329" t="inlineStr">
        <is>
          <t>Generalist</t>
        </is>
      </c>
      <c r="J329" t="inlineStr">
        <is>
          <t>Generalist</t>
        </is>
      </c>
    </row>
    <row r="330">
      <c r="A330" t="inlineStr">
        <is>
          <t>Butterbur</t>
        </is>
      </c>
      <c r="B330" t="inlineStr">
        <is>
          <t>Neem</t>
        </is>
      </c>
      <c r="C330" t="n">
        <v>50</v>
      </c>
      <c r="E330" t="inlineStr">
        <is>
          <t>unclassified</t>
        </is>
      </c>
      <c r="G330" t="inlineStr">
        <is>
          <t>General</t>
        </is>
      </c>
      <c r="H330" t="inlineStr">
        <is>
          <t>General</t>
        </is>
      </c>
      <c r="I330" t="inlineStr">
        <is>
          <t>Generalist</t>
        </is>
      </c>
      <c r="J330" t="inlineStr">
        <is>
          <t>Generalist</t>
        </is>
      </c>
    </row>
    <row r="331">
      <c r="A331" t="inlineStr">
        <is>
          <t>Butterbur</t>
        </is>
      </c>
      <c r="B331" t="inlineStr">
        <is>
          <t>Nettle Root</t>
        </is>
      </c>
      <c r="C331" t="n">
        <v>50</v>
      </c>
      <c r="E331" t="inlineStr">
        <is>
          <t>unclassified</t>
        </is>
      </c>
      <c r="G331" t="inlineStr">
        <is>
          <t>General</t>
        </is>
      </c>
      <c r="H331" t="inlineStr">
        <is>
          <t>General</t>
        </is>
      </c>
      <c r="I331" t="inlineStr">
        <is>
          <t>Generalist</t>
        </is>
      </c>
      <c r="J331" t="inlineStr">
        <is>
          <t>Generalist</t>
        </is>
      </c>
    </row>
    <row r="332">
      <c r="A332" t="inlineStr">
        <is>
          <t>Butterbur</t>
        </is>
      </c>
      <c r="B332" t="inlineStr">
        <is>
          <t>Noni</t>
        </is>
      </c>
      <c r="C332" t="n">
        <v>50</v>
      </c>
      <c r="E332" t="inlineStr">
        <is>
          <t>unclassified</t>
        </is>
      </c>
      <c r="G332" t="inlineStr">
        <is>
          <t>General</t>
        </is>
      </c>
      <c r="H332" t="inlineStr">
        <is>
          <t>General</t>
        </is>
      </c>
      <c r="I332" t="inlineStr">
        <is>
          <t>Generalist</t>
        </is>
      </c>
      <c r="J332" t="inlineStr">
        <is>
          <t>Generalist</t>
        </is>
      </c>
    </row>
    <row r="333">
      <c r="A333" t="inlineStr">
        <is>
          <t>Butterbur</t>
        </is>
      </c>
      <c r="B333" t="inlineStr">
        <is>
          <t>Oatstraw</t>
        </is>
      </c>
      <c r="C333" t="n">
        <v>50</v>
      </c>
      <c r="E333" t="inlineStr">
        <is>
          <t>unclassified</t>
        </is>
      </c>
      <c r="G333" t="inlineStr">
        <is>
          <t>General</t>
        </is>
      </c>
      <c r="H333" t="inlineStr">
        <is>
          <t>General</t>
        </is>
      </c>
      <c r="I333" t="inlineStr">
        <is>
          <t>Generalist</t>
        </is>
      </c>
      <c r="J333" t="inlineStr">
        <is>
          <t>Generalist</t>
        </is>
      </c>
    </row>
    <row r="334">
      <c r="A334" t="inlineStr">
        <is>
          <t>Butterbur</t>
        </is>
      </c>
      <c r="B334" t="inlineStr">
        <is>
          <t>Passionflower</t>
        </is>
      </c>
      <c r="C334" t="n">
        <v>50</v>
      </c>
      <c r="E334" t="inlineStr">
        <is>
          <t>unclassified</t>
        </is>
      </c>
      <c r="G334" t="inlineStr">
        <is>
          <t>General</t>
        </is>
      </c>
      <c r="H334" t="inlineStr">
        <is>
          <t>General</t>
        </is>
      </c>
      <c r="I334" t="inlineStr">
        <is>
          <t>Generalist</t>
        </is>
      </c>
      <c r="J334" t="inlineStr">
        <is>
          <t>Generalist</t>
        </is>
      </c>
    </row>
    <row r="335">
      <c r="A335" t="inlineStr">
        <is>
          <t>Butterbur</t>
        </is>
      </c>
      <c r="B335" t="inlineStr">
        <is>
          <t>Pau d'Arco</t>
        </is>
      </c>
      <c r="C335" t="n">
        <v>50</v>
      </c>
      <c r="E335" t="inlineStr">
        <is>
          <t>unclassified</t>
        </is>
      </c>
      <c r="G335" t="inlineStr">
        <is>
          <t>General</t>
        </is>
      </c>
      <c r="H335" t="inlineStr">
        <is>
          <t>General</t>
        </is>
      </c>
      <c r="I335" t="inlineStr">
        <is>
          <t>Generalist</t>
        </is>
      </c>
      <c r="J335" t="inlineStr">
        <is>
          <t>Generalist</t>
        </is>
      </c>
    </row>
    <row r="336">
      <c r="A336" t="inlineStr">
        <is>
          <t>Butterbur</t>
        </is>
      </c>
      <c r="B336" t="inlineStr">
        <is>
          <t>Perilla</t>
        </is>
      </c>
      <c r="C336" t="n">
        <v>50</v>
      </c>
      <c r="E336" t="inlineStr">
        <is>
          <t>unclassified</t>
        </is>
      </c>
      <c r="G336" t="inlineStr">
        <is>
          <t>General</t>
        </is>
      </c>
      <c r="H336" t="inlineStr">
        <is>
          <t>General</t>
        </is>
      </c>
      <c r="I336" t="inlineStr">
        <is>
          <t>Generalist</t>
        </is>
      </c>
      <c r="J336" t="inlineStr">
        <is>
          <t>Generalist</t>
        </is>
      </c>
    </row>
    <row r="337">
      <c r="A337" t="inlineStr">
        <is>
          <t>Butterbur</t>
        </is>
      </c>
      <c r="B337" t="inlineStr">
        <is>
          <t>Pomegranate</t>
        </is>
      </c>
      <c r="C337" t="n">
        <v>50</v>
      </c>
      <c r="E337" t="inlineStr">
        <is>
          <t>unclassified</t>
        </is>
      </c>
      <c r="G337" t="inlineStr">
        <is>
          <t>General</t>
        </is>
      </c>
      <c r="H337" t="inlineStr">
        <is>
          <t>General</t>
        </is>
      </c>
      <c r="I337" t="inlineStr">
        <is>
          <t>Generalist</t>
        </is>
      </c>
      <c r="J337" t="inlineStr">
        <is>
          <t>Generalist</t>
        </is>
      </c>
    </row>
    <row r="338">
      <c r="A338" t="inlineStr">
        <is>
          <t>Butterbur</t>
        </is>
      </c>
      <c r="B338" t="inlineStr">
        <is>
          <t>Poria</t>
        </is>
      </c>
      <c r="C338" t="n">
        <v>50</v>
      </c>
      <c r="E338" t="inlineStr">
        <is>
          <t>unclassified</t>
        </is>
      </c>
      <c r="G338" t="inlineStr">
        <is>
          <t>General</t>
        </is>
      </c>
      <c r="H338" t="inlineStr">
        <is>
          <t>General</t>
        </is>
      </c>
      <c r="I338" t="inlineStr">
        <is>
          <t>Generalist</t>
        </is>
      </c>
      <c r="J338" t="inlineStr">
        <is>
          <t>Generalist</t>
        </is>
      </c>
    </row>
    <row r="339">
      <c r="A339" t="inlineStr">
        <is>
          <t>Butterbur</t>
        </is>
      </c>
      <c r="B339" t="inlineStr">
        <is>
          <t>Punarnava</t>
        </is>
      </c>
      <c r="C339" t="n">
        <v>50</v>
      </c>
      <c r="E339" t="inlineStr">
        <is>
          <t>unclassified</t>
        </is>
      </c>
      <c r="G339" t="inlineStr">
        <is>
          <t>General</t>
        </is>
      </c>
      <c r="H339" t="inlineStr">
        <is>
          <t>General</t>
        </is>
      </c>
      <c r="I339" t="inlineStr">
        <is>
          <t>Generalist</t>
        </is>
      </c>
      <c r="J339" t="inlineStr">
        <is>
          <t>Generalist</t>
        </is>
      </c>
    </row>
    <row r="340">
      <c r="A340" t="inlineStr">
        <is>
          <t>Butterbur</t>
        </is>
      </c>
      <c r="B340" t="inlineStr">
        <is>
          <t>Red Clover</t>
        </is>
      </c>
      <c r="C340" t="n">
        <v>50</v>
      </c>
      <c r="E340" t="inlineStr">
        <is>
          <t>unclassified</t>
        </is>
      </c>
      <c r="G340" t="inlineStr">
        <is>
          <t>General</t>
        </is>
      </c>
      <c r="H340" t="inlineStr">
        <is>
          <t>General</t>
        </is>
      </c>
      <c r="I340" t="inlineStr">
        <is>
          <t>Generalist</t>
        </is>
      </c>
      <c r="J340" t="inlineStr">
        <is>
          <t>Generalist</t>
        </is>
      </c>
    </row>
    <row r="341">
      <c r="A341" t="inlineStr">
        <is>
          <t>Butterbur</t>
        </is>
      </c>
      <c r="B341" t="inlineStr">
        <is>
          <t>Rehmannia Prepared</t>
        </is>
      </c>
      <c r="C341" t="n">
        <v>50</v>
      </c>
      <c r="E341" t="inlineStr">
        <is>
          <t>unclassified</t>
        </is>
      </c>
      <c r="G341" t="inlineStr">
        <is>
          <t>General</t>
        </is>
      </c>
      <c r="H341" t="inlineStr">
        <is>
          <t>General</t>
        </is>
      </c>
      <c r="I341" t="inlineStr">
        <is>
          <t>Generalist</t>
        </is>
      </c>
      <c r="J341" t="inlineStr">
        <is>
          <t>Generalist</t>
        </is>
      </c>
    </row>
    <row r="342">
      <c r="A342" t="inlineStr">
        <is>
          <t>Butterbur</t>
        </is>
      </c>
      <c r="B342" t="inlineStr">
        <is>
          <t>Reishi</t>
        </is>
      </c>
      <c r="C342" t="n">
        <v>50</v>
      </c>
      <c r="E342" t="inlineStr">
        <is>
          <t>unclassified</t>
        </is>
      </c>
      <c r="G342" t="inlineStr">
        <is>
          <t>General</t>
        </is>
      </c>
      <c r="H342" t="inlineStr">
        <is>
          <t>General</t>
        </is>
      </c>
      <c r="I342" t="inlineStr">
        <is>
          <t>Generalist</t>
        </is>
      </c>
      <c r="J342" t="inlineStr">
        <is>
          <t>Generalist</t>
        </is>
      </c>
    </row>
    <row r="343">
      <c r="A343" t="inlineStr">
        <is>
          <t>Butterbur</t>
        </is>
      </c>
      <c r="B343" t="inlineStr">
        <is>
          <t>Rose Hips</t>
        </is>
      </c>
      <c r="C343" t="n">
        <v>50</v>
      </c>
      <c r="E343" t="inlineStr">
        <is>
          <t>unclassified</t>
        </is>
      </c>
      <c r="G343" t="inlineStr">
        <is>
          <t>General</t>
        </is>
      </c>
      <c r="H343" t="inlineStr">
        <is>
          <t>General</t>
        </is>
      </c>
      <c r="I343" t="inlineStr">
        <is>
          <t>Generalist</t>
        </is>
      </c>
      <c r="J343" t="inlineStr">
        <is>
          <t>Generalist</t>
        </is>
      </c>
    </row>
    <row r="344">
      <c r="A344" t="inlineStr">
        <is>
          <t>Butterbur</t>
        </is>
      </c>
      <c r="B344" t="inlineStr">
        <is>
          <t>Rosemary</t>
        </is>
      </c>
      <c r="C344" t="n">
        <v>50</v>
      </c>
      <c r="E344" t="inlineStr">
        <is>
          <t>unclassified</t>
        </is>
      </c>
      <c r="G344" t="inlineStr">
        <is>
          <t>General</t>
        </is>
      </c>
      <c r="H344" t="inlineStr">
        <is>
          <t>General</t>
        </is>
      </c>
      <c r="I344" t="inlineStr">
        <is>
          <t>Generalist</t>
        </is>
      </c>
      <c r="J344" t="inlineStr">
        <is>
          <t>Generalist</t>
        </is>
      </c>
    </row>
    <row r="345">
      <c r="A345" t="inlineStr">
        <is>
          <t>Butterbur</t>
        </is>
      </c>
      <c r="B345" t="inlineStr">
        <is>
          <t>Sage</t>
        </is>
      </c>
      <c r="C345" t="n">
        <v>50</v>
      </c>
      <c r="E345" t="inlineStr">
        <is>
          <t>unclassified</t>
        </is>
      </c>
      <c r="G345" t="inlineStr">
        <is>
          <t>General</t>
        </is>
      </c>
      <c r="H345" t="inlineStr">
        <is>
          <t>General</t>
        </is>
      </c>
      <c r="I345" t="inlineStr">
        <is>
          <t>Generalist</t>
        </is>
      </c>
      <c r="J345" t="inlineStr">
        <is>
          <t>Generalist</t>
        </is>
      </c>
    </row>
    <row r="346">
      <c r="A346" t="inlineStr">
        <is>
          <t>Butterbur</t>
        </is>
      </c>
      <c r="B346" t="inlineStr">
        <is>
          <t>Sophora Flavescens</t>
        </is>
      </c>
      <c r="C346" t="n">
        <v>50</v>
      </c>
      <c r="E346" t="inlineStr">
        <is>
          <t>unclassified</t>
        </is>
      </c>
      <c r="G346" t="inlineStr">
        <is>
          <t>General</t>
        </is>
      </c>
      <c r="H346" t="inlineStr">
        <is>
          <t>General</t>
        </is>
      </c>
      <c r="I346" t="inlineStr">
        <is>
          <t>Generalist</t>
        </is>
      </c>
      <c r="J346" t="inlineStr">
        <is>
          <t>Generalist</t>
        </is>
      </c>
    </row>
    <row r="347">
      <c r="A347" t="inlineStr">
        <is>
          <t>Butterbur</t>
        </is>
      </c>
      <c r="B347" t="inlineStr">
        <is>
          <t>Soursop</t>
        </is>
      </c>
      <c r="C347" t="n">
        <v>50</v>
      </c>
      <c r="E347" t="inlineStr">
        <is>
          <t>unclassified</t>
        </is>
      </c>
      <c r="G347" t="inlineStr">
        <is>
          <t>General</t>
        </is>
      </c>
      <c r="H347" t="inlineStr">
        <is>
          <t>General</t>
        </is>
      </c>
      <c r="I347" t="inlineStr">
        <is>
          <t>Generalist</t>
        </is>
      </c>
      <c r="J347" t="inlineStr">
        <is>
          <t>Generalist</t>
        </is>
      </c>
    </row>
    <row r="348">
      <c r="A348" t="inlineStr">
        <is>
          <t>Butterbur</t>
        </is>
      </c>
      <c r="B348" t="inlineStr">
        <is>
          <t>Tamarind</t>
        </is>
      </c>
      <c r="C348" t="n">
        <v>50</v>
      </c>
      <c r="E348" t="inlineStr">
        <is>
          <t>unclassified</t>
        </is>
      </c>
      <c r="G348" t="inlineStr">
        <is>
          <t>General</t>
        </is>
      </c>
      <c r="H348" t="inlineStr">
        <is>
          <t>General</t>
        </is>
      </c>
      <c r="I348" t="inlineStr">
        <is>
          <t>Generalist</t>
        </is>
      </c>
      <c r="J348" t="inlineStr">
        <is>
          <t>Generalist</t>
        </is>
      </c>
    </row>
    <row r="349">
      <c r="A349" t="inlineStr">
        <is>
          <t>Butterbur</t>
        </is>
      </c>
      <c r="B349" t="inlineStr">
        <is>
          <t>Thyme</t>
        </is>
      </c>
      <c r="C349" t="n">
        <v>50</v>
      </c>
      <c r="E349" t="inlineStr">
        <is>
          <t>unclassified</t>
        </is>
      </c>
      <c r="G349" t="inlineStr">
        <is>
          <t>General</t>
        </is>
      </c>
      <c r="H349" t="inlineStr">
        <is>
          <t>General</t>
        </is>
      </c>
      <c r="I349" t="inlineStr">
        <is>
          <t>Generalist</t>
        </is>
      </c>
      <c r="J349" t="inlineStr">
        <is>
          <t>Generalist</t>
        </is>
      </c>
    </row>
    <row r="350">
      <c r="A350" t="inlineStr">
        <is>
          <t>Butterbur</t>
        </is>
      </c>
      <c r="B350" t="inlineStr">
        <is>
          <t>White Peony</t>
        </is>
      </c>
      <c r="C350" t="n">
        <v>50</v>
      </c>
      <c r="E350" t="inlineStr">
        <is>
          <t>unclassified</t>
        </is>
      </c>
      <c r="G350" t="inlineStr">
        <is>
          <t>General</t>
        </is>
      </c>
      <c r="H350" t="inlineStr">
        <is>
          <t>General</t>
        </is>
      </c>
      <c r="I350" t="inlineStr">
        <is>
          <t>Generalist</t>
        </is>
      </c>
      <c r="J350" t="inlineStr">
        <is>
          <t>Generalist</t>
        </is>
      </c>
    </row>
    <row r="351">
      <c r="A351" t="inlineStr">
        <is>
          <t>Butterbur</t>
        </is>
      </c>
      <c r="B351" t="inlineStr">
        <is>
          <t>Yohimbe</t>
        </is>
      </c>
      <c r="C351" t="n">
        <v>50</v>
      </c>
      <c r="E351" t="inlineStr">
        <is>
          <t>unclassified</t>
        </is>
      </c>
      <c r="G351" t="inlineStr">
        <is>
          <t>General</t>
        </is>
      </c>
      <c r="H351" t="inlineStr">
        <is>
          <t>General</t>
        </is>
      </c>
      <c r="I351" t="inlineStr">
        <is>
          <t>Generalist</t>
        </is>
      </c>
      <c r="J351" t="inlineStr">
        <is>
          <t>Generalist</t>
        </is>
      </c>
    </row>
    <row r="352">
      <c r="A352" t="inlineStr">
        <is>
          <t>Calendula</t>
        </is>
      </c>
      <c r="B352" t="inlineStr">
        <is>
          <t>Agarikon</t>
        </is>
      </c>
      <c r="C352" t="n">
        <v>50</v>
      </c>
      <c r="E352" t="inlineStr">
        <is>
          <t>unclassified</t>
        </is>
      </c>
      <c r="G352" t="inlineStr">
        <is>
          <t>General</t>
        </is>
      </c>
      <c r="H352" t="inlineStr">
        <is>
          <t>General</t>
        </is>
      </c>
      <c r="I352" t="inlineStr">
        <is>
          <t>Generalist</t>
        </is>
      </c>
      <c r="J352" t="inlineStr">
        <is>
          <t>Generalist</t>
        </is>
      </c>
    </row>
    <row r="353">
      <c r="A353" t="inlineStr">
        <is>
          <t>Calendula</t>
        </is>
      </c>
      <c r="B353" t="inlineStr">
        <is>
          <t>Ajwain</t>
        </is>
      </c>
      <c r="C353" t="n">
        <v>50</v>
      </c>
      <c r="E353" t="inlineStr">
        <is>
          <t>unclassified</t>
        </is>
      </c>
      <c r="G353" t="inlineStr">
        <is>
          <t>General</t>
        </is>
      </c>
      <c r="H353" t="inlineStr">
        <is>
          <t>General</t>
        </is>
      </c>
      <c r="I353" t="inlineStr">
        <is>
          <t>Generalist</t>
        </is>
      </c>
      <c r="J353" t="inlineStr">
        <is>
          <t>Generalist</t>
        </is>
      </c>
    </row>
    <row r="354">
      <c r="A354" t="inlineStr">
        <is>
          <t>Calendula</t>
        </is>
      </c>
      <c r="B354" t="inlineStr">
        <is>
          <t>Angelica Root</t>
        </is>
      </c>
      <c r="C354" t="n">
        <v>50</v>
      </c>
      <c r="E354" t="inlineStr">
        <is>
          <t>unclassified</t>
        </is>
      </c>
      <c r="G354" t="inlineStr">
        <is>
          <t>General</t>
        </is>
      </c>
      <c r="H354" t="inlineStr">
        <is>
          <t>General</t>
        </is>
      </c>
      <c r="I354" t="inlineStr">
        <is>
          <t>Generalist</t>
        </is>
      </c>
      <c r="J354" t="inlineStr">
        <is>
          <t>Generalist</t>
        </is>
      </c>
    </row>
    <row r="355">
      <c r="A355" t="inlineStr">
        <is>
          <t>Calendula</t>
        </is>
      </c>
      <c r="B355" t="inlineStr">
        <is>
          <t>Ashoka</t>
        </is>
      </c>
      <c r="C355" t="n">
        <v>50</v>
      </c>
      <c r="E355" t="inlineStr">
        <is>
          <t>unclassified</t>
        </is>
      </c>
      <c r="G355" t="inlineStr">
        <is>
          <t>General</t>
        </is>
      </c>
      <c r="H355" t="inlineStr">
        <is>
          <t>General</t>
        </is>
      </c>
      <c r="I355" t="inlineStr">
        <is>
          <t>Generalist</t>
        </is>
      </c>
      <c r="J355" t="inlineStr">
        <is>
          <t>Generalist</t>
        </is>
      </c>
    </row>
    <row r="356">
      <c r="A356" t="inlineStr">
        <is>
          <t>Calendula</t>
        </is>
      </c>
      <c r="B356" t="inlineStr">
        <is>
          <t>Boldo</t>
        </is>
      </c>
      <c r="C356" t="n">
        <v>50</v>
      </c>
      <c r="E356" t="inlineStr">
        <is>
          <t>unclassified</t>
        </is>
      </c>
      <c r="G356" t="inlineStr">
        <is>
          <t>General</t>
        </is>
      </c>
      <c r="H356" t="inlineStr">
        <is>
          <t>General</t>
        </is>
      </c>
      <c r="I356" t="inlineStr">
        <is>
          <t>Generalist</t>
        </is>
      </c>
      <c r="J356" t="inlineStr">
        <is>
          <t>Generalist</t>
        </is>
      </c>
    </row>
    <row r="357">
      <c r="A357" t="inlineStr">
        <is>
          <t>Calendula</t>
        </is>
      </c>
      <c r="B357" t="inlineStr">
        <is>
          <t>Caraway</t>
        </is>
      </c>
      <c r="C357" t="n">
        <v>50</v>
      </c>
      <c r="E357" t="inlineStr">
        <is>
          <t>unclassified</t>
        </is>
      </c>
      <c r="G357" t="inlineStr">
        <is>
          <t>General</t>
        </is>
      </c>
      <c r="H357" t="inlineStr">
        <is>
          <t>General</t>
        </is>
      </c>
      <c r="I357" t="inlineStr">
        <is>
          <t>Generalist</t>
        </is>
      </c>
      <c r="J357" t="inlineStr">
        <is>
          <t>Generalist</t>
        </is>
      </c>
    </row>
    <row r="358">
      <c r="A358" t="inlineStr">
        <is>
          <t>Calendula</t>
        </is>
      </c>
      <c r="B358" t="inlineStr">
        <is>
          <t>Cardamom</t>
        </is>
      </c>
      <c r="C358" t="n">
        <v>50</v>
      </c>
      <c r="E358" t="inlineStr">
        <is>
          <t>unclassified</t>
        </is>
      </c>
      <c r="G358" t="inlineStr">
        <is>
          <t>General</t>
        </is>
      </c>
      <c r="H358" t="inlineStr">
        <is>
          <t>General</t>
        </is>
      </c>
      <c r="I358" t="inlineStr">
        <is>
          <t>Generalist</t>
        </is>
      </c>
      <c r="J358" t="inlineStr">
        <is>
          <t>Generalist</t>
        </is>
      </c>
    </row>
    <row r="359">
      <c r="A359" t="inlineStr">
        <is>
          <t>Calendula</t>
        </is>
      </c>
      <c r="B359" t="inlineStr">
        <is>
          <t>Celastrus Paniculatus</t>
        </is>
      </c>
      <c r="C359" t="n">
        <v>50</v>
      </c>
      <c r="E359" t="inlineStr">
        <is>
          <t>unclassified</t>
        </is>
      </c>
      <c r="G359" t="inlineStr">
        <is>
          <t>General</t>
        </is>
      </c>
      <c r="H359" t="inlineStr">
        <is>
          <t>General</t>
        </is>
      </c>
      <c r="I359" t="inlineStr">
        <is>
          <t>Generalist</t>
        </is>
      </c>
      <c r="J359" t="inlineStr">
        <is>
          <t>Generalist</t>
        </is>
      </c>
    </row>
    <row r="360">
      <c r="A360" t="inlineStr">
        <is>
          <t>Calendula</t>
        </is>
      </c>
      <c r="B360" t="inlineStr">
        <is>
          <t>Cistanche</t>
        </is>
      </c>
      <c r="C360" t="n">
        <v>50</v>
      </c>
      <c r="E360" t="inlineStr">
        <is>
          <t>unclassified</t>
        </is>
      </c>
      <c r="G360" t="inlineStr">
        <is>
          <t>General</t>
        </is>
      </c>
      <c r="H360" t="inlineStr">
        <is>
          <t>General</t>
        </is>
      </c>
      <c r="I360" t="inlineStr">
        <is>
          <t>Generalist</t>
        </is>
      </c>
      <c r="J360" t="inlineStr">
        <is>
          <t>Generalist</t>
        </is>
      </c>
    </row>
    <row r="361">
      <c r="A361" t="inlineStr">
        <is>
          <t>Calendula</t>
        </is>
      </c>
      <c r="B361" t="inlineStr">
        <is>
          <t>Cordyceps</t>
        </is>
      </c>
      <c r="C361" t="n">
        <v>50</v>
      </c>
      <c r="E361" t="inlineStr">
        <is>
          <t>unclassified</t>
        </is>
      </c>
      <c r="G361" t="inlineStr">
        <is>
          <t>General</t>
        </is>
      </c>
      <c r="H361" t="inlineStr">
        <is>
          <t>General</t>
        </is>
      </c>
      <c r="I361" t="inlineStr">
        <is>
          <t>Generalist</t>
        </is>
      </c>
      <c r="J361" t="inlineStr">
        <is>
          <t>Generalist</t>
        </is>
      </c>
    </row>
    <row r="362">
      <c r="A362" t="inlineStr">
        <is>
          <t>Calendula</t>
        </is>
      </c>
      <c r="B362" t="inlineStr">
        <is>
          <t>Dendrobium</t>
        </is>
      </c>
      <c r="C362" t="n">
        <v>50</v>
      </c>
      <c r="E362" t="inlineStr">
        <is>
          <t>unclassified</t>
        </is>
      </c>
      <c r="G362" t="inlineStr">
        <is>
          <t>General</t>
        </is>
      </c>
      <c r="H362" t="inlineStr">
        <is>
          <t>General</t>
        </is>
      </c>
      <c r="I362" t="inlineStr">
        <is>
          <t>Generalist</t>
        </is>
      </c>
      <c r="J362" t="inlineStr">
        <is>
          <t>Generalist</t>
        </is>
      </c>
    </row>
    <row r="363">
      <c r="A363" t="inlineStr">
        <is>
          <t>Calendula</t>
        </is>
      </c>
      <c r="B363" t="inlineStr">
        <is>
          <t>Elecampane</t>
        </is>
      </c>
      <c r="C363" t="n">
        <v>50</v>
      </c>
      <c r="E363" t="inlineStr">
        <is>
          <t>unclassified</t>
        </is>
      </c>
      <c r="G363" t="inlineStr">
        <is>
          <t>General</t>
        </is>
      </c>
      <c r="H363" t="inlineStr">
        <is>
          <t>General</t>
        </is>
      </c>
      <c r="I363" t="inlineStr">
        <is>
          <t>Generalist</t>
        </is>
      </c>
      <c r="J363" t="inlineStr">
        <is>
          <t>Generalist</t>
        </is>
      </c>
    </row>
    <row r="364">
      <c r="A364" t="inlineStr">
        <is>
          <t>Calendula</t>
        </is>
      </c>
      <c r="B364" t="inlineStr">
        <is>
          <t>Eleuthero</t>
        </is>
      </c>
      <c r="C364" t="n">
        <v>50</v>
      </c>
      <c r="E364" t="inlineStr">
        <is>
          <t>unclassified</t>
        </is>
      </c>
      <c r="G364" t="inlineStr">
        <is>
          <t>General</t>
        </is>
      </c>
      <c r="H364" t="inlineStr">
        <is>
          <t>General</t>
        </is>
      </c>
      <c r="I364" t="inlineStr">
        <is>
          <t>Generalist</t>
        </is>
      </c>
      <c r="J364" t="inlineStr">
        <is>
          <t>Generalist</t>
        </is>
      </c>
    </row>
    <row r="365">
      <c r="A365" t="inlineStr">
        <is>
          <t>Calendula</t>
        </is>
      </c>
      <c r="B365" t="inlineStr">
        <is>
          <t>Galangal</t>
        </is>
      </c>
      <c r="C365" t="n">
        <v>50</v>
      </c>
      <c r="E365" t="inlineStr">
        <is>
          <t>unclassified</t>
        </is>
      </c>
      <c r="G365" t="inlineStr">
        <is>
          <t>General</t>
        </is>
      </c>
      <c r="H365" t="inlineStr">
        <is>
          <t>General</t>
        </is>
      </c>
      <c r="I365" t="inlineStr">
        <is>
          <t>Generalist</t>
        </is>
      </c>
      <c r="J365" t="inlineStr">
        <is>
          <t>Generalist</t>
        </is>
      </c>
    </row>
    <row r="366">
      <c r="A366" t="inlineStr">
        <is>
          <t>Calendula</t>
        </is>
      </c>
      <c r="B366" t="inlineStr">
        <is>
          <t>Gastrodia</t>
        </is>
      </c>
      <c r="C366" t="n">
        <v>50</v>
      </c>
      <c r="E366" t="inlineStr">
        <is>
          <t>unclassified</t>
        </is>
      </c>
      <c r="G366" t="inlineStr">
        <is>
          <t>General</t>
        </is>
      </c>
      <c r="H366" t="inlineStr">
        <is>
          <t>General</t>
        </is>
      </c>
      <c r="I366" t="inlineStr">
        <is>
          <t>Generalist</t>
        </is>
      </c>
      <c r="J366" t="inlineStr">
        <is>
          <t>Generalist</t>
        </is>
      </c>
    </row>
    <row r="367">
      <c r="A367" t="inlineStr">
        <is>
          <t>Calendula</t>
        </is>
      </c>
      <c r="B367" t="inlineStr">
        <is>
          <t>Gudmar</t>
        </is>
      </c>
      <c r="C367" t="n">
        <v>50</v>
      </c>
      <c r="E367" t="inlineStr">
        <is>
          <t>unclassified</t>
        </is>
      </c>
      <c r="G367" t="inlineStr">
        <is>
          <t>General</t>
        </is>
      </c>
      <c r="H367" t="inlineStr">
        <is>
          <t>General</t>
        </is>
      </c>
      <c r="I367" t="inlineStr">
        <is>
          <t>Generalist</t>
        </is>
      </c>
      <c r="J367" t="inlineStr">
        <is>
          <t>Generalist</t>
        </is>
      </c>
    </row>
    <row r="368">
      <c r="A368" t="inlineStr">
        <is>
          <t>Calendula</t>
        </is>
      </c>
      <c r="B368" t="inlineStr">
        <is>
          <t>Gymnema</t>
        </is>
      </c>
      <c r="C368" t="n">
        <v>50</v>
      </c>
      <c r="E368" t="inlineStr">
        <is>
          <t>unclassified</t>
        </is>
      </c>
      <c r="G368" t="inlineStr">
        <is>
          <t>General</t>
        </is>
      </c>
      <c r="H368" t="inlineStr">
        <is>
          <t>General</t>
        </is>
      </c>
      <c r="I368" t="inlineStr">
        <is>
          <t>Generalist</t>
        </is>
      </c>
      <c r="J368" t="inlineStr">
        <is>
          <t>Generalist</t>
        </is>
      </c>
    </row>
    <row r="369">
      <c r="A369" t="inlineStr">
        <is>
          <t>Calendula</t>
        </is>
      </c>
      <c r="B369" t="inlineStr">
        <is>
          <t>Hops</t>
        </is>
      </c>
      <c r="C369" t="n">
        <v>50</v>
      </c>
      <c r="E369" t="inlineStr">
        <is>
          <t>unclassified</t>
        </is>
      </c>
      <c r="G369" t="inlineStr">
        <is>
          <t>General</t>
        </is>
      </c>
      <c r="H369" t="inlineStr">
        <is>
          <t>General</t>
        </is>
      </c>
      <c r="I369" t="inlineStr">
        <is>
          <t>Generalist</t>
        </is>
      </c>
      <c r="J369" t="inlineStr">
        <is>
          <t>Generalist</t>
        </is>
      </c>
    </row>
    <row r="370">
      <c r="A370" t="inlineStr">
        <is>
          <t>Calendula</t>
        </is>
      </c>
      <c r="B370" t="inlineStr">
        <is>
          <t>Houttuynia</t>
        </is>
      </c>
      <c r="C370" t="n">
        <v>50</v>
      </c>
      <c r="E370" t="inlineStr">
        <is>
          <t>unclassified</t>
        </is>
      </c>
      <c r="G370" t="inlineStr">
        <is>
          <t>General</t>
        </is>
      </c>
      <c r="H370" t="inlineStr">
        <is>
          <t>General</t>
        </is>
      </c>
      <c r="I370" t="inlineStr">
        <is>
          <t>Generalist</t>
        </is>
      </c>
      <c r="J370" t="inlineStr">
        <is>
          <t>Generalist</t>
        </is>
      </c>
    </row>
    <row r="371">
      <c r="A371" t="inlineStr">
        <is>
          <t>Calendula</t>
        </is>
      </c>
      <c r="B371" t="inlineStr">
        <is>
          <t>Isatis</t>
        </is>
      </c>
      <c r="C371" t="n">
        <v>50</v>
      </c>
      <c r="E371" t="inlineStr">
        <is>
          <t>unclassified</t>
        </is>
      </c>
      <c r="G371" t="inlineStr">
        <is>
          <t>General</t>
        </is>
      </c>
      <c r="H371" t="inlineStr">
        <is>
          <t>General</t>
        </is>
      </c>
      <c r="I371" t="inlineStr">
        <is>
          <t>Generalist</t>
        </is>
      </c>
      <c r="J371" t="inlineStr">
        <is>
          <t>Generalist</t>
        </is>
      </c>
    </row>
    <row r="372">
      <c r="A372" t="inlineStr">
        <is>
          <t>Calendula</t>
        </is>
      </c>
      <c r="B372" t="inlineStr">
        <is>
          <t>Jatamansi</t>
        </is>
      </c>
      <c r="C372" t="n">
        <v>50</v>
      </c>
      <c r="E372" t="inlineStr">
        <is>
          <t>unclassified</t>
        </is>
      </c>
      <c r="G372" t="inlineStr">
        <is>
          <t>General</t>
        </is>
      </c>
      <c r="H372" t="inlineStr">
        <is>
          <t>General</t>
        </is>
      </c>
      <c r="I372" t="inlineStr">
        <is>
          <t>Generalist</t>
        </is>
      </c>
      <c r="J372" t="inlineStr">
        <is>
          <t>Generalist</t>
        </is>
      </c>
    </row>
    <row r="373">
      <c r="A373" t="inlineStr">
        <is>
          <t>Calendula</t>
        </is>
      </c>
      <c r="B373" t="inlineStr">
        <is>
          <t>Lemon Verbena</t>
        </is>
      </c>
      <c r="C373" t="n">
        <v>50</v>
      </c>
      <c r="E373" t="inlineStr">
        <is>
          <t>unclassified</t>
        </is>
      </c>
      <c r="G373" t="inlineStr">
        <is>
          <t>General</t>
        </is>
      </c>
      <c r="H373" t="inlineStr">
        <is>
          <t>General</t>
        </is>
      </c>
      <c r="I373" t="inlineStr">
        <is>
          <t>Generalist</t>
        </is>
      </c>
      <c r="J373" t="inlineStr">
        <is>
          <t>Generalist</t>
        </is>
      </c>
    </row>
    <row r="374">
      <c r="A374" t="inlineStr">
        <is>
          <t>Calendula</t>
        </is>
      </c>
      <c r="B374" t="inlineStr">
        <is>
          <t>Lemongrass</t>
        </is>
      </c>
      <c r="C374" t="n">
        <v>50</v>
      </c>
      <c r="E374" t="inlineStr">
        <is>
          <t>unclassified</t>
        </is>
      </c>
      <c r="G374" t="inlineStr">
        <is>
          <t>General</t>
        </is>
      </c>
      <c r="H374" t="inlineStr">
        <is>
          <t>General</t>
        </is>
      </c>
      <c r="I374" t="inlineStr">
        <is>
          <t>Generalist</t>
        </is>
      </c>
      <c r="J374" t="inlineStr">
        <is>
          <t>Generalist</t>
        </is>
      </c>
    </row>
    <row r="375">
      <c r="A375" t="inlineStr">
        <is>
          <t>Calendula</t>
        </is>
      </c>
      <c r="B375" t="inlineStr">
        <is>
          <t>Longan</t>
        </is>
      </c>
      <c r="C375" t="n">
        <v>50</v>
      </c>
      <c r="E375" t="inlineStr">
        <is>
          <t>unclassified</t>
        </is>
      </c>
      <c r="G375" t="inlineStr">
        <is>
          <t>General</t>
        </is>
      </c>
      <c r="H375" t="inlineStr">
        <is>
          <t>General</t>
        </is>
      </c>
      <c r="I375" t="inlineStr">
        <is>
          <t>Generalist</t>
        </is>
      </c>
      <c r="J375" t="inlineStr">
        <is>
          <t>Generalist</t>
        </is>
      </c>
    </row>
    <row r="376">
      <c r="A376" t="inlineStr">
        <is>
          <t>Calendula</t>
        </is>
      </c>
      <c r="B376" t="inlineStr">
        <is>
          <t>Maitake D-Fraction</t>
        </is>
      </c>
      <c r="C376" t="n">
        <v>50</v>
      </c>
      <c r="E376" t="inlineStr">
        <is>
          <t>unclassified</t>
        </is>
      </c>
      <c r="G376" t="inlineStr">
        <is>
          <t>General</t>
        </is>
      </c>
      <c r="H376" t="inlineStr">
        <is>
          <t>General</t>
        </is>
      </c>
      <c r="I376" t="inlineStr">
        <is>
          <t>Generalist</t>
        </is>
      </c>
      <c r="J376" t="inlineStr">
        <is>
          <t>Generalist</t>
        </is>
      </c>
    </row>
    <row r="377">
      <c r="A377" t="inlineStr">
        <is>
          <t>Calendula</t>
        </is>
      </c>
      <c r="B377" t="inlineStr">
        <is>
          <t>Milk Oats</t>
        </is>
      </c>
      <c r="C377" t="n">
        <v>50</v>
      </c>
      <c r="E377" t="inlineStr">
        <is>
          <t>unclassified</t>
        </is>
      </c>
      <c r="G377" t="inlineStr">
        <is>
          <t>General</t>
        </is>
      </c>
      <c r="H377" t="inlineStr">
        <is>
          <t>General</t>
        </is>
      </c>
      <c r="I377" t="inlineStr">
        <is>
          <t>Generalist</t>
        </is>
      </c>
      <c r="J377" t="inlineStr">
        <is>
          <t>Generalist</t>
        </is>
      </c>
    </row>
    <row r="378">
      <c r="A378" t="inlineStr">
        <is>
          <t>Calendula</t>
        </is>
      </c>
      <c r="B378" t="inlineStr">
        <is>
          <t>Mugwort</t>
        </is>
      </c>
      <c r="C378" t="n">
        <v>50</v>
      </c>
      <c r="E378" t="inlineStr">
        <is>
          <t>unclassified</t>
        </is>
      </c>
      <c r="G378" t="inlineStr">
        <is>
          <t>General</t>
        </is>
      </c>
      <c r="H378" t="inlineStr">
        <is>
          <t>General</t>
        </is>
      </c>
      <c r="I378" t="inlineStr">
        <is>
          <t>Generalist</t>
        </is>
      </c>
      <c r="J378" t="inlineStr">
        <is>
          <t>Generalist</t>
        </is>
      </c>
    </row>
    <row r="379">
      <c r="A379" t="inlineStr">
        <is>
          <t>Calendula</t>
        </is>
      </c>
      <c r="B379" t="inlineStr">
        <is>
          <t>Muira Puama</t>
        </is>
      </c>
      <c r="C379" t="n">
        <v>50</v>
      </c>
      <c r="E379" t="inlineStr">
        <is>
          <t>unclassified</t>
        </is>
      </c>
      <c r="G379" t="inlineStr">
        <is>
          <t>General</t>
        </is>
      </c>
      <c r="H379" t="inlineStr">
        <is>
          <t>General</t>
        </is>
      </c>
      <c r="I379" t="inlineStr">
        <is>
          <t>Generalist</t>
        </is>
      </c>
      <c r="J379" t="inlineStr">
        <is>
          <t>Generalist</t>
        </is>
      </c>
    </row>
    <row r="380">
      <c r="A380" t="inlineStr">
        <is>
          <t>Calendula</t>
        </is>
      </c>
      <c r="B380" t="inlineStr">
        <is>
          <t>Mulberry Leaf</t>
        </is>
      </c>
      <c r="C380" t="n">
        <v>50</v>
      </c>
      <c r="E380" t="inlineStr">
        <is>
          <t>unclassified</t>
        </is>
      </c>
      <c r="G380" t="inlineStr">
        <is>
          <t>General</t>
        </is>
      </c>
      <c r="H380" t="inlineStr">
        <is>
          <t>General</t>
        </is>
      </c>
      <c r="I380" t="inlineStr">
        <is>
          <t>Generalist</t>
        </is>
      </c>
      <c r="J380" t="inlineStr">
        <is>
          <t>Generalist</t>
        </is>
      </c>
    </row>
    <row r="381">
      <c r="A381" t="inlineStr">
        <is>
          <t>Calendula</t>
        </is>
      </c>
      <c r="B381" t="inlineStr">
        <is>
          <t>Myrtle</t>
        </is>
      </c>
      <c r="C381" t="n">
        <v>50</v>
      </c>
      <c r="E381" t="inlineStr">
        <is>
          <t>unclassified</t>
        </is>
      </c>
      <c r="G381" t="inlineStr">
        <is>
          <t>General</t>
        </is>
      </c>
      <c r="H381" t="inlineStr">
        <is>
          <t>General</t>
        </is>
      </c>
      <c r="I381" t="inlineStr">
        <is>
          <t>Generalist</t>
        </is>
      </c>
      <c r="J381" t="inlineStr">
        <is>
          <t>Generalist</t>
        </is>
      </c>
    </row>
    <row r="382">
      <c r="A382" t="inlineStr">
        <is>
          <t>Calendula</t>
        </is>
      </c>
      <c r="B382" t="inlineStr">
        <is>
          <t>Neem</t>
        </is>
      </c>
      <c r="C382" t="n">
        <v>50</v>
      </c>
      <c r="E382" t="inlineStr">
        <is>
          <t>unclassified</t>
        </is>
      </c>
      <c r="G382" t="inlineStr">
        <is>
          <t>General</t>
        </is>
      </c>
      <c r="H382" t="inlineStr">
        <is>
          <t>General</t>
        </is>
      </c>
      <c r="I382" t="inlineStr">
        <is>
          <t>Generalist</t>
        </is>
      </c>
      <c r="J382" t="inlineStr">
        <is>
          <t>Generalist</t>
        </is>
      </c>
    </row>
    <row r="383">
      <c r="A383" t="inlineStr">
        <is>
          <t>Calendula</t>
        </is>
      </c>
      <c r="B383" t="inlineStr">
        <is>
          <t>Nettle Root</t>
        </is>
      </c>
      <c r="C383" t="n">
        <v>50</v>
      </c>
      <c r="E383" t="inlineStr">
        <is>
          <t>unclassified</t>
        </is>
      </c>
      <c r="G383" t="inlineStr">
        <is>
          <t>General</t>
        </is>
      </c>
      <c r="H383" t="inlineStr">
        <is>
          <t>General</t>
        </is>
      </c>
      <c r="I383" t="inlineStr">
        <is>
          <t>Generalist</t>
        </is>
      </c>
      <c r="J383" t="inlineStr">
        <is>
          <t>Generalist</t>
        </is>
      </c>
    </row>
    <row r="384">
      <c r="A384" t="inlineStr">
        <is>
          <t>Calendula</t>
        </is>
      </c>
      <c r="B384" t="inlineStr">
        <is>
          <t>Noni</t>
        </is>
      </c>
      <c r="C384" t="n">
        <v>50</v>
      </c>
      <c r="E384" t="inlineStr">
        <is>
          <t>unclassified</t>
        </is>
      </c>
      <c r="G384" t="inlineStr">
        <is>
          <t>General</t>
        </is>
      </c>
      <c r="H384" t="inlineStr">
        <is>
          <t>General</t>
        </is>
      </c>
      <c r="I384" t="inlineStr">
        <is>
          <t>Generalist</t>
        </is>
      </c>
      <c r="J384" t="inlineStr">
        <is>
          <t>Generalist</t>
        </is>
      </c>
    </row>
    <row r="385">
      <c r="A385" t="inlineStr">
        <is>
          <t>Calendula</t>
        </is>
      </c>
      <c r="B385" t="inlineStr">
        <is>
          <t>Passionflower</t>
        </is>
      </c>
      <c r="C385" t="n">
        <v>50</v>
      </c>
      <c r="E385" t="inlineStr">
        <is>
          <t>unclassified</t>
        </is>
      </c>
      <c r="G385" t="inlineStr">
        <is>
          <t>General</t>
        </is>
      </c>
      <c r="H385" t="inlineStr">
        <is>
          <t>General</t>
        </is>
      </c>
      <c r="I385" t="inlineStr">
        <is>
          <t>Generalist</t>
        </is>
      </c>
      <c r="J385" t="inlineStr">
        <is>
          <t>Generalist</t>
        </is>
      </c>
    </row>
    <row r="386">
      <c r="A386" t="inlineStr">
        <is>
          <t>Calendula</t>
        </is>
      </c>
      <c r="B386" t="inlineStr">
        <is>
          <t>Pau d'Arco</t>
        </is>
      </c>
      <c r="C386" t="n">
        <v>50</v>
      </c>
      <c r="E386" t="inlineStr">
        <is>
          <t>unclassified</t>
        </is>
      </c>
      <c r="G386" t="inlineStr">
        <is>
          <t>General</t>
        </is>
      </c>
      <c r="H386" t="inlineStr">
        <is>
          <t>General</t>
        </is>
      </c>
      <c r="I386" t="inlineStr">
        <is>
          <t>Generalist</t>
        </is>
      </c>
      <c r="J386" t="inlineStr">
        <is>
          <t>Generalist</t>
        </is>
      </c>
    </row>
    <row r="387">
      <c r="A387" t="inlineStr">
        <is>
          <t>Calendula</t>
        </is>
      </c>
      <c r="B387" t="inlineStr">
        <is>
          <t>Perilla</t>
        </is>
      </c>
      <c r="C387" t="n">
        <v>50</v>
      </c>
      <c r="E387" t="inlineStr">
        <is>
          <t>unclassified</t>
        </is>
      </c>
      <c r="G387" t="inlineStr">
        <is>
          <t>General</t>
        </is>
      </c>
      <c r="H387" t="inlineStr">
        <is>
          <t>General</t>
        </is>
      </c>
      <c r="I387" t="inlineStr">
        <is>
          <t>Generalist</t>
        </is>
      </c>
      <c r="J387" t="inlineStr">
        <is>
          <t>Generalist</t>
        </is>
      </c>
    </row>
    <row r="388">
      <c r="A388" t="inlineStr">
        <is>
          <t>Calendula</t>
        </is>
      </c>
      <c r="B388" t="inlineStr">
        <is>
          <t>Pomegranate</t>
        </is>
      </c>
      <c r="C388" t="n">
        <v>50</v>
      </c>
      <c r="E388" t="inlineStr">
        <is>
          <t>unclassified</t>
        </is>
      </c>
      <c r="G388" t="inlineStr">
        <is>
          <t>General</t>
        </is>
      </c>
      <c r="H388" t="inlineStr">
        <is>
          <t>General</t>
        </is>
      </c>
      <c r="I388" t="inlineStr">
        <is>
          <t>Generalist</t>
        </is>
      </c>
      <c r="J388" t="inlineStr">
        <is>
          <t>Generalist</t>
        </is>
      </c>
    </row>
    <row r="389">
      <c r="A389" t="inlineStr">
        <is>
          <t>Calendula</t>
        </is>
      </c>
      <c r="B389" t="inlineStr">
        <is>
          <t>Poria</t>
        </is>
      </c>
      <c r="C389" t="n">
        <v>50</v>
      </c>
      <c r="E389" t="inlineStr">
        <is>
          <t>unclassified</t>
        </is>
      </c>
      <c r="G389" t="inlineStr">
        <is>
          <t>General</t>
        </is>
      </c>
      <c r="H389" t="inlineStr">
        <is>
          <t>General</t>
        </is>
      </c>
      <c r="I389" t="inlineStr">
        <is>
          <t>Generalist</t>
        </is>
      </c>
      <c r="J389" t="inlineStr">
        <is>
          <t>Generalist</t>
        </is>
      </c>
    </row>
    <row r="390">
      <c r="A390" t="inlineStr">
        <is>
          <t>Calendula</t>
        </is>
      </c>
      <c r="B390" t="inlineStr">
        <is>
          <t>Punarnava</t>
        </is>
      </c>
      <c r="C390" t="n">
        <v>50</v>
      </c>
      <c r="E390" t="inlineStr">
        <is>
          <t>unclassified</t>
        </is>
      </c>
      <c r="G390" t="inlineStr">
        <is>
          <t>General</t>
        </is>
      </c>
      <c r="H390" t="inlineStr">
        <is>
          <t>General</t>
        </is>
      </c>
      <c r="I390" t="inlineStr">
        <is>
          <t>Generalist</t>
        </is>
      </c>
      <c r="J390" t="inlineStr">
        <is>
          <t>Generalist</t>
        </is>
      </c>
    </row>
    <row r="391">
      <c r="A391" t="inlineStr">
        <is>
          <t>Calendula</t>
        </is>
      </c>
      <c r="B391" t="inlineStr">
        <is>
          <t>Rehmannia Prepared</t>
        </is>
      </c>
      <c r="C391" t="n">
        <v>50</v>
      </c>
      <c r="E391" t="inlineStr">
        <is>
          <t>unclassified</t>
        </is>
      </c>
      <c r="G391" t="inlineStr">
        <is>
          <t>General</t>
        </is>
      </c>
      <c r="H391" t="inlineStr">
        <is>
          <t>General</t>
        </is>
      </c>
      <c r="I391" t="inlineStr">
        <is>
          <t>Generalist</t>
        </is>
      </c>
      <c r="J391" t="inlineStr">
        <is>
          <t>Generalist</t>
        </is>
      </c>
    </row>
    <row r="392">
      <c r="A392" t="inlineStr">
        <is>
          <t>Calendula</t>
        </is>
      </c>
      <c r="B392" t="inlineStr">
        <is>
          <t>Reishi</t>
        </is>
      </c>
      <c r="C392" t="n">
        <v>50</v>
      </c>
      <c r="E392" t="inlineStr">
        <is>
          <t>unclassified</t>
        </is>
      </c>
      <c r="G392" t="inlineStr">
        <is>
          <t>General</t>
        </is>
      </c>
      <c r="H392" t="inlineStr">
        <is>
          <t>General</t>
        </is>
      </c>
      <c r="I392" t="inlineStr">
        <is>
          <t>Generalist</t>
        </is>
      </c>
      <c r="J392" t="inlineStr">
        <is>
          <t>Generalist</t>
        </is>
      </c>
    </row>
    <row r="393">
      <c r="A393" t="inlineStr">
        <is>
          <t>Calendula</t>
        </is>
      </c>
      <c r="B393" t="inlineStr">
        <is>
          <t>Rose Hips</t>
        </is>
      </c>
      <c r="C393" t="n">
        <v>50</v>
      </c>
      <c r="E393" t="inlineStr">
        <is>
          <t>unclassified</t>
        </is>
      </c>
      <c r="G393" t="inlineStr">
        <is>
          <t>General</t>
        </is>
      </c>
      <c r="H393" t="inlineStr">
        <is>
          <t>General</t>
        </is>
      </c>
      <c r="I393" t="inlineStr">
        <is>
          <t>Generalist</t>
        </is>
      </c>
      <c r="J393" t="inlineStr">
        <is>
          <t>Generalist</t>
        </is>
      </c>
    </row>
    <row r="394">
      <c r="A394" t="inlineStr">
        <is>
          <t>Calendula</t>
        </is>
      </c>
      <c r="B394" t="inlineStr">
        <is>
          <t>Sophora Flavescens</t>
        </is>
      </c>
      <c r="C394" t="n">
        <v>50</v>
      </c>
      <c r="E394" t="inlineStr">
        <is>
          <t>unclassified</t>
        </is>
      </c>
      <c r="G394" t="inlineStr">
        <is>
          <t>General</t>
        </is>
      </c>
      <c r="H394" t="inlineStr">
        <is>
          <t>General</t>
        </is>
      </c>
      <c r="I394" t="inlineStr">
        <is>
          <t>Generalist</t>
        </is>
      </c>
      <c r="J394" t="inlineStr">
        <is>
          <t>Generalist</t>
        </is>
      </c>
    </row>
    <row r="395">
      <c r="A395" t="inlineStr">
        <is>
          <t>Calendula</t>
        </is>
      </c>
      <c r="B395" t="inlineStr">
        <is>
          <t>Soursop</t>
        </is>
      </c>
      <c r="C395" t="n">
        <v>50</v>
      </c>
      <c r="E395" t="inlineStr">
        <is>
          <t>unclassified</t>
        </is>
      </c>
      <c r="G395" t="inlineStr">
        <is>
          <t>General</t>
        </is>
      </c>
      <c r="H395" t="inlineStr">
        <is>
          <t>General</t>
        </is>
      </c>
      <c r="I395" t="inlineStr">
        <is>
          <t>Generalist</t>
        </is>
      </c>
      <c r="J395" t="inlineStr">
        <is>
          <t>Generalist</t>
        </is>
      </c>
    </row>
    <row r="396">
      <c r="A396" t="inlineStr">
        <is>
          <t>Calendula</t>
        </is>
      </c>
      <c r="B396" t="inlineStr">
        <is>
          <t>Tamarind</t>
        </is>
      </c>
      <c r="C396" t="n">
        <v>50</v>
      </c>
      <c r="E396" t="inlineStr">
        <is>
          <t>unclassified</t>
        </is>
      </c>
      <c r="G396" t="inlineStr">
        <is>
          <t>General</t>
        </is>
      </c>
      <c r="H396" t="inlineStr">
        <is>
          <t>General</t>
        </is>
      </c>
      <c r="I396" t="inlineStr">
        <is>
          <t>Generalist</t>
        </is>
      </c>
      <c r="J396" t="inlineStr">
        <is>
          <t>Generalist</t>
        </is>
      </c>
    </row>
    <row r="397">
      <c r="A397" t="inlineStr">
        <is>
          <t>Calendula</t>
        </is>
      </c>
      <c r="B397" t="inlineStr">
        <is>
          <t>White Peony</t>
        </is>
      </c>
      <c r="C397" t="n">
        <v>50</v>
      </c>
      <c r="E397" t="inlineStr">
        <is>
          <t>unclassified</t>
        </is>
      </c>
      <c r="G397" t="inlineStr">
        <is>
          <t>General</t>
        </is>
      </c>
      <c r="H397" t="inlineStr">
        <is>
          <t>General</t>
        </is>
      </c>
      <c r="I397" t="inlineStr">
        <is>
          <t>Generalist</t>
        </is>
      </c>
      <c r="J397" t="inlineStr">
        <is>
          <t>Generalist</t>
        </is>
      </c>
    </row>
    <row r="398">
      <c r="A398" t="inlineStr">
        <is>
          <t>Calendula</t>
        </is>
      </c>
      <c r="B398" t="inlineStr">
        <is>
          <t>Yohimbe</t>
        </is>
      </c>
      <c r="C398" t="n">
        <v>50</v>
      </c>
      <c r="E398" t="inlineStr">
        <is>
          <t>unclassified</t>
        </is>
      </c>
      <c r="G398" t="inlineStr">
        <is>
          <t>General</t>
        </is>
      </c>
      <c r="H398" t="inlineStr">
        <is>
          <t>General</t>
        </is>
      </c>
      <c r="I398" t="inlineStr">
        <is>
          <t>Generalist</t>
        </is>
      </c>
      <c r="J398" t="inlineStr">
        <is>
          <t>Generalist</t>
        </is>
      </c>
    </row>
    <row r="399">
      <c r="A399" t="inlineStr">
        <is>
          <t>Caraway</t>
        </is>
      </c>
      <c r="B399" t="inlineStr">
        <is>
          <t>Ajwain</t>
        </is>
      </c>
      <c r="C399" t="n">
        <v>50</v>
      </c>
      <c r="E399" t="inlineStr">
        <is>
          <t>unclassified</t>
        </is>
      </c>
      <c r="G399" t="inlineStr">
        <is>
          <t>General</t>
        </is>
      </c>
      <c r="H399" t="inlineStr">
        <is>
          <t>General</t>
        </is>
      </c>
      <c r="I399" t="inlineStr">
        <is>
          <t>Generalist</t>
        </is>
      </c>
      <c r="J399" t="inlineStr">
        <is>
          <t>Generalist</t>
        </is>
      </c>
    </row>
    <row r="400">
      <c r="A400" t="inlineStr">
        <is>
          <t>Caraway</t>
        </is>
      </c>
      <c r="B400" t="inlineStr">
        <is>
          <t>Celastrus Paniculatus</t>
        </is>
      </c>
      <c r="C400" t="n">
        <v>50</v>
      </c>
      <c r="E400" t="inlineStr">
        <is>
          <t>unclassified</t>
        </is>
      </c>
      <c r="G400" t="inlineStr">
        <is>
          <t>General</t>
        </is>
      </c>
      <c r="H400" t="inlineStr">
        <is>
          <t>General</t>
        </is>
      </c>
      <c r="I400" t="inlineStr">
        <is>
          <t>Generalist</t>
        </is>
      </c>
      <c r="J400" t="inlineStr">
        <is>
          <t>Generalist</t>
        </is>
      </c>
    </row>
    <row r="401">
      <c r="A401" t="inlineStr">
        <is>
          <t>Caraway</t>
        </is>
      </c>
      <c r="B401" t="inlineStr">
        <is>
          <t>Cordyceps</t>
        </is>
      </c>
      <c r="C401" t="n">
        <v>50</v>
      </c>
      <c r="E401" t="inlineStr">
        <is>
          <t>unclassified</t>
        </is>
      </c>
      <c r="G401" t="inlineStr">
        <is>
          <t>General</t>
        </is>
      </c>
      <c r="H401" t="inlineStr">
        <is>
          <t>General</t>
        </is>
      </c>
      <c r="I401" t="inlineStr">
        <is>
          <t>Generalist</t>
        </is>
      </c>
      <c r="J401" t="inlineStr">
        <is>
          <t>Generalist</t>
        </is>
      </c>
    </row>
    <row r="402">
      <c r="A402" t="inlineStr">
        <is>
          <t>Caraway</t>
        </is>
      </c>
      <c r="B402" t="inlineStr">
        <is>
          <t>Eleuthero</t>
        </is>
      </c>
      <c r="C402" t="n">
        <v>50</v>
      </c>
      <c r="E402" t="inlineStr">
        <is>
          <t>unclassified</t>
        </is>
      </c>
      <c r="G402" t="inlineStr">
        <is>
          <t>General</t>
        </is>
      </c>
      <c r="H402" t="inlineStr">
        <is>
          <t>General</t>
        </is>
      </c>
      <c r="I402" t="inlineStr">
        <is>
          <t>Generalist</t>
        </is>
      </c>
      <c r="J402" t="inlineStr">
        <is>
          <t>Generalist</t>
        </is>
      </c>
    </row>
    <row r="403">
      <c r="A403" t="inlineStr">
        <is>
          <t>Caraway</t>
        </is>
      </c>
      <c r="B403" t="inlineStr">
        <is>
          <t>Gudmar</t>
        </is>
      </c>
      <c r="C403" t="n">
        <v>50</v>
      </c>
      <c r="E403" t="inlineStr">
        <is>
          <t>unclassified</t>
        </is>
      </c>
      <c r="G403" t="inlineStr">
        <is>
          <t>General</t>
        </is>
      </c>
      <c r="H403" t="inlineStr">
        <is>
          <t>General</t>
        </is>
      </c>
      <c r="I403" t="inlineStr">
        <is>
          <t>Generalist</t>
        </is>
      </c>
      <c r="J403" t="inlineStr">
        <is>
          <t>Generalist</t>
        </is>
      </c>
    </row>
    <row r="404">
      <c r="A404" t="inlineStr">
        <is>
          <t>Caraway</t>
        </is>
      </c>
      <c r="B404" t="inlineStr">
        <is>
          <t>Nettle Root</t>
        </is>
      </c>
      <c r="C404" t="n">
        <v>50</v>
      </c>
      <c r="E404" t="inlineStr">
        <is>
          <t>unclassified</t>
        </is>
      </c>
      <c r="G404" t="inlineStr">
        <is>
          <t>General</t>
        </is>
      </c>
      <c r="H404" t="inlineStr">
        <is>
          <t>General</t>
        </is>
      </c>
      <c r="I404" t="inlineStr">
        <is>
          <t>Generalist</t>
        </is>
      </c>
      <c r="J404" t="inlineStr">
        <is>
          <t>Generalist</t>
        </is>
      </c>
    </row>
    <row r="405">
      <c r="A405" t="inlineStr">
        <is>
          <t>Caraway</t>
        </is>
      </c>
      <c r="B405" t="inlineStr">
        <is>
          <t>Passionflower</t>
        </is>
      </c>
      <c r="C405" t="n">
        <v>50</v>
      </c>
      <c r="E405" t="inlineStr">
        <is>
          <t>unclassified</t>
        </is>
      </c>
      <c r="G405" t="inlineStr">
        <is>
          <t>General</t>
        </is>
      </c>
      <c r="H405" t="inlineStr">
        <is>
          <t>General</t>
        </is>
      </c>
      <c r="I405" t="inlineStr">
        <is>
          <t>Generalist</t>
        </is>
      </c>
      <c r="J405" t="inlineStr">
        <is>
          <t>Generalist</t>
        </is>
      </c>
    </row>
    <row r="406">
      <c r="A406" t="inlineStr">
        <is>
          <t>Caraway</t>
        </is>
      </c>
      <c r="B406" t="inlineStr">
        <is>
          <t>Punarnava</t>
        </is>
      </c>
      <c r="C406" t="n">
        <v>50</v>
      </c>
      <c r="E406" t="inlineStr">
        <is>
          <t>unclassified</t>
        </is>
      </c>
      <c r="G406" t="inlineStr">
        <is>
          <t>General</t>
        </is>
      </c>
      <c r="H406" t="inlineStr">
        <is>
          <t>General</t>
        </is>
      </c>
      <c r="I406" t="inlineStr">
        <is>
          <t>Generalist</t>
        </is>
      </c>
      <c r="J406" t="inlineStr">
        <is>
          <t>Generalist</t>
        </is>
      </c>
    </row>
    <row r="407">
      <c r="A407" t="inlineStr">
        <is>
          <t>Caraway</t>
        </is>
      </c>
      <c r="B407" t="inlineStr">
        <is>
          <t>Reishi</t>
        </is>
      </c>
      <c r="C407" t="n">
        <v>50</v>
      </c>
      <c r="E407" t="inlineStr">
        <is>
          <t>unclassified</t>
        </is>
      </c>
      <c r="G407" t="inlineStr">
        <is>
          <t>General</t>
        </is>
      </c>
      <c r="H407" t="inlineStr">
        <is>
          <t>General</t>
        </is>
      </c>
      <c r="I407" t="inlineStr">
        <is>
          <t>Generalist</t>
        </is>
      </c>
      <c r="J407" t="inlineStr">
        <is>
          <t>Generalist</t>
        </is>
      </c>
    </row>
    <row r="408">
      <c r="A408" t="inlineStr">
        <is>
          <t>Caraway</t>
        </is>
      </c>
      <c r="B408" t="inlineStr">
        <is>
          <t>Tamarind</t>
        </is>
      </c>
      <c r="C408" t="n">
        <v>50</v>
      </c>
      <c r="E408" t="inlineStr">
        <is>
          <t>unclassified</t>
        </is>
      </c>
      <c r="G408" t="inlineStr">
        <is>
          <t>General</t>
        </is>
      </c>
      <c r="H408" t="inlineStr">
        <is>
          <t>General</t>
        </is>
      </c>
      <c r="I408" t="inlineStr">
        <is>
          <t>Generalist</t>
        </is>
      </c>
      <c r="J408" t="inlineStr">
        <is>
          <t>Generalist</t>
        </is>
      </c>
    </row>
    <row r="409">
      <c r="A409" t="inlineStr">
        <is>
          <t>Caraway</t>
        </is>
      </c>
      <c r="B409" t="inlineStr">
        <is>
          <t>Yohimbe</t>
        </is>
      </c>
      <c r="C409" t="n">
        <v>50</v>
      </c>
      <c r="E409" t="inlineStr">
        <is>
          <t>unclassified</t>
        </is>
      </c>
      <c r="G409" t="inlineStr">
        <is>
          <t>General</t>
        </is>
      </c>
      <c r="H409" t="inlineStr">
        <is>
          <t>General</t>
        </is>
      </c>
      <c r="I409" t="inlineStr">
        <is>
          <t>Generalist</t>
        </is>
      </c>
      <c r="J409" t="inlineStr">
        <is>
          <t>Generalist</t>
        </is>
      </c>
    </row>
    <row r="410">
      <c r="A410" t="inlineStr">
        <is>
          <t>Cardamom</t>
        </is>
      </c>
      <c r="B410" t="inlineStr">
        <is>
          <t>Ajwain</t>
        </is>
      </c>
      <c r="C410" t="n">
        <v>50</v>
      </c>
      <c r="E410" t="inlineStr">
        <is>
          <t>unclassified</t>
        </is>
      </c>
      <c r="G410" t="inlineStr">
        <is>
          <t>General</t>
        </is>
      </c>
      <c r="H410" t="inlineStr">
        <is>
          <t>General</t>
        </is>
      </c>
      <c r="I410" t="inlineStr">
        <is>
          <t>Generalist</t>
        </is>
      </c>
      <c r="J410" t="inlineStr">
        <is>
          <t>Generalist</t>
        </is>
      </c>
    </row>
    <row r="411">
      <c r="A411" t="inlineStr">
        <is>
          <t>Cardamom</t>
        </is>
      </c>
      <c r="B411" t="inlineStr">
        <is>
          <t>Caraway</t>
        </is>
      </c>
      <c r="C411" t="n">
        <v>50</v>
      </c>
      <c r="E411" t="inlineStr">
        <is>
          <t>unclassified</t>
        </is>
      </c>
      <c r="G411" t="inlineStr">
        <is>
          <t>General</t>
        </is>
      </c>
      <c r="H411" t="inlineStr">
        <is>
          <t>General</t>
        </is>
      </c>
      <c r="I411" t="inlineStr">
        <is>
          <t>Generalist</t>
        </is>
      </c>
      <c r="J411" t="inlineStr">
        <is>
          <t>Generalist</t>
        </is>
      </c>
    </row>
    <row r="412">
      <c r="A412" t="inlineStr">
        <is>
          <t>Cardamom</t>
        </is>
      </c>
      <c r="B412" t="inlineStr">
        <is>
          <t>Celastrus Paniculatus</t>
        </is>
      </c>
      <c r="C412" t="n">
        <v>50</v>
      </c>
      <c r="E412" t="inlineStr">
        <is>
          <t>unclassified</t>
        </is>
      </c>
      <c r="G412" t="inlineStr">
        <is>
          <t>General</t>
        </is>
      </c>
      <c r="H412" t="inlineStr">
        <is>
          <t>General</t>
        </is>
      </c>
      <c r="I412" t="inlineStr">
        <is>
          <t>Generalist</t>
        </is>
      </c>
      <c r="J412" t="inlineStr">
        <is>
          <t>Generalist</t>
        </is>
      </c>
    </row>
    <row r="413">
      <c r="A413" t="inlineStr">
        <is>
          <t>Cardamom</t>
        </is>
      </c>
      <c r="B413" t="inlineStr">
        <is>
          <t>Cordyceps</t>
        </is>
      </c>
      <c r="C413" t="n">
        <v>50</v>
      </c>
      <c r="E413" t="inlineStr">
        <is>
          <t>unclassified</t>
        </is>
      </c>
      <c r="G413" t="inlineStr">
        <is>
          <t>General</t>
        </is>
      </c>
      <c r="H413" t="inlineStr">
        <is>
          <t>General</t>
        </is>
      </c>
      <c r="I413" t="inlineStr">
        <is>
          <t>Generalist</t>
        </is>
      </c>
      <c r="J413" t="inlineStr">
        <is>
          <t>Generalist</t>
        </is>
      </c>
    </row>
    <row r="414">
      <c r="A414" t="inlineStr">
        <is>
          <t>Cardamom</t>
        </is>
      </c>
      <c r="B414" t="inlineStr">
        <is>
          <t>Eleuthero</t>
        </is>
      </c>
      <c r="C414" t="n">
        <v>50</v>
      </c>
      <c r="E414" t="inlineStr">
        <is>
          <t>unclassified</t>
        </is>
      </c>
      <c r="G414" t="inlineStr">
        <is>
          <t>General</t>
        </is>
      </c>
      <c r="H414" t="inlineStr">
        <is>
          <t>General</t>
        </is>
      </c>
      <c r="I414" t="inlineStr">
        <is>
          <t>Generalist</t>
        </is>
      </c>
      <c r="J414" t="inlineStr">
        <is>
          <t>Generalist</t>
        </is>
      </c>
    </row>
    <row r="415">
      <c r="A415" t="inlineStr">
        <is>
          <t>Cardamom</t>
        </is>
      </c>
      <c r="B415" t="inlineStr">
        <is>
          <t>Gudmar</t>
        </is>
      </c>
      <c r="C415" t="n">
        <v>50</v>
      </c>
      <c r="E415" t="inlineStr">
        <is>
          <t>unclassified</t>
        </is>
      </c>
      <c r="G415" t="inlineStr">
        <is>
          <t>General</t>
        </is>
      </c>
      <c r="H415" t="inlineStr">
        <is>
          <t>General</t>
        </is>
      </c>
      <c r="I415" t="inlineStr">
        <is>
          <t>Generalist</t>
        </is>
      </c>
      <c r="J415" t="inlineStr">
        <is>
          <t>Generalist</t>
        </is>
      </c>
    </row>
    <row r="416">
      <c r="A416" t="inlineStr">
        <is>
          <t>Cardamom</t>
        </is>
      </c>
      <c r="B416" t="inlineStr">
        <is>
          <t>Nettle Root</t>
        </is>
      </c>
      <c r="C416" t="n">
        <v>50</v>
      </c>
      <c r="E416" t="inlineStr">
        <is>
          <t>unclassified</t>
        </is>
      </c>
      <c r="G416" t="inlineStr">
        <is>
          <t>General</t>
        </is>
      </c>
      <c r="H416" t="inlineStr">
        <is>
          <t>General</t>
        </is>
      </c>
      <c r="I416" t="inlineStr">
        <is>
          <t>Generalist</t>
        </is>
      </c>
      <c r="J416" t="inlineStr">
        <is>
          <t>Generalist</t>
        </is>
      </c>
    </row>
    <row r="417">
      <c r="A417" t="inlineStr">
        <is>
          <t>Cardamom</t>
        </is>
      </c>
      <c r="B417" t="inlineStr">
        <is>
          <t>Passionflower</t>
        </is>
      </c>
      <c r="C417" t="n">
        <v>50</v>
      </c>
      <c r="E417" t="inlineStr">
        <is>
          <t>unclassified</t>
        </is>
      </c>
      <c r="G417" t="inlineStr">
        <is>
          <t>General</t>
        </is>
      </c>
      <c r="H417" t="inlineStr">
        <is>
          <t>General</t>
        </is>
      </c>
      <c r="I417" t="inlineStr">
        <is>
          <t>Generalist</t>
        </is>
      </c>
      <c r="J417" t="inlineStr">
        <is>
          <t>Generalist</t>
        </is>
      </c>
    </row>
    <row r="418">
      <c r="A418" t="inlineStr">
        <is>
          <t>Cardamom</t>
        </is>
      </c>
      <c r="B418" t="inlineStr">
        <is>
          <t>Punarnava</t>
        </is>
      </c>
      <c r="C418" t="n">
        <v>50</v>
      </c>
      <c r="E418" t="inlineStr">
        <is>
          <t>unclassified</t>
        </is>
      </c>
      <c r="G418" t="inlineStr">
        <is>
          <t>General</t>
        </is>
      </c>
      <c r="H418" t="inlineStr">
        <is>
          <t>General</t>
        </is>
      </c>
      <c r="I418" t="inlineStr">
        <is>
          <t>Generalist</t>
        </is>
      </c>
      <c r="J418" t="inlineStr">
        <is>
          <t>Generalist</t>
        </is>
      </c>
    </row>
    <row r="419">
      <c r="A419" t="inlineStr">
        <is>
          <t>Cardamom</t>
        </is>
      </c>
      <c r="B419" t="inlineStr">
        <is>
          <t>Reishi</t>
        </is>
      </c>
      <c r="C419" t="n">
        <v>50</v>
      </c>
      <c r="E419" t="inlineStr">
        <is>
          <t>unclassified</t>
        </is>
      </c>
      <c r="G419" t="inlineStr">
        <is>
          <t>General</t>
        </is>
      </c>
      <c r="H419" t="inlineStr">
        <is>
          <t>General</t>
        </is>
      </c>
      <c r="I419" t="inlineStr">
        <is>
          <t>Generalist</t>
        </is>
      </c>
      <c r="J419" t="inlineStr">
        <is>
          <t>Generalist</t>
        </is>
      </c>
    </row>
    <row r="420">
      <c r="A420" t="inlineStr">
        <is>
          <t>Cardamom</t>
        </is>
      </c>
      <c r="B420" t="inlineStr">
        <is>
          <t>Tamarind</t>
        </is>
      </c>
      <c r="C420" t="n">
        <v>50</v>
      </c>
      <c r="E420" t="inlineStr">
        <is>
          <t>unclassified</t>
        </is>
      </c>
      <c r="G420" t="inlineStr">
        <is>
          <t>General</t>
        </is>
      </c>
      <c r="H420" t="inlineStr">
        <is>
          <t>General</t>
        </is>
      </c>
      <c r="I420" t="inlineStr">
        <is>
          <t>Generalist</t>
        </is>
      </c>
      <c r="J420" t="inlineStr">
        <is>
          <t>Generalist</t>
        </is>
      </c>
    </row>
    <row r="421">
      <c r="A421" t="inlineStr">
        <is>
          <t>Cardamom</t>
        </is>
      </c>
      <c r="B421" t="inlineStr">
        <is>
          <t>Yohimbe</t>
        </is>
      </c>
      <c r="C421" t="n">
        <v>50</v>
      </c>
      <c r="E421" t="inlineStr">
        <is>
          <t>unclassified</t>
        </is>
      </c>
      <c r="G421" t="inlineStr">
        <is>
          <t>General</t>
        </is>
      </c>
      <c r="H421" t="inlineStr">
        <is>
          <t>General</t>
        </is>
      </c>
      <c r="I421" t="inlineStr">
        <is>
          <t>Generalist</t>
        </is>
      </c>
      <c r="J421" t="inlineStr">
        <is>
          <t>Generalist</t>
        </is>
      </c>
    </row>
    <row r="422">
      <c r="A422" t="inlineStr">
        <is>
          <t>Celastrus Paniculatus</t>
        </is>
      </c>
      <c r="B422" t="inlineStr">
        <is>
          <t>Punarnava</t>
        </is>
      </c>
      <c r="C422" t="n">
        <v>50</v>
      </c>
      <c r="E422" t="inlineStr">
        <is>
          <t>unclassified</t>
        </is>
      </c>
      <c r="G422" t="inlineStr">
        <is>
          <t>General</t>
        </is>
      </c>
      <c r="H422" t="inlineStr">
        <is>
          <t>General</t>
        </is>
      </c>
      <c r="I422" t="inlineStr">
        <is>
          <t>Generalist</t>
        </is>
      </c>
      <c r="J422" t="inlineStr">
        <is>
          <t>Generalist</t>
        </is>
      </c>
    </row>
    <row r="423">
      <c r="A423" t="inlineStr">
        <is>
          <t>Cinnamon</t>
        </is>
      </c>
      <c r="B423" t="inlineStr">
        <is>
          <t>Agarikon</t>
        </is>
      </c>
      <c r="C423" t="n">
        <v>50</v>
      </c>
      <c r="E423" t="inlineStr">
        <is>
          <t>unclassified</t>
        </is>
      </c>
      <c r="G423" t="inlineStr">
        <is>
          <t>General</t>
        </is>
      </c>
      <c r="H423" t="inlineStr">
        <is>
          <t>General</t>
        </is>
      </c>
      <c r="I423" t="inlineStr">
        <is>
          <t>Generalist</t>
        </is>
      </c>
      <c r="J423" t="inlineStr">
        <is>
          <t>Generalist</t>
        </is>
      </c>
    </row>
    <row r="424">
      <c r="A424" t="inlineStr">
        <is>
          <t>Cinnamon</t>
        </is>
      </c>
      <c r="B424" t="inlineStr">
        <is>
          <t>Ajwain</t>
        </is>
      </c>
      <c r="C424" t="n">
        <v>50</v>
      </c>
      <c r="E424" t="inlineStr">
        <is>
          <t>unclassified</t>
        </is>
      </c>
      <c r="G424" t="inlineStr">
        <is>
          <t>General</t>
        </is>
      </c>
      <c r="H424" t="inlineStr">
        <is>
          <t>General</t>
        </is>
      </c>
      <c r="I424" t="inlineStr">
        <is>
          <t>Generalist</t>
        </is>
      </c>
      <c r="J424" t="inlineStr">
        <is>
          <t>Generalist</t>
        </is>
      </c>
    </row>
    <row r="425">
      <c r="A425" t="inlineStr">
        <is>
          <t>Cinnamon</t>
        </is>
      </c>
      <c r="B425" t="inlineStr">
        <is>
          <t>Angelica Root</t>
        </is>
      </c>
      <c r="C425" t="n">
        <v>50</v>
      </c>
      <c r="E425" t="inlineStr">
        <is>
          <t>unclassified</t>
        </is>
      </c>
      <c r="G425" t="inlineStr">
        <is>
          <t>General</t>
        </is>
      </c>
      <c r="H425" t="inlineStr">
        <is>
          <t>General</t>
        </is>
      </c>
      <c r="I425" t="inlineStr">
        <is>
          <t>Generalist</t>
        </is>
      </c>
      <c r="J425" t="inlineStr">
        <is>
          <t>Generalist</t>
        </is>
      </c>
    </row>
    <row r="426">
      <c r="A426" t="inlineStr">
        <is>
          <t>Cinnamon</t>
        </is>
      </c>
      <c r="B426" t="inlineStr">
        <is>
          <t>Ashoka</t>
        </is>
      </c>
      <c r="C426" t="n">
        <v>50</v>
      </c>
      <c r="E426" t="inlineStr">
        <is>
          <t>unclassified</t>
        </is>
      </c>
      <c r="G426" t="inlineStr">
        <is>
          <t>General</t>
        </is>
      </c>
      <c r="H426" t="inlineStr">
        <is>
          <t>General</t>
        </is>
      </c>
      <c r="I426" t="inlineStr">
        <is>
          <t>Generalist</t>
        </is>
      </c>
      <c r="J426" t="inlineStr">
        <is>
          <t>Generalist</t>
        </is>
      </c>
    </row>
    <row r="427">
      <c r="A427" t="inlineStr">
        <is>
          <t>Cinnamon</t>
        </is>
      </c>
      <c r="B427" t="inlineStr">
        <is>
          <t>Boldo</t>
        </is>
      </c>
      <c r="C427" t="n">
        <v>50</v>
      </c>
      <c r="E427" t="inlineStr">
        <is>
          <t>unclassified</t>
        </is>
      </c>
      <c r="G427" t="inlineStr">
        <is>
          <t>General</t>
        </is>
      </c>
      <c r="H427" t="inlineStr">
        <is>
          <t>General</t>
        </is>
      </c>
      <c r="I427" t="inlineStr">
        <is>
          <t>Generalist</t>
        </is>
      </c>
      <c r="J427" t="inlineStr">
        <is>
          <t>Generalist</t>
        </is>
      </c>
    </row>
    <row r="428">
      <c r="A428" t="inlineStr">
        <is>
          <t>Cinnamon</t>
        </is>
      </c>
      <c r="B428" t="inlineStr">
        <is>
          <t>Burdock</t>
        </is>
      </c>
      <c r="C428" t="n">
        <v>50</v>
      </c>
      <c r="E428" t="inlineStr">
        <is>
          <t>unclassified</t>
        </is>
      </c>
      <c r="G428" t="inlineStr">
        <is>
          <t>General</t>
        </is>
      </c>
      <c r="H428" t="inlineStr">
        <is>
          <t>General</t>
        </is>
      </c>
      <c r="I428" t="inlineStr">
        <is>
          <t>Generalist</t>
        </is>
      </c>
      <c r="J428" t="inlineStr">
        <is>
          <t>Generalist</t>
        </is>
      </c>
    </row>
    <row r="429">
      <c r="A429" t="inlineStr">
        <is>
          <t>Cinnamon</t>
        </is>
      </c>
      <c r="B429" t="inlineStr">
        <is>
          <t>Calendula</t>
        </is>
      </c>
      <c r="C429" t="n">
        <v>50</v>
      </c>
      <c r="E429" t="inlineStr">
        <is>
          <t>unclassified</t>
        </is>
      </c>
      <c r="G429" t="inlineStr">
        <is>
          <t>General</t>
        </is>
      </c>
      <c r="H429" t="inlineStr">
        <is>
          <t>General</t>
        </is>
      </c>
      <c r="I429" t="inlineStr">
        <is>
          <t>Generalist</t>
        </is>
      </c>
      <c r="J429" t="inlineStr">
        <is>
          <t>Generalist</t>
        </is>
      </c>
    </row>
    <row r="430">
      <c r="A430" t="inlineStr">
        <is>
          <t>Cinnamon</t>
        </is>
      </c>
      <c r="B430" t="inlineStr">
        <is>
          <t>Caraway</t>
        </is>
      </c>
      <c r="C430" t="n">
        <v>50</v>
      </c>
      <c r="E430" t="inlineStr">
        <is>
          <t>unclassified</t>
        </is>
      </c>
      <c r="G430" t="inlineStr">
        <is>
          <t>General</t>
        </is>
      </c>
      <c r="H430" t="inlineStr">
        <is>
          <t>General</t>
        </is>
      </c>
      <c r="I430" t="inlineStr">
        <is>
          <t>Generalist</t>
        </is>
      </c>
      <c r="J430" t="inlineStr">
        <is>
          <t>Generalist</t>
        </is>
      </c>
    </row>
    <row r="431">
      <c r="A431" t="inlineStr">
        <is>
          <t>Cinnamon</t>
        </is>
      </c>
      <c r="B431" t="inlineStr">
        <is>
          <t>Cardamom</t>
        </is>
      </c>
      <c r="C431" t="n">
        <v>50</v>
      </c>
      <c r="E431" t="inlineStr">
        <is>
          <t>unclassified</t>
        </is>
      </c>
      <c r="G431" t="inlineStr">
        <is>
          <t>General</t>
        </is>
      </c>
      <c r="H431" t="inlineStr">
        <is>
          <t>General</t>
        </is>
      </c>
      <c r="I431" t="inlineStr">
        <is>
          <t>Generalist</t>
        </is>
      </c>
      <c r="J431" t="inlineStr">
        <is>
          <t>Generalist</t>
        </is>
      </c>
    </row>
    <row r="432">
      <c r="A432" t="inlineStr">
        <is>
          <t>Cinnamon</t>
        </is>
      </c>
      <c r="B432" t="inlineStr">
        <is>
          <t>Celastrus Paniculatus</t>
        </is>
      </c>
      <c r="C432" t="n">
        <v>50</v>
      </c>
      <c r="E432" t="inlineStr">
        <is>
          <t>unclassified</t>
        </is>
      </c>
      <c r="G432" t="inlineStr">
        <is>
          <t>General</t>
        </is>
      </c>
      <c r="H432" t="inlineStr">
        <is>
          <t>General</t>
        </is>
      </c>
      <c r="I432" t="inlineStr">
        <is>
          <t>Generalist</t>
        </is>
      </c>
      <c r="J432" t="inlineStr">
        <is>
          <t>Generalist</t>
        </is>
      </c>
    </row>
    <row r="433">
      <c r="A433" t="inlineStr">
        <is>
          <t>Cinnamon</t>
        </is>
      </c>
      <c r="B433" t="inlineStr">
        <is>
          <t>Cistanche</t>
        </is>
      </c>
      <c r="C433" t="n">
        <v>50</v>
      </c>
      <c r="E433" t="inlineStr">
        <is>
          <t>unclassified</t>
        </is>
      </c>
      <c r="G433" t="inlineStr">
        <is>
          <t>General</t>
        </is>
      </c>
      <c r="H433" t="inlineStr">
        <is>
          <t>General</t>
        </is>
      </c>
      <c r="I433" t="inlineStr">
        <is>
          <t>Generalist</t>
        </is>
      </c>
      <c r="J433" t="inlineStr">
        <is>
          <t>Generalist</t>
        </is>
      </c>
    </row>
    <row r="434">
      <c r="A434" t="inlineStr">
        <is>
          <t>Cinnamon</t>
        </is>
      </c>
      <c r="B434" t="inlineStr">
        <is>
          <t>Cordyceps</t>
        </is>
      </c>
      <c r="C434" t="n">
        <v>50</v>
      </c>
      <c r="E434" t="inlineStr">
        <is>
          <t>unclassified</t>
        </is>
      </c>
      <c r="G434" t="inlineStr">
        <is>
          <t>General</t>
        </is>
      </c>
      <c r="H434" t="inlineStr">
        <is>
          <t>General</t>
        </is>
      </c>
      <c r="I434" t="inlineStr">
        <is>
          <t>Generalist</t>
        </is>
      </c>
      <c r="J434" t="inlineStr">
        <is>
          <t>Generalist</t>
        </is>
      </c>
    </row>
    <row r="435">
      <c r="A435" t="inlineStr">
        <is>
          <t>Cinnamon</t>
        </is>
      </c>
      <c r="B435" t="inlineStr">
        <is>
          <t>Dandelion</t>
        </is>
      </c>
      <c r="C435" t="n">
        <v>50</v>
      </c>
      <c r="E435" t="inlineStr">
        <is>
          <t>unclassified</t>
        </is>
      </c>
      <c r="G435" t="inlineStr">
        <is>
          <t>General</t>
        </is>
      </c>
      <c r="H435" t="inlineStr">
        <is>
          <t>General</t>
        </is>
      </c>
      <c r="I435" t="inlineStr">
        <is>
          <t>Generalist</t>
        </is>
      </c>
      <c r="J435" t="inlineStr">
        <is>
          <t>Generalist</t>
        </is>
      </c>
    </row>
    <row r="436">
      <c r="A436" t="inlineStr">
        <is>
          <t>Cinnamon</t>
        </is>
      </c>
      <c r="B436" t="inlineStr">
        <is>
          <t>Dendrobium</t>
        </is>
      </c>
      <c r="C436" t="n">
        <v>50</v>
      </c>
      <c r="E436" t="inlineStr">
        <is>
          <t>unclassified</t>
        </is>
      </c>
      <c r="G436" t="inlineStr">
        <is>
          <t>General</t>
        </is>
      </c>
      <c r="H436" t="inlineStr">
        <is>
          <t>General</t>
        </is>
      </c>
      <c r="I436" t="inlineStr">
        <is>
          <t>Generalist</t>
        </is>
      </c>
      <c r="J436" t="inlineStr">
        <is>
          <t>Generalist</t>
        </is>
      </c>
    </row>
    <row r="437">
      <c r="A437" t="inlineStr">
        <is>
          <t>Cinnamon</t>
        </is>
      </c>
      <c r="B437" t="inlineStr">
        <is>
          <t>Elecampane</t>
        </is>
      </c>
      <c r="C437" t="n">
        <v>50</v>
      </c>
      <c r="E437" t="inlineStr">
        <is>
          <t>unclassified</t>
        </is>
      </c>
      <c r="G437" t="inlineStr">
        <is>
          <t>General</t>
        </is>
      </c>
      <c r="H437" t="inlineStr">
        <is>
          <t>General</t>
        </is>
      </c>
      <c r="I437" t="inlineStr">
        <is>
          <t>Generalist</t>
        </is>
      </c>
      <c r="J437" t="inlineStr">
        <is>
          <t>Generalist</t>
        </is>
      </c>
    </row>
    <row r="438">
      <c r="A438" t="inlineStr">
        <is>
          <t>Cinnamon</t>
        </is>
      </c>
      <c r="B438" t="inlineStr">
        <is>
          <t>Eleuthero</t>
        </is>
      </c>
      <c r="C438" t="n">
        <v>50</v>
      </c>
      <c r="E438" t="inlineStr">
        <is>
          <t>unclassified</t>
        </is>
      </c>
      <c r="G438" t="inlineStr">
        <is>
          <t>General</t>
        </is>
      </c>
      <c r="H438" t="inlineStr">
        <is>
          <t>General</t>
        </is>
      </c>
      <c r="I438" t="inlineStr">
        <is>
          <t>Generalist</t>
        </is>
      </c>
      <c r="J438" t="inlineStr">
        <is>
          <t>Generalist</t>
        </is>
      </c>
    </row>
    <row r="439">
      <c r="A439" t="inlineStr">
        <is>
          <t>Cinnamon</t>
        </is>
      </c>
      <c r="B439" t="inlineStr">
        <is>
          <t>Galangal</t>
        </is>
      </c>
      <c r="C439" t="n">
        <v>50</v>
      </c>
      <c r="E439" t="inlineStr">
        <is>
          <t>unclassified</t>
        </is>
      </c>
      <c r="G439" t="inlineStr">
        <is>
          <t>General</t>
        </is>
      </c>
      <c r="H439" t="inlineStr">
        <is>
          <t>General</t>
        </is>
      </c>
      <c r="I439" t="inlineStr">
        <is>
          <t>Generalist</t>
        </is>
      </c>
      <c r="J439" t="inlineStr">
        <is>
          <t>Generalist</t>
        </is>
      </c>
    </row>
    <row r="440">
      <c r="A440" t="inlineStr">
        <is>
          <t>Cinnamon</t>
        </is>
      </c>
      <c r="B440" t="inlineStr">
        <is>
          <t>Gastrodia</t>
        </is>
      </c>
      <c r="C440" t="n">
        <v>50</v>
      </c>
      <c r="E440" t="inlineStr">
        <is>
          <t>unclassified</t>
        </is>
      </c>
      <c r="G440" t="inlineStr">
        <is>
          <t>General</t>
        </is>
      </c>
      <c r="H440" t="inlineStr">
        <is>
          <t>General</t>
        </is>
      </c>
      <c r="I440" t="inlineStr">
        <is>
          <t>Generalist</t>
        </is>
      </c>
      <c r="J440" t="inlineStr">
        <is>
          <t>Generalist</t>
        </is>
      </c>
    </row>
    <row r="441">
      <c r="A441" t="inlineStr">
        <is>
          <t>Cinnamon</t>
        </is>
      </c>
      <c r="B441" t="inlineStr">
        <is>
          <t>Gudmar</t>
        </is>
      </c>
      <c r="C441" t="n">
        <v>50</v>
      </c>
      <c r="E441" t="inlineStr">
        <is>
          <t>unclassified</t>
        </is>
      </c>
      <c r="G441" t="inlineStr">
        <is>
          <t>General</t>
        </is>
      </c>
      <c r="H441" t="inlineStr">
        <is>
          <t>General</t>
        </is>
      </c>
      <c r="I441" t="inlineStr">
        <is>
          <t>Generalist</t>
        </is>
      </c>
      <c r="J441" t="inlineStr">
        <is>
          <t>Generalist</t>
        </is>
      </c>
    </row>
    <row r="442">
      <c r="A442" t="inlineStr">
        <is>
          <t>Cinnamon</t>
        </is>
      </c>
      <c r="B442" t="inlineStr">
        <is>
          <t>Gymnema</t>
        </is>
      </c>
      <c r="C442" t="n">
        <v>50</v>
      </c>
      <c r="E442" t="inlineStr">
        <is>
          <t>unclassified</t>
        </is>
      </c>
      <c r="G442" t="inlineStr">
        <is>
          <t>General</t>
        </is>
      </c>
      <c r="H442" t="inlineStr">
        <is>
          <t>General</t>
        </is>
      </c>
      <c r="I442" t="inlineStr">
        <is>
          <t>Generalist</t>
        </is>
      </c>
      <c r="J442" t="inlineStr">
        <is>
          <t>Generalist</t>
        </is>
      </c>
    </row>
    <row r="443">
      <c r="A443" t="inlineStr">
        <is>
          <t>Cinnamon</t>
        </is>
      </c>
      <c r="B443" t="inlineStr">
        <is>
          <t>Hops</t>
        </is>
      </c>
      <c r="C443" t="n">
        <v>50</v>
      </c>
      <c r="E443" t="inlineStr">
        <is>
          <t>unclassified</t>
        </is>
      </c>
      <c r="G443" t="inlineStr">
        <is>
          <t>General</t>
        </is>
      </c>
      <c r="H443" t="inlineStr">
        <is>
          <t>General</t>
        </is>
      </c>
      <c r="I443" t="inlineStr">
        <is>
          <t>Generalist</t>
        </is>
      </c>
      <c r="J443" t="inlineStr">
        <is>
          <t>Generalist</t>
        </is>
      </c>
    </row>
    <row r="444">
      <c r="A444" t="inlineStr">
        <is>
          <t>Cinnamon</t>
        </is>
      </c>
      <c r="B444" t="inlineStr">
        <is>
          <t>Houttuynia</t>
        </is>
      </c>
      <c r="C444" t="n">
        <v>50</v>
      </c>
      <c r="E444" t="inlineStr">
        <is>
          <t>unclassified</t>
        </is>
      </c>
      <c r="G444" t="inlineStr">
        <is>
          <t>General</t>
        </is>
      </c>
      <c r="H444" t="inlineStr">
        <is>
          <t>General</t>
        </is>
      </c>
      <c r="I444" t="inlineStr">
        <is>
          <t>Generalist</t>
        </is>
      </c>
      <c r="J444" t="inlineStr">
        <is>
          <t>Generalist</t>
        </is>
      </c>
    </row>
    <row r="445">
      <c r="A445" t="inlineStr">
        <is>
          <t>Cinnamon</t>
        </is>
      </c>
      <c r="B445" t="inlineStr">
        <is>
          <t>Isatis</t>
        </is>
      </c>
      <c r="C445" t="n">
        <v>50</v>
      </c>
      <c r="E445" t="inlineStr">
        <is>
          <t>unclassified</t>
        </is>
      </c>
      <c r="G445" t="inlineStr">
        <is>
          <t>General</t>
        </is>
      </c>
      <c r="H445" t="inlineStr">
        <is>
          <t>General</t>
        </is>
      </c>
      <c r="I445" t="inlineStr">
        <is>
          <t>Generalist</t>
        </is>
      </c>
      <c r="J445" t="inlineStr">
        <is>
          <t>Generalist</t>
        </is>
      </c>
    </row>
    <row r="446">
      <c r="A446" t="inlineStr">
        <is>
          <t>Cinnamon</t>
        </is>
      </c>
      <c r="B446" t="inlineStr">
        <is>
          <t>Jatamansi</t>
        </is>
      </c>
      <c r="C446" t="n">
        <v>50</v>
      </c>
      <c r="E446" t="inlineStr">
        <is>
          <t>unclassified</t>
        </is>
      </c>
      <c r="G446" t="inlineStr">
        <is>
          <t>General</t>
        </is>
      </c>
      <c r="H446" t="inlineStr">
        <is>
          <t>General</t>
        </is>
      </c>
      <c r="I446" t="inlineStr">
        <is>
          <t>Generalist</t>
        </is>
      </c>
      <c r="J446" t="inlineStr">
        <is>
          <t>Generalist</t>
        </is>
      </c>
    </row>
    <row r="447">
      <c r="A447" t="inlineStr">
        <is>
          <t>Cinnamon</t>
        </is>
      </c>
      <c r="B447" t="inlineStr">
        <is>
          <t>Lemon Verbena</t>
        </is>
      </c>
      <c r="C447" t="n">
        <v>50</v>
      </c>
      <c r="E447" t="inlineStr">
        <is>
          <t>unclassified</t>
        </is>
      </c>
      <c r="G447" t="inlineStr">
        <is>
          <t>General</t>
        </is>
      </c>
      <c r="H447" t="inlineStr">
        <is>
          <t>General</t>
        </is>
      </c>
      <c r="I447" t="inlineStr">
        <is>
          <t>Generalist</t>
        </is>
      </c>
      <c r="J447" t="inlineStr">
        <is>
          <t>Generalist</t>
        </is>
      </c>
    </row>
    <row r="448">
      <c r="A448" t="inlineStr">
        <is>
          <t>Cinnamon</t>
        </is>
      </c>
      <c r="B448" t="inlineStr">
        <is>
          <t>Lemongrass</t>
        </is>
      </c>
      <c r="C448" t="n">
        <v>50</v>
      </c>
      <c r="E448" t="inlineStr">
        <is>
          <t>unclassified</t>
        </is>
      </c>
      <c r="G448" t="inlineStr">
        <is>
          <t>General</t>
        </is>
      </c>
      <c r="H448" t="inlineStr">
        <is>
          <t>General</t>
        </is>
      </c>
      <c r="I448" t="inlineStr">
        <is>
          <t>Generalist</t>
        </is>
      </c>
      <c r="J448" t="inlineStr">
        <is>
          <t>Generalist</t>
        </is>
      </c>
    </row>
    <row r="449">
      <c r="A449" t="inlineStr">
        <is>
          <t>Cinnamon</t>
        </is>
      </c>
      <c r="B449" t="inlineStr">
        <is>
          <t>Longan</t>
        </is>
      </c>
      <c r="C449" t="n">
        <v>50</v>
      </c>
      <c r="E449" t="inlineStr">
        <is>
          <t>unclassified</t>
        </is>
      </c>
      <c r="G449" t="inlineStr">
        <is>
          <t>General</t>
        </is>
      </c>
      <c r="H449" t="inlineStr">
        <is>
          <t>General</t>
        </is>
      </c>
      <c r="I449" t="inlineStr">
        <is>
          <t>Generalist</t>
        </is>
      </c>
      <c r="J449" t="inlineStr">
        <is>
          <t>Generalist</t>
        </is>
      </c>
    </row>
    <row r="450">
      <c r="A450" t="inlineStr">
        <is>
          <t>Cinnamon</t>
        </is>
      </c>
      <c r="B450" t="inlineStr">
        <is>
          <t>Maitake D-Fraction</t>
        </is>
      </c>
      <c r="C450" t="n">
        <v>50</v>
      </c>
      <c r="E450" t="inlineStr">
        <is>
          <t>unclassified</t>
        </is>
      </c>
      <c r="G450" t="inlineStr">
        <is>
          <t>General</t>
        </is>
      </c>
      <c r="H450" t="inlineStr">
        <is>
          <t>General</t>
        </is>
      </c>
      <c r="I450" t="inlineStr">
        <is>
          <t>Generalist</t>
        </is>
      </c>
      <c r="J450" t="inlineStr">
        <is>
          <t>Generalist</t>
        </is>
      </c>
    </row>
    <row r="451">
      <c r="A451" t="inlineStr">
        <is>
          <t>Cinnamon</t>
        </is>
      </c>
      <c r="B451" t="inlineStr">
        <is>
          <t>Milk Oats</t>
        </is>
      </c>
      <c r="C451" t="n">
        <v>50</v>
      </c>
      <c r="E451" t="inlineStr">
        <is>
          <t>unclassified</t>
        </is>
      </c>
      <c r="G451" t="inlineStr">
        <is>
          <t>General</t>
        </is>
      </c>
      <c r="H451" t="inlineStr">
        <is>
          <t>General</t>
        </is>
      </c>
      <c r="I451" t="inlineStr">
        <is>
          <t>Generalist</t>
        </is>
      </c>
      <c r="J451" t="inlineStr">
        <is>
          <t>Generalist</t>
        </is>
      </c>
    </row>
    <row r="452">
      <c r="A452" t="inlineStr">
        <is>
          <t>Cinnamon</t>
        </is>
      </c>
      <c r="B452" t="inlineStr">
        <is>
          <t>Mugwort</t>
        </is>
      </c>
      <c r="C452" t="n">
        <v>50</v>
      </c>
      <c r="E452" t="inlineStr">
        <is>
          <t>unclassified</t>
        </is>
      </c>
      <c r="G452" t="inlineStr">
        <is>
          <t>General</t>
        </is>
      </c>
      <c r="H452" t="inlineStr">
        <is>
          <t>General</t>
        </is>
      </c>
      <c r="I452" t="inlineStr">
        <is>
          <t>Generalist</t>
        </is>
      </c>
      <c r="J452" t="inlineStr">
        <is>
          <t>Generalist</t>
        </is>
      </c>
    </row>
    <row r="453">
      <c r="A453" t="inlineStr">
        <is>
          <t>Cinnamon</t>
        </is>
      </c>
      <c r="B453" t="inlineStr">
        <is>
          <t>Muira Puama</t>
        </is>
      </c>
      <c r="C453" t="n">
        <v>50</v>
      </c>
      <c r="E453" t="inlineStr">
        <is>
          <t>unclassified</t>
        </is>
      </c>
      <c r="G453" t="inlineStr">
        <is>
          <t>General</t>
        </is>
      </c>
      <c r="H453" t="inlineStr">
        <is>
          <t>General</t>
        </is>
      </c>
      <c r="I453" t="inlineStr">
        <is>
          <t>Generalist</t>
        </is>
      </c>
      <c r="J453" t="inlineStr">
        <is>
          <t>Generalist</t>
        </is>
      </c>
    </row>
    <row r="454">
      <c r="A454" t="inlineStr">
        <is>
          <t>Cinnamon</t>
        </is>
      </c>
      <c r="B454" t="inlineStr">
        <is>
          <t>Mulberry Leaf</t>
        </is>
      </c>
      <c r="C454" t="n">
        <v>50</v>
      </c>
      <c r="E454" t="inlineStr">
        <is>
          <t>unclassified</t>
        </is>
      </c>
      <c r="G454" t="inlineStr">
        <is>
          <t>General</t>
        </is>
      </c>
      <c r="H454" t="inlineStr">
        <is>
          <t>General</t>
        </is>
      </c>
      <c r="I454" t="inlineStr">
        <is>
          <t>Generalist</t>
        </is>
      </c>
      <c r="J454" t="inlineStr">
        <is>
          <t>Generalist</t>
        </is>
      </c>
    </row>
    <row r="455">
      <c r="A455" t="inlineStr">
        <is>
          <t>Cinnamon</t>
        </is>
      </c>
      <c r="B455" t="inlineStr">
        <is>
          <t>Myrtle</t>
        </is>
      </c>
      <c r="C455" t="n">
        <v>50</v>
      </c>
      <c r="E455" t="inlineStr">
        <is>
          <t>unclassified</t>
        </is>
      </c>
      <c r="G455" t="inlineStr">
        <is>
          <t>General</t>
        </is>
      </c>
      <c r="H455" t="inlineStr">
        <is>
          <t>General</t>
        </is>
      </c>
      <c r="I455" t="inlineStr">
        <is>
          <t>Generalist</t>
        </is>
      </c>
      <c r="J455" t="inlineStr">
        <is>
          <t>Generalist</t>
        </is>
      </c>
    </row>
    <row r="456">
      <c r="A456" t="inlineStr">
        <is>
          <t>Cinnamon</t>
        </is>
      </c>
      <c r="B456" t="inlineStr">
        <is>
          <t>Neem</t>
        </is>
      </c>
      <c r="C456" t="n">
        <v>50</v>
      </c>
      <c r="E456" t="inlineStr">
        <is>
          <t>unclassified</t>
        </is>
      </c>
      <c r="G456" t="inlineStr">
        <is>
          <t>General</t>
        </is>
      </c>
      <c r="H456" t="inlineStr">
        <is>
          <t>General</t>
        </is>
      </c>
      <c r="I456" t="inlineStr">
        <is>
          <t>Generalist</t>
        </is>
      </c>
      <c r="J456" t="inlineStr">
        <is>
          <t>Generalist</t>
        </is>
      </c>
    </row>
    <row r="457">
      <c r="A457" t="inlineStr">
        <is>
          <t>Cinnamon</t>
        </is>
      </c>
      <c r="B457" t="inlineStr">
        <is>
          <t>Nettle Root</t>
        </is>
      </c>
      <c r="C457" t="n">
        <v>50</v>
      </c>
      <c r="E457" t="inlineStr">
        <is>
          <t>unclassified</t>
        </is>
      </c>
      <c r="G457" t="inlineStr">
        <is>
          <t>General</t>
        </is>
      </c>
      <c r="H457" t="inlineStr">
        <is>
          <t>General</t>
        </is>
      </c>
      <c r="I457" t="inlineStr">
        <is>
          <t>Generalist</t>
        </is>
      </c>
      <c r="J457" t="inlineStr">
        <is>
          <t>Generalist</t>
        </is>
      </c>
    </row>
    <row r="458">
      <c r="A458" t="inlineStr">
        <is>
          <t>Cinnamon</t>
        </is>
      </c>
      <c r="B458" t="inlineStr">
        <is>
          <t>Noni</t>
        </is>
      </c>
      <c r="C458" t="n">
        <v>50</v>
      </c>
      <c r="E458" t="inlineStr">
        <is>
          <t>unclassified</t>
        </is>
      </c>
      <c r="G458" t="inlineStr">
        <is>
          <t>General</t>
        </is>
      </c>
      <c r="H458" t="inlineStr">
        <is>
          <t>General</t>
        </is>
      </c>
      <c r="I458" t="inlineStr">
        <is>
          <t>Generalist</t>
        </is>
      </c>
      <c r="J458" t="inlineStr">
        <is>
          <t>Generalist</t>
        </is>
      </c>
    </row>
    <row r="459">
      <c r="A459" t="inlineStr">
        <is>
          <t>Cinnamon</t>
        </is>
      </c>
      <c r="B459" t="inlineStr">
        <is>
          <t>Oatstraw</t>
        </is>
      </c>
      <c r="C459" t="n">
        <v>50</v>
      </c>
      <c r="E459" t="inlineStr">
        <is>
          <t>unclassified</t>
        </is>
      </c>
      <c r="G459" t="inlineStr">
        <is>
          <t>General</t>
        </is>
      </c>
      <c r="H459" t="inlineStr">
        <is>
          <t>General</t>
        </is>
      </c>
      <c r="I459" t="inlineStr">
        <is>
          <t>Generalist</t>
        </is>
      </c>
      <c r="J459" t="inlineStr">
        <is>
          <t>Generalist</t>
        </is>
      </c>
    </row>
    <row r="460">
      <c r="A460" t="inlineStr">
        <is>
          <t>Cinnamon</t>
        </is>
      </c>
      <c r="B460" t="inlineStr">
        <is>
          <t>Passionflower</t>
        </is>
      </c>
      <c r="C460" t="n">
        <v>50</v>
      </c>
      <c r="E460" t="inlineStr">
        <is>
          <t>unclassified</t>
        </is>
      </c>
      <c r="G460" t="inlineStr">
        <is>
          <t>General</t>
        </is>
      </c>
      <c r="H460" t="inlineStr">
        <is>
          <t>General</t>
        </is>
      </c>
      <c r="I460" t="inlineStr">
        <is>
          <t>Generalist</t>
        </is>
      </c>
      <c r="J460" t="inlineStr">
        <is>
          <t>Generalist</t>
        </is>
      </c>
    </row>
    <row r="461">
      <c r="A461" t="inlineStr">
        <is>
          <t>Cinnamon</t>
        </is>
      </c>
      <c r="B461" t="inlineStr">
        <is>
          <t>Pau d'Arco</t>
        </is>
      </c>
      <c r="C461" t="n">
        <v>50</v>
      </c>
      <c r="E461" t="inlineStr">
        <is>
          <t>unclassified</t>
        </is>
      </c>
      <c r="G461" t="inlineStr">
        <is>
          <t>General</t>
        </is>
      </c>
      <c r="H461" t="inlineStr">
        <is>
          <t>General</t>
        </is>
      </c>
      <c r="I461" t="inlineStr">
        <is>
          <t>Generalist</t>
        </is>
      </c>
      <c r="J461" t="inlineStr">
        <is>
          <t>Generalist</t>
        </is>
      </c>
    </row>
    <row r="462">
      <c r="A462" t="inlineStr">
        <is>
          <t>Cinnamon</t>
        </is>
      </c>
      <c r="B462" t="inlineStr">
        <is>
          <t>Perilla</t>
        </is>
      </c>
      <c r="C462" t="n">
        <v>50</v>
      </c>
      <c r="E462" t="inlineStr">
        <is>
          <t>unclassified</t>
        </is>
      </c>
      <c r="G462" t="inlineStr">
        <is>
          <t>General</t>
        </is>
      </c>
      <c r="H462" t="inlineStr">
        <is>
          <t>General</t>
        </is>
      </c>
      <c r="I462" t="inlineStr">
        <is>
          <t>Generalist</t>
        </is>
      </c>
      <c r="J462" t="inlineStr">
        <is>
          <t>Generalist</t>
        </is>
      </c>
    </row>
    <row r="463">
      <c r="A463" t="inlineStr">
        <is>
          <t>Cinnamon</t>
        </is>
      </c>
      <c r="B463" t="inlineStr">
        <is>
          <t>Pomegranate</t>
        </is>
      </c>
      <c r="C463" t="n">
        <v>50</v>
      </c>
      <c r="E463" t="inlineStr">
        <is>
          <t>unclassified</t>
        </is>
      </c>
      <c r="G463" t="inlineStr">
        <is>
          <t>General</t>
        </is>
      </c>
      <c r="H463" t="inlineStr">
        <is>
          <t>General</t>
        </is>
      </c>
      <c r="I463" t="inlineStr">
        <is>
          <t>Generalist</t>
        </is>
      </c>
      <c r="J463" t="inlineStr">
        <is>
          <t>Generalist</t>
        </is>
      </c>
    </row>
    <row r="464">
      <c r="A464" t="inlineStr">
        <is>
          <t>Cinnamon</t>
        </is>
      </c>
      <c r="B464" t="inlineStr">
        <is>
          <t>Poria</t>
        </is>
      </c>
      <c r="C464" t="n">
        <v>50</v>
      </c>
      <c r="E464" t="inlineStr">
        <is>
          <t>unclassified</t>
        </is>
      </c>
      <c r="G464" t="inlineStr">
        <is>
          <t>General</t>
        </is>
      </c>
      <c r="H464" t="inlineStr">
        <is>
          <t>General</t>
        </is>
      </c>
      <c r="I464" t="inlineStr">
        <is>
          <t>Generalist</t>
        </is>
      </c>
      <c r="J464" t="inlineStr">
        <is>
          <t>Generalist</t>
        </is>
      </c>
    </row>
    <row r="465">
      <c r="A465" t="inlineStr">
        <is>
          <t>Cinnamon</t>
        </is>
      </c>
      <c r="B465" t="inlineStr">
        <is>
          <t>Punarnava</t>
        </is>
      </c>
      <c r="C465" t="n">
        <v>50</v>
      </c>
      <c r="E465" t="inlineStr">
        <is>
          <t>unclassified</t>
        </is>
      </c>
      <c r="G465" t="inlineStr">
        <is>
          <t>General</t>
        </is>
      </c>
      <c r="H465" t="inlineStr">
        <is>
          <t>General</t>
        </is>
      </c>
      <c r="I465" t="inlineStr">
        <is>
          <t>Generalist</t>
        </is>
      </c>
      <c r="J465" t="inlineStr">
        <is>
          <t>Generalist</t>
        </is>
      </c>
    </row>
    <row r="466">
      <c r="A466" t="inlineStr">
        <is>
          <t>Cinnamon</t>
        </is>
      </c>
      <c r="B466" t="inlineStr">
        <is>
          <t>Red Clover</t>
        </is>
      </c>
      <c r="C466" t="n">
        <v>50</v>
      </c>
      <c r="E466" t="inlineStr">
        <is>
          <t>unclassified</t>
        </is>
      </c>
      <c r="G466" t="inlineStr">
        <is>
          <t>General</t>
        </is>
      </c>
      <c r="H466" t="inlineStr">
        <is>
          <t>General</t>
        </is>
      </c>
      <c r="I466" t="inlineStr">
        <is>
          <t>Generalist</t>
        </is>
      </c>
      <c r="J466" t="inlineStr">
        <is>
          <t>Generalist</t>
        </is>
      </c>
    </row>
    <row r="467">
      <c r="A467" t="inlineStr">
        <is>
          <t>Cinnamon</t>
        </is>
      </c>
      <c r="B467" t="inlineStr">
        <is>
          <t>Rehmannia Prepared</t>
        </is>
      </c>
      <c r="C467" t="n">
        <v>50</v>
      </c>
      <c r="E467" t="inlineStr">
        <is>
          <t>unclassified</t>
        </is>
      </c>
      <c r="G467" t="inlineStr">
        <is>
          <t>General</t>
        </is>
      </c>
      <c r="H467" t="inlineStr">
        <is>
          <t>General</t>
        </is>
      </c>
      <c r="I467" t="inlineStr">
        <is>
          <t>Generalist</t>
        </is>
      </c>
      <c r="J467" t="inlineStr">
        <is>
          <t>Generalist</t>
        </is>
      </c>
    </row>
    <row r="468">
      <c r="A468" t="inlineStr">
        <is>
          <t>Cinnamon</t>
        </is>
      </c>
      <c r="B468" t="inlineStr">
        <is>
          <t>Reishi</t>
        </is>
      </c>
      <c r="C468" t="n">
        <v>50</v>
      </c>
      <c r="E468" t="inlineStr">
        <is>
          <t>unclassified</t>
        </is>
      </c>
      <c r="G468" t="inlineStr">
        <is>
          <t>General</t>
        </is>
      </c>
      <c r="H468" t="inlineStr">
        <is>
          <t>General</t>
        </is>
      </c>
      <c r="I468" t="inlineStr">
        <is>
          <t>Generalist</t>
        </is>
      </c>
      <c r="J468" t="inlineStr">
        <is>
          <t>Generalist</t>
        </is>
      </c>
    </row>
    <row r="469">
      <c r="A469" t="inlineStr">
        <is>
          <t>Cinnamon</t>
        </is>
      </c>
      <c r="B469" t="inlineStr">
        <is>
          <t>Rose Hips</t>
        </is>
      </c>
      <c r="C469" t="n">
        <v>50</v>
      </c>
      <c r="E469" t="inlineStr">
        <is>
          <t>unclassified</t>
        </is>
      </c>
      <c r="G469" t="inlineStr">
        <is>
          <t>General</t>
        </is>
      </c>
      <c r="H469" t="inlineStr">
        <is>
          <t>General</t>
        </is>
      </c>
      <c r="I469" t="inlineStr">
        <is>
          <t>Generalist</t>
        </is>
      </c>
      <c r="J469" t="inlineStr">
        <is>
          <t>Generalist</t>
        </is>
      </c>
    </row>
    <row r="470">
      <c r="A470" t="inlineStr">
        <is>
          <t>Cinnamon</t>
        </is>
      </c>
      <c r="B470" t="inlineStr">
        <is>
          <t>Sophora Flavescens</t>
        </is>
      </c>
      <c r="C470" t="n">
        <v>50</v>
      </c>
      <c r="E470" t="inlineStr">
        <is>
          <t>unclassified</t>
        </is>
      </c>
      <c r="G470" t="inlineStr">
        <is>
          <t>General</t>
        </is>
      </c>
      <c r="H470" t="inlineStr">
        <is>
          <t>General</t>
        </is>
      </c>
      <c r="I470" t="inlineStr">
        <is>
          <t>Generalist</t>
        </is>
      </c>
      <c r="J470" t="inlineStr">
        <is>
          <t>Generalist</t>
        </is>
      </c>
    </row>
    <row r="471">
      <c r="A471" t="inlineStr">
        <is>
          <t>Cinnamon</t>
        </is>
      </c>
      <c r="B471" t="inlineStr">
        <is>
          <t>Soursop</t>
        </is>
      </c>
      <c r="C471" t="n">
        <v>50</v>
      </c>
      <c r="E471" t="inlineStr">
        <is>
          <t>unclassified</t>
        </is>
      </c>
      <c r="G471" t="inlineStr">
        <is>
          <t>General</t>
        </is>
      </c>
      <c r="H471" t="inlineStr">
        <is>
          <t>General</t>
        </is>
      </c>
      <c r="I471" t="inlineStr">
        <is>
          <t>Generalist</t>
        </is>
      </c>
      <c r="J471" t="inlineStr">
        <is>
          <t>Generalist</t>
        </is>
      </c>
    </row>
    <row r="472">
      <c r="A472" t="inlineStr">
        <is>
          <t>Cinnamon</t>
        </is>
      </c>
      <c r="B472" t="inlineStr">
        <is>
          <t>Tamarind</t>
        </is>
      </c>
      <c r="C472" t="n">
        <v>50</v>
      </c>
      <c r="E472" t="inlineStr">
        <is>
          <t>unclassified</t>
        </is>
      </c>
      <c r="G472" t="inlineStr">
        <is>
          <t>General</t>
        </is>
      </c>
      <c r="H472" t="inlineStr">
        <is>
          <t>General</t>
        </is>
      </c>
      <c r="I472" t="inlineStr">
        <is>
          <t>Generalist</t>
        </is>
      </c>
      <c r="J472" t="inlineStr">
        <is>
          <t>Generalist</t>
        </is>
      </c>
    </row>
    <row r="473">
      <c r="A473" t="inlineStr">
        <is>
          <t>Cinnamon</t>
        </is>
      </c>
      <c r="B473" t="inlineStr">
        <is>
          <t>White Peony</t>
        </is>
      </c>
      <c r="C473" t="n">
        <v>50</v>
      </c>
      <c r="E473" t="inlineStr">
        <is>
          <t>unclassified</t>
        </is>
      </c>
      <c r="G473" t="inlineStr">
        <is>
          <t>General</t>
        </is>
      </c>
      <c r="H473" t="inlineStr">
        <is>
          <t>General</t>
        </is>
      </c>
      <c r="I473" t="inlineStr">
        <is>
          <t>Generalist</t>
        </is>
      </c>
      <c r="J473" t="inlineStr">
        <is>
          <t>Generalist</t>
        </is>
      </c>
    </row>
    <row r="474">
      <c r="A474" t="inlineStr">
        <is>
          <t>Cinnamon</t>
        </is>
      </c>
      <c r="B474" t="inlineStr">
        <is>
          <t>Yohimbe</t>
        </is>
      </c>
      <c r="C474" t="n">
        <v>50</v>
      </c>
      <c r="E474" t="inlineStr">
        <is>
          <t>unclassified</t>
        </is>
      </c>
      <c r="G474" t="inlineStr">
        <is>
          <t>General</t>
        </is>
      </c>
      <c r="H474" t="inlineStr">
        <is>
          <t>General</t>
        </is>
      </c>
      <c r="I474" t="inlineStr">
        <is>
          <t>Generalist</t>
        </is>
      </c>
      <c r="J474" t="inlineStr">
        <is>
          <t>Generalist</t>
        </is>
      </c>
    </row>
    <row r="475">
      <c r="A475" t="inlineStr">
        <is>
          <t>Cistanche</t>
        </is>
      </c>
      <c r="B475" t="inlineStr">
        <is>
          <t>Agarikon</t>
        </is>
      </c>
      <c r="C475" t="n">
        <v>50</v>
      </c>
      <c r="E475" t="inlineStr">
        <is>
          <t>unclassified</t>
        </is>
      </c>
      <c r="G475" t="inlineStr">
        <is>
          <t>General</t>
        </is>
      </c>
      <c r="H475" t="inlineStr">
        <is>
          <t>General</t>
        </is>
      </c>
      <c r="I475" t="inlineStr">
        <is>
          <t>Generalist</t>
        </is>
      </c>
      <c r="J475" t="inlineStr">
        <is>
          <t>Generalist</t>
        </is>
      </c>
    </row>
    <row r="476">
      <c r="A476" t="inlineStr">
        <is>
          <t>Cistanche</t>
        </is>
      </c>
      <c r="B476" t="inlineStr">
        <is>
          <t>Ajwain</t>
        </is>
      </c>
      <c r="C476" t="n">
        <v>50</v>
      </c>
      <c r="E476" t="inlineStr">
        <is>
          <t>unclassified</t>
        </is>
      </c>
      <c r="G476" t="inlineStr">
        <is>
          <t>General</t>
        </is>
      </c>
      <c r="H476" t="inlineStr">
        <is>
          <t>General</t>
        </is>
      </c>
      <c r="I476" t="inlineStr">
        <is>
          <t>Generalist</t>
        </is>
      </c>
      <c r="J476" t="inlineStr">
        <is>
          <t>Generalist</t>
        </is>
      </c>
    </row>
    <row r="477">
      <c r="A477" t="inlineStr">
        <is>
          <t>Cistanche</t>
        </is>
      </c>
      <c r="B477" t="inlineStr">
        <is>
          <t>Angelica Root</t>
        </is>
      </c>
      <c r="C477" t="n">
        <v>50</v>
      </c>
      <c r="E477" t="inlineStr">
        <is>
          <t>unclassified</t>
        </is>
      </c>
      <c r="G477" t="inlineStr">
        <is>
          <t>General</t>
        </is>
      </c>
      <c r="H477" t="inlineStr">
        <is>
          <t>General</t>
        </is>
      </c>
      <c r="I477" t="inlineStr">
        <is>
          <t>Generalist</t>
        </is>
      </c>
      <c r="J477" t="inlineStr">
        <is>
          <t>Generalist</t>
        </is>
      </c>
    </row>
    <row r="478">
      <c r="A478" t="inlineStr">
        <is>
          <t>Cistanche</t>
        </is>
      </c>
      <c r="B478" t="inlineStr">
        <is>
          <t>Caraway</t>
        </is>
      </c>
      <c r="C478" t="n">
        <v>50</v>
      </c>
      <c r="E478" t="inlineStr">
        <is>
          <t>unclassified</t>
        </is>
      </c>
      <c r="G478" t="inlineStr">
        <is>
          <t>General</t>
        </is>
      </c>
      <c r="H478" t="inlineStr">
        <is>
          <t>General</t>
        </is>
      </c>
      <c r="I478" t="inlineStr">
        <is>
          <t>Generalist</t>
        </is>
      </c>
      <c r="J478" t="inlineStr">
        <is>
          <t>Generalist</t>
        </is>
      </c>
    </row>
    <row r="479">
      <c r="A479" t="inlineStr">
        <is>
          <t>Cistanche</t>
        </is>
      </c>
      <c r="B479" t="inlineStr">
        <is>
          <t>Cardamom</t>
        </is>
      </c>
      <c r="C479" t="n">
        <v>50</v>
      </c>
      <c r="E479" t="inlineStr">
        <is>
          <t>unclassified</t>
        </is>
      </c>
      <c r="G479" t="inlineStr">
        <is>
          <t>General</t>
        </is>
      </c>
      <c r="H479" t="inlineStr">
        <is>
          <t>General</t>
        </is>
      </c>
      <c r="I479" t="inlineStr">
        <is>
          <t>Generalist</t>
        </is>
      </c>
      <c r="J479" t="inlineStr">
        <is>
          <t>Generalist</t>
        </is>
      </c>
    </row>
    <row r="480">
      <c r="A480" t="inlineStr">
        <is>
          <t>Cistanche</t>
        </is>
      </c>
      <c r="B480" t="inlineStr">
        <is>
          <t>Celastrus Paniculatus</t>
        </is>
      </c>
      <c r="C480" t="n">
        <v>50</v>
      </c>
      <c r="E480" t="inlineStr">
        <is>
          <t>unclassified</t>
        </is>
      </c>
      <c r="G480" t="inlineStr">
        <is>
          <t>General</t>
        </is>
      </c>
      <c r="H480" t="inlineStr">
        <is>
          <t>General</t>
        </is>
      </c>
      <c r="I480" t="inlineStr">
        <is>
          <t>Generalist</t>
        </is>
      </c>
      <c r="J480" t="inlineStr">
        <is>
          <t>Generalist</t>
        </is>
      </c>
    </row>
    <row r="481">
      <c r="A481" t="inlineStr">
        <is>
          <t>Cistanche</t>
        </is>
      </c>
      <c r="B481" t="inlineStr">
        <is>
          <t>Cordyceps</t>
        </is>
      </c>
      <c r="C481" t="n">
        <v>50</v>
      </c>
      <c r="E481" t="inlineStr">
        <is>
          <t>unclassified</t>
        </is>
      </c>
      <c r="G481" t="inlineStr">
        <is>
          <t>General</t>
        </is>
      </c>
      <c r="H481" t="inlineStr">
        <is>
          <t>General</t>
        </is>
      </c>
      <c r="I481" t="inlineStr">
        <is>
          <t>Generalist</t>
        </is>
      </c>
      <c r="J481" t="inlineStr">
        <is>
          <t>Generalist</t>
        </is>
      </c>
    </row>
    <row r="482">
      <c r="A482" t="inlineStr">
        <is>
          <t>Cistanche</t>
        </is>
      </c>
      <c r="B482" t="inlineStr">
        <is>
          <t>Dendrobium</t>
        </is>
      </c>
      <c r="C482" t="n">
        <v>50</v>
      </c>
      <c r="E482" t="inlineStr">
        <is>
          <t>unclassified</t>
        </is>
      </c>
      <c r="G482" t="inlineStr">
        <is>
          <t>General</t>
        </is>
      </c>
      <c r="H482" t="inlineStr">
        <is>
          <t>General</t>
        </is>
      </c>
      <c r="I482" t="inlineStr">
        <is>
          <t>Generalist</t>
        </is>
      </c>
      <c r="J482" t="inlineStr">
        <is>
          <t>Generalist</t>
        </is>
      </c>
    </row>
    <row r="483">
      <c r="A483" t="inlineStr">
        <is>
          <t>Cistanche</t>
        </is>
      </c>
      <c r="B483" t="inlineStr">
        <is>
          <t>Elecampane</t>
        </is>
      </c>
      <c r="C483" t="n">
        <v>50</v>
      </c>
      <c r="E483" t="inlineStr">
        <is>
          <t>unclassified</t>
        </is>
      </c>
      <c r="G483" t="inlineStr">
        <is>
          <t>General</t>
        </is>
      </c>
      <c r="H483" t="inlineStr">
        <is>
          <t>General</t>
        </is>
      </c>
      <c r="I483" t="inlineStr">
        <is>
          <t>Generalist</t>
        </is>
      </c>
      <c r="J483" t="inlineStr">
        <is>
          <t>Generalist</t>
        </is>
      </c>
    </row>
    <row r="484">
      <c r="A484" t="inlineStr">
        <is>
          <t>Cistanche</t>
        </is>
      </c>
      <c r="B484" t="inlineStr">
        <is>
          <t>Eleuthero</t>
        </is>
      </c>
      <c r="C484" t="n">
        <v>50</v>
      </c>
      <c r="E484" t="inlineStr">
        <is>
          <t>unclassified</t>
        </is>
      </c>
      <c r="G484" t="inlineStr">
        <is>
          <t>General</t>
        </is>
      </c>
      <c r="H484" t="inlineStr">
        <is>
          <t>General</t>
        </is>
      </c>
      <c r="I484" t="inlineStr">
        <is>
          <t>Generalist</t>
        </is>
      </c>
      <c r="J484" t="inlineStr">
        <is>
          <t>Generalist</t>
        </is>
      </c>
    </row>
    <row r="485">
      <c r="A485" t="inlineStr">
        <is>
          <t>Cistanche</t>
        </is>
      </c>
      <c r="B485" t="inlineStr">
        <is>
          <t>Galangal</t>
        </is>
      </c>
      <c r="C485" t="n">
        <v>50</v>
      </c>
      <c r="E485" t="inlineStr">
        <is>
          <t>unclassified</t>
        </is>
      </c>
      <c r="G485" t="inlineStr">
        <is>
          <t>General</t>
        </is>
      </c>
      <c r="H485" t="inlineStr">
        <is>
          <t>General</t>
        </is>
      </c>
      <c r="I485" t="inlineStr">
        <is>
          <t>Generalist</t>
        </is>
      </c>
      <c r="J485" t="inlineStr">
        <is>
          <t>Generalist</t>
        </is>
      </c>
    </row>
    <row r="486">
      <c r="A486" t="inlineStr">
        <is>
          <t>Cistanche</t>
        </is>
      </c>
      <c r="B486" t="inlineStr">
        <is>
          <t>Gastrodia</t>
        </is>
      </c>
      <c r="C486" t="n">
        <v>50</v>
      </c>
      <c r="E486" t="inlineStr">
        <is>
          <t>unclassified</t>
        </is>
      </c>
      <c r="G486" t="inlineStr">
        <is>
          <t>General</t>
        </is>
      </c>
      <c r="H486" t="inlineStr">
        <is>
          <t>General</t>
        </is>
      </c>
      <c r="I486" t="inlineStr">
        <is>
          <t>Generalist</t>
        </is>
      </c>
      <c r="J486" t="inlineStr">
        <is>
          <t>Generalist</t>
        </is>
      </c>
    </row>
    <row r="487">
      <c r="A487" t="inlineStr">
        <is>
          <t>Cistanche</t>
        </is>
      </c>
      <c r="B487" t="inlineStr">
        <is>
          <t>Gudmar</t>
        </is>
      </c>
      <c r="C487" t="n">
        <v>50</v>
      </c>
      <c r="E487" t="inlineStr">
        <is>
          <t>unclassified</t>
        </is>
      </c>
      <c r="G487" t="inlineStr">
        <is>
          <t>General</t>
        </is>
      </c>
      <c r="H487" t="inlineStr">
        <is>
          <t>General</t>
        </is>
      </c>
      <c r="I487" t="inlineStr">
        <is>
          <t>Generalist</t>
        </is>
      </c>
      <c r="J487" t="inlineStr">
        <is>
          <t>Generalist</t>
        </is>
      </c>
    </row>
    <row r="488">
      <c r="A488" t="inlineStr">
        <is>
          <t>Cistanche</t>
        </is>
      </c>
      <c r="B488" t="inlineStr">
        <is>
          <t>Houttuynia</t>
        </is>
      </c>
      <c r="C488" t="n">
        <v>50</v>
      </c>
      <c r="E488" t="inlineStr">
        <is>
          <t>unclassified</t>
        </is>
      </c>
      <c r="G488" t="inlineStr">
        <is>
          <t>General</t>
        </is>
      </c>
      <c r="H488" t="inlineStr">
        <is>
          <t>General</t>
        </is>
      </c>
      <c r="I488" t="inlineStr">
        <is>
          <t>Generalist</t>
        </is>
      </c>
      <c r="J488" t="inlineStr">
        <is>
          <t>Generalist</t>
        </is>
      </c>
    </row>
    <row r="489">
      <c r="A489" t="inlineStr">
        <is>
          <t>Cistanche</t>
        </is>
      </c>
      <c r="B489" t="inlineStr">
        <is>
          <t>Isatis</t>
        </is>
      </c>
      <c r="C489" t="n">
        <v>50</v>
      </c>
      <c r="E489" t="inlineStr">
        <is>
          <t>unclassified</t>
        </is>
      </c>
      <c r="G489" t="inlineStr">
        <is>
          <t>General</t>
        </is>
      </c>
      <c r="H489" t="inlineStr">
        <is>
          <t>General</t>
        </is>
      </c>
      <c r="I489" t="inlineStr">
        <is>
          <t>Generalist</t>
        </is>
      </c>
      <c r="J489" t="inlineStr">
        <is>
          <t>Generalist</t>
        </is>
      </c>
    </row>
    <row r="490">
      <c r="A490" t="inlineStr">
        <is>
          <t>Cistanche</t>
        </is>
      </c>
      <c r="B490" t="inlineStr">
        <is>
          <t>Longan</t>
        </is>
      </c>
      <c r="C490" t="n">
        <v>50</v>
      </c>
      <c r="E490" t="inlineStr">
        <is>
          <t>unclassified</t>
        </is>
      </c>
      <c r="G490" t="inlineStr">
        <is>
          <t>General</t>
        </is>
      </c>
      <c r="H490" t="inlineStr">
        <is>
          <t>General</t>
        </is>
      </c>
      <c r="I490" t="inlineStr">
        <is>
          <t>Generalist</t>
        </is>
      </c>
      <c r="J490" t="inlineStr">
        <is>
          <t>Generalist</t>
        </is>
      </c>
    </row>
    <row r="491">
      <c r="A491" t="inlineStr">
        <is>
          <t>Cistanche</t>
        </is>
      </c>
      <c r="B491" t="inlineStr">
        <is>
          <t>Maitake D-Fraction</t>
        </is>
      </c>
      <c r="C491" t="n">
        <v>50</v>
      </c>
      <c r="E491" t="inlineStr">
        <is>
          <t>unclassified</t>
        </is>
      </c>
      <c r="G491" t="inlineStr">
        <is>
          <t>General</t>
        </is>
      </c>
      <c r="H491" t="inlineStr">
        <is>
          <t>General</t>
        </is>
      </c>
      <c r="I491" t="inlineStr">
        <is>
          <t>Generalist</t>
        </is>
      </c>
      <c r="J491" t="inlineStr">
        <is>
          <t>Generalist</t>
        </is>
      </c>
    </row>
    <row r="492">
      <c r="A492" t="inlineStr">
        <is>
          <t>Cistanche</t>
        </is>
      </c>
      <c r="B492" t="inlineStr">
        <is>
          <t>Muira Puama</t>
        </is>
      </c>
      <c r="C492" t="n">
        <v>50</v>
      </c>
      <c r="E492" t="inlineStr">
        <is>
          <t>unclassified</t>
        </is>
      </c>
      <c r="G492" t="inlineStr">
        <is>
          <t>General</t>
        </is>
      </c>
      <c r="H492" t="inlineStr">
        <is>
          <t>General</t>
        </is>
      </c>
      <c r="I492" t="inlineStr">
        <is>
          <t>Generalist</t>
        </is>
      </c>
      <c r="J492" t="inlineStr">
        <is>
          <t>Generalist</t>
        </is>
      </c>
    </row>
    <row r="493">
      <c r="A493" t="inlineStr">
        <is>
          <t>Cistanche</t>
        </is>
      </c>
      <c r="B493" t="inlineStr">
        <is>
          <t>Nettle Root</t>
        </is>
      </c>
      <c r="C493" t="n">
        <v>50</v>
      </c>
      <c r="E493" t="inlineStr">
        <is>
          <t>unclassified</t>
        </is>
      </c>
      <c r="G493" t="inlineStr">
        <is>
          <t>General</t>
        </is>
      </c>
      <c r="H493" t="inlineStr">
        <is>
          <t>General</t>
        </is>
      </c>
      <c r="I493" t="inlineStr">
        <is>
          <t>Generalist</t>
        </is>
      </c>
      <c r="J493" t="inlineStr">
        <is>
          <t>Generalist</t>
        </is>
      </c>
    </row>
    <row r="494">
      <c r="A494" t="inlineStr">
        <is>
          <t>Cistanche</t>
        </is>
      </c>
      <c r="B494" t="inlineStr">
        <is>
          <t>Passionflower</t>
        </is>
      </c>
      <c r="C494" t="n">
        <v>50</v>
      </c>
      <c r="E494" t="inlineStr">
        <is>
          <t>unclassified</t>
        </is>
      </c>
      <c r="G494" t="inlineStr">
        <is>
          <t>General</t>
        </is>
      </c>
      <c r="H494" t="inlineStr">
        <is>
          <t>General</t>
        </is>
      </c>
      <c r="I494" t="inlineStr">
        <is>
          <t>Generalist</t>
        </is>
      </c>
      <c r="J494" t="inlineStr">
        <is>
          <t>Generalist</t>
        </is>
      </c>
    </row>
    <row r="495">
      <c r="A495" t="inlineStr">
        <is>
          <t>Cistanche</t>
        </is>
      </c>
      <c r="B495" t="inlineStr">
        <is>
          <t>Poria</t>
        </is>
      </c>
      <c r="C495" t="n">
        <v>50</v>
      </c>
      <c r="E495" t="inlineStr">
        <is>
          <t>unclassified</t>
        </is>
      </c>
      <c r="G495" t="inlineStr">
        <is>
          <t>General</t>
        </is>
      </c>
      <c r="H495" t="inlineStr">
        <is>
          <t>General</t>
        </is>
      </c>
      <c r="I495" t="inlineStr">
        <is>
          <t>Generalist</t>
        </is>
      </c>
      <c r="J495" t="inlineStr">
        <is>
          <t>Generalist</t>
        </is>
      </c>
    </row>
    <row r="496">
      <c r="A496" t="inlineStr">
        <is>
          <t>Cistanche</t>
        </is>
      </c>
      <c r="B496" t="inlineStr">
        <is>
          <t>Punarnava</t>
        </is>
      </c>
      <c r="C496" t="n">
        <v>50</v>
      </c>
      <c r="E496" t="inlineStr">
        <is>
          <t>unclassified</t>
        </is>
      </c>
      <c r="G496" t="inlineStr">
        <is>
          <t>General</t>
        </is>
      </c>
      <c r="H496" t="inlineStr">
        <is>
          <t>General</t>
        </is>
      </c>
      <c r="I496" t="inlineStr">
        <is>
          <t>Generalist</t>
        </is>
      </c>
      <c r="J496" t="inlineStr">
        <is>
          <t>Generalist</t>
        </is>
      </c>
    </row>
    <row r="497">
      <c r="A497" t="inlineStr">
        <is>
          <t>Cistanche</t>
        </is>
      </c>
      <c r="B497" t="inlineStr">
        <is>
          <t>Rehmannia Prepared</t>
        </is>
      </c>
      <c r="C497" t="n">
        <v>50</v>
      </c>
      <c r="E497" t="inlineStr">
        <is>
          <t>unclassified</t>
        </is>
      </c>
      <c r="G497" t="inlineStr">
        <is>
          <t>General</t>
        </is>
      </c>
      <c r="H497" t="inlineStr">
        <is>
          <t>General</t>
        </is>
      </c>
      <c r="I497" t="inlineStr">
        <is>
          <t>Generalist</t>
        </is>
      </c>
      <c r="J497" t="inlineStr">
        <is>
          <t>Generalist</t>
        </is>
      </c>
    </row>
    <row r="498">
      <c r="A498" t="inlineStr">
        <is>
          <t>Cistanche</t>
        </is>
      </c>
      <c r="B498" t="inlineStr">
        <is>
          <t>Reishi</t>
        </is>
      </c>
      <c r="C498" t="n">
        <v>50</v>
      </c>
      <c r="E498" t="inlineStr">
        <is>
          <t>unclassified</t>
        </is>
      </c>
      <c r="G498" t="inlineStr">
        <is>
          <t>General</t>
        </is>
      </c>
      <c r="H498" t="inlineStr">
        <is>
          <t>General</t>
        </is>
      </c>
      <c r="I498" t="inlineStr">
        <is>
          <t>Generalist</t>
        </is>
      </c>
      <c r="J498" t="inlineStr">
        <is>
          <t>Generalist</t>
        </is>
      </c>
    </row>
    <row r="499">
      <c r="A499" t="inlineStr">
        <is>
          <t>Cistanche</t>
        </is>
      </c>
      <c r="B499" t="inlineStr">
        <is>
          <t>Sophora Flavescens</t>
        </is>
      </c>
      <c r="C499" t="n">
        <v>50</v>
      </c>
      <c r="E499" t="inlineStr">
        <is>
          <t>unclassified</t>
        </is>
      </c>
      <c r="G499" t="inlineStr">
        <is>
          <t>General</t>
        </is>
      </c>
      <c r="H499" t="inlineStr">
        <is>
          <t>General</t>
        </is>
      </c>
      <c r="I499" t="inlineStr">
        <is>
          <t>Generalist</t>
        </is>
      </c>
      <c r="J499" t="inlineStr">
        <is>
          <t>Generalist</t>
        </is>
      </c>
    </row>
    <row r="500">
      <c r="A500" t="inlineStr">
        <is>
          <t>Cistanche</t>
        </is>
      </c>
      <c r="B500" t="inlineStr">
        <is>
          <t>Tamarind</t>
        </is>
      </c>
      <c r="C500" t="n">
        <v>50</v>
      </c>
      <c r="E500" t="inlineStr">
        <is>
          <t>unclassified</t>
        </is>
      </c>
      <c r="G500" t="inlineStr">
        <is>
          <t>General</t>
        </is>
      </c>
      <c r="H500" t="inlineStr">
        <is>
          <t>General</t>
        </is>
      </c>
      <c r="I500" t="inlineStr">
        <is>
          <t>Generalist</t>
        </is>
      </c>
      <c r="J500" t="inlineStr">
        <is>
          <t>Generalist</t>
        </is>
      </c>
    </row>
    <row r="501">
      <c r="A501" t="inlineStr">
        <is>
          <t>Cistanche</t>
        </is>
      </c>
      <c r="B501" t="inlineStr">
        <is>
          <t>White Peony</t>
        </is>
      </c>
      <c r="C501" t="n">
        <v>50</v>
      </c>
      <c r="E501" t="inlineStr">
        <is>
          <t>unclassified</t>
        </is>
      </c>
      <c r="G501" t="inlineStr">
        <is>
          <t>General</t>
        </is>
      </c>
      <c r="H501" t="inlineStr">
        <is>
          <t>General</t>
        </is>
      </c>
      <c r="I501" t="inlineStr">
        <is>
          <t>Generalist</t>
        </is>
      </c>
      <c r="J501" t="inlineStr">
        <is>
          <t>Generalist</t>
        </is>
      </c>
    </row>
    <row r="502">
      <c r="A502" t="inlineStr">
        <is>
          <t>Cistanche</t>
        </is>
      </c>
      <c r="B502" t="inlineStr">
        <is>
          <t>Yohimbe</t>
        </is>
      </c>
      <c r="C502" t="n">
        <v>50</v>
      </c>
      <c r="E502" t="inlineStr">
        <is>
          <t>unclassified</t>
        </is>
      </c>
      <c r="G502" t="inlineStr">
        <is>
          <t>General</t>
        </is>
      </c>
      <c r="H502" t="inlineStr">
        <is>
          <t>General</t>
        </is>
      </c>
      <c r="I502" t="inlineStr">
        <is>
          <t>Generalist</t>
        </is>
      </c>
      <c r="J502" t="inlineStr">
        <is>
          <t>Generalist</t>
        </is>
      </c>
    </row>
    <row r="503">
      <c r="A503" t="inlineStr">
        <is>
          <t>Cordyceps</t>
        </is>
      </c>
      <c r="B503" t="inlineStr">
        <is>
          <t>Celastrus Paniculatus</t>
        </is>
      </c>
      <c r="C503" t="n">
        <v>50</v>
      </c>
      <c r="E503" t="inlineStr">
        <is>
          <t>unclassified</t>
        </is>
      </c>
      <c r="G503" t="inlineStr">
        <is>
          <t>General</t>
        </is>
      </c>
      <c r="H503" t="inlineStr">
        <is>
          <t>General</t>
        </is>
      </c>
      <c r="I503" t="inlineStr">
        <is>
          <t>Generalist</t>
        </is>
      </c>
      <c r="J503" t="inlineStr">
        <is>
          <t>Generalist</t>
        </is>
      </c>
    </row>
    <row r="504">
      <c r="A504" t="inlineStr">
        <is>
          <t>Cordyceps</t>
        </is>
      </c>
      <c r="B504" t="inlineStr">
        <is>
          <t>Eleuthero</t>
        </is>
      </c>
      <c r="C504" t="n">
        <v>50</v>
      </c>
      <c r="E504" t="inlineStr">
        <is>
          <t>unclassified</t>
        </is>
      </c>
      <c r="G504" t="inlineStr">
        <is>
          <t>General</t>
        </is>
      </c>
      <c r="H504" t="inlineStr">
        <is>
          <t>General</t>
        </is>
      </c>
      <c r="I504" t="inlineStr">
        <is>
          <t>Generalist</t>
        </is>
      </c>
      <c r="J504" t="inlineStr">
        <is>
          <t>Generalist</t>
        </is>
      </c>
    </row>
    <row r="505">
      <c r="A505" t="inlineStr">
        <is>
          <t>Cordyceps</t>
        </is>
      </c>
      <c r="B505" t="inlineStr">
        <is>
          <t>Nettle Root</t>
        </is>
      </c>
      <c r="C505" t="n">
        <v>50</v>
      </c>
      <c r="E505" t="inlineStr">
        <is>
          <t>unclassified</t>
        </is>
      </c>
      <c r="G505" t="inlineStr">
        <is>
          <t>General</t>
        </is>
      </c>
      <c r="H505" t="inlineStr">
        <is>
          <t>General</t>
        </is>
      </c>
      <c r="I505" t="inlineStr">
        <is>
          <t>Generalist</t>
        </is>
      </c>
      <c r="J505" t="inlineStr">
        <is>
          <t>Generalist</t>
        </is>
      </c>
    </row>
    <row r="506">
      <c r="A506" t="inlineStr">
        <is>
          <t>Cordyceps</t>
        </is>
      </c>
      <c r="B506" t="inlineStr">
        <is>
          <t>Passionflower</t>
        </is>
      </c>
      <c r="C506" t="n">
        <v>50</v>
      </c>
      <c r="E506" t="inlineStr">
        <is>
          <t>unclassified</t>
        </is>
      </c>
      <c r="G506" t="inlineStr">
        <is>
          <t>General</t>
        </is>
      </c>
      <c r="H506" t="inlineStr">
        <is>
          <t>General</t>
        </is>
      </c>
      <c r="I506" t="inlineStr">
        <is>
          <t>Generalist</t>
        </is>
      </c>
      <c r="J506" t="inlineStr">
        <is>
          <t>Generalist</t>
        </is>
      </c>
    </row>
    <row r="507">
      <c r="A507" t="inlineStr">
        <is>
          <t>Cordyceps</t>
        </is>
      </c>
      <c r="B507" t="inlineStr">
        <is>
          <t>Punarnava</t>
        </is>
      </c>
      <c r="C507" t="n">
        <v>50</v>
      </c>
      <c r="E507" t="inlineStr">
        <is>
          <t>unclassified</t>
        </is>
      </c>
      <c r="G507" t="inlineStr">
        <is>
          <t>General</t>
        </is>
      </c>
      <c r="H507" t="inlineStr">
        <is>
          <t>General</t>
        </is>
      </c>
      <c r="I507" t="inlineStr">
        <is>
          <t>Generalist</t>
        </is>
      </c>
      <c r="J507" t="inlineStr">
        <is>
          <t>Generalist</t>
        </is>
      </c>
    </row>
    <row r="508">
      <c r="A508" t="inlineStr">
        <is>
          <t>Cordyceps</t>
        </is>
      </c>
      <c r="B508" t="inlineStr">
        <is>
          <t>Reishi</t>
        </is>
      </c>
      <c r="C508" t="n">
        <v>50</v>
      </c>
      <c r="E508" t="inlineStr">
        <is>
          <t>unclassified</t>
        </is>
      </c>
      <c r="G508" t="inlineStr">
        <is>
          <t>General</t>
        </is>
      </c>
      <c r="H508" t="inlineStr">
        <is>
          <t>General</t>
        </is>
      </c>
      <c r="I508" t="inlineStr">
        <is>
          <t>Generalist</t>
        </is>
      </c>
      <c r="J508" t="inlineStr">
        <is>
          <t>Generalist</t>
        </is>
      </c>
    </row>
    <row r="509">
      <c r="A509" t="inlineStr">
        <is>
          <t>Cordyceps</t>
        </is>
      </c>
      <c r="B509" t="inlineStr">
        <is>
          <t>Yohimbe</t>
        </is>
      </c>
      <c r="C509" t="n">
        <v>50</v>
      </c>
      <c r="E509" t="inlineStr">
        <is>
          <t>unclassified</t>
        </is>
      </c>
      <c r="G509" t="inlineStr">
        <is>
          <t>General</t>
        </is>
      </c>
      <c r="H509" t="inlineStr">
        <is>
          <t>General</t>
        </is>
      </c>
      <c r="I509" t="inlineStr">
        <is>
          <t>Generalist</t>
        </is>
      </c>
      <c r="J509" t="inlineStr">
        <is>
          <t>Generalist</t>
        </is>
      </c>
    </row>
    <row r="510">
      <c r="A510" t="inlineStr">
        <is>
          <t>Damiana</t>
        </is>
      </c>
      <c r="B510" t="inlineStr">
        <is>
          <t>Agarikon</t>
        </is>
      </c>
      <c r="C510" t="n">
        <v>50</v>
      </c>
      <c r="E510" t="inlineStr">
        <is>
          <t>unclassified</t>
        </is>
      </c>
      <c r="G510" t="inlineStr">
        <is>
          <t>General</t>
        </is>
      </c>
      <c r="H510" t="inlineStr">
        <is>
          <t>General</t>
        </is>
      </c>
      <c r="I510" t="inlineStr">
        <is>
          <t>Generalist</t>
        </is>
      </c>
      <c r="J510" t="inlineStr">
        <is>
          <t>Generalist</t>
        </is>
      </c>
    </row>
    <row r="511">
      <c r="A511" t="inlineStr">
        <is>
          <t>Damiana</t>
        </is>
      </c>
      <c r="B511" t="inlineStr">
        <is>
          <t>Ajwain</t>
        </is>
      </c>
      <c r="C511" t="n">
        <v>50</v>
      </c>
      <c r="E511" t="inlineStr">
        <is>
          <t>unclassified</t>
        </is>
      </c>
      <c r="G511" t="inlineStr">
        <is>
          <t>General</t>
        </is>
      </c>
      <c r="H511" t="inlineStr">
        <is>
          <t>General</t>
        </is>
      </c>
      <c r="I511" t="inlineStr">
        <is>
          <t>Generalist</t>
        </is>
      </c>
      <c r="J511" t="inlineStr">
        <is>
          <t>Generalist</t>
        </is>
      </c>
    </row>
    <row r="512">
      <c r="A512" t="inlineStr">
        <is>
          <t>Damiana</t>
        </is>
      </c>
      <c r="B512" t="inlineStr">
        <is>
          <t>Angelica Root</t>
        </is>
      </c>
      <c r="C512" t="n">
        <v>50</v>
      </c>
      <c r="E512" t="inlineStr">
        <is>
          <t>unclassified</t>
        </is>
      </c>
      <c r="G512" t="inlineStr">
        <is>
          <t>General</t>
        </is>
      </c>
      <c r="H512" t="inlineStr">
        <is>
          <t>General</t>
        </is>
      </c>
      <c r="I512" t="inlineStr">
        <is>
          <t>Generalist</t>
        </is>
      </c>
      <c r="J512" t="inlineStr">
        <is>
          <t>Generalist</t>
        </is>
      </c>
    </row>
    <row r="513">
      <c r="A513" t="inlineStr">
        <is>
          <t>Damiana</t>
        </is>
      </c>
      <c r="B513" t="inlineStr">
        <is>
          <t>Artichoke</t>
        </is>
      </c>
      <c r="C513" t="n">
        <v>50</v>
      </c>
      <c r="E513" t="inlineStr">
        <is>
          <t>unclassified</t>
        </is>
      </c>
      <c r="G513" t="inlineStr">
        <is>
          <t>General</t>
        </is>
      </c>
      <c r="H513" t="inlineStr">
        <is>
          <t>General</t>
        </is>
      </c>
      <c r="I513" t="inlineStr">
        <is>
          <t>Generalist</t>
        </is>
      </c>
      <c r="J513" t="inlineStr">
        <is>
          <t>Generalist</t>
        </is>
      </c>
    </row>
    <row r="514">
      <c r="A514" t="inlineStr">
        <is>
          <t>Damiana</t>
        </is>
      </c>
      <c r="B514" t="inlineStr">
        <is>
          <t>Ashoka</t>
        </is>
      </c>
      <c r="C514" t="n">
        <v>50</v>
      </c>
      <c r="E514" t="inlineStr">
        <is>
          <t>unclassified</t>
        </is>
      </c>
      <c r="G514" t="inlineStr">
        <is>
          <t>General</t>
        </is>
      </c>
      <c r="H514" t="inlineStr">
        <is>
          <t>General</t>
        </is>
      </c>
      <c r="I514" t="inlineStr">
        <is>
          <t>Generalist</t>
        </is>
      </c>
      <c r="J514" t="inlineStr">
        <is>
          <t>Generalist</t>
        </is>
      </c>
    </row>
    <row r="515">
      <c r="A515" t="inlineStr">
        <is>
          <t>Damiana</t>
        </is>
      </c>
      <c r="B515" t="inlineStr">
        <is>
          <t>Boldo</t>
        </is>
      </c>
      <c r="C515" t="n">
        <v>50</v>
      </c>
      <c r="E515" t="inlineStr">
        <is>
          <t>unclassified</t>
        </is>
      </c>
      <c r="G515" t="inlineStr">
        <is>
          <t>General</t>
        </is>
      </c>
      <c r="H515" t="inlineStr">
        <is>
          <t>General</t>
        </is>
      </c>
      <c r="I515" t="inlineStr">
        <is>
          <t>Generalist</t>
        </is>
      </c>
      <c r="J515" t="inlineStr">
        <is>
          <t>Generalist</t>
        </is>
      </c>
    </row>
    <row r="516">
      <c r="A516" t="inlineStr">
        <is>
          <t>Damiana</t>
        </is>
      </c>
      <c r="B516" t="inlineStr">
        <is>
          <t>Burdock</t>
        </is>
      </c>
      <c r="C516" t="n">
        <v>50</v>
      </c>
      <c r="E516" t="inlineStr">
        <is>
          <t>unclassified</t>
        </is>
      </c>
      <c r="G516" t="inlineStr">
        <is>
          <t>General</t>
        </is>
      </c>
      <c r="H516" t="inlineStr">
        <is>
          <t>General</t>
        </is>
      </c>
      <c r="I516" t="inlineStr">
        <is>
          <t>Generalist</t>
        </is>
      </c>
      <c r="J516" t="inlineStr">
        <is>
          <t>Generalist</t>
        </is>
      </c>
    </row>
    <row r="517">
      <c r="A517" t="inlineStr">
        <is>
          <t>Damiana</t>
        </is>
      </c>
      <c r="B517" t="inlineStr">
        <is>
          <t>Butterbur</t>
        </is>
      </c>
      <c r="C517" t="n">
        <v>50</v>
      </c>
      <c r="E517" t="inlineStr">
        <is>
          <t>unclassified</t>
        </is>
      </c>
      <c r="G517" t="inlineStr">
        <is>
          <t>General</t>
        </is>
      </c>
      <c r="H517" t="inlineStr">
        <is>
          <t>General</t>
        </is>
      </c>
      <c r="I517" t="inlineStr">
        <is>
          <t>Generalist</t>
        </is>
      </c>
      <c r="J517" t="inlineStr">
        <is>
          <t>Generalist</t>
        </is>
      </c>
    </row>
    <row r="518">
      <c r="A518" t="inlineStr">
        <is>
          <t>Damiana</t>
        </is>
      </c>
      <c r="B518" t="inlineStr">
        <is>
          <t>Calendula</t>
        </is>
      </c>
      <c r="C518" t="n">
        <v>50</v>
      </c>
      <c r="E518" t="inlineStr">
        <is>
          <t>unclassified</t>
        </is>
      </c>
      <c r="G518" t="inlineStr">
        <is>
          <t>General</t>
        </is>
      </c>
      <c r="H518" t="inlineStr">
        <is>
          <t>General</t>
        </is>
      </c>
      <c r="I518" t="inlineStr">
        <is>
          <t>Generalist</t>
        </is>
      </c>
      <c r="J518" t="inlineStr">
        <is>
          <t>Generalist</t>
        </is>
      </c>
    </row>
    <row r="519">
      <c r="A519" t="inlineStr">
        <is>
          <t>Damiana</t>
        </is>
      </c>
      <c r="B519" t="inlineStr">
        <is>
          <t>Caraway</t>
        </is>
      </c>
      <c r="C519" t="n">
        <v>50</v>
      </c>
      <c r="E519" t="inlineStr">
        <is>
          <t>unclassified</t>
        </is>
      </c>
      <c r="G519" t="inlineStr">
        <is>
          <t>General</t>
        </is>
      </c>
      <c r="H519" t="inlineStr">
        <is>
          <t>General</t>
        </is>
      </c>
      <c r="I519" t="inlineStr">
        <is>
          <t>Generalist</t>
        </is>
      </c>
      <c r="J519" t="inlineStr">
        <is>
          <t>Generalist</t>
        </is>
      </c>
    </row>
    <row r="520">
      <c r="A520" t="inlineStr">
        <is>
          <t>Damiana</t>
        </is>
      </c>
      <c r="B520" t="inlineStr">
        <is>
          <t>Cardamom</t>
        </is>
      </c>
      <c r="C520" t="n">
        <v>50</v>
      </c>
      <c r="E520" t="inlineStr">
        <is>
          <t>unclassified</t>
        </is>
      </c>
      <c r="G520" t="inlineStr">
        <is>
          <t>General</t>
        </is>
      </c>
      <c r="H520" t="inlineStr">
        <is>
          <t>General</t>
        </is>
      </c>
      <c r="I520" t="inlineStr">
        <is>
          <t>Generalist</t>
        </is>
      </c>
      <c r="J520" t="inlineStr">
        <is>
          <t>Generalist</t>
        </is>
      </c>
    </row>
    <row r="521">
      <c r="A521" t="inlineStr">
        <is>
          <t>Damiana</t>
        </is>
      </c>
      <c r="B521" t="inlineStr">
        <is>
          <t>Celastrus Paniculatus</t>
        </is>
      </c>
      <c r="C521" t="n">
        <v>50</v>
      </c>
      <c r="E521" t="inlineStr">
        <is>
          <t>unclassified</t>
        </is>
      </c>
      <c r="G521" t="inlineStr">
        <is>
          <t>General</t>
        </is>
      </c>
      <c r="H521" t="inlineStr">
        <is>
          <t>General</t>
        </is>
      </c>
      <c r="I521" t="inlineStr">
        <is>
          <t>Generalist</t>
        </is>
      </c>
      <c r="J521" t="inlineStr">
        <is>
          <t>Generalist</t>
        </is>
      </c>
    </row>
    <row r="522">
      <c r="A522" t="inlineStr">
        <is>
          <t>Damiana</t>
        </is>
      </c>
      <c r="B522" t="inlineStr">
        <is>
          <t>Cinnamon</t>
        </is>
      </c>
      <c r="C522" t="n">
        <v>50</v>
      </c>
      <c r="E522" t="inlineStr">
        <is>
          <t>unclassified</t>
        </is>
      </c>
      <c r="G522" t="inlineStr">
        <is>
          <t>General</t>
        </is>
      </c>
      <c r="H522" t="inlineStr">
        <is>
          <t>General</t>
        </is>
      </c>
      <c r="I522" t="inlineStr">
        <is>
          <t>Generalist</t>
        </is>
      </c>
      <c r="J522" t="inlineStr">
        <is>
          <t>Generalist</t>
        </is>
      </c>
    </row>
    <row r="523">
      <c r="A523" t="inlineStr">
        <is>
          <t>Damiana</t>
        </is>
      </c>
      <c r="B523" t="inlineStr">
        <is>
          <t>Cistanche</t>
        </is>
      </c>
      <c r="C523" t="n">
        <v>50</v>
      </c>
      <c r="E523" t="inlineStr">
        <is>
          <t>unclassified</t>
        </is>
      </c>
      <c r="G523" t="inlineStr">
        <is>
          <t>General</t>
        </is>
      </c>
      <c r="H523" t="inlineStr">
        <is>
          <t>General</t>
        </is>
      </c>
      <c r="I523" t="inlineStr">
        <is>
          <t>Generalist</t>
        </is>
      </c>
      <c r="J523" t="inlineStr">
        <is>
          <t>Generalist</t>
        </is>
      </c>
    </row>
    <row r="524">
      <c r="A524" t="inlineStr">
        <is>
          <t>Damiana</t>
        </is>
      </c>
      <c r="B524" t="inlineStr">
        <is>
          <t>Cordyceps</t>
        </is>
      </c>
      <c r="C524" t="n">
        <v>50</v>
      </c>
      <c r="E524" t="inlineStr">
        <is>
          <t>unclassified</t>
        </is>
      </c>
      <c r="G524" t="inlineStr">
        <is>
          <t>General</t>
        </is>
      </c>
      <c r="H524" t="inlineStr">
        <is>
          <t>General</t>
        </is>
      </c>
      <c r="I524" t="inlineStr">
        <is>
          <t>Generalist</t>
        </is>
      </c>
      <c r="J524" t="inlineStr">
        <is>
          <t>Generalist</t>
        </is>
      </c>
    </row>
    <row r="525">
      <c r="A525" t="inlineStr">
        <is>
          <t>Damiana</t>
        </is>
      </c>
      <c r="B525" t="inlineStr">
        <is>
          <t>Dandelion</t>
        </is>
      </c>
      <c r="C525" t="n">
        <v>50</v>
      </c>
      <c r="E525" t="inlineStr">
        <is>
          <t>unclassified</t>
        </is>
      </c>
      <c r="G525" t="inlineStr">
        <is>
          <t>General</t>
        </is>
      </c>
      <c r="H525" t="inlineStr">
        <is>
          <t>General</t>
        </is>
      </c>
      <c r="I525" t="inlineStr">
        <is>
          <t>Generalist</t>
        </is>
      </c>
      <c r="J525" t="inlineStr">
        <is>
          <t>Generalist</t>
        </is>
      </c>
    </row>
    <row r="526">
      <c r="A526" t="inlineStr">
        <is>
          <t>Damiana</t>
        </is>
      </c>
      <c r="B526" t="inlineStr">
        <is>
          <t>Dendrobium</t>
        </is>
      </c>
      <c r="C526" t="n">
        <v>50</v>
      </c>
      <c r="E526" t="inlineStr">
        <is>
          <t>unclassified</t>
        </is>
      </c>
      <c r="G526" t="inlineStr">
        <is>
          <t>General</t>
        </is>
      </c>
      <c r="H526" t="inlineStr">
        <is>
          <t>General</t>
        </is>
      </c>
      <c r="I526" t="inlineStr">
        <is>
          <t>Generalist</t>
        </is>
      </c>
      <c r="J526" t="inlineStr">
        <is>
          <t>Generalist</t>
        </is>
      </c>
    </row>
    <row r="527">
      <c r="A527" t="inlineStr">
        <is>
          <t>Damiana</t>
        </is>
      </c>
      <c r="B527" t="inlineStr">
        <is>
          <t>Dong Quai</t>
        </is>
      </c>
      <c r="C527" t="n">
        <v>50</v>
      </c>
      <c r="E527" t="inlineStr">
        <is>
          <t>unclassified</t>
        </is>
      </c>
      <c r="G527" t="inlineStr">
        <is>
          <t>General</t>
        </is>
      </c>
      <c r="H527" t="inlineStr">
        <is>
          <t>General</t>
        </is>
      </c>
      <c r="I527" t="inlineStr">
        <is>
          <t>Generalist</t>
        </is>
      </c>
      <c r="J527" t="inlineStr">
        <is>
          <t>Generalist</t>
        </is>
      </c>
    </row>
    <row r="528">
      <c r="A528" t="inlineStr">
        <is>
          <t>Damiana</t>
        </is>
      </c>
      <c r="B528" t="inlineStr">
        <is>
          <t>Elecampane</t>
        </is>
      </c>
      <c r="C528" t="n">
        <v>50</v>
      </c>
      <c r="E528" t="inlineStr">
        <is>
          <t>unclassified</t>
        </is>
      </c>
      <c r="G528" t="inlineStr">
        <is>
          <t>General</t>
        </is>
      </c>
      <c r="H528" t="inlineStr">
        <is>
          <t>General</t>
        </is>
      </c>
      <c r="I528" t="inlineStr">
        <is>
          <t>Generalist</t>
        </is>
      </c>
      <c r="J528" t="inlineStr">
        <is>
          <t>Generalist</t>
        </is>
      </c>
    </row>
    <row r="529">
      <c r="A529" t="inlineStr">
        <is>
          <t>Damiana</t>
        </is>
      </c>
      <c r="B529" t="inlineStr">
        <is>
          <t>Eleuthero</t>
        </is>
      </c>
      <c r="C529" t="n">
        <v>50</v>
      </c>
      <c r="E529" t="inlineStr">
        <is>
          <t>unclassified</t>
        </is>
      </c>
      <c r="G529" t="inlineStr">
        <is>
          <t>General</t>
        </is>
      </c>
      <c r="H529" t="inlineStr">
        <is>
          <t>General</t>
        </is>
      </c>
      <c r="I529" t="inlineStr">
        <is>
          <t>Generalist</t>
        </is>
      </c>
      <c r="J529" t="inlineStr">
        <is>
          <t>Generalist</t>
        </is>
      </c>
    </row>
    <row r="530">
      <c r="A530" t="inlineStr">
        <is>
          <t>Damiana</t>
        </is>
      </c>
      <c r="B530" t="inlineStr">
        <is>
          <t>Fennel</t>
        </is>
      </c>
      <c r="C530" t="n">
        <v>50</v>
      </c>
      <c r="E530" t="inlineStr">
        <is>
          <t>unclassified</t>
        </is>
      </c>
      <c r="G530" t="inlineStr">
        <is>
          <t>General</t>
        </is>
      </c>
      <c r="H530" t="inlineStr">
        <is>
          <t>General</t>
        </is>
      </c>
      <c r="I530" t="inlineStr">
        <is>
          <t>Generalist</t>
        </is>
      </c>
      <c r="J530" t="inlineStr">
        <is>
          <t>Generalist</t>
        </is>
      </c>
    </row>
    <row r="531">
      <c r="A531" t="inlineStr">
        <is>
          <t>Damiana</t>
        </is>
      </c>
      <c r="B531" t="inlineStr">
        <is>
          <t>Feverfew</t>
        </is>
      </c>
      <c r="C531" t="n">
        <v>50</v>
      </c>
      <c r="E531" t="inlineStr">
        <is>
          <t>unclassified</t>
        </is>
      </c>
      <c r="G531" t="inlineStr">
        <is>
          <t>General</t>
        </is>
      </c>
      <c r="H531" t="inlineStr">
        <is>
          <t>General</t>
        </is>
      </c>
      <c r="I531" t="inlineStr">
        <is>
          <t>Generalist</t>
        </is>
      </c>
      <c r="J531" t="inlineStr">
        <is>
          <t>Generalist</t>
        </is>
      </c>
    </row>
    <row r="532">
      <c r="A532" t="inlineStr">
        <is>
          <t>Damiana</t>
        </is>
      </c>
      <c r="B532" t="inlineStr">
        <is>
          <t>Galangal</t>
        </is>
      </c>
      <c r="C532" t="n">
        <v>50</v>
      </c>
      <c r="E532" t="inlineStr">
        <is>
          <t>unclassified</t>
        </is>
      </c>
      <c r="G532" t="inlineStr">
        <is>
          <t>General</t>
        </is>
      </c>
      <c r="H532" t="inlineStr">
        <is>
          <t>General</t>
        </is>
      </c>
      <c r="I532" t="inlineStr">
        <is>
          <t>Generalist</t>
        </is>
      </c>
      <c r="J532" t="inlineStr">
        <is>
          <t>Generalist</t>
        </is>
      </c>
    </row>
    <row r="533">
      <c r="A533" t="inlineStr">
        <is>
          <t>Damiana</t>
        </is>
      </c>
      <c r="B533" t="inlineStr">
        <is>
          <t>Gastrodia</t>
        </is>
      </c>
      <c r="C533" t="n">
        <v>50</v>
      </c>
      <c r="E533" t="inlineStr">
        <is>
          <t>unclassified</t>
        </is>
      </c>
      <c r="G533" t="inlineStr">
        <is>
          <t>General</t>
        </is>
      </c>
      <c r="H533" t="inlineStr">
        <is>
          <t>General</t>
        </is>
      </c>
      <c r="I533" t="inlineStr">
        <is>
          <t>Generalist</t>
        </is>
      </c>
      <c r="J533" t="inlineStr">
        <is>
          <t>Generalist</t>
        </is>
      </c>
    </row>
    <row r="534">
      <c r="A534" t="inlineStr">
        <is>
          <t>Damiana</t>
        </is>
      </c>
      <c r="B534" t="inlineStr">
        <is>
          <t>Gudmar</t>
        </is>
      </c>
      <c r="C534" t="n">
        <v>50</v>
      </c>
      <c r="E534" t="inlineStr">
        <is>
          <t>unclassified</t>
        </is>
      </c>
      <c r="G534" t="inlineStr">
        <is>
          <t>General</t>
        </is>
      </c>
      <c r="H534" t="inlineStr">
        <is>
          <t>General</t>
        </is>
      </c>
      <c r="I534" t="inlineStr">
        <is>
          <t>Generalist</t>
        </is>
      </c>
      <c r="J534" t="inlineStr">
        <is>
          <t>Generalist</t>
        </is>
      </c>
    </row>
    <row r="535">
      <c r="A535" t="inlineStr">
        <is>
          <t>Damiana</t>
        </is>
      </c>
      <c r="B535" t="inlineStr">
        <is>
          <t>Gymnema</t>
        </is>
      </c>
      <c r="C535" t="n">
        <v>50</v>
      </c>
      <c r="E535" t="inlineStr">
        <is>
          <t>unclassified</t>
        </is>
      </c>
      <c r="G535" t="inlineStr">
        <is>
          <t>General</t>
        </is>
      </c>
      <c r="H535" t="inlineStr">
        <is>
          <t>General</t>
        </is>
      </c>
      <c r="I535" t="inlineStr">
        <is>
          <t>Generalist</t>
        </is>
      </c>
      <c r="J535" t="inlineStr">
        <is>
          <t>Generalist</t>
        </is>
      </c>
    </row>
    <row r="536">
      <c r="A536" t="inlineStr">
        <is>
          <t>Damiana</t>
        </is>
      </c>
      <c r="B536" t="inlineStr">
        <is>
          <t>Hops</t>
        </is>
      </c>
      <c r="C536" t="n">
        <v>50</v>
      </c>
      <c r="E536" t="inlineStr">
        <is>
          <t>unclassified</t>
        </is>
      </c>
      <c r="G536" t="inlineStr">
        <is>
          <t>General</t>
        </is>
      </c>
      <c r="H536" t="inlineStr">
        <is>
          <t>General</t>
        </is>
      </c>
      <c r="I536" t="inlineStr">
        <is>
          <t>Generalist</t>
        </is>
      </c>
      <c r="J536" t="inlineStr">
        <is>
          <t>Generalist</t>
        </is>
      </c>
    </row>
    <row r="537">
      <c r="A537" t="inlineStr">
        <is>
          <t>Damiana</t>
        </is>
      </c>
      <c r="B537" t="inlineStr">
        <is>
          <t>Houttuynia</t>
        </is>
      </c>
      <c r="C537" t="n">
        <v>50</v>
      </c>
      <c r="E537" t="inlineStr">
        <is>
          <t>unclassified</t>
        </is>
      </c>
      <c r="G537" t="inlineStr">
        <is>
          <t>General</t>
        </is>
      </c>
      <c r="H537" t="inlineStr">
        <is>
          <t>General</t>
        </is>
      </c>
      <c r="I537" t="inlineStr">
        <is>
          <t>Generalist</t>
        </is>
      </c>
      <c r="J537" t="inlineStr">
        <is>
          <t>Generalist</t>
        </is>
      </c>
    </row>
    <row r="538">
      <c r="A538" t="inlineStr">
        <is>
          <t>Damiana</t>
        </is>
      </c>
      <c r="B538" t="inlineStr">
        <is>
          <t>Isatis</t>
        </is>
      </c>
      <c r="C538" t="n">
        <v>50</v>
      </c>
      <c r="E538" t="inlineStr">
        <is>
          <t>unclassified</t>
        </is>
      </c>
      <c r="G538" t="inlineStr">
        <is>
          <t>General</t>
        </is>
      </c>
      <c r="H538" t="inlineStr">
        <is>
          <t>General</t>
        </is>
      </c>
      <c r="I538" t="inlineStr">
        <is>
          <t>Generalist</t>
        </is>
      </c>
      <c r="J538" t="inlineStr">
        <is>
          <t>Generalist</t>
        </is>
      </c>
    </row>
    <row r="539">
      <c r="A539" t="inlineStr">
        <is>
          <t>Damiana</t>
        </is>
      </c>
      <c r="B539" t="inlineStr">
        <is>
          <t>Jatamansi</t>
        </is>
      </c>
      <c r="C539" t="n">
        <v>50</v>
      </c>
      <c r="E539" t="inlineStr">
        <is>
          <t>unclassified</t>
        </is>
      </c>
      <c r="G539" t="inlineStr">
        <is>
          <t>General</t>
        </is>
      </c>
      <c r="H539" t="inlineStr">
        <is>
          <t>General</t>
        </is>
      </c>
      <c r="I539" t="inlineStr">
        <is>
          <t>Generalist</t>
        </is>
      </c>
      <c r="J539" t="inlineStr">
        <is>
          <t>Generalist</t>
        </is>
      </c>
    </row>
    <row r="540">
      <c r="A540" t="inlineStr">
        <is>
          <t>Damiana</t>
        </is>
      </c>
      <c r="B540" t="inlineStr">
        <is>
          <t>Kudzu</t>
        </is>
      </c>
      <c r="C540" t="n">
        <v>50</v>
      </c>
      <c r="E540" t="inlineStr">
        <is>
          <t>unclassified</t>
        </is>
      </c>
      <c r="G540" t="inlineStr">
        <is>
          <t>General</t>
        </is>
      </c>
      <c r="H540" t="inlineStr">
        <is>
          <t>General</t>
        </is>
      </c>
      <c r="I540" t="inlineStr">
        <is>
          <t>Generalist</t>
        </is>
      </c>
      <c r="J540" t="inlineStr">
        <is>
          <t>Generalist</t>
        </is>
      </c>
    </row>
    <row r="541">
      <c r="A541" t="inlineStr">
        <is>
          <t>Damiana</t>
        </is>
      </c>
      <c r="B541" t="inlineStr">
        <is>
          <t>Lemon Verbena</t>
        </is>
      </c>
      <c r="C541" t="n">
        <v>50</v>
      </c>
      <c r="E541" t="inlineStr">
        <is>
          <t>unclassified</t>
        </is>
      </c>
      <c r="G541" t="inlineStr">
        <is>
          <t>General</t>
        </is>
      </c>
      <c r="H541" t="inlineStr">
        <is>
          <t>General</t>
        </is>
      </c>
      <c r="I541" t="inlineStr">
        <is>
          <t>Generalist</t>
        </is>
      </c>
      <c r="J541" t="inlineStr">
        <is>
          <t>Generalist</t>
        </is>
      </c>
    </row>
    <row r="542">
      <c r="A542" t="inlineStr">
        <is>
          <t>Damiana</t>
        </is>
      </c>
      <c r="B542" t="inlineStr">
        <is>
          <t>Lemongrass</t>
        </is>
      </c>
      <c r="C542" t="n">
        <v>50</v>
      </c>
      <c r="E542" t="inlineStr">
        <is>
          <t>unclassified</t>
        </is>
      </c>
      <c r="G542" t="inlineStr">
        <is>
          <t>General</t>
        </is>
      </c>
      <c r="H542" t="inlineStr">
        <is>
          <t>General</t>
        </is>
      </c>
      <c r="I542" t="inlineStr">
        <is>
          <t>Generalist</t>
        </is>
      </c>
      <c r="J542" t="inlineStr">
        <is>
          <t>Generalist</t>
        </is>
      </c>
    </row>
    <row r="543">
      <c r="A543" t="inlineStr">
        <is>
          <t>Damiana</t>
        </is>
      </c>
      <c r="B543" t="inlineStr">
        <is>
          <t>Longan</t>
        </is>
      </c>
      <c r="C543" t="n">
        <v>50</v>
      </c>
      <c r="E543" t="inlineStr">
        <is>
          <t>unclassified</t>
        </is>
      </c>
      <c r="G543" t="inlineStr">
        <is>
          <t>General</t>
        </is>
      </c>
      <c r="H543" t="inlineStr">
        <is>
          <t>General</t>
        </is>
      </c>
      <c r="I543" t="inlineStr">
        <is>
          <t>Generalist</t>
        </is>
      </c>
      <c r="J543" t="inlineStr">
        <is>
          <t>Generalist</t>
        </is>
      </c>
    </row>
    <row r="544">
      <c r="A544" t="inlineStr">
        <is>
          <t>Damiana</t>
        </is>
      </c>
      <c r="B544" t="inlineStr">
        <is>
          <t>Maitake D-Fraction</t>
        </is>
      </c>
      <c r="C544" t="n">
        <v>50</v>
      </c>
      <c r="E544" t="inlineStr">
        <is>
          <t>unclassified</t>
        </is>
      </c>
      <c r="G544" t="inlineStr">
        <is>
          <t>General</t>
        </is>
      </c>
      <c r="H544" t="inlineStr">
        <is>
          <t>General</t>
        </is>
      </c>
      <c r="I544" t="inlineStr">
        <is>
          <t>Generalist</t>
        </is>
      </c>
      <c r="J544" t="inlineStr">
        <is>
          <t>Generalist</t>
        </is>
      </c>
    </row>
    <row r="545">
      <c r="A545" t="inlineStr">
        <is>
          <t>Damiana</t>
        </is>
      </c>
      <c r="B545" t="inlineStr">
        <is>
          <t>Milk Oats</t>
        </is>
      </c>
      <c r="C545" t="n">
        <v>50</v>
      </c>
      <c r="E545" t="inlineStr">
        <is>
          <t>unclassified</t>
        </is>
      </c>
      <c r="G545" t="inlineStr">
        <is>
          <t>General</t>
        </is>
      </c>
      <c r="H545" t="inlineStr">
        <is>
          <t>General</t>
        </is>
      </c>
      <c r="I545" t="inlineStr">
        <is>
          <t>Generalist</t>
        </is>
      </c>
      <c r="J545" t="inlineStr">
        <is>
          <t>Generalist</t>
        </is>
      </c>
    </row>
    <row r="546">
      <c r="A546" t="inlineStr">
        <is>
          <t>Damiana</t>
        </is>
      </c>
      <c r="B546" t="inlineStr">
        <is>
          <t>Mugwort</t>
        </is>
      </c>
      <c r="C546" t="n">
        <v>50</v>
      </c>
      <c r="E546" t="inlineStr">
        <is>
          <t>unclassified</t>
        </is>
      </c>
      <c r="G546" t="inlineStr">
        <is>
          <t>General</t>
        </is>
      </c>
      <c r="H546" t="inlineStr">
        <is>
          <t>General</t>
        </is>
      </c>
      <c r="I546" t="inlineStr">
        <is>
          <t>Generalist</t>
        </is>
      </c>
      <c r="J546" t="inlineStr">
        <is>
          <t>Generalist</t>
        </is>
      </c>
    </row>
    <row r="547">
      <c r="A547" t="inlineStr">
        <is>
          <t>Damiana</t>
        </is>
      </c>
      <c r="B547" t="inlineStr">
        <is>
          <t>Muira Puama</t>
        </is>
      </c>
      <c r="C547" t="n">
        <v>50</v>
      </c>
      <c r="E547" t="inlineStr">
        <is>
          <t>unclassified</t>
        </is>
      </c>
      <c r="G547" t="inlineStr">
        <is>
          <t>General</t>
        </is>
      </c>
      <c r="H547" t="inlineStr">
        <is>
          <t>General</t>
        </is>
      </c>
      <c r="I547" t="inlineStr">
        <is>
          <t>Generalist</t>
        </is>
      </c>
      <c r="J547" t="inlineStr">
        <is>
          <t>Generalist</t>
        </is>
      </c>
    </row>
    <row r="548">
      <c r="A548" t="inlineStr">
        <is>
          <t>Damiana</t>
        </is>
      </c>
      <c r="B548" t="inlineStr">
        <is>
          <t>Mulberry Leaf</t>
        </is>
      </c>
      <c r="C548" t="n">
        <v>50</v>
      </c>
      <c r="E548" t="inlineStr">
        <is>
          <t>unclassified</t>
        </is>
      </c>
      <c r="G548" t="inlineStr">
        <is>
          <t>General</t>
        </is>
      </c>
      <c r="H548" t="inlineStr">
        <is>
          <t>General</t>
        </is>
      </c>
      <c r="I548" t="inlineStr">
        <is>
          <t>Generalist</t>
        </is>
      </c>
      <c r="J548" t="inlineStr">
        <is>
          <t>Generalist</t>
        </is>
      </c>
    </row>
    <row r="549">
      <c r="A549" t="inlineStr">
        <is>
          <t>Damiana</t>
        </is>
      </c>
      <c r="B549" t="inlineStr">
        <is>
          <t>Myrtle</t>
        </is>
      </c>
      <c r="C549" t="n">
        <v>50</v>
      </c>
      <c r="E549" t="inlineStr">
        <is>
          <t>unclassified</t>
        </is>
      </c>
      <c r="G549" t="inlineStr">
        <is>
          <t>General</t>
        </is>
      </c>
      <c r="H549" t="inlineStr">
        <is>
          <t>General</t>
        </is>
      </c>
      <c r="I549" t="inlineStr">
        <is>
          <t>Generalist</t>
        </is>
      </c>
      <c r="J549" t="inlineStr">
        <is>
          <t>Generalist</t>
        </is>
      </c>
    </row>
    <row r="550">
      <c r="A550" t="inlineStr">
        <is>
          <t>Damiana</t>
        </is>
      </c>
      <c r="B550" t="inlineStr">
        <is>
          <t>Neem</t>
        </is>
      </c>
      <c r="C550" t="n">
        <v>50</v>
      </c>
      <c r="E550" t="inlineStr">
        <is>
          <t>unclassified</t>
        </is>
      </c>
      <c r="G550" t="inlineStr">
        <is>
          <t>General</t>
        </is>
      </c>
      <c r="H550" t="inlineStr">
        <is>
          <t>General</t>
        </is>
      </c>
      <c r="I550" t="inlineStr">
        <is>
          <t>Generalist</t>
        </is>
      </c>
      <c r="J550" t="inlineStr">
        <is>
          <t>Generalist</t>
        </is>
      </c>
    </row>
    <row r="551">
      <c r="A551" t="inlineStr">
        <is>
          <t>Damiana</t>
        </is>
      </c>
      <c r="B551" t="inlineStr">
        <is>
          <t>Nettle Root</t>
        </is>
      </c>
      <c r="C551" t="n">
        <v>50</v>
      </c>
      <c r="E551" t="inlineStr">
        <is>
          <t>unclassified</t>
        </is>
      </c>
      <c r="G551" t="inlineStr">
        <is>
          <t>General</t>
        </is>
      </c>
      <c r="H551" t="inlineStr">
        <is>
          <t>General</t>
        </is>
      </c>
      <c r="I551" t="inlineStr">
        <is>
          <t>Generalist</t>
        </is>
      </c>
      <c r="J551" t="inlineStr">
        <is>
          <t>Generalist</t>
        </is>
      </c>
    </row>
    <row r="552">
      <c r="A552" t="inlineStr">
        <is>
          <t>Damiana</t>
        </is>
      </c>
      <c r="B552" t="inlineStr">
        <is>
          <t>Noni</t>
        </is>
      </c>
      <c r="C552" t="n">
        <v>50</v>
      </c>
      <c r="E552" t="inlineStr">
        <is>
          <t>unclassified</t>
        </is>
      </c>
      <c r="G552" t="inlineStr">
        <is>
          <t>General</t>
        </is>
      </c>
      <c r="H552" t="inlineStr">
        <is>
          <t>General</t>
        </is>
      </c>
      <c r="I552" t="inlineStr">
        <is>
          <t>Generalist</t>
        </is>
      </c>
      <c r="J552" t="inlineStr">
        <is>
          <t>Generalist</t>
        </is>
      </c>
    </row>
    <row r="553">
      <c r="A553" t="inlineStr">
        <is>
          <t>Damiana</t>
        </is>
      </c>
      <c r="B553" t="inlineStr">
        <is>
          <t>Oatstraw</t>
        </is>
      </c>
      <c r="C553" t="n">
        <v>50</v>
      </c>
      <c r="E553" t="inlineStr">
        <is>
          <t>unclassified</t>
        </is>
      </c>
      <c r="G553" t="inlineStr">
        <is>
          <t>General</t>
        </is>
      </c>
      <c r="H553" t="inlineStr">
        <is>
          <t>General</t>
        </is>
      </c>
      <c r="I553" t="inlineStr">
        <is>
          <t>Generalist</t>
        </is>
      </c>
      <c r="J553" t="inlineStr">
        <is>
          <t>Generalist</t>
        </is>
      </c>
    </row>
    <row r="554">
      <c r="A554" t="inlineStr">
        <is>
          <t>Damiana</t>
        </is>
      </c>
      <c r="B554" t="inlineStr">
        <is>
          <t>Passionflower</t>
        </is>
      </c>
      <c r="C554" t="n">
        <v>50</v>
      </c>
      <c r="E554" t="inlineStr">
        <is>
          <t>unclassified</t>
        </is>
      </c>
      <c r="G554" t="inlineStr">
        <is>
          <t>General</t>
        </is>
      </c>
      <c r="H554" t="inlineStr">
        <is>
          <t>General</t>
        </is>
      </c>
      <c r="I554" t="inlineStr">
        <is>
          <t>Generalist</t>
        </is>
      </c>
      <c r="J554" t="inlineStr">
        <is>
          <t>Generalist</t>
        </is>
      </c>
    </row>
    <row r="555">
      <c r="A555" t="inlineStr">
        <is>
          <t>Damiana</t>
        </is>
      </c>
      <c r="B555" t="inlineStr">
        <is>
          <t>Pau d'Arco</t>
        </is>
      </c>
      <c r="C555" t="n">
        <v>50</v>
      </c>
      <c r="E555" t="inlineStr">
        <is>
          <t>unclassified</t>
        </is>
      </c>
      <c r="G555" t="inlineStr">
        <is>
          <t>General</t>
        </is>
      </c>
      <c r="H555" t="inlineStr">
        <is>
          <t>General</t>
        </is>
      </c>
      <c r="I555" t="inlineStr">
        <is>
          <t>Generalist</t>
        </is>
      </c>
      <c r="J555" t="inlineStr">
        <is>
          <t>Generalist</t>
        </is>
      </c>
    </row>
    <row r="556">
      <c r="A556" t="inlineStr">
        <is>
          <t>Damiana</t>
        </is>
      </c>
      <c r="B556" t="inlineStr">
        <is>
          <t>Perilla</t>
        </is>
      </c>
      <c r="C556" t="n">
        <v>50</v>
      </c>
      <c r="E556" t="inlineStr">
        <is>
          <t>unclassified</t>
        </is>
      </c>
      <c r="G556" t="inlineStr">
        <is>
          <t>General</t>
        </is>
      </c>
      <c r="H556" t="inlineStr">
        <is>
          <t>General</t>
        </is>
      </c>
      <c r="I556" t="inlineStr">
        <is>
          <t>Generalist</t>
        </is>
      </c>
      <c r="J556" t="inlineStr">
        <is>
          <t>Generalist</t>
        </is>
      </c>
    </row>
    <row r="557">
      <c r="A557" t="inlineStr">
        <is>
          <t>Damiana</t>
        </is>
      </c>
      <c r="B557" t="inlineStr">
        <is>
          <t>Pomegranate</t>
        </is>
      </c>
      <c r="C557" t="n">
        <v>50</v>
      </c>
      <c r="E557" t="inlineStr">
        <is>
          <t>unclassified</t>
        </is>
      </c>
      <c r="G557" t="inlineStr">
        <is>
          <t>General</t>
        </is>
      </c>
      <c r="H557" t="inlineStr">
        <is>
          <t>General</t>
        </is>
      </c>
      <c r="I557" t="inlineStr">
        <is>
          <t>Generalist</t>
        </is>
      </c>
      <c r="J557" t="inlineStr">
        <is>
          <t>Generalist</t>
        </is>
      </c>
    </row>
    <row r="558">
      <c r="A558" t="inlineStr">
        <is>
          <t>Damiana</t>
        </is>
      </c>
      <c r="B558" t="inlineStr">
        <is>
          <t>Poria</t>
        </is>
      </c>
      <c r="C558" t="n">
        <v>50</v>
      </c>
      <c r="E558" t="inlineStr">
        <is>
          <t>unclassified</t>
        </is>
      </c>
      <c r="G558" t="inlineStr">
        <is>
          <t>General</t>
        </is>
      </c>
      <c r="H558" t="inlineStr">
        <is>
          <t>General</t>
        </is>
      </c>
      <c r="I558" t="inlineStr">
        <is>
          <t>Generalist</t>
        </is>
      </c>
      <c r="J558" t="inlineStr">
        <is>
          <t>Generalist</t>
        </is>
      </c>
    </row>
    <row r="559">
      <c r="A559" t="inlineStr">
        <is>
          <t>Damiana</t>
        </is>
      </c>
      <c r="B559" t="inlineStr">
        <is>
          <t>Punarnava</t>
        </is>
      </c>
      <c r="C559" t="n">
        <v>50</v>
      </c>
      <c r="E559" t="inlineStr">
        <is>
          <t>unclassified</t>
        </is>
      </c>
      <c r="G559" t="inlineStr">
        <is>
          <t>General</t>
        </is>
      </c>
      <c r="H559" t="inlineStr">
        <is>
          <t>General</t>
        </is>
      </c>
      <c r="I559" t="inlineStr">
        <is>
          <t>Generalist</t>
        </is>
      </c>
      <c r="J559" t="inlineStr">
        <is>
          <t>Generalist</t>
        </is>
      </c>
    </row>
    <row r="560">
      <c r="A560" t="inlineStr">
        <is>
          <t>Damiana</t>
        </is>
      </c>
      <c r="B560" t="inlineStr">
        <is>
          <t>Red Clover</t>
        </is>
      </c>
      <c r="C560" t="n">
        <v>50</v>
      </c>
      <c r="E560" t="inlineStr">
        <is>
          <t>unclassified</t>
        </is>
      </c>
      <c r="G560" t="inlineStr">
        <is>
          <t>General</t>
        </is>
      </c>
      <c r="H560" t="inlineStr">
        <is>
          <t>General</t>
        </is>
      </c>
      <c r="I560" t="inlineStr">
        <is>
          <t>Generalist</t>
        </is>
      </c>
      <c r="J560" t="inlineStr">
        <is>
          <t>Generalist</t>
        </is>
      </c>
    </row>
    <row r="561">
      <c r="A561" t="inlineStr">
        <is>
          <t>Damiana</t>
        </is>
      </c>
      <c r="B561" t="inlineStr">
        <is>
          <t>Rehmannia Prepared</t>
        </is>
      </c>
      <c r="C561" t="n">
        <v>50</v>
      </c>
      <c r="E561" t="inlineStr">
        <is>
          <t>unclassified</t>
        </is>
      </c>
      <c r="G561" t="inlineStr">
        <is>
          <t>General</t>
        </is>
      </c>
      <c r="H561" t="inlineStr">
        <is>
          <t>General</t>
        </is>
      </c>
      <c r="I561" t="inlineStr">
        <is>
          <t>Generalist</t>
        </is>
      </c>
      <c r="J561" t="inlineStr">
        <is>
          <t>Generalist</t>
        </is>
      </c>
    </row>
    <row r="562">
      <c r="A562" t="inlineStr">
        <is>
          <t>Damiana</t>
        </is>
      </c>
      <c r="B562" t="inlineStr">
        <is>
          <t>Reishi</t>
        </is>
      </c>
      <c r="C562" t="n">
        <v>50</v>
      </c>
      <c r="E562" t="inlineStr">
        <is>
          <t>unclassified</t>
        </is>
      </c>
      <c r="G562" t="inlineStr">
        <is>
          <t>General</t>
        </is>
      </c>
      <c r="H562" t="inlineStr">
        <is>
          <t>General</t>
        </is>
      </c>
      <c r="I562" t="inlineStr">
        <is>
          <t>Generalist</t>
        </is>
      </c>
      <c r="J562" t="inlineStr">
        <is>
          <t>Generalist</t>
        </is>
      </c>
    </row>
    <row r="563">
      <c r="A563" t="inlineStr">
        <is>
          <t>Damiana</t>
        </is>
      </c>
      <c r="B563" t="inlineStr">
        <is>
          <t>Rose Hips</t>
        </is>
      </c>
      <c r="C563" t="n">
        <v>50</v>
      </c>
      <c r="E563" t="inlineStr">
        <is>
          <t>unclassified</t>
        </is>
      </c>
      <c r="G563" t="inlineStr">
        <is>
          <t>General</t>
        </is>
      </c>
      <c r="H563" t="inlineStr">
        <is>
          <t>General</t>
        </is>
      </c>
      <c r="I563" t="inlineStr">
        <is>
          <t>Generalist</t>
        </is>
      </c>
      <c r="J563" t="inlineStr">
        <is>
          <t>Generalist</t>
        </is>
      </c>
    </row>
    <row r="564">
      <c r="A564" t="inlineStr">
        <is>
          <t>Damiana</t>
        </is>
      </c>
      <c r="B564" t="inlineStr">
        <is>
          <t>Rosemary</t>
        </is>
      </c>
      <c r="C564" t="n">
        <v>50</v>
      </c>
      <c r="E564" t="inlineStr">
        <is>
          <t>unclassified</t>
        </is>
      </c>
      <c r="G564" t="inlineStr">
        <is>
          <t>General</t>
        </is>
      </c>
      <c r="H564" t="inlineStr">
        <is>
          <t>General</t>
        </is>
      </c>
      <c r="I564" t="inlineStr">
        <is>
          <t>Generalist</t>
        </is>
      </c>
      <c r="J564" t="inlineStr">
        <is>
          <t>Generalist</t>
        </is>
      </c>
    </row>
    <row r="565">
      <c r="A565" t="inlineStr">
        <is>
          <t>Damiana</t>
        </is>
      </c>
      <c r="B565" t="inlineStr">
        <is>
          <t>Sage</t>
        </is>
      </c>
      <c r="C565" t="n">
        <v>50</v>
      </c>
      <c r="E565" t="inlineStr">
        <is>
          <t>unclassified</t>
        </is>
      </c>
      <c r="G565" t="inlineStr">
        <is>
          <t>General</t>
        </is>
      </c>
      <c r="H565" t="inlineStr">
        <is>
          <t>General</t>
        </is>
      </c>
      <c r="I565" t="inlineStr">
        <is>
          <t>Generalist</t>
        </is>
      </c>
      <c r="J565" t="inlineStr">
        <is>
          <t>Generalist</t>
        </is>
      </c>
    </row>
    <row r="566">
      <c r="A566" t="inlineStr">
        <is>
          <t>Damiana</t>
        </is>
      </c>
      <c r="B566" t="inlineStr">
        <is>
          <t>Sophora Flavescens</t>
        </is>
      </c>
      <c r="C566" t="n">
        <v>50</v>
      </c>
      <c r="E566" t="inlineStr">
        <is>
          <t>unclassified</t>
        </is>
      </c>
      <c r="G566" t="inlineStr">
        <is>
          <t>General</t>
        </is>
      </c>
      <c r="H566" t="inlineStr">
        <is>
          <t>General</t>
        </is>
      </c>
      <c r="I566" t="inlineStr">
        <is>
          <t>Generalist</t>
        </is>
      </c>
      <c r="J566" t="inlineStr">
        <is>
          <t>Generalist</t>
        </is>
      </c>
    </row>
    <row r="567">
      <c r="A567" t="inlineStr">
        <is>
          <t>Damiana</t>
        </is>
      </c>
      <c r="B567" t="inlineStr">
        <is>
          <t>Soursop</t>
        </is>
      </c>
      <c r="C567" t="n">
        <v>50</v>
      </c>
      <c r="E567" t="inlineStr">
        <is>
          <t>unclassified</t>
        </is>
      </c>
      <c r="G567" t="inlineStr">
        <is>
          <t>General</t>
        </is>
      </c>
      <c r="H567" t="inlineStr">
        <is>
          <t>General</t>
        </is>
      </c>
      <c r="I567" t="inlineStr">
        <is>
          <t>Generalist</t>
        </is>
      </c>
      <c r="J567" t="inlineStr">
        <is>
          <t>Generalist</t>
        </is>
      </c>
    </row>
    <row r="568">
      <c r="A568" t="inlineStr">
        <is>
          <t>Damiana</t>
        </is>
      </c>
      <c r="B568" t="inlineStr">
        <is>
          <t>Tamarind</t>
        </is>
      </c>
      <c r="C568" t="n">
        <v>50</v>
      </c>
      <c r="E568" t="inlineStr">
        <is>
          <t>unclassified</t>
        </is>
      </c>
      <c r="G568" t="inlineStr">
        <is>
          <t>General</t>
        </is>
      </c>
      <c r="H568" t="inlineStr">
        <is>
          <t>General</t>
        </is>
      </c>
      <c r="I568" t="inlineStr">
        <is>
          <t>Generalist</t>
        </is>
      </c>
      <c r="J568" t="inlineStr">
        <is>
          <t>Generalist</t>
        </is>
      </c>
    </row>
    <row r="569">
      <c r="A569" t="inlineStr">
        <is>
          <t>Damiana</t>
        </is>
      </c>
      <c r="B569" t="inlineStr">
        <is>
          <t>Thyme</t>
        </is>
      </c>
      <c r="C569" t="n">
        <v>50</v>
      </c>
      <c r="E569" t="inlineStr">
        <is>
          <t>unclassified</t>
        </is>
      </c>
      <c r="G569" t="inlineStr">
        <is>
          <t>General</t>
        </is>
      </c>
      <c r="H569" t="inlineStr">
        <is>
          <t>General</t>
        </is>
      </c>
      <c r="I569" t="inlineStr">
        <is>
          <t>Generalist</t>
        </is>
      </c>
      <c r="J569" t="inlineStr">
        <is>
          <t>Generalist</t>
        </is>
      </c>
    </row>
    <row r="570">
      <c r="A570" t="inlineStr">
        <is>
          <t>Damiana</t>
        </is>
      </c>
      <c r="B570" t="inlineStr">
        <is>
          <t>White Peony</t>
        </is>
      </c>
      <c r="C570" t="n">
        <v>50</v>
      </c>
      <c r="E570" t="inlineStr">
        <is>
          <t>unclassified</t>
        </is>
      </c>
      <c r="G570" t="inlineStr">
        <is>
          <t>General</t>
        </is>
      </c>
      <c r="H570" t="inlineStr">
        <is>
          <t>General</t>
        </is>
      </c>
      <c r="I570" t="inlineStr">
        <is>
          <t>Generalist</t>
        </is>
      </c>
      <c r="J570" t="inlineStr">
        <is>
          <t>Generalist</t>
        </is>
      </c>
    </row>
    <row r="571">
      <c r="A571" t="inlineStr">
        <is>
          <t>Damiana</t>
        </is>
      </c>
      <c r="B571" t="inlineStr">
        <is>
          <t>Yarrow</t>
        </is>
      </c>
      <c r="C571" t="n">
        <v>50</v>
      </c>
      <c r="E571" t="inlineStr">
        <is>
          <t>unclassified</t>
        </is>
      </c>
      <c r="G571" t="inlineStr">
        <is>
          <t>General</t>
        </is>
      </c>
      <c r="H571" t="inlineStr">
        <is>
          <t>General</t>
        </is>
      </c>
      <c r="I571" t="inlineStr">
        <is>
          <t>Generalist</t>
        </is>
      </c>
      <c r="J571" t="inlineStr">
        <is>
          <t>Generalist</t>
        </is>
      </c>
    </row>
    <row r="572">
      <c r="A572" t="inlineStr">
        <is>
          <t>Damiana</t>
        </is>
      </c>
      <c r="B572" t="inlineStr">
        <is>
          <t>Yohimbe</t>
        </is>
      </c>
      <c r="C572" t="n">
        <v>50</v>
      </c>
      <c r="E572" t="inlineStr">
        <is>
          <t>unclassified</t>
        </is>
      </c>
      <c r="G572" t="inlineStr">
        <is>
          <t>General</t>
        </is>
      </c>
      <c r="H572" t="inlineStr">
        <is>
          <t>General</t>
        </is>
      </c>
      <c r="I572" t="inlineStr">
        <is>
          <t>Generalist</t>
        </is>
      </c>
      <c r="J572" t="inlineStr">
        <is>
          <t>Generalist</t>
        </is>
      </c>
    </row>
    <row r="573">
      <c r="A573" t="inlineStr">
        <is>
          <t>Dandelion</t>
        </is>
      </c>
      <c r="B573" t="inlineStr">
        <is>
          <t>Agarikon</t>
        </is>
      </c>
      <c r="C573" t="n">
        <v>50</v>
      </c>
      <c r="E573" t="inlineStr">
        <is>
          <t>unclassified</t>
        </is>
      </c>
      <c r="G573" t="inlineStr">
        <is>
          <t>General</t>
        </is>
      </c>
      <c r="H573" t="inlineStr">
        <is>
          <t>General</t>
        </is>
      </c>
      <c r="I573" t="inlineStr">
        <is>
          <t>Generalist</t>
        </is>
      </c>
      <c r="J573" t="inlineStr">
        <is>
          <t>Generalist</t>
        </is>
      </c>
    </row>
    <row r="574">
      <c r="A574" t="inlineStr">
        <is>
          <t>Dandelion</t>
        </is>
      </c>
      <c r="B574" t="inlineStr">
        <is>
          <t>Ajwain</t>
        </is>
      </c>
      <c r="C574" t="n">
        <v>50</v>
      </c>
      <c r="E574" t="inlineStr">
        <is>
          <t>unclassified</t>
        </is>
      </c>
      <c r="G574" t="inlineStr">
        <is>
          <t>General</t>
        </is>
      </c>
      <c r="H574" t="inlineStr">
        <is>
          <t>General</t>
        </is>
      </c>
      <c r="I574" t="inlineStr">
        <is>
          <t>Generalist</t>
        </is>
      </c>
      <c r="J574" t="inlineStr">
        <is>
          <t>Generalist</t>
        </is>
      </c>
    </row>
    <row r="575">
      <c r="A575" t="inlineStr">
        <is>
          <t>Dandelion</t>
        </is>
      </c>
      <c r="B575" t="inlineStr">
        <is>
          <t>Angelica Root</t>
        </is>
      </c>
      <c r="C575" t="n">
        <v>50</v>
      </c>
      <c r="E575" t="inlineStr">
        <is>
          <t>unclassified</t>
        </is>
      </c>
      <c r="G575" t="inlineStr">
        <is>
          <t>General</t>
        </is>
      </c>
      <c r="H575" t="inlineStr">
        <is>
          <t>General</t>
        </is>
      </c>
      <c r="I575" t="inlineStr">
        <is>
          <t>Generalist</t>
        </is>
      </c>
      <c r="J575" t="inlineStr">
        <is>
          <t>Generalist</t>
        </is>
      </c>
    </row>
    <row r="576">
      <c r="A576" t="inlineStr">
        <is>
          <t>Dandelion</t>
        </is>
      </c>
      <c r="B576" t="inlineStr">
        <is>
          <t>Ashoka</t>
        </is>
      </c>
      <c r="C576" t="n">
        <v>50</v>
      </c>
      <c r="E576" t="inlineStr">
        <is>
          <t>unclassified</t>
        </is>
      </c>
      <c r="G576" t="inlineStr">
        <is>
          <t>General</t>
        </is>
      </c>
      <c r="H576" t="inlineStr">
        <is>
          <t>General</t>
        </is>
      </c>
      <c r="I576" t="inlineStr">
        <is>
          <t>Generalist</t>
        </is>
      </c>
      <c r="J576" t="inlineStr">
        <is>
          <t>Generalist</t>
        </is>
      </c>
    </row>
    <row r="577">
      <c r="A577" t="inlineStr">
        <is>
          <t>Dandelion</t>
        </is>
      </c>
      <c r="B577" t="inlineStr">
        <is>
          <t>Boldo</t>
        </is>
      </c>
      <c r="C577" t="n">
        <v>50</v>
      </c>
      <c r="E577" t="inlineStr">
        <is>
          <t>unclassified</t>
        </is>
      </c>
      <c r="G577" t="inlineStr">
        <is>
          <t>General</t>
        </is>
      </c>
      <c r="H577" t="inlineStr">
        <is>
          <t>General</t>
        </is>
      </c>
      <c r="I577" t="inlineStr">
        <is>
          <t>Generalist</t>
        </is>
      </c>
      <c r="J577" t="inlineStr">
        <is>
          <t>Generalist</t>
        </is>
      </c>
    </row>
    <row r="578">
      <c r="A578" t="inlineStr">
        <is>
          <t>Dandelion</t>
        </is>
      </c>
      <c r="B578" t="inlineStr">
        <is>
          <t>Burdock</t>
        </is>
      </c>
      <c r="C578" t="n">
        <v>50</v>
      </c>
      <c r="E578" t="inlineStr">
        <is>
          <t>unclassified</t>
        </is>
      </c>
      <c r="G578" t="inlineStr">
        <is>
          <t>General</t>
        </is>
      </c>
      <c r="H578" t="inlineStr">
        <is>
          <t>General</t>
        </is>
      </c>
      <c r="I578" t="inlineStr">
        <is>
          <t>Generalist</t>
        </is>
      </c>
      <c r="J578" t="inlineStr">
        <is>
          <t>Generalist</t>
        </is>
      </c>
    </row>
    <row r="579">
      <c r="A579" t="inlineStr">
        <is>
          <t>Dandelion</t>
        </is>
      </c>
      <c r="B579" t="inlineStr">
        <is>
          <t>Calendula</t>
        </is>
      </c>
      <c r="C579" t="n">
        <v>50</v>
      </c>
      <c r="E579" t="inlineStr">
        <is>
          <t>unclassified</t>
        </is>
      </c>
      <c r="G579" t="inlineStr">
        <is>
          <t>General</t>
        </is>
      </c>
      <c r="H579" t="inlineStr">
        <is>
          <t>General</t>
        </is>
      </c>
      <c r="I579" t="inlineStr">
        <is>
          <t>Generalist</t>
        </is>
      </c>
      <c r="J579" t="inlineStr">
        <is>
          <t>Generalist</t>
        </is>
      </c>
    </row>
    <row r="580">
      <c r="A580" t="inlineStr">
        <is>
          <t>Dandelion</t>
        </is>
      </c>
      <c r="B580" t="inlineStr">
        <is>
          <t>Caraway</t>
        </is>
      </c>
      <c r="C580" t="n">
        <v>50</v>
      </c>
      <c r="E580" t="inlineStr">
        <is>
          <t>unclassified</t>
        </is>
      </c>
      <c r="G580" t="inlineStr">
        <is>
          <t>General</t>
        </is>
      </c>
      <c r="H580" t="inlineStr">
        <is>
          <t>General</t>
        </is>
      </c>
      <c r="I580" t="inlineStr">
        <is>
          <t>Generalist</t>
        </is>
      </c>
      <c r="J580" t="inlineStr">
        <is>
          <t>Generalist</t>
        </is>
      </c>
    </row>
    <row r="581">
      <c r="A581" t="inlineStr">
        <is>
          <t>Dandelion</t>
        </is>
      </c>
      <c r="B581" t="inlineStr">
        <is>
          <t>Cardamom</t>
        </is>
      </c>
      <c r="C581" t="n">
        <v>50</v>
      </c>
      <c r="E581" t="inlineStr">
        <is>
          <t>unclassified</t>
        </is>
      </c>
      <c r="G581" t="inlineStr">
        <is>
          <t>General</t>
        </is>
      </c>
      <c r="H581" t="inlineStr">
        <is>
          <t>General</t>
        </is>
      </c>
      <c r="I581" t="inlineStr">
        <is>
          <t>Generalist</t>
        </is>
      </c>
      <c r="J581" t="inlineStr">
        <is>
          <t>Generalist</t>
        </is>
      </c>
    </row>
    <row r="582">
      <c r="A582" t="inlineStr">
        <is>
          <t>Dandelion</t>
        </is>
      </c>
      <c r="B582" t="inlineStr">
        <is>
          <t>Celastrus Paniculatus</t>
        </is>
      </c>
      <c r="C582" t="n">
        <v>50</v>
      </c>
      <c r="E582" t="inlineStr">
        <is>
          <t>unclassified</t>
        </is>
      </c>
      <c r="G582" t="inlineStr">
        <is>
          <t>General</t>
        </is>
      </c>
      <c r="H582" t="inlineStr">
        <is>
          <t>General</t>
        </is>
      </c>
      <c r="I582" t="inlineStr">
        <is>
          <t>Generalist</t>
        </is>
      </c>
      <c r="J582" t="inlineStr">
        <is>
          <t>Generalist</t>
        </is>
      </c>
    </row>
    <row r="583">
      <c r="A583" t="inlineStr">
        <is>
          <t>Dandelion</t>
        </is>
      </c>
      <c r="B583" t="inlineStr">
        <is>
          <t>Cistanche</t>
        </is>
      </c>
      <c r="C583" t="n">
        <v>50</v>
      </c>
      <c r="E583" t="inlineStr">
        <is>
          <t>unclassified</t>
        </is>
      </c>
      <c r="G583" t="inlineStr">
        <is>
          <t>General</t>
        </is>
      </c>
      <c r="H583" t="inlineStr">
        <is>
          <t>General</t>
        </is>
      </c>
      <c r="I583" t="inlineStr">
        <is>
          <t>Generalist</t>
        </is>
      </c>
      <c r="J583" t="inlineStr">
        <is>
          <t>Generalist</t>
        </is>
      </c>
    </row>
    <row r="584">
      <c r="A584" t="inlineStr">
        <is>
          <t>Dandelion</t>
        </is>
      </c>
      <c r="B584" t="inlineStr">
        <is>
          <t>Cordyceps</t>
        </is>
      </c>
      <c r="C584" t="n">
        <v>50</v>
      </c>
      <c r="E584" t="inlineStr">
        <is>
          <t>unclassified</t>
        </is>
      </c>
      <c r="G584" t="inlineStr">
        <is>
          <t>General</t>
        </is>
      </c>
      <c r="H584" t="inlineStr">
        <is>
          <t>General</t>
        </is>
      </c>
      <c r="I584" t="inlineStr">
        <is>
          <t>Generalist</t>
        </is>
      </c>
      <c r="J584" t="inlineStr">
        <is>
          <t>Generalist</t>
        </is>
      </c>
    </row>
    <row r="585">
      <c r="A585" t="inlineStr">
        <is>
          <t>Dandelion</t>
        </is>
      </c>
      <c r="B585" t="inlineStr">
        <is>
          <t>Dendrobium</t>
        </is>
      </c>
      <c r="C585" t="n">
        <v>50</v>
      </c>
      <c r="E585" t="inlineStr">
        <is>
          <t>unclassified</t>
        </is>
      </c>
      <c r="G585" t="inlineStr">
        <is>
          <t>General</t>
        </is>
      </c>
      <c r="H585" t="inlineStr">
        <is>
          <t>General</t>
        </is>
      </c>
      <c r="I585" t="inlineStr">
        <is>
          <t>Generalist</t>
        </is>
      </c>
      <c r="J585" t="inlineStr">
        <is>
          <t>Generalist</t>
        </is>
      </c>
    </row>
    <row r="586">
      <c r="A586" t="inlineStr">
        <is>
          <t>Dandelion</t>
        </is>
      </c>
      <c r="B586" t="inlineStr">
        <is>
          <t>Elecampane</t>
        </is>
      </c>
      <c r="C586" t="n">
        <v>50</v>
      </c>
      <c r="E586" t="inlineStr">
        <is>
          <t>unclassified</t>
        </is>
      </c>
      <c r="G586" t="inlineStr">
        <is>
          <t>General</t>
        </is>
      </c>
      <c r="H586" t="inlineStr">
        <is>
          <t>General</t>
        </is>
      </c>
      <c r="I586" t="inlineStr">
        <is>
          <t>Generalist</t>
        </is>
      </c>
      <c r="J586" t="inlineStr">
        <is>
          <t>Generalist</t>
        </is>
      </c>
    </row>
    <row r="587">
      <c r="A587" t="inlineStr">
        <is>
          <t>Dandelion</t>
        </is>
      </c>
      <c r="B587" t="inlineStr">
        <is>
          <t>Eleuthero</t>
        </is>
      </c>
      <c r="C587" t="n">
        <v>50</v>
      </c>
      <c r="E587" t="inlineStr">
        <is>
          <t>unclassified</t>
        </is>
      </c>
      <c r="G587" t="inlineStr">
        <is>
          <t>General</t>
        </is>
      </c>
      <c r="H587" t="inlineStr">
        <is>
          <t>General</t>
        </is>
      </c>
      <c r="I587" t="inlineStr">
        <is>
          <t>Generalist</t>
        </is>
      </c>
      <c r="J587" t="inlineStr">
        <is>
          <t>Generalist</t>
        </is>
      </c>
    </row>
    <row r="588">
      <c r="A588" t="inlineStr">
        <is>
          <t>Dandelion</t>
        </is>
      </c>
      <c r="B588" t="inlineStr">
        <is>
          <t>Galangal</t>
        </is>
      </c>
      <c r="C588" t="n">
        <v>50</v>
      </c>
      <c r="E588" t="inlineStr">
        <is>
          <t>unclassified</t>
        </is>
      </c>
      <c r="G588" t="inlineStr">
        <is>
          <t>General</t>
        </is>
      </c>
      <c r="H588" t="inlineStr">
        <is>
          <t>General</t>
        </is>
      </c>
      <c r="I588" t="inlineStr">
        <is>
          <t>Generalist</t>
        </is>
      </c>
      <c r="J588" t="inlineStr">
        <is>
          <t>Generalist</t>
        </is>
      </c>
    </row>
    <row r="589">
      <c r="A589" t="inlineStr">
        <is>
          <t>Dandelion</t>
        </is>
      </c>
      <c r="B589" t="inlineStr">
        <is>
          <t>Gastrodia</t>
        </is>
      </c>
      <c r="C589" t="n">
        <v>50</v>
      </c>
      <c r="E589" t="inlineStr">
        <is>
          <t>unclassified</t>
        </is>
      </c>
      <c r="G589" t="inlineStr">
        <is>
          <t>General</t>
        </is>
      </c>
      <c r="H589" t="inlineStr">
        <is>
          <t>General</t>
        </is>
      </c>
      <c r="I589" t="inlineStr">
        <is>
          <t>Generalist</t>
        </is>
      </c>
      <c r="J589" t="inlineStr">
        <is>
          <t>Generalist</t>
        </is>
      </c>
    </row>
    <row r="590">
      <c r="A590" t="inlineStr">
        <is>
          <t>Dandelion</t>
        </is>
      </c>
      <c r="B590" t="inlineStr">
        <is>
          <t>Gudmar</t>
        </is>
      </c>
      <c r="C590" t="n">
        <v>50</v>
      </c>
      <c r="E590" t="inlineStr">
        <is>
          <t>unclassified</t>
        </is>
      </c>
      <c r="G590" t="inlineStr">
        <is>
          <t>General</t>
        </is>
      </c>
      <c r="H590" t="inlineStr">
        <is>
          <t>General</t>
        </is>
      </c>
      <c r="I590" t="inlineStr">
        <is>
          <t>Generalist</t>
        </is>
      </c>
      <c r="J590" t="inlineStr">
        <is>
          <t>Generalist</t>
        </is>
      </c>
    </row>
    <row r="591">
      <c r="A591" t="inlineStr">
        <is>
          <t>Dandelion</t>
        </is>
      </c>
      <c r="B591" t="inlineStr">
        <is>
          <t>Gymnema</t>
        </is>
      </c>
      <c r="C591" t="n">
        <v>50</v>
      </c>
      <c r="E591" t="inlineStr">
        <is>
          <t>unclassified</t>
        </is>
      </c>
      <c r="G591" t="inlineStr">
        <is>
          <t>General</t>
        </is>
      </c>
      <c r="H591" t="inlineStr">
        <is>
          <t>General</t>
        </is>
      </c>
      <c r="I591" t="inlineStr">
        <is>
          <t>Generalist</t>
        </is>
      </c>
      <c r="J591" t="inlineStr">
        <is>
          <t>Generalist</t>
        </is>
      </c>
    </row>
    <row r="592">
      <c r="A592" t="inlineStr">
        <is>
          <t>Dandelion</t>
        </is>
      </c>
      <c r="B592" t="inlineStr">
        <is>
          <t>Hops</t>
        </is>
      </c>
      <c r="C592" t="n">
        <v>50</v>
      </c>
      <c r="E592" t="inlineStr">
        <is>
          <t>unclassified</t>
        </is>
      </c>
      <c r="G592" t="inlineStr">
        <is>
          <t>General</t>
        </is>
      </c>
      <c r="H592" t="inlineStr">
        <is>
          <t>General</t>
        </is>
      </c>
      <c r="I592" t="inlineStr">
        <is>
          <t>Generalist</t>
        </is>
      </c>
      <c r="J592" t="inlineStr">
        <is>
          <t>Generalist</t>
        </is>
      </c>
    </row>
    <row r="593">
      <c r="A593" t="inlineStr">
        <is>
          <t>Dandelion</t>
        </is>
      </c>
      <c r="B593" t="inlineStr">
        <is>
          <t>Houttuynia</t>
        </is>
      </c>
      <c r="C593" t="n">
        <v>50</v>
      </c>
      <c r="E593" t="inlineStr">
        <is>
          <t>unclassified</t>
        </is>
      </c>
      <c r="G593" t="inlineStr">
        <is>
          <t>General</t>
        </is>
      </c>
      <c r="H593" t="inlineStr">
        <is>
          <t>General</t>
        </is>
      </c>
      <c r="I593" t="inlineStr">
        <is>
          <t>Generalist</t>
        </is>
      </c>
      <c r="J593" t="inlineStr">
        <is>
          <t>Generalist</t>
        </is>
      </c>
    </row>
    <row r="594">
      <c r="A594" t="inlineStr">
        <is>
          <t>Dandelion</t>
        </is>
      </c>
      <c r="B594" t="inlineStr">
        <is>
          <t>Isatis</t>
        </is>
      </c>
      <c r="C594" t="n">
        <v>50</v>
      </c>
      <c r="E594" t="inlineStr">
        <is>
          <t>unclassified</t>
        </is>
      </c>
      <c r="G594" t="inlineStr">
        <is>
          <t>General</t>
        </is>
      </c>
      <c r="H594" t="inlineStr">
        <is>
          <t>General</t>
        </is>
      </c>
      <c r="I594" t="inlineStr">
        <is>
          <t>Generalist</t>
        </is>
      </c>
      <c r="J594" t="inlineStr">
        <is>
          <t>Generalist</t>
        </is>
      </c>
    </row>
    <row r="595">
      <c r="A595" t="inlineStr">
        <is>
          <t>Dandelion</t>
        </is>
      </c>
      <c r="B595" t="inlineStr">
        <is>
          <t>Jatamansi</t>
        </is>
      </c>
      <c r="C595" t="n">
        <v>50</v>
      </c>
      <c r="E595" t="inlineStr">
        <is>
          <t>unclassified</t>
        </is>
      </c>
      <c r="G595" t="inlineStr">
        <is>
          <t>General</t>
        </is>
      </c>
      <c r="H595" t="inlineStr">
        <is>
          <t>General</t>
        </is>
      </c>
      <c r="I595" t="inlineStr">
        <is>
          <t>Generalist</t>
        </is>
      </c>
      <c r="J595" t="inlineStr">
        <is>
          <t>Generalist</t>
        </is>
      </c>
    </row>
    <row r="596">
      <c r="A596" t="inlineStr">
        <is>
          <t>Dandelion</t>
        </is>
      </c>
      <c r="B596" t="inlineStr">
        <is>
          <t>Lemon Verbena</t>
        </is>
      </c>
      <c r="C596" t="n">
        <v>50</v>
      </c>
      <c r="E596" t="inlineStr">
        <is>
          <t>unclassified</t>
        </is>
      </c>
      <c r="G596" t="inlineStr">
        <is>
          <t>General</t>
        </is>
      </c>
      <c r="H596" t="inlineStr">
        <is>
          <t>General</t>
        </is>
      </c>
      <c r="I596" t="inlineStr">
        <is>
          <t>Generalist</t>
        </is>
      </c>
      <c r="J596" t="inlineStr">
        <is>
          <t>Generalist</t>
        </is>
      </c>
    </row>
    <row r="597">
      <c r="A597" t="inlineStr">
        <is>
          <t>Dandelion</t>
        </is>
      </c>
      <c r="B597" t="inlineStr">
        <is>
          <t>Lemongrass</t>
        </is>
      </c>
      <c r="C597" t="n">
        <v>50</v>
      </c>
      <c r="E597" t="inlineStr">
        <is>
          <t>unclassified</t>
        </is>
      </c>
      <c r="G597" t="inlineStr">
        <is>
          <t>General</t>
        </is>
      </c>
      <c r="H597" t="inlineStr">
        <is>
          <t>General</t>
        </is>
      </c>
      <c r="I597" t="inlineStr">
        <is>
          <t>Generalist</t>
        </is>
      </c>
      <c r="J597" t="inlineStr">
        <is>
          <t>Generalist</t>
        </is>
      </c>
    </row>
    <row r="598">
      <c r="A598" t="inlineStr">
        <is>
          <t>Dandelion</t>
        </is>
      </c>
      <c r="B598" t="inlineStr">
        <is>
          <t>Longan</t>
        </is>
      </c>
      <c r="C598" t="n">
        <v>50</v>
      </c>
      <c r="E598" t="inlineStr">
        <is>
          <t>unclassified</t>
        </is>
      </c>
      <c r="G598" t="inlineStr">
        <is>
          <t>General</t>
        </is>
      </c>
      <c r="H598" t="inlineStr">
        <is>
          <t>General</t>
        </is>
      </c>
      <c r="I598" t="inlineStr">
        <is>
          <t>Generalist</t>
        </is>
      </c>
      <c r="J598" t="inlineStr">
        <is>
          <t>Generalist</t>
        </is>
      </c>
    </row>
    <row r="599">
      <c r="A599" t="inlineStr">
        <is>
          <t>Dandelion</t>
        </is>
      </c>
      <c r="B599" t="inlineStr">
        <is>
          <t>Maitake D-Fraction</t>
        </is>
      </c>
      <c r="C599" t="n">
        <v>50</v>
      </c>
      <c r="E599" t="inlineStr">
        <is>
          <t>unclassified</t>
        </is>
      </c>
      <c r="G599" t="inlineStr">
        <is>
          <t>General</t>
        </is>
      </c>
      <c r="H599" t="inlineStr">
        <is>
          <t>General</t>
        </is>
      </c>
      <c r="I599" t="inlineStr">
        <is>
          <t>Generalist</t>
        </is>
      </c>
      <c r="J599" t="inlineStr">
        <is>
          <t>Generalist</t>
        </is>
      </c>
    </row>
    <row r="600">
      <c r="A600" t="inlineStr">
        <is>
          <t>Dandelion</t>
        </is>
      </c>
      <c r="B600" t="inlineStr">
        <is>
          <t>Milk Oats</t>
        </is>
      </c>
      <c r="C600" t="n">
        <v>50</v>
      </c>
      <c r="E600" t="inlineStr">
        <is>
          <t>unclassified</t>
        </is>
      </c>
      <c r="G600" t="inlineStr">
        <is>
          <t>General</t>
        </is>
      </c>
      <c r="H600" t="inlineStr">
        <is>
          <t>General</t>
        </is>
      </c>
      <c r="I600" t="inlineStr">
        <is>
          <t>Generalist</t>
        </is>
      </c>
      <c r="J600" t="inlineStr">
        <is>
          <t>Generalist</t>
        </is>
      </c>
    </row>
    <row r="601">
      <c r="A601" t="inlineStr">
        <is>
          <t>Dandelion</t>
        </is>
      </c>
      <c r="B601" t="inlineStr">
        <is>
          <t>Mugwort</t>
        </is>
      </c>
      <c r="C601" t="n">
        <v>50</v>
      </c>
      <c r="E601" t="inlineStr">
        <is>
          <t>unclassified</t>
        </is>
      </c>
      <c r="G601" t="inlineStr">
        <is>
          <t>General</t>
        </is>
      </c>
      <c r="H601" t="inlineStr">
        <is>
          <t>General</t>
        </is>
      </c>
      <c r="I601" t="inlineStr">
        <is>
          <t>Generalist</t>
        </is>
      </c>
      <c r="J601" t="inlineStr">
        <is>
          <t>Generalist</t>
        </is>
      </c>
    </row>
    <row r="602">
      <c r="A602" t="inlineStr">
        <is>
          <t>Dandelion</t>
        </is>
      </c>
      <c r="B602" t="inlineStr">
        <is>
          <t>Muira Puama</t>
        </is>
      </c>
      <c r="C602" t="n">
        <v>50</v>
      </c>
      <c r="E602" t="inlineStr">
        <is>
          <t>unclassified</t>
        </is>
      </c>
      <c r="G602" t="inlineStr">
        <is>
          <t>General</t>
        </is>
      </c>
      <c r="H602" t="inlineStr">
        <is>
          <t>General</t>
        </is>
      </c>
      <c r="I602" t="inlineStr">
        <is>
          <t>Generalist</t>
        </is>
      </c>
      <c r="J602" t="inlineStr">
        <is>
          <t>Generalist</t>
        </is>
      </c>
    </row>
    <row r="603">
      <c r="A603" t="inlineStr">
        <is>
          <t>Dandelion</t>
        </is>
      </c>
      <c r="B603" t="inlineStr">
        <is>
          <t>Mulberry Leaf</t>
        </is>
      </c>
      <c r="C603" t="n">
        <v>50</v>
      </c>
      <c r="E603" t="inlineStr">
        <is>
          <t>unclassified</t>
        </is>
      </c>
      <c r="G603" t="inlineStr">
        <is>
          <t>General</t>
        </is>
      </c>
      <c r="H603" t="inlineStr">
        <is>
          <t>General</t>
        </is>
      </c>
      <c r="I603" t="inlineStr">
        <is>
          <t>Generalist</t>
        </is>
      </c>
      <c r="J603" t="inlineStr">
        <is>
          <t>Generalist</t>
        </is>
      </c>
    </row>
    <row r="604">
      <c r="A604" t="inlineStr">
        <is>
          <t>Dandelion</t>
        </is>
      </c>
      <c r="B604" t="inlineStr">
        <is>
          <t>Myrtle</t>
        </is>
      </c>
      <c r="C604" t="n">
        <v>50</v>
      </c>
      <c r="E604" t="inlineStr">
        <is>
          <t>unclassified</t>
        </is>
      </c>
      <c r="G604" t="inlineStr">
        <is>
          <t>General</t>
        </is>
      </c>
      <c r="H604" t="inlineStr">
        <is>
          <t>General</t>
        </is>
      </c>
      <c r="I604" t="inlineStr">
        <is>
          <t>Generalist</t>
        </is>
      </c>
      <c r="J604" t="inlineStr">
        <is>
          <t>Generalist</t>
        </is>
      </c>
    </row>
    <row r="605">
      <c r="A605" t="inlineStr">
        <is>
          <t>Dandelion</t>
        </is>
      </c>
      <c r="B605" t="inlineStr">
        <is>
          <t>Neem</t>
        </is>
      </c>
      <c r="C605" t="n">
        <v>50</v>
      </c>
      <c r="E605" t="inlineStr">
        <is>
          <t>unclassified</t>
        </is>
      </c>
      <c r="G605" t="inlineStr">
        <is>
          <t>General</t>
        </is>
      </c>
      <c r="H605" t="inlineStr">
        <is>
          <t>General</t>
        </is>
      </c>
      <c r="I605" t="inlineStr">
        <is>
          <t>Generalist</t>
        </is>
      </c>
      <c r="J605" t="inlineStr">
        <is>
          <t>Generalist</t>
        </is>
      </c>
    </row>
    <row r="606">
      <c r="A606" t="inlineStr">
        <is>
          <t>Dandelion</t>
        </is>
      </c>
      <c r="B606" t="inlineStr">
        <is>
          <t>Nettle Root</t>
        </is>
      </c>
      <c r="C606" t="n">
        <v>50</v>
      </c>
      <c r="E606" t="inlineStr">
        <is>
          <t>unclassified</t>
        </is>
      </c>
      <c r="G606" t="inlineStr">
        <is>
          <t>General</t>
        </is>
      </c>
      <c r="H606" t="inlineStr">
        <is>
          <t>General</t>
        </is>
      </c>
      <c r="I606" t="inlineStr">
        <is>
          <t>Generalist</t>
        </is>
      </c>
      <c r="J606" t="inlineStr">
        <is>
          <t>Generalist</t>
        </is>
      </c>
    </row>
    <row r="607">
      <c r="A607" t="inlineStr">
        <is>
          <t>Dandelion</t>
        </is>
      </c>
      <c r="B607" t="inlineStr">
        <is>
          <t>Noni</t>
        </is>
      </c>
      <c r="C607" t="n">
        <v>50</v>
      </c>
      <c r="E607" t="inlineStr">
        <is>
          <t>unclassified</t>
        </is>
      </c>
      <c r="G607" t="inlineStr">
        <is>
          <t>General</t>
        </is>
      </c>
      <c r="H607" t="inlineStr">
        <is>
          <t>General</t>
        </is>
      </c>
      <c r="I607" t="inlineStr">
        <is>
          <t>Generalist</t>
        </is>
      </c>
      <c r="J607" t="inlineStr">
        <is>
          <t>Generalist</t>
        </is>
      </c>
    </row>
    <row r="608">
      <c r="A608" t="inlineStr">
        <is>
          <t>Dandelion</t>
        </is>
      </c>
      <c r="B608" t="inlineStr">
        <is>
          <t>Oatstraw</t>
        </is>
      </c>
      <c r="C608" t="n">
        <v>50</v>
      </c>
      <c r="E608" t="inlineStr">
        <is>
          <t>unclassified</t>
        </is>
      </c>
      <c r="G608" t="inlineStr">
        <is>
          <t>General</t>
        </is>
      </c>
      <c r="H608" t="inlineStr">
        <is>
          <t>General</t>
        </is>
      </c>
      <c r="I608" t="inlineStr">
        <is>
          <t>Generalist</t>
        </is>
      </c>
      <c r="J608" t="inlineStr">
        <is>
          <t>Generalist</t>
        </is>
      </c>
    </row>
    <row r="609">
      <c r="A609" t="inlineStr">
        <is>
          <t>Dandelion</t>
        </is>
      </c>
      <c r="B609" t="inlineStr">
        <is>
          <t>Passionflower</t>
        </is>
      </c>
      <c r="C609" t="n">
        <v>50</v>
      </c>
      <c r="E609" t="inlineStr">
        <is>
          <t>unclassified</t>
        </is>
      </c>
      <c r="G609" t="inlineStr">
        <is>
          <t>General</t>
        </is>
      </c>
      <c r="H609" t="inlineStr">
        <is>
          <t>General</t>
        </is>
      </c>
      <c r="I609" t="inlineStr">
        <is>
          <t>Generalist</t>
        </is>
      </c>
      <c r="J609" t="inlineStr">
        <is>
          <t>Generalist</t>
        </is>
      </c>
    </row>
    <row r="610">
      <c r="A610" t="inlineStr">
        <is>
          <t>Dandelion</t>
        </is>
      </c>
      <c r="B610" t="inlineStr">
        <is>
          <t>Pau d'Arco</t>
        </is>
      </c>
      <c r="C610" t="n">
        <v>50</v>
      </c>
      <c r="E610" t="inlineStr">
        <is>
          <t>unclassified</t>
        </is>
      </c>
      <c r="G610" t="inlineStr">
        <is>
          <t>General</t>
        </is>
      </c>
      <c r="H610" t="inlineStr">
        <is>
          <t>General</t>
        </is>
      </c>
      <c r="I610" t="inlineStr">
        <is>
          <t>Generalist</t>
        </is>
      </c>
      <c r="J610" t="inlineStr">
        <is>
          <t>Generalist</t>
        </is>
      </c>
    </row>
    <row r="611">
      <c r="A611" t="inlineStr">
        <is>
          <t>Dandelion</t>
        </is>
      </c>
      <c r="B611" t="inlineStr">
        <is>
          <t>Perilla</t>
        </is>
      </c>
      <c r="C611" t="n">
        <v>50</v>
      </c>
      <c r="E611" t="inlineStr">
        <is>
          <t>unclassified</t>
        </is>
      </c>
      <c r="G611" t="inlineStr">
        <is>
          <t>General</t>
        </is>
      </c>
      <c r="H611" t="inlineStr">
        <is>
          <t>General</t>
        </is>
      </c>
      <c r="I611" t="inlineStr">
        <is>
          <t>Generalist</t>
        </is>
      </c>
      <c r="J611" t="inlineStr">
        <is>
          <t>Generalist</t>
        </is>
      </c>
    </row>
    <row r="612">
      <c r="A612" t="inlineStr">
        <is>
          <t>Dandelion</t>
        </is>
      </c>
      <c r="B612" t="inlineStr">
        <is>
          <t>Pomegranate</t>
        </is>
      </c>
      <c r="C612" t="n">
        <v>50</v>
      </c>
      <c r="E612" t="inlineStr">
        <is>
          <t>unclassified</t>
        </is>
      </c>
      <c r="G612" t="inlineStr">
        <is>
          <t>General</t>
        </is>
      </c>
      <c r="H612" t="inlineStr">
        <is>
          <t>General</t>
        </is>
      </c>
      <c r="I612" t="inlineStr">
        <is>
          <t>Generalist</t>
        </is>
      </c>
      <c r="J612" t="inlineStr">
        <is>
          <t>Generalist</t>
        </is>
      </c>
    </row>
    <row r="613">
      <c r="A613" t="inlineStr">
        <is>
          <t>Dandelion</t>
        </is>
      </c>
      <c r="B613" t="inlineStr">
        <is>
          <t>Poria</t>
        </is>
      </c>
      <c r="C613" t="n">
        <v>50</v>
      </c>
      <c r="E613" t="inlineStr">
        <is>
          <t>unclassified</t>
        </is>
      </c>
      <c r="G613" t="inlineStr">
        <is>
          <t>General</t>
        </is>
      </c>
      <c r="H613" t="inlineStr">
        <is>
          <t>General</t>
        </is>
      </c>
      <c r="I613" t="inlineStr">
        <is>
          <t>Generalist</t>
        </is>
      </c>
      <c r="J613" t="inlineStr">
        <is>
          <t>Generalist</t>
        </is>
      </c>
    </row>
    <row r="614">
      <c r="A614" t="inlineStr">
        <is>
          <t>Dandelion</t>
        </is>
      </c>
      <c r="B614" t="inlineStr">
        <is>
          <t>Punarnava</t>
        </is>
      </c>
      <c r="C614" t="n">
        <v>50</v>
      </c>
      <c r="E614" t="inlineStr">
        <is>
          <t>unclassified</t>
        </is>
      </c>
      <c r="G614" t="inlineStr">
        <is>
          <t>General</t>
        </is>
      </c>
      <c r="H614" t="inlineStr">
        <is>
          <t>General</t>
        </is>
      </c>
      <c r="I614" t="inlineStr">
        <is>
          <t>Generalist</t>
        </is>
      </c>
      <c r="J614" t="inlineStr">
        <is>
          <t>Generalist</t>
        </is>
      </c>
    </row>
    <row r="615">
      <c r="A615" t="inlineStr">
        <is>
          <t>Dandelion</t>
        </is>
      </c>
      <c r="B615" t="inlineStr">
        <is>
          <t>Red Clover</t>
        </is>
      </c>
      <c r="C615" t="n">
        <v>50</v>
      </c>
      <c r="E615" t="inlineStr">
        <is>
          <t>unclassified</t>
        </is>
      </c>
      <c r="G615" t="inlineStr">
        <is>
          <t>General</t>
        </is>
      </c>
      <c r="H615" t="inlineStr">
        <is>
          <t>General</t>
        </is>
      </c>
      <c r="I615" t="inlineStr">
        <is>
          <t>Generalist</t>
        </is>
      </c>
      <c r="J615" t="inlineStr">
        <is>
          <t>Generalist</t>
        </is>
      </c>
    </row>
    <row r="616">
      <c r="A616" t="inlineStr">
        <is>
          <t>Dandelion</t>
        </is>
      </c>
      <c r="B616" t="inlineStr">
        <is>
          <t>Rehmannia Prepared</t>
        </is>
      </c>
      <c r="C616" t="n">
        <v>50</v>
      </c>
      <c r="E616" t="inlineStr">
        <is>
          <t>unclassified</t>
        </is>
      </c>
      <c r="G616" t="inlineStr">
        <is>
          <t>General</t>
        </is>
      </c>
      <c r="H616" t="inlineStr">
        <is>
          <t>General</t>
        </is>
      </c>
      <c r="I616" t="inlineStr">
        <is>
          <t>Generalist</t>
        </is>
      </c>
      <c r="J616" t="inlineStr">
        <is>
          <t>Generalist</t>
        </is>
      </c>
    </row>
    <row r="617">
      <c r="A617" t="inlineStr">
        <is>
          <t>Dandelion</t>
        </is>
      </c>
      <c r="B617" t="inlineStr">
        <is>
          <t>Reishi</t>
        </is>
      </c>
      <c r="C617" t="n">
        <v>50</v>
      </c>
      <c r="E617" t="inlineStr">
        <is>
          <t>unclassified</t>
        </is>
      </c>
      <c r="G617" t="inlineStr">
        <is>
          <t>General</t>
        </is>
      </c>
      <c r="H617" t="inlineStr">
        <is>
          <t>General</t>
        </is>
      </c>
      <c r="I617" t="inlineStr">
        <is>
          <t>Generalist</t>
        </is>
      </c>
      <c r="J617" t="inlineStr">
        <is>
          <t>Generalist</t>
        </is>
      </c>
    </row>
    <row r="618">
      <c r="A618" t="inlineStr">
        <is>
          <t>Dandelion</t>
        </is>
      </c>
      <c r="B618" t="inlineStr">
        <is>
          <t>Rose Hips</t>
        </is>
      </c>
      <c r="C618" t="n">
        <v>50</v>
      </c>
      <c r="E618" t="inlineStr">
        <is>
          <t>unclassified</t>
        </is>
      </c>
      <c r="G618" t="inlineStr">
        <is>
          <t>General</t>
        </is>
      </c>
      <c r="H618" t="inlineStr">
        <is>
          <t>General</t>
        </is>
      </c>
      <c r="I618" t="inlineStr">
        <is>
          <t>Generalist</t>
        </is>
      </c>
      <c r="J618" t="inlineStr">
        <is>
          <t>Generalist</t>
        </is>
      </c>
    </row>
    <row r="619">
      <c r="A619" t="inlineStr">
        <is>
          <t>Dandelion</t>
        </is>
      </c>
      <c r="B619" t="inlineStr">
        <is>
          <t>Sophora Flavescens</t>
        </is>
      </c>
      <c r="C619" t="n">
        <v>50</v>
      </c>
      <c r="E619" t="inlineStr">
        <is>
          <t>unclassified</t>
        </is>
      </c>
      <c r="G619" t="inlineStr">
        <is>
          <t>General</t>
        </is>
      </c>
      <c r="H619" t="inlineStr">
        <is>
          <t>General</t>
        </is>
      </c>
      <c r="I619" t="inlineStr">
        <is>
          <t>Generalist</t>
        </is>
      </c>
      <c r="J619" t="inlineStr">
        <is>
          <t>Generalist</t>
        </is>
      </c>
    </row>
    <row r="620">
      <c r="A620" t="inlineStr">
        <is>
          <t>Dandelion</t>
        </is>
      </c>
      <c r="B620" t="inlineStr">
        <is>
          <t>Soursop</t>
        </is>
      </c>
      <c r="C620" t="n">
        <v>50</v>
      </c>
      <c r="E620" t="inlineStr">
        <is>
          <t>unclassified</t>
        </is>
      </c>
      <c r="G620" t="inlineStr">
        <is>
          <t>General</t>
        </is>
      </c>
      <c r="H620" t="inlineStr">
        <is>
          <t>General</t>
        </is>
      </c>
      <c r="I620" t="inlineStr">
        <is>
          <t>Generalist</t>
        </is>
      </c>
      <c r="J620" t="inlineStr">
        <is>
          <t>Generalist</t>
        </is>
      </c>
    </row>
    <row r="621">
      <c r="A621" t="inlineStr">
        <is>
          <t>Dandelion</t>
        </is>
      </c>
      <c r="B621" t="inlineStr">
        <is>
          <t>Tamarind</t>
        </is>
      </c>
      <c r="C621" t="n">
        <v>50</v>
      </c>
      <c r="E621" t="inlineStr">
        <is>
          <t>unclassified</t>
        </is>
      </c>
      <c r="G621" t="inlineStr">
        <is>
          <t>General</t>
        </is>
      </c>
      <c r="H621" t="inlineStr">
        <is>
          <t>General</t>
        </is>
      </c>
      <c r="I621" t="inlineStr">
        <is>
          <t>Generalist</t>
        </is>
      </c>
      <c r="J621" t="inlineStr">
        <is>
          <t>Generalist</t>
        </is>
      </c>
    </row>
    <row r="622">
      <c r="A622" t="inlineStr">
        <is>
          <t>Dandelion</t>
        </is>
      </c>
      <c r="B622" t="inlineStr">
        <is>
          <t>White Peony</t>
        </is>
      </c>
      <c r="C622" t="n">
        <v>50</v>
      </c>
      <c r="E622" t="inlineStr">
        <is>
          <t>unclassified</t>
        </is>
      </c>
      <c r="G622" t="inlineStr">
        <is>
          <t>General</t>
        </is>
      </c>
      <c r="H622" t="inlineStr">
        <is>
          <t>General</t>
        </is>
      </c>
      <c r="I622" t="inlineStr">
        <is>
          <t>Generalist</t>
        </is>
      </c>
      <c r="J622" t="inlineStr">
        <is>
          <t>Generalist</t>
        </is>
      </c>
    </row>
    <row r="623">
      <c r="A623" t="inlineStr">
        <is>
          <t>Dandelion</t>
        </is>
      </c>
      <c r="B623" t="inlineStr">
        <is>
          <t>Yohimbe</t>
        </is>
      </c>
      <c r="C623" t="n">
        <v>50</v>
      </c>
      <c r="E623" t="inlineStr">
        <is>
          <t>unclassified</t>
        </is>
      </c>
      <c r="G623" t="inlineStr">
        <is>
          <t>General</t>
        </is>
      </c>
      <c r="H623" t="inlineStr">
        <is>
          <t>General</t>
        </is>
      </c>
      <c r="I623" t="inlineStr">
        <is>
          <t>Generalist</t>
        </is>
      </c>
      <c r="J623" t="inlineStr">
        <is>
          <t>Generalist</t>
        </is>
      </c>
    </row>
    <row r="624">
      <c r="A624" t="inlineStr">
        <is>
          <t>Dendrobium</t>
        </is>
      </c>
      <c r="B624" t="inlineStr">
        <is>
          <t>Agarikon</t>
        </is>
      </c>
      <c r="C624" t="n">
        <v>50</v>
      </c>
      <c r="E624" t="inlineStr">
        <is>
          <t>unclassified</t>
        </is>
      </c>
      <c r="G624" t="inlineStr">
        <is>
          <t>General</t>
        </is>
      </c>
      <c r="H624" t="inlineStr">
        <is>
          <t>General</t>
        </is>
      </c>
      <c r="I624" t="inlineStr">
        <is>
          <t>Generalist</t>
        </is>
      </c>
      <c r="J624" t="inlineStr">
        <is>
          <t>Generalist</t>
        </is>
      </c>
    </row>
    <row r="625">
      <c r="A625" t="inlineStr">
        <is>
          <t>Dendrobium</t>
        </is>
      </c>
      <c r="B625" t="inlineStr">
        <is>
          <t>Ajwain</t>
        </is>
      </c>
      <c r="C625" t="n">
        <v>50</v>
      </c>
      <c r="E625" t="inlineStr">
        <is>
          <t>unclassified</t>
        </is>
      </c>
      <c r="G625" t="inlineStr">
        <is>
          <t>General</t>
        </is>
      </c>
      <c r="H625" t="inlineStr">
        <is>
          <t>General</t>
        </is>
      </c>
      <c r="I625" t="inlineStr">
        <is>
          <t>Generalist</t>
        </is>
      </c>
      <c r="J625" t="inlineStr">
        <is>
          <t>Generalist</t>
        </is>
      </c>
    </row>
    <row r="626">
      <c r="A626" t="inlineStr">
        <is>
          <t>Dendrobium</t>
        </is>
      </c>
      <c r="B626" t="inlineStr">
        <is>
          <t>Angelica Root</t>
        </is>
      </c>
      <c r="C626" t="n">
        <v>50</v>
      </c>
      <c r="E626" t="inlineStr">
        <is>
          <t>unclassified</t>
        </is>
      </c>
      <c r="G626" t="inlineStr">
        <is>
          <t>General</t>
        </is>
      </c>
      <c r="H626" t="inlineStr">
        <is>
          <t>General</t>
        </is>
      </c>
      <c r="I626" t="inlineStr">
        <is>
          <t>Generalist</t>
        </is>
      </c>
      <c r="J626" t="inlineStr">
        <is>
          <t>Generalist</t>
        </is>
      </c>
    </row>
    <row r="627">
      <c r="A627" t="inlineStr">
        <is>
          <t>Dendrobium</t>
        </is>
      </c>
      <c r="B627" t="inlineStr">
        <is>
          <t>Caraway</t>
        </is>
      </c>
      <c r="C627" t="n">
        <v>50</v>
      </c>
      <c r="E627" t="inlineStr">
        <is>
          <t>unclassified</t>
        </is>
      </c>
      <c r="G627" t="inlineStr">
        <is>
          <t>General</t>
        </is>
      </c>
      <c r="H627" t="inlineStr">
        <is>
          <t>General</t>
        </is>
      </c>
      <c r="I627" t="inlineStr">
        <is>
          <t>Generalist</t>
        </is>
      </c>
      <c r="J627" t="inlineStr">
        <is>
          <t>Generalist</t>
        </is>
      </c>
    </row>
    <row r="628">
      <c r="A628" t="inlineStr">
        <is>
          <t>Dendrobium</t>
        </is>
      </c>
      <c r="B628" t="inlineStr">
        <is>
          <t>Cardamom</t>
        </is>
      </c>
      <c r="C628" t="n">
        <v>50</v>
      </c>
      <c r="E628" t="inlineStr">
        <is>
          <t>unclassified</t>
        </is>
      </c>
      <c r="G628" t="inlineStr">
        <is>
          <t>General</t>
        </is>
      </c>
      <c r="H628" t="inlineStr">
        <is>
          <t>General</t>
        </is>
      </c>
      <c r="I628" t="inlineStr">
        <is>
          <t>Generalist</t>
        </is>
      </c>
      <c r="J628" t="inlineStr">
        <is>
          <t>Generalist</t>
        </is>
      </c>
    </row>
    <row r="629">
      <c r="A629" t="inlineStr">
        <is>
          <t>Dendrobium</t>
        </is>
      </c>
      <c r="B629" t="inlineStr">
        <is>
          <t>Celastrus Paniculatus</t>
        </is>
      </c>
      <c r="C629" t="n">
        <v>50</v>
      </c>
      <c r="E629" t="inlineStr">
        <is>
          <t>unclassified</t>
        </is>
      </c>
      <c r="G629" t="inlineStr">
        <is>
          <t>General</t>
        </is>
      </c>
      <c r="H629" t="inlineStr">
        <is>
          <t>General</t>
        </is>
      </c>
      <c r="I629" t="inlineStr">
        <is>
          <t>Generalist</t>
        </is>
      </c>
      <c r="J629" t="inlineStr">
        <is>
          <t>Generalist</t>
        </is>
      </c>
    </row>
    <row r="630">
      <c r="A630" t="inlineStr">
        <is>
          <t>Dendrobium</t>
        </is>
      </c>
      <c r="B630" t="inlineStr">
        <is>
          <t>Cordyceps</t>
        </is>
      </c>
      <c r="C630" t="n">
        <v>50</v>
      </c>
      <c r="E630" t="inlineStr">
        <is>
          <t>unclassified</t>
        </is>
      </c>
      <c r="G630" t="inlineStr">
        <is>
          <t>General</t>
        </is>
      </c>
      <c r="H630" t="inlineStr">
        <is>
          <t>General</t>
        </is>
      </c>
      <c r="I630" t="inlineStr">
        <is>
          <t>Generalist</t>
        </is>
      </c>
      <c r="J630" t="inlineStr">
        <is>
          <t>Generalist</t>
        </is>
      </c>
    </row>
    <row r="631">
      <c r="A631" t="inlineStr">
        <is>
          <t>Dendrobium</t>
        </is>
      </c>
      <c r="B631" t="inlineStr">
        <is>
          <t>Elecampane</t>
        </is>
      </c>
      <c r="C631" t="n">
        <v>50</v>
      </c>
      <c r="E631" t="inlineStr">
        <is>
          <t>unclassified</t>
        </is>
      </c>
      <c r="G631" t="inlineStr">
        <is>
          <t>General</t>
        </is>
      </c>
      <c r="H631" t="inlineStr">
        <is>
          <t>General</t>
        </is>
      </c>
      <c r="I631" t="inlineStr">
        <is>
          <t>Generalist</t>
        </is>
      </c>
      <c r="J631" t="inlineStr">
        <is>
          <t>Generalist</t>
        </is>
      </c>
    </row>
    <row r="632">
      <c r="A632" t="inlineStr">
        <is>
          <t>Dendrobium</t>
        </is>
      </c>
      <c r="B632" t="inlineStr">
        <is>
          <t>Eleuthero</t>
        </is>
      </c>
      <c r="C632" t="n">
        <v>50</v>
      </c>
      <c r="E632" t="inlineStr">
        <is>
          <t>unclassified</t>
        </is>
      </c>
      <c r="G632" t="inlineStr">
        <is>
          <t>General</t>
        </is>
      </c>
      <c r="H632" t="inlineStr">
        <is>
          <t>General</t>
        </is>
      </c>
      <c r="I632" t="inlineStr">
        <is>
          <t>Generalist</t>
        </is>
      </c>
      <c r="J632" t="inlineStr">
        <is>
          <t>Generalist</t>
        </is>
      </c>
    </row>
    <row r="633">
      <c r="A633" t="inlineStr">
        <is>
          <t>Dendrobium</t>
        </is>
      </c>
      <c r="B633" t="inlineStr">
        <is>
          <t>Galangal</t>
        </is>
      </c>
      <c r="C633" t="n">
        <v>50</v>
      </c>
      <c r="E633" t="inlineStr">
        <is>
          <t>unclassified</t>
        </is>
      </c>
      <c r="G633" t="inlineStr">
        <is>
          <t>General</t>
        </is>
      </c>
      <c r="H633" t="inlineStr">
        <is>
          <t>General</t>
        </is>
      </c>
      <c r="I633" t="inlineStr">
        <is>
          <t>Generalist</t>
        </is>
      </c>
      <c r="J633" t="inlineStr">
        <is>
          <t>Generalist</t>
        </is>
      </c>
    </row>
    <row r="634">
      <c r="A634" t="inlineStr">
        <is>
          <t>Dendrobium</t>
        </is>
      </c>
      <c r="B634" t="inlineStr">
        <is>
          <t>Gudmar</t>
        </is>
      </c>
      <c r="C634" t="n">
        <v>50</v>
      </c>
      <c r="E634" t="inlineStr">
        <is>
          <t>unclassified</t>
        </is>
      </c>
      <c r="G634" t="inlineStr">
        <is>
          <t>General</t>
        </is>
      </c>
      <c r="H634" t="inlineStr">
        <is>
          <t>General</t>
        </is>
      </c>
      <c r="I634" t="inlineStr">
        <is>
          <t>Generalist</t>
        </is>
      </c>
      <c r="J634" t="inlineStr">
        <is>
          <t>Generalist</t>
        </is>
      </c>
    </row>
    <row r="635">
      <c r="A635" t="inlineStr">
        <is>
          <t>Dendrobium</t>
        </is>
      </c>
      <c r="B635" t="inlineStr">
        <is>
          <t>Houttuynia</t>
        </is>
      </c>
      <c r="C635" t="n">
        <v>50</v>
      </c>
      <c r="E635" t="inlineStr">
        <is>
          <t>unclassified</t>
        </is>
      </c>
      <c r="G635" t="inlineStr">
        <is>
          <t>General</t>
        </is>
      </c>
      <c r="H635" t="inlineStr">
        <is>
          <t>General</t>
        </is>
      </c>
      <c r="I635" t="inlineStr">
        <is>
          <t>Generalist</t>
        </is>
      </c>
      <c r="J635" t="inlineStr">
        <is>
          <t>Generalist</t>
        </is>
      </c>
    </row>
    <row r="636">
      <c r="A636" t="inlineStr">
        <is>
          <t>Dendrobium</t>
        </is>
      </c>
      <c r="B636" t="inlineStr">
        <is>
          <t>Isatis</t>
        </is>
      </c>
      <c r="C636" t="n">
        <v>50</v>
      </c>
      <c r="E636" t="inlineStr">
        <is>
          <t>unclassified</t>
        </is>
      </c>
      <c r="G636" t="inlineStr">
        <is>
          <t>General</t>
        </is>
      </c>
      <c r="H636" t="inlineStr">
        <is>
          <t>General</t>
        </is>
      </c>
      <c r="I636" t="inlineStr">
        <is>
          <t>Generalist</t>
        </is>
      </c>
      <c r="J636" t="inlineStr">
        <is>
          <t>Generalist</t>
        </is>
      </c>
    </row>
    <row r="637">
      <c r="A637" t="inlineStr">
        <is>
          <t>Dendrobium</t>
        </is>
      </c>
      <c r="B637" t="inlineStr">
        <is>
          <t>Maitake D-Fraction</t>
        </is>
      </c>
      <c r="C637" t="n">
        <v>50</v>
      </c>
      <c r="E637" t="inlineStr">
        <is>
          <t>unclassified</t>
        </is>
      </c>
      <c r="G637" t="inlineStr">
        <is>
          <t>General</t>
        </is>
      </c>
      <c r="H637" t="inlineStr">
        <is>
          <t>General</t>
        </is>
      </c>
      <c r="I637" t="inlineStr">
        <is>
          <t>Generalist</t>
        </is>
      </c>
      <c r="J637" t="inlineStr">
        <is>
          <t>Generalist</t>
        </is>
      </c>
    </row>
    <row r="638">
      <c r="A638" t="inlineStr">
        <is>
          <t>Dendrobium</t>
        </is>
      </c>
      <c r="B638" t="inlineStr">
        <is>
          <t>Muira Puama</t>
        </is>
      </c>
      <c r="C638" t="n">
        <v>50</v>
      </c>
      <c r="E638" t="inlineStr">
        <is>
          <t>unclassified</t>
        </is>
      </c>
      <c r="G638" t="inlineStr">
        <is>
          <t>General</t>
        </is>
      </c>
      <c r="H638" t="inlineStr">
        <is>
          <t>General</t>
        </is>
      </c>
      <c r="I638" t="inlineStr">
        <is>
          <t>Generalist</t>
        </is>
      </c>
      <c r="J638" t="inlineStr">
        <is>
          <t>Generalist</t>
        </is>
      </c>
    </row>
    <row r="639">
      <c r="A639" t="inlineStr">
        <is>
          <t>Dendrobium</t>
        </is>
      </c>
      <c r="B639" t="inlineStr">
        <is>
          <t>Nettle Root</t>
        </is>
      </c>
      <c r="C639" t="n">
        <v>50</v>
      </c>
      <c r="E639" t="inlineStr">
        <is>
          <t>unclassified</t>
        </is>
      </c>
      <c r="G639" t="inlineStr">
        <is>
          <t>General</t>
        </is>
      </c>
      <c r="H639" t="inlineStr">
        <is>
          <t>General</t>
        </is>
      </c>
      <c r="I639" t="inlineStr">
        <is>
          <t>Generalist</t>
        </is>
      </c>
      <c r="J639" t="inlineStr">
        <is>
          <t>Generalist</t>
        </is>
      </c>
    </row>
    <row r="640">
      <c r="A640" t="inlineStr">
        <is>
          <t>Dendrobium</t>
        </is>
      </c>
      <c r="B640" t="inlineStr">
        <is>
          <t>Passionflower</t>
        </is>
      </c>
      <c r="C640" t="n">
        <v>50</v>
      </c>
      <c r="E640" t="inlineStr">
        <is>
          <t>unclassified</t>
        </is>
      </c>
      <c r="G640" t="inlineStr">
        <is>
          <t>General</t>
        </is>
      </c>
      <c r="H640" t="inlineStr">
        <is>
          <t>General</t>
        </is>
      </c>
      <c r="I640" t="inlineStr">
        <is>
          <t>Generalist</t>
        </is>
      </c>
      <c r="J640" t="inlineStr">
        <is>
          <t>Generalist</t>
        </is>
      </c>
    </row>
    <row r="641">
      <c r="A641" t="inlineStr">
        <is>
          <t>Dendrobium</t>
        </is>
      </c>
      <c r="B641" t="inlineStr">
        <is>
          <t>Poria</t>
        </is>
      </c>
      <c r="C641" t="n">
        <v>50</v>
      </c>
      <c r="E641" t="inlineStr">
        <is>
          <t>unclassified</t>
        </is>
      </c>
      <c r="G641" t="inlineStr">
        <is>
          <t>General</t>
        </is>
      </c>
      <c r="H641" t="inlineStr">
        <is>
          <t>General</t>
        </is>
      </c>
      <c r="I641" t="inlineStr">
        <is>
          <t>Generalist</t>
        </is>
      </c>
      <c r="J641" t="inlineStr">
        <is>
          <t>Generalist</t>
        </is>
      </c>
    </row>
    <row r="642">
      <c r="A642" t="inlineStr">
        <is>
          <t>Dendrobium</t>
        </is>
      </c>
      <c r="B642" t="inlineStr">
        <is>
          <t>Punarnava</t>
        </is>
      </c>
      <c r="C642" t="n">
        <v>50</v>
      </c>
      <c r="E642" t="inlineStr">
        <is>
          <t>unclassified</t>
        </is>
      </c>
      <c r="G642" t="inlineStr">
        <is>
          <t>General</t>
        </is>
      </c>
      <c r="H642" t="inlineStr">
        <is>
          <t>General</t>
        </is>
      </c>
      <c r="I642" t="inlineStr">
        <is>
          <t>Generalist</t>
        </is>
      </c>
      <c r="J642" t="inlineStr">
        <is>
          <t>Generalist</t>
        </is>
      </c>
    </row>
    <row r="643">
      <c r="A643" t="inlineStr">
        <is>
          <t>Dendrobium</t>
        </is>
      </c>
      <c r="B643" t="inlineStr">
        <is>
          <t>Rehmannia Prepared</t>
        </is>
      </c>
      <c r="C643" t="n">
        <v>50</v>
      </c>
      <c r="E643" t="inlineStr">
        <is>
          <t>unclassified</t>
        </is>
      </c>
      <c r="G643" t="inlineStr">
        <is>
          <t>General</t>
        </is>
      </c>
      <c r="H643" t="inlineStr">
        <is>
          <t>General</t>
        </is>
      </c>
      <c r="I643" t="inlineStr">
        <is>
          <t>Generalist</t>
        </is>
      </c>
      <c r="J643" t="inlineStr">
        <is>
          <t>Generalist</t>
        </is>
      </c>
    </row>
    <row r="644">
      <c r="A644" t="inlineStr">
        <is>
          <t>Dendrobium</t>
        </is>
      </c>
      <c r="B644" t="inlineStr">
        <is>
          <t>Reishi</t>
        </is>
      </c>
      <c r="C644" t="n">
        <v>50</v>
      </c>
      <c r="E644" t="inlineStr">
        <is>
          <t>unclassified</t>
        </is>
      </c>
      <c r="G644" t="inlineStr">
        <is>
          <t>General</t>
        </is>
      </c>
      <c r="H644" t="inlineStr">
        <is>
          <t>General</t>
        </is>
      </c>
      <c r="I644" t="inlineStr">
        <is>
          <t>Generalist</t>
        </is>
      </c>
      <c r="J644" t="inlineStr">
        <is>
          <t>Generalist</t>
        </is>
      </c>
    </row>
    <row r="645">
      <c r="A645" t="inlineStr">
        <is>
          <t>Dendrobium</t>
        </is>
      </c>
      <c r="B645" t="inlineStr">
        <is>
          <t>Sophora Flavescens</t>
        </is>
      </c>
      <c r="C645" t="n">
        <v>50</v>
      </c>
      <c r="E645" t="inlineStr">
        <is>
          <t>unclassified</t>
        </is>
      </c>
      <c r="G645" t="inlineStr">
        <is>
          <t>General</t>
        </is>
      </c>
      <c r="H645" t="inlineStr">
        <is>
          <t>General</t>
        </is>
      </c>
      <c r="I645" t="inlineStr">
        <is>
          <t>Generalist</t>
        </is>
      </c>
      <c r="J645" t="inlineStr">
        <is>
          <t>Generalist</t>
        </is>
      </c>
    </row>
    <row r="646">
      <c r="A646" t="inlineStr">
        <is>
          <t>Dendrobium</t>
        </is>
      </c>
      <c r="B646" t="inlineStr">
        <is>
          <t>Tamarind</t>
        </is>
      </c>
      <c r="C646" t="n">
        <v>50</v>
      </c>
      <c r="E646" t="inlineStr">
        <is>
          <t>unclassified</t>
        </is>
      </c>
      <c r="G646" t="inlineStr">
        <is>
          <t>General</t>
        </is>
      </c>
      <c r="H646" t="inlineStr">
        <is>
          <t>General</t>
        </is>
      </c>
      <c r="I646" t="inlineStr">
        <is>
          <t>Generalist</t>
        </is>
      </c>
      <c r="J646" t="inlineStr">
        <is>
          <t>Generalist</t>
        </is>
      </c>
    </row>
    <row r="647">
      <c r="A647" t="inlineStr">
        <is>
          <t>Dendrobium</t>
        </is>
      </c>
      <c r="B647" t="inlineStr">
        <is>
          <t>Yohimbe</t>
        </is>
      </c>
      <c r="C647" t="n">
        <v>50</v>
      </c>
      <c r="E647" t="inlineStr">
        <is>
          <t>unclassified</t>
        </is>
      </c>
      <c r="G647" t="inlineStr">
        <is>
          <t>General</t>
        </is>
      </c>
      <c r="H647" t="inlineStr">
        <is>
          <t>General</t>
        </is>
      </c>
      <c r="I647" t="inlineStr">
        <is>
          <t>Generalist</t>
        </is>
      </c>
      <c r="J647" t="inlineStr">
        <is>
          <t>Generalist</t>
        </is>
      </c>
    </row>
    <row r="648">
      <c r="A648" t="inlineStr">
        <is>
          <t>Dong Quai</t>
        </is>
      </c>
      <c r="B648" t="inlineStr">
        <is>
          <t>Agarikon</t>
        </is>
      </c>
      <c r="C648" t="n">
        <v>50</v>
      </c>
      <c r="E648" t="inlineStr">
        <is>
          <t>unclassified</t>
        </is>
      </c>
      <c r="G648" t="inlineStr">
        <is>
          <t>General</t>
        </is>
      </c>
      <c r="H648" t="inlineStr">
        <is>
          <t>General</t>
        </is>
      </c>
      <c r="I648" t="inlineStr">
        <is>
          <t>Generalist</t>
        </is>
      </c>
      <c r="J648" t="inlineStr">
        <is>
          <t>Generalist</t>
        </is>
      </c>
    </row>
    <row r="649">
      <c r="A649" t="inlineStr">
        <is>
          <t>Dong Quai</t>
        </is>
      </c>
      <c r="B649" t="inlineStr">
        <is>
          <t>Ajwain</t>
        </is>
      </c>
      <c r="C649" t="n">
        <v>50</v>
      </c>
      <c r="E649" t="inlineStr">
        <is>
          <t>unclassified</t>
        </is>
      </c>
      <c r="G649" t="inlineStr">
        <is>
          <t>General</t>
        </is>
      </c>
      <c r="H649" t="inlineStr">
        <is>
          <t>General</t>
        </is>
      </c>
      <c r="I649" t="inlineStr">
        <is>
          <t>Generalist</t>
        </is>
      </c>
      <c r="J649" t="inlineStr">
        <is>
          <t>Generalist</t>
        </is>
      </c>
    </row>
    <row r="650">
      <c r="A650" t="inlineStr">
        <is>
          <t>Dong Quai</t>
        </is>
      </c>
      <c r="B650" t="inlineStr">
        <is>
          <t>Angelica Root</t>
        </is>
      </c>
      <c r="C650" t="n">
        <v>50</v>
      </c>
      <c r="E650" t="inlineStr">
        <is>
          <t>unclassified</t>
        </is>
      </c>
      <c r="G650" t="inlineStr">
        <is>
          <t>General</t>
        </is>
      </c>
      <c r="H650" t="inlineStr">
        <is>
          <t>General</t>
        </is>
      </c>
      <c r="I650" t="inlineStr">
        <is>
          <t>Generalist</t>
        </is>
      </c>
      <c r="J650" t="inlineStr">
        <is>
          <t>Generalist</t>
        </is>
      </c>
    </row>
    <row r="651">
      <c r="A651" t="inlineStr">
        <is>
          <t>Dong Quai</t>
        </is>
      </c>
      <c r="B651" t="inlineStr">
        <is>
          <t>Artichoke</t>
        </is>
      </c>
      <c r="C651" t="n">
        <v>50</v>
      </c>
      <c r="E651" t="inlineStr">
        <is>
          <t>unclassified</t>
        </is>
      </c>
      <c r="G651" t="inlineStr">
        <is>
          <t>General</t>
        </is>
      </c>
      <c r="H651" t="inlineStr">
        <is>
          <t>General</t>
        </is>
      </c>
      <c r="I651" t="inlineStr">
        <is>
          <t>Generalist</t>
        </is>
      </c>
      <c r="J651" t="inlineStr">
        <is>
          <t>Generalist</t>
        </is>
      </c>
    </row>
    <row r="652">
      <c r="A652" t="inlineStr">
        <is>
          <t>Dong Quai</t>
        </is>
      </c>
      <c r="B652" t="inlineStr">
        <is>
          <t>Ashoka</t>
        </is>
      </c>
      <c r="C652" t="n">
        <v>50</v>
      </c>
      <c r="E652" t="inlineStr">
        <is>
          <t>unclassified</t>
        </is>
      </c>
      <c r="G652" t="inlineStr">
        <is>
          <t>General</t>
        </is>
      </c>
      <c r="H652" t="inlineStr">
        <is>
          <t>General</t>
        </is>
      </c>
      <c r="I652" t="inlineStr">
        <is>
          <t>Generalist</t>
        </is>
      </c>
      <c r="J652" t="inlineStr">
        <is>
          <t>Generalist</t>
        </is>
      </c>
    </row>
    <row r="653">
      <c r="A653" t="inlineStr">
        <is>
          <t>Dong Quai</t>
        </is>
      </c>
      <c r="B653" t="inlineStr">
        <is>
          <t>Boldo</t>
        </is>
      </c>
      <c r="C653" t="n">
        <v>50</v>
      </c>
      <c r="E653" t="inlineStr">
        <is>
          <t>unclassified</t>
        </is>
      </c>
      <c r="G653" t="inlineStr">
        <is>
          <t>General</t>
        </is>
      </c>
      <c r="H653" t="inlineStr">
        <is>
          <t>General</t>
        </is>
      </c>
      <c r="I653" t="inlineStr">
        <is>
          <t>Generalist</t>
        </is>
      </c>
      <c r="J653" t="inlineStr">
        <is>
          <t>Generalist</t>
        </is>
      </c>
    </row>
    <row r="654">
      <c r="A654" t="inlineStr">
        <is>
          <t>Dong Quai</t>
        </is>
      </c>
      <c r="B654" t="inlineStr">
        <is>
          <t>Burdock</t>
        </is>
      </c>
      <c r="C654" t="n">
        <v>50</v>
      </c>
      <c r="E654" t="inlineStr">
        <is>
          <t>unclassified</t>
        </is>
      </c>
      <c r="G654" t="inlineStr">
        <is>
          <t>General</t>
        </is>
      </c>
      <c r="H654" t="inlineStr">
        <is>
          <t>General</t>
        </is>
      </c>
      <c r="I654" t="inlineStr">
        <is>
          <t>Generalist</t>
        </is>
      </c>
      <c r="J654" t="inlineStr">
        <is>
          <t>Generalist</t>
        </is>
      </c>
    </row>
    <row r="655">
      <c r="A655" t="inlineStr">
        <is>
          <t>Dong Quai</t>
        </is>
      </c>
      <c r="B655" t="inlineStr">
        <is>
          <t>Calendula</t>
        </is>
      </c>
      <c r="C655" t="n">
        <v>50</v>
      </c>
      <c r="E655" t="inlineStr">
        <is>
          <t>unclassified</t>
        </is>
      </c>
      <c r="G655" t="inlineStr">
        <is>
          <t>General</t>
        </is>
      </c>
      <c r="H655" t="inlineStr">
        <is>
          <t>General</t>
        </is>
      </c>
      <c r="I655" t="inlineStr">
        <is>
          <t>Generalist</t>
        </is>
      </c>
      <c r="J655" t="inlineStr">
        <is>
          <t>Generalist</t>
        </is>
      </c>
    </row>
    <row r="656">
      <c r="A656" t="inlineStr">
        <is>
          <t>Dong Quai</t>
        </is>
      </c>
      <c r="B656" t="inlineStr">
        <is>
          <t>Caraway</t>
        </is>
      </c>
      <c r="C656" t="n">
        <v>50</v>
      </c>
      <c r="E656" t="inlineStr">
        <is>
          <t>unclassified</t>
        </is>
      </c>
      <c r="G656" t="inlineStr">
        <is>
          <t>General</t>
        </is>
      </c>
      <c r="H656" t="inlineStr">
        <is>
          <t>General</t>
        </is>
      </c>
      <c r="I656" t="inlineStr">
        <is>
          <t>Generalist</t>
        </is>
      </c>
      <c r="J656" t="inlineStr">
        <is>
          <t>Generalist</t>
        </is>
      </c>
    </row>
    <row r="657">
      <c r="A657" t="inlineStr">
        <is>
          <t>Dong Quai</t>
        </is>
      </c>
      <c r="B657" t="inlineStr">
        <is>
          <t>Cardamom</t>
        </is>
      </c>
      <c r="C657" t="n">
        <v>50</v>
      </c>
      <c r="E657" t="inlineStr">
        <is>
          <t>unclassified</t>
        </is>
      </c>
      <c r="G657" t="inlineStr">
        <is>
          <t>General</t>
        </is>
      </c>
      <c r="H657" t="inlineStr">
        <is>
          <t>General</t>
        </is>
      </c>
      <c r="I657" t="inlineStr">
        <is>
          <t>Generalist</t>
        </is>
      </c>
      <c r="J657" t="inlineStr">
        <is>
          <t>Generalist</t>
        </is>
      </c>
    </row>
    <row r="658">
      <c r="A658" t="inlineStr">
        <is>
          <t>Dong Quai</t>
        </is>
      </c>
      <c r="B658" t="inlineStr">
        <is>
          <t>Celastrus Paniculatus</t>
        </is>
      </c>
      <c r="C658" t="n">
        <v>50</v>
      </c>
      <c r="E658" t="inlineStr">
        <is>
          <t>unclassified</t>
        </is>
      </c>
      <c r="G658" t="inlineStr">
        <is>
          <t>General</t>
        </is>
      </c>
      <c r="H658" t="inlineStr">
        <is>
          <t>General</t>
        </is>
      </c>
      <c r="I658" t="inlineStr">
        <is>
          <t>Generalist</t>
        </is>
      </c>
      <c r="J658" t="inlineStr">
        <is>
          <t>Generalist</t>
        </is>
      </c>
    </row>
    <row r="659">
      <c r="A659" t="inlineStr">
        <is>
          <t>Dong Quai</t>
        </is>
      </c>
      <c r="B659" t="inlineStr">
        <is>
          <t>Cinnamon</t>
        </is>
      </c>
      <c r="C659" t="n">
        <v>50</v>
      </c>
      <c r="E659" t="inlineStr">
        <is>
          <t>unclassified</t>
        </is>
      </c>
      <c r="G659" t="inlineStr">
        <is>
          <t>General</t>
        </is>
      </c>
      <c r="H659" t="inlineStr">
        <is>
          <t>General</t>
        </is>
      </c>
      <c r="I659" t="inlineStr">
        <is>
          <t>Generalist</t>
        </is>
      </c>
      <c r="J659" t="inlineStr">
        <is>
          <t>Generalist</t>
        </is>
      </c>
    </row>
    <row r="660">
      <c r="A660" t="inlineStr">
        <is>
          <t>Dong Quai</t>
        </is>
      </c>
      <c r="B660" t="inlineStr">
        <is>
          <t>Cistanche</t>
        </is>
      </c>
      <c r="C660" t="n">
        <v>50</v>
      </c>
      <c r="E660" t="inlineStr">
        <is>
          <t>unclassified</t>
        </is>
      </c>
      <c r="G660" t="inlineStr">
        <is>
          <t>General</t>
        </is>
      </c>
      <c r="H660" t="inlineStr">
        <is>
          <t>General</t>
        </is>
      </c>
      <c r="I660" t="inlineStr">
        <is>
          <t>Generalist</t>
        </is>
      </c>
      <c r="J660" t="inlineStr">
        <is>
          <t>Generalist</t>
        </is>
      </c>
    </row>
    <row r="661">
      <c r="A661" t="inlineStr">
        <is>
          <t>Dong Quai</t>
        </is>
      </c>
      <c r="B661" t="inlineStr">
        <is>
          <t>Cordyceps</t>
        </is>
      </c>
      <c r="C661" t="n">
        <v>50</v>
      </c>
      <c r="E661" t="inlineStr">
        <is>
          <t>unclassified</t>
        </is>
      </c>
      <c r="G661" t="inlineStr">
        <is>
          <t>General</t>
        </is>
      </c>
      <c r="H661" t="inlineStr">
        <is>
          <t>General</t>
        </is>
      </c>
      <c r="I661" t="inlineStr">
        <is>
          <t>Generalist</t>
        </is>
      </c>
      <c r="J661" t="inlineStr">
        <is>
          <t>Generalist</t>
        </is>
      </c>
    </row>
    <row r="662">
      <c r="A662" t="inlineStr">
        <is>
          <t>Dong Quai</t>
        </is>
      </c>
      <c r="B662" t="inlineStr">
        <is>
          <t>Dandelion</t>
        </is>
      </c>
      <c r="C662" t="n">
        <v>50</v>
      </c>
      <c r="E662" t="inlineStr">
        <is>
          <t>unclassified</t>
        </is>
      </c>
      <c r="G662" t="inlineStr">
        <is>
          <t>General</t>
        </is>
      </c>
      <c r="H662" t="inlineStr">
        <is>
          <t>General</t>
        </is>
      </c>
      <c r="I662" t="inlineStr">
        <is>
          <t>Generalist</t>
        </is>
      </c>
      <c r="J662" t="inlineStr">
        <is>
          <t>Generalist</t>
        </is>
      </c>
    </row>
    <row r="663">
      <c r="A663" t="inlineStr">
        <is>
          <t>Dong Quai</t>
        </is>
      </c>
      <c r="B663" t="inlineStr">
        <is>
          <t>Dendrobium</t>
        </is>
      </c>
      <c r="C663" t="n">
        <v>50</v>
      </c>
      <c r="E663" t="inlineStr">
        <is>
          <t>unclassified</t>
        </is>
      </c>
      <c r="G663" t="inlineStr">
        <is>
          <t>General</t>
        </is>
      </c>
      <c r="H663" t="inlineStr">
        <is>
          <t>General</t>
        </is>
      </c>
      <c r="I663" t="inlineStr">
        <is>
          <t>Generalist</t>
        </is>
      </c>
      <c r="J663" t="inlineStr">
        <is>
          <t>Generalist</t>
        </is>
      </c>
    </row>
    <row r="664">
      <c r="A664" t="inlineStr">
        <is>
          <t>Dong Quai</t>
        </is>
      </c>
      <c r="B664" t="inlineStr">
        <is>
          <t>Elecampane</t>
        </is>
      </c>
      <c r="C664" t="n">
        <v>50</v>
      </c>
      <c r="E664" t="inlineStr">
        <is>
          <t>unclassified</t>
        </is>
      </c>
      <c r="G664" t="inlineStr">
        <is>
          <t>General</t>
        </is>
      </c>
      <c r="H664" t="inlineStr">
        <is>
          <t>General</t>
        </is>
      </c>
      <c r="I664" t="inlineStr">
        <is>
          <t>Generalist</t>
        </is>
      </c>
      <c r="J664" t="inlineStr">
        <is>
          <t>Generalist</t>
        </is>
      </c>
    </row>
    <row r="665">
      <c r="A665" t="inlineStr">
        <is>
          <t>Dong Quai</t>
        </is>
      </c>
      <c r="B665" t="inlineStr">
        <is>
          <t>Eleuthero</t>
        </is>
      </c>
      <c r="C665" t="n">
        <v>50</v>
      </c>
      <c r="E665" t="inlineStr">
        <is>
          <t>unclassified</t>
        </is>
      </c>
      <c r="G665" t="inlineStr">
        <is>
          <t>General</t>
        </is>
      </c>
      <c r="H665" t="inlineStr">
        <is>
          <t>General</t>
        </is>
      </c>
      <c r="I665" t="inlineStr">
        <is>
          <t>Generalist</t>
        </is>
      </c>
      <c r="J665" t="inlineStr">
        <is>
          <t>Generalist</t>
        </is>
      </c>
    </row>
    <row r="666">
      <c r="A666" t="inlineStr">
        <is>
          <t>Dong Quai</t>
        </is>
      </c>
      <c r="B666" t="inlineStr">
        <is>
          <t>Fennel</t>
        </is>
      </c>
      <c r="C666" t="n">
        <v>50</v>
      </c>
      <c r="E666" t="inlineStr">
        <is>
          <t>unclassified</t>
        </is>
      </c>
      <c r="G666" t="inlineStr">
        <is>
          <t>General</t>
        </is>
      </c>
      <c r="H666" t="inlineStr">
        <is>
          <t>General</t>
        </is>
      </c>
      <c r="I666" t="inlineStr">
        <is>
          <t>Generalist</t>
        </is>
      </c>
      <c r="J666" t="inlineStr">
        <is>
          <t>Generalist</t>
        </is>
      </c>
    </row>
    <row r="667">
      <c r="A667" t="inlineStr">
        <is>
          <t>Dong Quai</t>
        </is>
      </c>
      <c r="B667" t="inlineStr">
        <is>
          <t>Galangal</t>
        </is>
      </c>
      <c r="C667" t="n">
        <v>50</v>
      </c>
      <c r="E667" t="inlineStr">
        <is>
          <t>unclassified</t>
        </is>
      </c>
      <c r="G667" t="inlineStr">
        <is>
          <t>General</t>
        </is>
      </c>
      <c r="H667" t="inlineStr">
        <is>
          <t>General</t>
        </is>
      </c>
      <c r="I667" t="inlineStr">
        <is>
          <t>Generalist</t>
        </is>
      </c>
      <c r="J667" t="inlineStr">
        <is>
          <t>Generalist</t>
        </is>
      </c>
    </row>
    <row r="668">
      <c r="A668" t="inlineStr">
        <is>
          <t>Dong Quai</t>
        </is>
      </c>
      <c r="B668" t="inlineStr">
        <is>
          <t>Gastrodia</t>
        </is>
      </c>
      <c r="C668" t="n">
        <v>50</v>
      </c>
      <c r="E668" t="inlineStr">
        <is>
          <t>unclassified</t>
        </is>
      </c>
      <c r="G668" t="inlineStr">
        <is>
          <t>General</t>
        </is>
      </c>
      <c r="H668" t="inlineStr">
        <is>
          <t>General</t>
        </is>
      </c>
      <c r="I668" t="inlineStr">
        <is>
          <t>Generalist</t>
        </is>
      </c>
      <c r="J668" t="inlineStr">
        <is>
          <t>Generalist</t>
        </is>
      </c>
    </row>
    <row r="669">
      <c r="A669" t="inlineStr">
        <is>
          <t>Dong Quai</t>
        </is>
      </c>
      <c r="B669" t="inlineStr">
        <is>
          <t>Gudmar</t>
        </is>
      </c>
      <c r="C669" t="n">
        <v>50</v>
      </c>
      <c r="E669" t="inlineStr">
        <is>
          <t>unclassified</t>
        </is>
      </c>
      <c r="G669" t="inlineStr">
        <is>
          <t>General</t>
        </is>
      </c>
      <c r="H669" t="inlineStr">
        <is>
          <t>General</t>
        </is>
      </c>
      <c r="I669" t="inlineStr">
        <is>
          <t>Generalist</t>
        </is>
      </c>
      <c r="J669" t="inlineStr">
        <is>
          <t>Generalist</t>
        </is>
      </c>
    </row>
    <row r="670">
      <c r="A670" t="inlineStr">
        <is>
          <t>Dong Quai</t>
        </is>
      </c>
      <c r="B670" t="inlineStr">
        <is>
          <t>Gymnema</t>
        </is>
      </c>
      <c r="C670" t="n">
        <v>50</v>
      </c>
      <c r="E670" t="inlineStr">
        <is>
          <t>unclassified</t>
        </is>
      </c>
      <c r="G670" t="inlineStr">
        <is>
          <t>General</t>
        </is>
      </c>
      <c r="H670" t="inlineStr">
        <is>
          <t>General</t>
        </is>
      </c>
      <c r="I670" t="inlineStr">
        <is>
          <t>Generalist</t>
        </is>
      </c>
      <c r="J670" t="inlineStr">
        <is>
          <t>Generalist</t>
        </is>
      </c>
    </row>
    <row r="671">
      <c r="A671" t="inlineStr">
        <is>
          <t>Dong Quai</t>
        </is>
      </c>
      <c r="B671" t="inlineStr">
        <is>
          <t>Hops</t>
        </is>
      </c>
      <c r="C671" t="n">
        <v>50</v>
      </c>
      <c r="E671" t="inlineStr">
        <is>
          <t>unclassified</t>
        </is>
      </c>
      <c r="G671" t="inlineStr">
        <is>
          <t>General</t>
        </is>
      </c>
      <c r="H671" t="inlineStr">
        <is>
          <t>General</t>
        </is>
      </c>
      <c r="I671" t="inlineStr">
        <is>
          <t>Generalist</t>
        </is>
      </c>
      <c r="J671" t="inlineStr">
        <is>
          <t>Generalist</t>
        </is>
      </c>
    </row>
    <row r="672">
      <c r="A672" t="inlineStr">
        <is>
          <t>Dong Quai</t>
        </is>
      </c>
      <c r="B672" t="inlineStr">
        <is>
          <t>Houttuynia</t>
        </is>
      </c>
      <c r="C672" t="n">
        <v>50</v>
      </c>
      <c r="E672" t="inlineStr">
        <is>
          <t>unclassified</t>
        </is>
      </c>
      <c r="G672" t="inlineStr">
        <is>
          <t>General</t>
        </is>
      </c>
      <c r="H672" t="inlineStr">
        <is>
          <t>General</t>
        </is>
      </c>
      <c r="I672" t="inlineStr">
        <is>
          <t>Generalist</t>
        </is>
      </c>
      <c r="J672" t="inlineStr">
        <is>
          <t>Generalist</t>
        </is>
      </c>
    </row>
    <row r="673">
      <c r="A673" t="inlineStr">
        <is>
          <t>Dong Quai</t>
        </is>
      </c>
      <c r="B673" t="inlineStr">
        <is>
          <t>Isatis</t>
        </is>
      </c>
      <c r="C673" t="n">
        <v>50</v>
      </c>
      <c r="E673" t="inlineStr">
        <is>
          <t>unclassified</t>
        </is>
      </c>
      <c r="G673" t="inlineStr">
        <is>
          <t>General</t>
        </is>
      </c>
      <c r="H673" t="inlineStr">
        <is>
          <t>General</t>
        </is>
      </c>
      <c r="I673" t="inlineStr">
        <is>
          <t>Generalist</t>
        </is>
      </c>
      <c r="J673" t="inlineStr">
        <is>
          <t>Generalist</t>
        </is>
      </c>
    </row>
    <row r="674">
      <c r="A674" t="inlineStr">
        <is>
          <t>Dong Quai</t>
        </is>
      </c>
      <c r="B674" t="inlineStr">
        <is>
          <t>Jatamansi</t>
        </is>
      </c>
      <c r="C674" t="n">
        <v>50</v>
      </c>
      <c r="E674" t="inlineStr">
        <is>
          <t>unclassified</t>
        </is>
      </c>
      <c r="G674" t="inlineStr">
        <is>
          <t>General</t>
        </is>
      </c>
      <c r="H674" t="inlineStr">
        <is>
          <t>General</t>
        </is>
      </c>
      <c r="I674" t="inlineStr">
        <is>
          <t>Generalist</t>
        </is>
      </c>
      <c r="J674" t="inlineStr">
        <is>
          <t>Generalist</t>
        </is>
      </c>
    </row>
    <row r="675">
      <c r="A675" t="inlineStr">
        <is>
          <t>Dong Quai</t>
        </is>
      </c>
      <c r="B675" t="inlineStr">
        <is>
          <t>Lemon Verbena</t>
        </is>
      </c>
      <c r="C675" t="n">
        <v>50</v>
      </c>
      <c r="E675" t="inlineStr">
        <is>
          <t>unclassified</t>
        </is>
      </c>
      <c r="G675" t="inlineStr">
        <is>
          <t>General</t>
        </is>
      </c>
      <c r="H675" t="inlineStr">
        <is>
          <t>General</t>
        </is>
      </c>
      <c r="I675" t="inlineStr">
        <is>
          <t>Generalist</t>
        </is>
      </c>
      <c r="J675" t="inlineStr">
        <is>
          <t>Generalist</t>
        </is>
      </c>
    </row>
    <row r="676">
      <c r="A676" t="inlineStr">
        <is>
          <t>Dong Quai</t>
        </is>
      </c>
      <c r="B676" t="inlineStr">
        <is>
          <t>Lemongrass</t>
        </is>
      </c>
      <c r="C676" t="n">
        <v>50</v>
      </c>
      <c r="E676" t="inlineStr">
        <is>
          <t>unclassified</t>
        </is>
      </c>
      <c r="G676" t="inlineStr">
        <is>
          <t>General</t>
        </is>
      </c>
      <c r="H676" t="inlineStr">
        <is>
          <t>General</t>
        </is>
      </c>
      <c r="I676" t="inlineStr">
        <is>
          <t>Generalist</t>
        </is>
      </c>
      <c r="J676" t="inlineStr">
        <is>
          <t>Generalist</t>
        </is>
      </c>
    </row>
    <row r="677">
      <c r="A677" t="inlineStr">
        <is>
          <t>Dong Quai</t>
        </is>
      </c>
      <c r="B677" t="inlineStr">
        <is>
          <t>Longan</t>
        </is>
      </c>
      <c r="C677" t="n">
        <v>50</v>
      </c>
      <c r="E677" t="inlineStr">
        <is>
          <t>unclassified</t>
        </is>
      </c>
      <c r="G677" t="inlineStr">
        <is>
          <t>General</t>
        </is>
      </c>
      <c r="H677" t="inlineStr">
        <is>
          <t>General</t>
        </is>
      </c>
      <c r="I677" t="inlineStr">
        <is>
          <t>Generalist</t>
        </is>
      </c>
      <c r="J677" t="inlineStr">
        <is>
          <t>Generalist</t>
        </is>
      </c>
    </row>
    <row r="678">
      <c r="A678" t="inlineStr">
        <is>
          <t>Dong Quai</t>
        </is>
      </c>
      <c r="B678" t="inlineStr">
        <is>
          <t>Maitake D-Fraction</t>
        </is>
      </c>
      <c r="C678" t="n">
        <v>50</v>
      </c>
      <c r="E678" t="inlineStr">
        <is>
          <t>unclassified</t>
        </is>
      </c>
      <c r="G678" t="inlineStr">
        <is>
          <t>General</t>
        </is>
      </c>
      <c r="H678" t="inlineStr">
        <is>
          <t>General</t>
        </is>
      </c>
      <c r="I678" t="inlineStr">
        <is>
          <t>Generalist</t>
        </is>
      </c>
      <c r="J678" t="inlineStr">
        <is>
          <t>Generalist</t>
        </is>
      </c>
    </row>
    <row r="679">
      <c r="A679" t="inlineStr">
        <is>
          <t>Dong Quai</t>
        </is>
      </c>
      <c r="B679" t="inlineStr">
        <is>
          <t>Milk Oats</t>
        </is>
      </c>
      <c r="C679" t="n">
        <v>50</v>
      </c>
      <c r="E679" t="inlineStr">
        <is>
          <t>unclassified</t>
        </is>
      </c>
      <c r="G679" t="inlineStr">
        <is>
          <t>General</t>
        </is>
      </c>
      <c r="H679" t="inlineStr">
        <is>
          <t>General</t>
        </is>
      </c>
      <c r="I679" t="inlineStr">
        <is>
          <t>Generalist</t>
        </is>
      </c>
      <c r="J679" t="inlineStr">
        <is>
          <t>Generalist</t>
        </is>
      </c>
    </row>
    <row r="680">
      <c r="A680" t="inlineStr">
        <is>
          <t>Dong Quai</t>
        </is>
      </c>
      <c r="B680" t="inlineStr">
        <is>
          <t>Mugwort</t>
        </is>
      </c>
      <c r="C680" t="n">
        <v>50</v>
      </c>
      <c r="E680" t="inlineStr">
        <is>
          <t>unclassified</t>
        </is>
      </c>
      <c r="G680" t="inlineStr">
        <is>
          <t>General</t>
        </is>
      </c>
      <c r="H680" t="inlineStr">
        <is>
          <t>General</t>
        </is>
      </c>
      <c r="I680" t="inlineStr">
        <is>
          <t>Generalist</t>
        </is>
      </c>
      <c r="J680" t="inlineStr">
        <is>
          <t>Generalist</t>
        </is>
      </c>
    </row>
    <row r="681">
      <c r="A681" t="inlineStr">
        <is>
          <t>Dong Quai</t>
        </is>
      </c>
      <c r="B681" t="inlineStr">
        <is>
          <t>Muira Puama</t>
        </is>
      </c>
      <c r="C681" t="n">
        <v>50</v>
      </c>
      <c r="E681" t="inlineStr">
        <is>
          <t>unclassified</t>
        </is>
      </c>
      <c r="G681" t="inlineStr">
        <is>
          <t>General</t>
        </is>
      </c>
      <c r="H681" t="inlineStr">
        <is>
          <t>General</t>
        </is>
      </c>
      <c r="I681" t="inlineStr">
        <is>
          <t>Generalist</t>
        </is>
      </c>
      <c r="J681" t="inlineStr">
        <is>
          <t>Generalist</t>
        </is>
      </c>
    </row>
    <row r="682">
      <c r="A682" t="inlineStr">
        <is>
          <t>Dong Quai</t>
        </is>
      </c>
      <c r="B682" t="inlineStr">
        <is>
          <t>Mulberry Leaf</t>
        </is>
      </c>
      <c r="C682" t="n">
        <v>50</v>
      </c>
      <c r="E682" t="inlineStr">
        <is>
          <t>unclassified</t>
        </is>
      </c>
      <c r="G682" t="inlineStr">
        <is>
          <t>General</t>
        </is>
      </c>
      <c r="H682" t="inlineStr">
        <is>
          <t>General</t>
        </is>
      </c>
      <c r="I682" t="inlineStr">
        <is>
          <t>Generalist</t>
        </is>
      </c>
      <c r="J682" t="inlineStr">
        <is>
          <t>Generalist</t>
        </is>
      </c>
    </row>
    <row r="683">
      <c r="A683" t="inlineStr">
        <is>
          <t>Dong Quai</t>
        </is>
      </c>
      <c r="B683" t="inlineStr">
        <is>
          <t>Myrtle</t>
        </is>
      </c>
      <c r="C683" t="n">
        <v>50</v>
      </c>
      <c r="E683" t="inlineStr">
        <is>
          <t>unclassified</t>
        </is>
      </c>
      <c r="G683" t="inlineStr">
        <is>
          <t>General</t>
        </is>
      </c>
      <c r="H683" t="inlineStr">
        <is>
          <t>General</t>
        </is>
      </c>
      <c r="I683" t="inlineStr">
        <is>
          <t>Generalist</t>
        </is>
      </c>
      <c r="J683" t="inlineStr">
        <is>
          <t>Generalist</t>
        </is>
      </c>
    </row>
    <row r="684">
      <c r="A684" t="inlineStr">
        <is>
          <t>Dong Quai</t>
        </is>
      </c>
      <c r="B684" t="inlineStr">
        <is>
          <t>Neem</t>
        </is>
      </c>
      <c r="C684" t="n">
        <v>50</v>
      </c>
      <c r="E684" t="inlineStr">
        <is>
          <t>unclassified</t>
        </is>
      </c>
      <c r="G684" t="inlineStr">
        <is>
          <t>General</t>
        </is>
      </c>
      <c r="H684" t="inlineStr">
        <is>
          <t>General</t>
        </is>
      </c>
      <c r="I684" t="inlineStr">
        <is>
          <t>Generalist</t>
        </is>
      </c>
      <c r="J684" t="inlineStr">
        <is>
          <t>Generalist</t>
        </is>
      </c>
    </row>
    <row r="685">
      <c r="A685" t="inlineStr">
        <is>
          <t>Dong Quai</t>
        </is>
      </c>
      <c r="B685" t="inlineStr">
        <is>
          <t>Nettle Root</t>
        </is>
      </c>
      <c r="C685" t="n">
        <v>50</v>
      </c>
      <c r="E685" t="inlineStr">
        <is>
          <t>unclassified</t>
        </is>
      </c>
      <c r="G685" t="inlineStr">
        <is>
          <t>General</t>
        </is>
      </c>
      <c r="H685" t="inlineStr">
        <is>
          <t>General</t>
        </is>
      </c>
      <c r="I685" t="inlineStr">
        <is>
          <t>Generalist</t>
        </is>
      </c>
      <c r="J685" t="inlineStr">
        <is>
          <t>Generalist</t>
        </is>
      </c>
    </row>
    <row r="686">
      <c r="A686" t="inlineStr">
        <is>
          <t>Dong Quai</t>
        </is>
      </c>
      <c r="B686" t="inlineStr">
        <is>
          <t>Noni</t>
        </is>
      </c>
      <c r="C686" t="n">
        <v>50</v>
      </c>
      <c r="E686" t="inlineStr">
        <is>
          <t>unclassified</t>
        </is>
      </c>
      <c r="G686" t="inlineStr">
        <is>
          <t>General</t>
        </is>
      </c>
      <c r="H686" t="inlineStr">
        <is>
          <t>General</t>
        </is>
      </c>
      <c r="I686" t="inlineStr">
        <is>
          <t>Generalist</t>
        </is>
      </c>
      <c r="J686" t="inlineStr">
        <is>
          <t>Generalist</t>
        </is>
      </c>
    </row>
    <row r="687">
      <c r="A687" t="inlineStr">
        <is>
          <t>Dong Quai</t>
        </is>
      </c>
      <c r="B687" t="inlineStr">
        <is>
          <t>Oatstraw</t>
        </is>
      </c>
      <c r="C687" t="n">
        <v>50</v>
      </c>
      <c r="E687" t="inlineStr">
        <is>
          <t>unclassified</t>
        </is>
      </c>
      <c r="G687" t="inlineStr">
        <is>
          <t>General</t>
        </is>
      </c>
      <c r="H687" t="inlineStr">
        <is>
          <t>General</t>
        </is>
      </c>
      <c r="I687" t="inlineStr">
        <is>
          <t>Generalist</t>
        </is>
      </c>
      <c r="J687" t="inlineStr">
        <is>
          <t>Generalist</t>
        </is>
      </c>
    </row>
    <row r="688">
      <c r="A688" t="inlineStr">
        <is>
          <t>Dong Quai</t>
        </is>
      </c>
      <c r="B688" t="inlineStr">
        <is>
          <t>Passionflower</t>
        </is>
      </c>
      <c r="C688" t="n">
        <v>50</v>
      </c>
      <c r="E688" t="inlineStr">
        <is>
          <t>unclassified</t>
        </is>
      </c>
      <c r="G688" t="inlineStr">
        <is>
          <t>General</t>
        </is>
      </c>
      <c r="H688" t="inlineStr">
        <is>
          <t>General</t>
        </is>
      </c>
      <c r="I688" t="inlineStr">
        <is>
          <t>Generalist</t>
        </is>
      </c>
      <c r="J688" t="inlineStr">
        <is>
          <t>Generalist</t>
        </is>
      </c>
    </row>
    <row r="689">
      <c r="A689" t="inlineStr">
        <is>
          <t>Dong Quai</t>
        </is>
      </c>
      <c r="B689" t="inlineStr">
        <is>
          <t>Pau d'Arco</t>
        </is>
      </c>
      <c r="C689" t="n">
        <v>50</v>
      </c>
      <c r="E689" t="inlineStr">
        <is>
          <t>unclassified</t>
        </is>
      </c>
      <c r="G689" t="inlineStr">
        <is>
          <t>General</t>
        </is>
      </c>
      <c r="H689" t="inlineStr">
        <is>
          <t>General</t>
        </is>
      </c>
      <c r="I689" t="inlineStr">
        <is>
          <t>Generalist</t>
        </is>
      </c>
      <c r="J689" t="inlineStr">
        <is>
          <t>Generalist</t>
        </is>
      </c>
    </row>
    <row r="690">
      <c r="A690" t="inlineStr">
        <is>
          <t>Dong Quai</t>
        </is>
      </c>
      <c r="B690" t="inlineStr">
        <is>
          <t>Perilla</t>
        </is>
      </c>
      <c r="C690" t="n">
        <v>50</v>
      </c>
      <c r="E690" t="inlineStr">
        <is>
          <t>unclassified</t>
        </is>
      </c>
      <c r="G690" t="inlineStr">
        <is>
          <t>General</t>
        </is>
      </c>
      <c r="H690" t="inlineStr">
        <is>
          <t>General</t>
        </is>
      </c>
      <c r="I690" t="inlineStr">
        <is>
          <t>Generalist</t>
        </is>
      </c>
      <c r="J690" t="inlineStr">
        <is>
          <t>Generalist</t>
        </is>
      </c>
    </row>
    <row r="691">
      <c r="A691" t="inlineStr">
        <is>
          <t>Dong Quai</t>
        </is>
      </c>
      <c r="B691" t="inlineStr">
        <is>
          <t>Pomegranate</t>
        </is>
      </c>
      <c r="C691" t="n">
        <v>50</v>
      </c>
      <c r="E691" t="inlineStr">
        <is>
          <t>unclassified</t>
        </is>
      </c>
      <c r="G691" t="inlineStr">
        <is>
          <t>General</t>
        </is>
      </c>
      <c r="H691" t="inlineStr">
        <is>
          <t>General</t>
        </is>
      </c>
      <c r="I691" t="inlineStr">
        <is>
          <t>Generalist</t>
        </is>
      </c>
      <c r="J691" t="inlineStr">
        <is>
          <t>Generalist</t>
        </is>
      </c>
    </row>
    <row r="692">
      <c r="A692" t="inlineStr">
        <is>
          <t>Dong Quai</t>
        </is>
      </c>
      <c r="B692" t="inlineStr">
        <is>
          <t>Poria</t>
        </is>
      </c>
      <c r="C692" t="n">
        <v>50</v>
      </c>
      <c r="E692" t="inlineStr">
        <is>
          <t>unclassified</t>
        </is>
      </c>
      <c r="G692" t="inlineStr">
        <is>
          <t>General</t>
        </is>
      </c>
      <c r="H692" t="inlineStr">
        <is>
          <t>General</t>
        </is>
      </c>
      <c r="I692" t="inlineStr">
        <is>
          <t>Generalist</t>
        </is>
      </c>
      <c r="J692" t="inlineStr">
        <is>
          <t>Generalist</t>
        </is>
      </c>
    </row>
    <row r="693">
      <c r="A693" t="inlineStr">
        <is>
          <t>Dong Quai</t>
        </is>
      </c>
      <c r="B693" t="inlineStr">
        <is>
          <t>Punarnava</t>
        </is>
      </c>
      <c r="C693" t="n">
        <v>50</v>
      </c>
      <c r="E693" t="inlineStr">
        <is>
          <t>unclassified</t>
        </is>
      </c>
      <c r="G693" t="inlineStr">
        <is>
          <t>General</t>
        </is>
      </c>
      <c r="H693" t="inlineStr">
        <is>
          <t>General</t>
        </is>
      </c>
      <c r="I693" t="inlineStr">
        <is>
          <t>Generalist</t>
        </is>
      </c>
      <c r="J693" t="inlineStr">
        <is>
          <t>Generalist</t>
        </is>
      </c>
    </row>
    <row r="694">
      <c r="A694" t="inlineStr">
        <is>
          <t>Dong Quai</t>
        </is>
      </c>
      <c r="B694" t="inlineStr">
        <is>
          <t>Red Clover</t>
        </is>
      </c>
      <c r="C694" t="n">
        <v>50</v>
      </c>
      <c r="E694" t="inlineStr">
        <is>
          <t>unclassified</t>
        </is>
      </c>
      <c r="G694" t="inlineStr">
        <is>
          <t>General</t>
        </is>
      </c>
      <c r="H694" t="inlineStr">
        <is>
          <t>General</t>
        </is>
      </c>
      <c r="I694" t="inlineStr">
        <is>
          <t>Generalist</t>
        </is>
      </c>
      <c r="J694" t="inlineStr">
        <is>
          <t>Generalist</t>
        </is>
      </c>
    </row>
    <row r="695">
      <c r="A695" t="inlineStr">
        <is>
          <t>Dong Quai</t>
        </is>
      </c>
      <c r="B695" t="inlineStr">
        <is>
          <t>Rehmannia Prepared</t>
        </is>
      </c>
      <c r="C695" t="n">
        <v>50</v>
      </c>
      <c r="E695" t="inlineStr">
        <is>
          <t>unclassified</t>
        </is>
      </c>
      <c r="G695" t="inlineStr">
        <is>
          <t>General</t>
        </is>
      </c>
      <c r="H695" t="inlineStr">
        <is>
          <t>General</t>
        </is>
      </c>
      <c r="I695" t="inlineStr">
        <is>
          <t>Generalist</t>
        </is>
      </c>
      <c r="J695" t="inlineStr">
        <is>
          <t>Generalist</t>
        </is>
      </c>
    </row>
    <row r="696">
      <c r="A696" t="inlineStr">
        <is>
          <t>Dong Quai</t>
        </is>
      </c>
      <c r="B696" t="inlineStr">
        <is>
          <t>Reishi</t>
        </is>
      </c>
      <c r="C696" t="n">
        <v>50</v>
      </c>
      <c r="E696" t="inlineStr">
        <is>
          <t>unclassified</t>
        </is>
      </c>
      <c r="G696" t="inlineStr">
        <is>
          <t>General</t>
        </is>
      </c>
      <c r="H696" t="inlineStr">
        <is>
          <t>General</t>
        </is>
      </c>
      <c r="I696" t="inlineStr">
        <is>
          <t>Generalist</t>
        </is>
      </c>
      <c r="J696" t="inlineStr">
        <is>
          <t>Generalist</t>
        </is>
      </c>
    </row>
    <row r="697">
      <c r="A697" t="inlineStr">
        <is>
          <t>Dong Quai</t>
        </is>
      </c>
      <c r="B697" t="inlineStr">
        <is>
          <t>Rose Hips</t>
        </is>
      </c>
      <c r="C697" t="n">
        <v>50</v>
      </c>
      <c r="E697" t="inlineStr">
        <is>
          <t>unclassified</t>
        </is>
      </c>
      <c r="G697" t="inlineStr">
        <is>
          <t>General</t>
        </is>
      </c>
      <c r="H697" t="inlineStr">
        <is>
          <t>General</t>
        </is>
      </c>
      <c r="I697" t="inlineStr">
        <is>
          <t>Generalist</t>
        </is>
      </c>
      <c r="J697" t="inlineStr">
        <is>
          <t>Generalist</t>
        </is>
      </c>
    </row>
    <row r="698">
      <c r="A698" t="inlineStr">
        <is>
          <t>Dong Quai</t>
        </is>
      </c>
      <c r="B698" t="inlineStr">
        <is>
          <t>Rosemary</t>
        </is>
      </c>
      <c r="C698" t="n">
        <v>50</v>
      </c>
      <c r="E698" t="inlineStr">
        <is>
          <t>unclassified</t>
        </is>
      </c>
      <c r="G698" t="inlineStr">
        <is>
          <t>General</t>
        </is>
      </c>
      <c r="H698" t="inlineStr">
        <is>
          <t>General</t>
        </is>
      </c>
      <c r="I698" t="inlineStr">
        <is>
          <t>Generalist</t>
        </is>
      </c>
      <c r="J698" t="inlineStr">
        <is>
          <t>Generalist</t>
        </is>
      </c>
    </row>
    <row r="699">
      <c r="A699" t="inlineStr">
        <is>
          <t>Dong Quai</t>
        </is>
      </c>
      <c r="B699" t="inlineStr">
        <is>
          <t>Sage</t>
        </is>
      </c>
      <c r="C699" t="n">
        <v>50</v>
      </c>
      <c r="E699" t="inlineStr">
        <is>
          <t>unclassified</t>
        </is>
      </c>
      <c r="G699" t="inlineStr">
        <is>
          <t>General</t>
        </is>
      </c>
      <c r="H699" t="inlineStr">
        <is>
          <t>General</t>
        </is>
      </c>
      <c r="I699" t="inlineStr">
        <is>
          <t>Generalist</t>
        </is>
      </c>
      <c r="J699" t="inlineStr">
        <is>
          <t>Generalist</t>
        </is>
      </c>
    </row>
    <row r="700">
      <c r="A700" t="inlineStr">
        <is>
          <t>Dong Quai</t>
        </is>
      </c>
      <c r="B700" t="inlineStr">
        <is>
          <t>Sophora Flavescens</t>
        </is>
      </c>
      <c r="C700" t="n">
        <v>50</v>
      </c>
      <c r="E700" t="inlineStr">
        <is>
          <t>unclassified</t>
        </is>
      </c>
      <c r="G700" t="inlineStr">
        <is>
          <t>General</t>
        </is>
      </c>
      <c r="H700" t="inlineStr">
        <is>
          <t>General</t>
        </is>
      </c>
      <c r="I700" t="inlineStr">
        <is>
          <t>Generalist</t>
        </is>
      </c>
      <c r="J700" t="inlineStr">
        <is>
          <t>Generalist</t>
        </is>
      </c>
    </row>
    <row r="701">
      <c r="A701" t="inlineStr">
        <is>
          <t>Dong Quai</t>
        </is>
      </c>
      <c r="B701" t="inlineStr">
        <is>
          <t>Soursop</t>
        </is>
      </c>
      <c r="C701" t="n">
        <v>50</v>
      </c>
      <c r="E701" t="inlineStr">
        <is>
          <t>unclassified</t>
        </is>
      </c>
      <c r="G701" t="inlineStr">
        <is>
          <t>General</t>
        </is>
      </c>
      <c r="H701" t="inlineStr">
        <is>
          <t>General</t>
        </is>
      </c>
      <c r="I701" t="inlineStr">
        <is>
          <t>Generalist</t>
        </is>
      </c>
      <c r="J701" t="inlineStr">
        <is>
          <t>Generalist</t>
        </is>
      </c>
    </row>
    <row r="702">
      <c r="A702" t="inlineStr">
        <is>
          <t>Dong Quai</t>
        </is>
      </c>
      <c r="B702" t="inlineStr">
        <is>
          <t>Tamarind</t>
        </is>
      </c>
      <c r="C702" t="n">
        <v>50</v>
      </c>
      <c r="E702" t="inlineStr">
        <is>
          <t>unclassified</t>
        </is>
      </c>
      <c r="G702" t="inlineStr">
        <is>
          <t>General</t>
        </is>
      </c>
      <c r="H702" t="inlineStr">
        <is>
          <t>General</t>
        </is>
      </c>
      <c r="I702" t="inlineStr">
        <is>
          <t>Generalist</t>
        </is>
      </c>
      <c r="J702" t="inlineStr">
        <is>
          <t>Generalist</t>
        </is>
      </c>
    </row>
    <row r="703">
      <c r="A703" t="inlineStr">
        <is>
          <t>Dong Quai</t>
        </is>
      </c>
      <c r="B703" t="inlineStr">
        <is>
          <t>Thyme</t>
        </is>
      </c>
      <c r="C703" t="n">
        <v>50</v>
      </c>
      <c r="E703" t="inlineStr">
        <is>
          <t>unclassified</t>
        </is>
      </c>
      <c r="G703" t="inlineStr">
        <is>
          <t>General</t>
        </is>
      </c>
      <c r="H703" t="inlineStr">
        <is>
          <t>General</t>
        </is>
      </c>
      <c r="I703" t="inlineStr">
        <is>
          <t>Generalist</t>
        </is>
      </c>
      <c r="J703" t="inlineStr">
        <is>
          <t>Generalist</t>
        </is>
      </c>
    </row>
    <row r="704">
      <c r="A704" t="inlineStr">
        <is>
          <t>Dong Quai</t>
        </is>
      </c>
      <c r="B704" t="inlineStr">
        <is>
          <t>White Peony</t>
        </is>
      </c>
      <c r="C704" t="n">
        <v>50</v>
      </c>
      <c r="E704" t="inlineStr">
        <is>
          <t>unclassified</t>
        </is>
      </c>
      <c r="G704" t="inlineStr">
        <is>
          <t>General</t>
        </is>
      </c>
      <c r="H704" t="inlineStr">
        <is>
          <t>General</t>
        </is>
      </c>
      <c r="I704" t="inlineStr">
        <is>
          <t>Generalist</t>
        </is>
      </c>
      <c r="J704" t="inlineStr">
        <is>
          <t>Generalist</t>
        </is>
      </c>
    </row>
    <row r="705">
      <c r="A705" t="inlineStr">
        <is>
          <t>Dong Quai</t>
        </is>
      </c>
      <c r="B705" t="inlineStr">
        <is>
          <t>Yohimbe</t>
        </is>
      </c>
      <c r="C705" t="n">
        <v>50</v>
      </c>
      <c r="E705" t="inlineStr">
        <is>
          <t>unclassified</t>
        </is>
      </c>
      <c r="G705" t="inlineStr">
        <is>
          <t>General</t>
        </is>
      </c>
      <c r="H705" t="inlineStr">
        <is>
          <t>General</t>
        </is>
      </c>
      <c r="I705" t="inlineStr">
        <is>
          <t>Generalist</t>
        </is>
      </c>
      <c r="J705" t="inlineStr">
        <is>
          <t>Generalist</t>
        </is>
      </c>
    </row>
    <row r="706">
      <c r="A706" t="inlineStr">
        <is>
          <t>Elecampane</t>
        </is>
      </c>
      <c r="B706" t="inlineStr">
        <is>
          <t>Ajwain</t>
        </is>
      </c>
      <c r="C706" t="n">
        <v>50</v>
      </c>
      <c r="E706" t="inlineStr">
        <is>
          <t>unclassified</t>
        </is>
      </c>
      <c r="G706" t="inlineStr">
        <is>
          <t>General</t>
        </is>
      </c>
      <c r="H706" t="inlineStr">
        <is>
          <t>General</t>
        </is>
      </c>
      <c r="I706" t="inlineStr">
        <is>
          <t>Generalist</t>
        </is>
      </c>
      <c r="J706" t="inlineStr">
        <is>
          <t>Generalist</t>
        </is>
      </c>
    </row>
    <row r="707">
      <c r="A707" t="inlineStr">
        <is>
          <t>Elecampane</t>
        </is>
      </c>
      <c r="B707" t="inlineStr">
        <is>
          <t>Angelica Root</t>
        </is>
      </c>
      <c r="C707" t="n">
        <v>50</v>
      </c>
      <c r="E707" t="inlineStr">
        <is>
          <t>unclassified</t>
        </is>
      </c>
      <c r="G707" t="inlineStr">
        <is>
          <t>General</t>
        </is>
      </c>
      <c r="H707" t="inlineStr">
        <is>
          <t>General</t>
        </is>
      </c>
      <c r="I707" t="inlineStr">
        <is>
          <t>Generalist</t>
        </is>
      </c>
      <c r="J707" t="inlineStr">
        <is>
          <t>Generalist</t>
        </is>
      </c>
    </row>
    <row r="708">
      <c r="A708" t="inlineStr">
        <is>
          <t>Elecampane</t>
        </is>
      </c>
      <c r="B708" t="inlineStr">
        <is>
          <t>Caraway</t>
        </is>
      </c>
      <c r="C708" t="n">
        <v>50</v>
      </c>
      <c r="E708" t="inlineStr">
        <is>
          <t>unclassified</t>
        </is>
      </c>
      <c r="G708" t="inlineStr">
        <is>
          <t>General</t>
        </is>
      </c>
      <c r="H708" t="inlineStr">
        <is>
          <t>General</t>
        </is>
      </c>
      <c r="I708" t="inlineStr">
        <is>
          <t>Generalist</t>
        </is>
      </c>
      <c r="J708" t="inlineStr">
        <is>
          <t>Generalist</t>
        </is>
      </c>
    </row>
    <row r="709">
      <c r="A709" t="inlineStr">
        <is>
          <t>Elecampane</t>
        </is>
      </c>
      <c r="B709" t="inlineStr">
        <is>
          <t>Cardamom</t>
        </is>
      </c>
      <c r="C709" t="n">
        <v>50</v>
      </c>
      <c r="E709" t="inlineStr">
        <is>
          <t>unclassified</t>
        </is>
      </c>
      <c r="G709" t="inlineStr">
        <is>
          <t>General</t>
        </is>
      </c>
      <c r="H709" t="inlineStr">
        <is>
          <t>General</t>
        </is>
      </c>
      <c r="I709" t="inlineStr">
        <is>
          <t>Generalist</t>
        </is>
      </c>
      <c r="J709" t="inlineStr">
        <is>
          <t>Generalist</t>
        </is>
      </c>
    </row>
    <row r="710">
      <c r="A710" t="inlineStr">
        <is>
          <t>Elecampane</t>
        </is>
      </c>
      <c r="B710" t="inlineStr">
        <is>
          <t>Celastrus Paniculatus</t>
        </is>
      </c>
      <c r="C710" t="n">
        <v>50</v>
      </c>
      <c r="E710" t="inlineStr">
        <is>
          <t>unclassified</t>
        </is>
      </c>
      <c r="G710" t="inlineStr">
        <is>
          <t>General</t>
        </is>
      </c>
      <c r="H710" t="inlineStr">
        <is>
          <t>General</t>
        </is>
      </c>
      <c r="I710" t="inlineStr">
        <is>
          <t>Generalist</t>
        </is>
      </c>
      <c r="J710" t="inlineStr">
        <is>
          <t>Generalist</t>
        </is>
      </c>
    </row>
    <row r="711">
      <c r="A711" t="inlineStr">
        <is>
          <t>Elecampane</t>
        </is>
      </c>
      <c r="B711" t="inlineStr">
        <is>
          <t>Cordyceps</t>
        </is>
      </c>
      <c r="C711" t="n">
        <v>50</v>
      </c>
      <c r="E711" t="inlineStr">
        <is>
          <t>unclassified</t>
        </is>
      </c>
      <c r="G711" t="inlineStr">
        <is>
          <t>General</t>
        </is>
      </c>
      <c r="H711" t="inlineStr">
        <is>
          <t>General</t>
        </is>
      </c>
      <c r="I711" t="inlineStr">
        <is>
          <t>Generalist</t>
        </is>
      </c>
      <c r="J711" t="inlineStr">
        <is>
          <t>Generalist</t>
        </is>
      </c>
    </row>
    <row r="712">
      <c r="A712" t="inlineStr">
        <is>
          <t>Elecampane</t>
        </is>
      </c>
      <c r="B712" t="inlineStr">
        <is>
          <t>Eleuthero</t>
        </is>
      </c>
      <c r="C712" t="n">
        <v>50</v>
      </c>
      <c r="E712" t="inlineStr">
        <is>
          <t>unclassified</t>
        </is>
      </c>
      <c r="G712" t="inlineStr">
        <is>
          <t>General</t>
        </is>
      </c>
      <c r="H712" t="inlineStr">
        <is>
          <t>General</t>
        </is>
      </c>
      <c r="I712" t="inlineStr">
        <is>
          <t>Generalist</t>
        </is>
      </c>
      <c r="J712" t="inlineStr">
        <is>
          <t>Generalist</t>
        </is>
      </c>
    </row>
    <row r="713">
      <c r="A713" t="inlineStr">
        <is>
          <t>Elecampane</t>
        </is>
      </c>
      <c r="B713" t="inlineStr">
        <is>
          <t>Galangal</t>
        </is>
      </c>
      <c r="C713" t="n">
        <v>50</v>
      </c>
      <c r="E713" t="inlineStr">
        <is>
          <t>unclassified</t>
        </is>
      </c>
      <c r="G713" t="inlineStr">
        <is>
          <t>General</t>
        </is>
      </c>
      <c r="H713" t="inlineStr">
        <is>
          <t>General</t>
        </is>
      </c>
      <c r="I713" t="inlineStr">
        <is>
          <t>Generalist</t>
        </is>
      </c>
      <c r="J713" t="inlineStr">
        <is>
          <t>Generalist</t>
        </is>
      </c>
    </row>
    <row r="714">
      <c r="A714" t="inlineStr">
        <is>
          <t>Elecampane</t>
        </is>
      </c>
      <c r="B714" t="inlineStr">
        <is>
          <t>Gudmar</t>
        </is>
      </c>
      <c r="C714" t="n">
        <v>50</v>
      </c>
      <c r="E714" t="inlineStr">
        <is>
          <t>unclassified</t>
        </is>
      </c>
      <c r="G714" t="inlineStr">
        <is>
          <t>General</t>
        </is>
      </c>
      <c r="H714" t="inlineStr">
        <is>
          <t>General</t>
        </is>
      </c>
      <c r="I714" t="inlineStr">
        <is>
          <t>Generalist</t>
        </is>
      </c>
      <c r="J714" t="inlineStr">
        <is>
          <t>Generalist</t>
        </is>
      </c>
    </row>
    <row r="715">
      <c r="A715" t="inlineStr">
        <is>
          <t>Elecampane</t>
        </is>
      </c>
      <c r="B715" t="inlineStr">
        <is>
          <t>Nettle Root</t>
        </is>
      </c>
      <c r="C715" t="n">
        <v>50</v>
      </c>
      <c r="E715" t="inlineStr">
        <is>
          <t>unclassified</t>
        </is>
      </c>
      <c r="G715" t="inlineStr">
        <is>
          <t>General</t>
        </is>
      </c>
      <c r="H715" t="inlineStr">
        <is>
          <t>General</t>
        </is>
      </c>
      <c r="I715" t="inlineStr">
        <is>
          <t>Generalist</t>
        </is>
      </c>
      <c r="J715" t="inlineStr">
        <is>
          <t>Generalist</t>
        </is>
      </c>
    </row>
    <row r="716">
      <c r="A716" t="inlineStr">
        <is>
          <t>Elecampane</t>
        </is>
      </c>
      <c r="B716" t="inlineStr">
        <is>
          <t>Passionflower</t>
        </is>
      </c>
      <c r="C716" t="n">
        <v>50</v>
      </c>
      <c r="E716" t="inlineStr">
        <is>
          <t>unclassified</t>
        </is>
      </c>
      <c r="G716" t="inlineStr">
        <is>
          <t>General</t>
        </is>
      </c>
      <c r="H716" t="inlineStr">
        <is>
          <t>General</t>
        </is>
      </c>
      <c r="I716" t="inlineStr">
        <is>
          <t>Generalist</t>
        </is>
      </c>
      <c r="J716" t="inlineStr">
        <is>
          <t>Generalist</t>
        </is>
      </c>
    </row>
    <row r="717">
      <c r="A717" t="inlineStr">
        <is>
          <t>Elecampane</t>
        </is>
      </c>
      <c r="B717" t="inlineStr">
        <is>
          <t>Punarnava</t>
        </is>
      </c>
      <c r="C717" t="n">
        <v>50</v>
      </c>
      <c r="E717" t="inlineStr">
        <is>
          <t>unclassified</t>
        </is>
      </c>
      <c r="G717" t="inlineStr">
        <is>
          <t>General</t>
        </is>
      </c>
      <c r="H717" t="inlineStr">
        <is>
          <t>General</t>
        </is>
      </c>
      <c r="I717" t="inlineStr">
        <is>
          <t>Generalist</t>
        </is>
      </c>
      <c r="J717" t="inlineStr">
        <is>
          <t>Generalist</t>
        </is>
      </c>
    </row>
    <row r="718">
      <c r="A718" t="inlineStr">
        <is>
          <t>Elecampane</t>
        </is>
      </c>
      <c r="B718" t="inlineStr">
        <is>
          <t>Reishi</t>
        </is>
      </c>
      <c r="C718" t="n">
        <v>50</v>
      </c>
      <c r="E718" t="inlineStr">
        <is>
          <t>unclassified</t>
        </is>
      </c>
      <c r="G718" t="inlineStr">
        <is>
          <t>General</t>
        </is>
      </c>
      <c r="H718" t="inlineStr">
        <is>
          <t>General</t>
        </is>
      </c>
      <c r="I718" t="inlineStr">
        <is>
          <t>Generalist</t>
        </is>
      </c>
      <c r="J718" t="inlineStr">
        <is>
          <t>Generalist</t>
        </is>
      </c>
    </row>
    <row r="719">
      <c r="A719" t="inlineStr">
        <is>
          <t>Elecampane</t>
        </is>
      </c>
      <c r="B719" t="inlineStr">
        <is>
          <t>Tamarind</t>
        </is>
      </c>
      <c r="C719" t="n">
        <v>50</v>
      </c>
      <c r="E719" t="inlineStr">
        <is>
          <t>unclassified</t>
        </is>
      </c>
      <c r="G719" t="inlineStr">
        <is>
          <t>General</t>
        </is>
      </c>
      <c r="H719" t="inlineStr">
        <is>
          <t>General</t>
        </is>
      </c>
      <c r="I719" t="inlineStr">
        <is>
          <t>Generalist</t>
        </is>
      </c>
      <c r="J719" t="inlineStr">
        <is>
          <t>Generalist</t>
        </is>
      </c>
    </row>
    <row r="720">
      <c r="A720" t="inlineStr">
        <is>
          <t>Elecampane</t>
        </is>
      </c>
      <c r="B720" t="inlineStr">
        <is>
          <t>Yohimbe</t>
        </is>
      </c>
      <c r="C720" t="n">
        <v>50</v>
      </c>
      <c r="E720" t="inlineStr">
        <is>
          <t>unclassified</t>
        </is>
      </c>
      <c r="G720" t="inlineStr">
        <is>
          <t>General</t>
        </is>
      </c>
      <c r="H720" t="inlineStr">
        <is>
          <t>General</t>
        </is>
      </c>
      <c r="I720" t="inlineStr">
        <is>
          <t>Generalist</t>
        </is>
      </c>
      <c r="J720" t="inlineStr">
        <is>
          <t>Generalist</t>
        </is>
      </c>
    </row>
    <row r="721">
      <c r="A721" t="inlineStr">
        <is>
          <t>Eleuthero</t>
        </is>
      </c>
      <c r="B721" t="inlineStr">
        <is>
          <t>Celastrus Paniculatus</t>
        </is>
      </c>
      <c r="C721" t="n">
        <v>50</v>
      </c>
      <c r="E721" t="inlineStr">
        <is>
          <t>unclassified</t>
        </is>
      </c>
      <c r="G721" t="inlineStr">
        <is>
          <t>General</t>
        </is>
      </c>
      <c r="H721" t="inlineStr">
        <is>
          <t>General</t>
        </is>
      </c>
      <c r="I721" t="inlineStr">
        <is>
          <t>Generalist</t>
        </is>
      </c>
      <c r="J721" t="inlineStr">
        <is>
          <t>Generalist</t>
        </is>
      </c>
    </row>
    <row r="722">
      <c r="A722" t="inlineStr">
        <is>
          <t>Eleuthero</t>
        </is>
      </c>
      <c r="B722" t="inlineStr">
        <is>
          <t>Nettle Root</t>
        </is>
      </c>
      <c r="C722" t="n">
        <v>50</v>
      </c>
      <c r="E722" t="inlineStr">
        <is>
          <t>unclassified</t>
        </is>
      </c>
      <c r="G722" t="inlineStr">
        <is>
          <t>General</t>
        </is>
      </c>
      <c r="H722" t="inlineStr">
        <is>
          <t>General</t>
        </is>
      </c>
      <c r="I722" t="inlineStr">
        <is>
          <t>Generalist</t>
        </is>
      </c>
      <c r="J722" t="inlineStr">
        <is>
          <t>Generalist</t>
        </is>
      </c>
    </row>
    <row r="723">
      <c r="A723" t="inlineStr">
        <is>
          <t>Eleuthero</t>
        </is>
      </c>
      <c r="B723" t="inlineStr">
        <is>
          <t>Punarnava</t>
        </is>
      </c>
      <c r="C723" t="n">
        <v>50</v>
      </c>
      <c r="E723" t="inlineStr">
        <is>
          <t>unclassified</t>
        </is>
      </c>
      <c r="G723" t="inlineStr">
        <is>
          <t>General</t>
        </is>
      </c>
      <c r="H723" t="inlineStr">
        <is>
          <t>General</t>
        </is>
      </c>
      <c r="I723" t="inlineStr">
        <is>
          <t>Generalist</t>
        </is>
      </c>
      <c r="J723" t="inlineStr">
        <is>
          <t>Generalist</t>
        </is>
      </c>
    </row>
    <row r="724">
      <c r="A724" t="inlineStr">
        <is>
          <t>Eleuthero</t>
        </is>
      </c>
      <c r="B724" t="inlineStr">
        <is>
          <t>Reishi</t>
        </is>
      </c>
      <c r="C724" t="n">
        <v>50</v>
      </c>
      <c r="E724" t="inlineStr">
        <is>
          <t>unclassified</t>
        </is>
      </c>
      <c r="G724" t="inlineStr">
        <is>
          <t>General</t>
        </is>
      </c>
      <c r="H724" t="inlineStr">
        <is>
          <t>General</t>
        </is>
      </c>
      <c r="I724" t="inlineStr">
        <is>
          <t>Generalist</t>
        </is>
      </c>
      <c r="J724" t="inlineStr">
        <is>
          <t>Generalist</t>
        </is>
      </c>
    </row>
    <row r="725">
      <c r="A725" t="inlineStr">
        <is>
          <t>Eucommia</t>
        </is>
      </c>
      <c r="B725" t="inlineStr">
        <is>
          <t>Curry Leaf</t>
        </is>
      </c>
      <c r="C725" t="n">
        <v>50</v>
      </c>
      <c r="E725" t="inlineStr">
        <is>
          <t>unclassified</t>
        </is>
      </c>
      <c r="G725" t="inlineStr">
        <is>
          <t>Metabolic Support</t>
        </is>
      </c>
      <c r="H725" t="inlineStr">
        <is>
          <t>Metabolic Support</t>
        </is>
      </c>
      <c r="I725" t="inlineStr">
        <is>
          <t>Metabolic</t>
        </is>
      </c>
      <c r="J725" t="inlineStr">
        <is>
          <t>Metabolic</t>
        </is>
      </c>
    </row>
    <row r="726">
      <c r="A726" t="inlineStr">
        <is>
          <t>Eucommia</t>
        </is>
      </c>
      <c r="B726" t="inlineStr">
        <is>
          <t>Kuding Tea</t>
        </is>
      </c>
      <c r="C726" t="n">
        <v>50</v>
      </c>
      <c r="E726" t="inlineStr">
        <is>
          <t>unclassified</t>
        </is>
      </c>
      <c r="G726" t="inlineStr">
        <is>
          <t>Metabolic Support</t>
        </is>
      </c>
      <c r="H726" t="inlineStr">
        <is>
          <t>Metabolic Support</t>
        </is>
      </c>
      <c r="I726" t="inlineStr">
        <is>
          <t>Metabolic</t>
        </is>
      </c>
      <c r="J726" t="inlineStr">
        <is>
          <t>Metabolic</t>
        </is>
      </c>
    </row>
    <row r="727">
      <c r="A727" t="inlineStr">
        <is>
          <t>Fennel</t>
        </is>
      </c>
      <c r="B727" t="inlineStr">
        <is>
          <t>Agarikon</t>
        </is>
      </c>
      <c r="C727" t="n">
        <v>50</v>
      </c>
      <c r="E727" t="inlineStr">
        <is>
          <t>unclassified</t>
        </is>
      </c>
      <c r="G727" t="inlineStr">
        <is>
          <t>General</t>
        </is>
      </c>
      <c r="H727" t="inlineStr">
        <is>
          <t>General</t>
        </is>
      </c>
      <c r="I727" t="inlineStr">
        <is>
          <t>Generalist</t>
        </is>
      </c>
      <c r="J727" t="inlineStr">
        <is>
          <t>Generalist</t>
        </is>
      </c>
    </row>
    <row r="728">
      <c r="A728" t="inlineStr">
        <is>
          <t>Fennel</t>
        </is>
      </c>
      <c r="B728" t="inlineStr">
        <is>
          <t>Ajwain</t>
        </is>
      </c>
      <c r="C728" t="n">
        <v>50</v>
      </c>
      <c r="E728" t="inlineStr">
        <is>
          <t>unclassified</t>
        </is>
      </c>
      <c r="G728" t="inlineStr">
        <is>
          <t>General</t>
        </is>
      </c>
      <c r="H728" t="inlineStr">
        <is>
          <t>General</t>
        </is>
      </c>
      <c r="I728" t="inlineStr">
        <is>
          <t>Generalist</t>
        </is>
      </c>
      <c r="J728" t="inlineStr">
        <is>
          <t>Generalist</t>
        </is>
      </c>
    </row>
    <row r="729">
      <c r="A729" t="inlineStr">
        <is>
          <t>Fennel</t>
        </is>
      </c>
      <c r="B729" t="inlineStr">
        <is>
          <t>Angelica Root</t>
        </is>
      </c>
      <c r="C729" t="n">
        <v>50</v>
      </c>
      <c r="E729" t="inlineStr">
        <is>
          <t>unclassified</t>
        </is>
      </c>
      <c r="G729" t="inlineStr">
        <is>
          <t>General</t>
        </is>
      </c>
      <c r="H729" t="inlineStr">
        <is>
          <t>General</t>
        </is>
      </c>
      <c r="I729" t="inlineStr">
        <is>
          <t>Generalist</t>
        </is>
      </c>
      <c r="J729" t="inlineStr">
        <is>
          <t>Generalist</t>
        </is>
      </c>
    </row>
    <row r="730">
      <c r="A730" t="inlineStr">
        <is>
          <t>Fennel</t>
        </is>
      </c>
      <c r="B730" t="inlineStr">
        <is>
          <t>Ashoka</t>
        </is>
      </c>
      <c r="C730" t="n">
        <v>50</v>
      </c>
      <c r="E730" t="inlineStr">
        <is>
          <t>unclassified</t>
        </is>
      </c>
      <c r="G730" t="inlineStr">
        <is>
          <t>General</t>
        </is>
      </c>
      <c r="H730" t="inlineStr">
        <is>
          <t>General</t>
        </is>
      </c>
      <c r="I730" t="inlineStr">
        <is>
          <t>Generalist</t>
        </is>
      </c>
      <c r="J730" t="inlineStr">
        <is>
          <t>Generalist</t>
        </is>
      </c>
    </row>
    <row r="731">
      <c r="A731" t="inlineStr">
        <is>
          <t>Fennel</t>
        </is>
      </c>
      <c r="B731" t="inlineStr">
        <is>
          <t>Boldo</t>
        </is>
      </c>
      <c r="C731" t="n">
        <v>50</v>
      </c>
      <c r="E731" t="inlineStr">
        <is>
          <t>unclassified</t>
        </is>
      </c>
      <c r="G731" t="inlineStr">
        <is>
          <t>General</t>
        </is>
      </c>
      <c r="H731" t="inlineStr">
        <is>
          <t>General</t>
        </is>
      </c>
      <c r="I731" t="inlineStr">
        <is>
          <t>Generalist</t>
        </is>
      </c>
      <c r="J731" t="inlineStr">
        <is>
          <t>Generalist</t>
        </is>
      </c>
    </row>
    <row r="732">
      <c r="A732" t="inlineStr">
        <is>
          <t>Fennel</t>
        </is>
      </c>
      <c r="B732" t="inlineStr">
        <is>
          <t>Burdock</t>
        </is>
      </c>
      <c r="C732" t="n">
        <v>50</v>
      </c>
      <c r="E732" t="inlineStr">
        <is>
          <t>unclassified</t>
        </is>
      </c>
      <c r="G732" t="inlineStr">
        <is>
          <t>General</t>
        </is>
      </c>
      <c r="H732" t="inlineStr">
        <is>
          <t>General</t>
        </is>
      </c>
      <c r="I732" t="inlineStr">
        <is>
          <t>Generalist</t>
        </is>
      </c>
      <c r="J732" t="inlineStr">
        <is>
          <t>Generalist</t>
        </is>
      </c>
    </row>
    <row r="733">
      <c r="A733" t="inlineStr">
        <is>
          <t>Fennel</t>
        </is>
      </c>
      <c r="B733" t="inlineStr">
        <is>
          <t>Calendula</t>
        </is>
      </c>
      <c r="C733" t="n">
        <v>50</v>
      </c>
      <c r="E733" t="inlineStr">
        <is>
          <t>unclassified</t>
        </is>
      </c>
      <c r="G733" t="inlineStr">
        <is>
          <t>General</t>
        </is>
      </c>
      <c r="H733" t="inlineStr">
        <is>
          <t>General</t>
        </is>
      </c>
      <c r="I733" t="inlineStr">
        <is>
          <t>Generalist</t>
        </is>
      </c>
      <c r="J733" t="inlineStr">
        <is>
          <t>Generalist</t>
        </is>
      </c>
    </row>
    <row r="734">
      <c r="A734" t="inlineStr">
        <is>
          <t>Fennel</t>
        </is>
      </c>
      <c r="B734" t="inlineStr">
        <is>
          <t>Caraway</t>
        </is>
      </c>
      <c r="C734" t="n">
        <v>50</v>
      </c>
      <c r="E734" t="inlineStr">
        <is>
          <t>unclassified</t>
        </is>
      </c>
      <c r="G734" t="inlineStr">
        <is>
          <t>General</t>
        </is>
      </c>
      <c r="H734" t="inlineStr">
        <is>
          <t>General</t>
        </is>
      </c>
      <c r="I734" t="inlineStr">
        <is>
          <t>Generalist</t>
        </is>
      </c>
      <c r="J734" t="inlineStr">
        <is>
          <t>Generalist</t>
        </is>
      </c>
    </row>
    <row r="735">
      <c r="A735" t="inlineStr">
        <is>
          <t>Fennel</t>
        </is>
      </c>
      <c r="B735" t="inlineStr">
        <is>
          <t>Cardamom</t>
        </is>
      </c>
      <c r="C735" t="n">
        <v>50</v>
      </c>
      <c r="E735" t="inlineStr">
        <is>
          <t>unclassified</t>
        </is>
      </c>
      <c r="G735" t="inlineStr">
        <is>
          <t>General</t>
        </is>
      </c>
      <c r="H735" t="inlineStr">
        <is>
          <t>General</t>
        </is>
      </c>
      <c r="I735" t="inlineStr">
        <is>
          <t>Generalist</t>
        </is>
      </c>
      <c r="J735" t="inlineStr">
        <is>
          <t>Generalist</t>
        </is>
      </c>
    </row>
    <row r="736">
      <c r="A736" t="inlineStr">
        <is>
          <t>Fennel</t>
        </is>
      </c>
      <c r="B736" t="inlineStr">
        <is>
          <t>Celastrus Paniculatus</t>
        </is>
      </c>
      <c r="C736" t="n">
        <v>50</v>
      </c>
      <c r="E736" t="inlineStr">
        <is>
          <t>unclassified</t>
        </is>
      </c>
      <c r="G736" t="inlineStr">
        <is>
          <t>General</t>
        </is>
      </c>
      <c r="H736" t="inlineStr">
        <is>
          <t>General</t>
        </is>
      </c>
      <c r="I736" t="inlineStr">
        <is>
          <t>Generalist</t>
        </is>
      </c>
      <c r="J736" t="inlineStr">
        <is>
          <t>Generalist</t>
        </is>
      </c>
    </row>
    <row r="737">
      <c r="A737" t="inlineStr">
        <is>
          <t>Fennel</t>
        </is>
      </c>
      <c r="B737" t="inlineStr">
        <is>
          <t>Cinnamon</t>
        </is>
      </c>
      <c r="C737" t="n">
        <v>50</v>
      </c>
      <c r="E737" t="inlineStr">
        <is>
          <t>unclassified</t>
        </is>
      </c>
      <c r="G737" t="inlineStr">
        <is>
          <t>General</t>
        </is>
      </c>
      <c r="H737" t="inlineStr">
        <is>
          <t>General</t>
        </is>
      </c>
      <c r="I737" t="inlineStr">
        <is>
          <t>Generalist</t>
        </is>
      </c>
      <c r="J737" t="inlineStr">
        <is>
          <t>Generalist</t>
        </is>
      </c>
    </row>
    <row r="738">
      <c r="A738" t="inlineStr">
        <is>
          <t>Fennel</t>
        </is>
      </c>
      <c r="B738" t="inlineStr">
        <is>
          <t>Cistanche</t>
        </is>
      </c>
      <c r="C738" t="n">
        <v>50</v>
      </c>
      <c r="E738" t="inlineStr">
        <is>
          <t>unclassified</t>
        </is>
      </c>
      <c r="G738" t="inlineStr">
        <is>
          <t>General</t>
        </is>
      </c>
      <c r="H738" t="inlineStr">
        <is>
          <t>General</t>
        </is>
      </c>
      <c r="I738" t="inlineStr">
        <is>
          <t>Generalist</t>
        </is>
      </c>
      <c r="J738" t="inlineStr">
        <is>
          <t>Generalist</t>
        </is>
      </c>
    </row>
    <row r="739">
      <c r="A739" t="inlineStr">
        <is>
          <t>Fennel</t>
        </is>
      </c>
      <c r="B739" t="inlineStr">
        <is>
          <t>Cordyceps</t>
        </is>
      </c>
      <c r="C739" t="n">
        <v>50</v>
      </c>
      <c r="E739" t="inlineStr">
        <is>
          <t>unclassified</t>
        </is>
      </c>
      <c r="G739" t="inlineStr">
        <is>
          <t>General</t>
        </is>
      </c>
      <c r="H739" t="inlineStr">
        <is>
          <t>General</t>
        </is>
      </c>
      <c r="I739" t="inlineStr">
        <is>
          <t>Generalist</t>
        </is>
      </c>
      <c r="J739" t="inlineStr">
        <is>
          <t>Generalist</t>
        </is>
      </c>
    </row>
    <row r="740">
      <c r="A740" t="inlineStr">
        <is>
          <t>Fennel</t>
        </is>
      </c>
      <c r="B740" t="inlineStr">
        <is>
          <t>Dandelion</t>
        </is>
      </c>
      <c r="C740" t="n">
        <v>50</v>
      </c>
      <c r="E740" t="inlineStr">
        <is>
          <t>unclassified</t>
        </is>
      </c>
      <c r="G740" t="inlineStr">
        <is>
          <t>General</t>
        </is>
      </c>
      <c r="H740" t="inlineStr">
        <is>
          <t>General</t>
        </is>
      </c>
      <c r="I740" t="inlineStr">
        <is>
          <t>Generalist</t>
        </is>
      </c>
      <c r="J740" t="inlineStr">
        <is>
          <t>Generalist</t>
        </is>
      </c>
    </row>
    <row r="741">
      <c r="A741" t="inlineStr">
        <is>
          <t>Fennel</t>
        </is>
      </c>
      <c r="B741" t="inlineStr">
        <is>
          <t>Dendrobium</t>
        </is>
      </c>
      <c r="C741" t="n">
        <v>50</v>
      </c>
      <c r="E741" t="inlineStr">
        <is>
          <t>unclassified</t>
        </is>
      </c>
      <c r="G741" t="inlineStr">
        <is>
          <t>General</t>
        </is>
      </c>
      <c r="H741" t="inlineStr">
        <is>
          <t>General</t>
        </is>
      </c>
      <c r="I741" t="inlineStr">
        <is>
          <t>Generalist</t>
        </is>
      </c>
      <c r="J741" t="inlineStr">
        <is>
          <t>Generalist</t>
        </is>
      </c>
    </row>
    <row r="742">
      <c r="A742" t="inlineStr">
        <is>
          <t>Fennel</t>
        </is>
      </c>
      <c r="B742" t="inlineStr">
        <is>
          <t>Elecampane</t>
        </is>
      </c>
      <c r="C742" t="n">
        <v>50</v>
      </c>
      <c r="E742" t="inlineStr">
        <is>
          <t>unclassified</t>
        </is>
      </c>
      <c r="G742" t="inlineStr">
        <is>
          <t>General</t>
        </is>
      </c>
      <c r="H742" t="inlineStr">
        <is>
          <t>General</t>
        </is>
      </c>
      <c r="I742" t="inlineStr">
        <is>
          <t>Generalist</t>
        </is>
      </c>
      <c r="J742" t="inlineStr">
        <is>
          <t>Generalist</t>
        </is>
      </c>
    </row>
    <row r="743">
      <c r="A743" t="inlineStr">
        <is>
          <t>Fennel</t>
        </is>
      </c>
      <c r="B743" t="inlineStr">
        <is>
          <t>Eleuthero</t>
        </is>
      </c>
      <c r="C743" t="n">
        <v>50</v>
      </c>
      <c r="E743" t="inlineStr">
        <is>
          <t>unclassified</t>
        </is>
      </c>
      <c r="G743" t="inlineStr">
        <is>
          <t>General</t>
        </is>
      </c>
      <c r="H743" t="inlineStr">
        <is>
          <t>General</t>
        </is>
      </c>
      <c r="I743" t="inlineStr">
        <is>
          <t>Generalist</t>
        </is>
      </c>
      <c r="J743" t="inlineStr">
        <is>
          <t>Generalist</t>
        </is>
      </c>
    </row>
    <row r="744">
      <c r="A744" t="inlineStr">
        <is>
          <t>Fennel</t>
        </is>
      </c>
      <c r="B744" t="inlineStr">
        <is>
          <t>Galangal</t>
        </is>
      </c>
      <c r="C744" t="n">
        <v>50</v>
      </c>
      <c r="E744" t="inlineStr">
        <is>
          <t>unclassified</t>
        </is>
      </c>
      <c r="G744" t="inlineStr">
        <is>
          <t>General</t>
        </is>
      </c>
      <c r="H744" t="inlineStr">
        <is>
          <t>General</t>
        </is>
      </c>
      <c r="I744" t="inlineStr">
        <is>
          <t>Generalist</t>
        </is>
      </c>
      <c r="J744" t="inlineStr">
        <is>
          <t>Generalist</t>
        </is>
      </c>
    </row>
    <row r="745">
      <c r="A745" t="inlineStr">
        <is>
          <t>Fennel</t>
        </is>
      </c>
      <c r="B745" t="inlineStr">
        <is>
          <t>Gastrodia</t>
        </is>
      </c>
      <c r="C745" t="n">
        <v>50</v>
      </c>
      <c r="E745" t="inlineStr">
        <is>
          <t>unclassified</t>
        </is>
      </c>
      <c r="G745" t="inlineStr">
        <is>
          <t>General</t>
        </is>
      </c>
      <c r="H745" t="inlineStr">
        <is>
          <t>General</t>
        </is>
      </c>
      <c r="I745" t="inlineStr">
        <is>
          <t>Generalist</t>
        </is>
      </c>
      <c r="J745" t="inlineStr">
        <is>
          <t>Generalist</t>
        </is>
      </c>
    </row>
    <row r="746">
      <c r="A746" t="inlineStr">
        <is>
          <t>Fennel</t>
        </is>
      </c>
      <c r="B746" t="inlineStr">
        <is>
          <t>Gudmar</t>
        </is>
      </c>
      <c r="C746" t="n">
        <v>50</v>
      </c>
      <c r="E746" t="inlineStr">
        <is>
          <t>unclassified</t>
        </is>
      </c>
      <c r="G746" t="inlineStr">
        <is>
          <t>General</t>
        </is>
      </c>
      <c r="H746" t="inlineStr">
        <is>
          <t>General</t>
        </is>
      </c>
      <c r="I746" t="inlineStr">
        <is>
          <t>Generalist</t>
        </is>
      </c>
      <c r="J746" t="inlineStr">
        <is>
          <t>Generalist</t>
        </is>
      </c>
    </row>
    <row r="747">
      <c r="A747" t="inlineStr">
        <is>
          <t>Fennel</t>
        </is>
      </c>
      <c r="B747" t="inlineStr">
        <is>
          <t>Gymnema</t>
        </is>
      </c>
      <c r="C747" t="n">
        <v>50</v>
      </c>
      <c r="E747" t="inlineStr">
        <is>
          <t>unclassified</t>
        </is>
      </c>
      <c r="G747" t="inlineStr">
        <is>
          <t>General</t>
        </is>
      </c>
      <c r="H747" t="inlineStr">
        <is>
          <t>General</t>
        </is>
      </c>
      <c r="I747" t="inlineStr">
        <is>
          <t>Generalist</t>
        </is>
      </c>
      <c r="J747" t="inlineStr">
        <is>
          <t>Generalist</t>
        </is>
      </c>
    </row>
    <row r="748">
      <c r="A748" t="inlineStr">
        <is>
          <t>Fennel</t>
        </is>
      </c>
      <c r="B748" t="inlineStr">
        <is>
          <t>Hops</t>
        </is>
      </c>
      <c r="C748" t="n">
        <v>50</v>
      </c>
      <c r="E748" t="inlineStr">
        <is>
          <t>unclassified</t>
        </is>
      </c>
      <c r="G748" t="inlineStr">
        <is>
          <t>General</t>
        </is>
      </c>
      <c r="H748" t="inlineStr">
        <is>
          <t>General</t>
        </is>
      </c>
      <c r="I748" t="inlineStr">
        <is>
          <t>Generalist</t>
        </is>
      </c>
      <c r="J748" t="inlineStr">
        <is>
          <t>Generalist</t>
        </is>
      </c>
    </row>
    <row r="749">
      <c r="A749" t="inlineStr">
        <is>
          <t>Fennel</t>
        </is>
      </c>
      <c r="B749" t="inlineStr">
        <is>
          <t>Houttuynia</t>
        </is>
      </c>
      <c r="C749" t="n">
        <v>50</v>
      </c>
      <c r="E749" t="inlineStr">
        <is>
          <t>unclassified</t>
        </is>
      </c>
      <c r="G749" t="inlineStr">
        <is>
          <t>General</t>
        </is>
      </c>
      <c r="H749" t="inlineStr">
        <is>
          <t>General</t>
        </is>
      </c>
      <c r="I749" t="inlineStr">
        <is>
          <t>Generalist</t>
        </is>
      </c>
      <c r="J749" t="inlineStr">
        <is>
          <t>Generalist</t>
        </is>
      </c>
    </row>
    <row r="750">
      <c r="A750" t="inlineStr">
        <is>
          <t>Fennel</t>
        </is>
      </c>
      <c r="B750" t="inlineStr">
        <is>
          <t>Isatis</t>
        </is>
      </c>
      <c r="C750" t="n">
        <v>50</v>
      </c>
      <c r="E750" t="inlineStr">
        <is>
          <t>unclassified</t>
        </is>
      </c>
      <c r="G750" t="inlineStr">
        <is>
          <t>General</t>
        </is>
      </c>
      <c r="H750" t="inlineStr">
        <is>
          <t>General</t>
        </is>
      </c>
      <c r="I750" t="inlineStr">
        <is>
          <t>Generalist</t>
        </is>
      </c>
      <c r="J750" t="inlineStr">
        <is>
          <t>Generalist</t>
        </is>
      </c>
    </row>
    <row r="751">
      <c r="A751" t="inlineStr">
        <is>
          <t>Fennel</t>
        </is>
      </c>
      <c r="B751" t="inlineStr">
        <is>
          <t>Jatamansi</t>
        </is>
      </c>
      <c r="C751" t="n">
        <v>50</v>
      </c>
      <c r="E751" t="inlineStr">
        <is>
          <t>unclassified</t>
        </is>
      </c>
      <c r="G751" t="inlineStr">
        <is>
          <t>General</t>
        </is>
      </c>
      <c r="H751" t="inlineStr">
        <is>
          <t>General</t>
        </is>
      </c>
      <c r="I751" t="inlineStr">
        <is>
          <t>Generalist</t>
        </is>
      </c>
      <c r="J751" t="inlineStr">
        <is>
          <t>Generalist</t>
        </is>
      </c>
    </row>
    <row r="752">
      <c r="A752" t="inlineStr">
        <is>
          <t>Fennel</t>
        </is>
      </c>
      <c r="B752" t="inlineStr">
        <is>
          <t>Lemon Verbena</t>
        </is>
      </c>
      <c r="C752" t="n">
        <v>50</v>
      </c>
      <c r="E752" t="inlineStr">
        <is>
          <t>unclassified</t>
        </is>
      </c>
      <c r="G752" t="inlineStr">
        <is>
          <t>General</t>
        </is>
      </c>
      <c r="H752" t="inlineStr">
        <is>
          <t>General</t>
        </is>
      </c>
      <c r="I752" t="inlineStr">
        <is>
          <t>Generalist</t>
        </is>
      </c>
      <c r="J752" t="inlineStr">
        <is>
          <t>Generalist</t>
        </is>
      </c>
    </row>
    <row r="753">
      <c r="A753" t="inlineStr">
        <is>
          <t>Fennel</t>
        </is>
      </c>
      <c r="B753" t="inlineStr">
        <is>
          <t>Lemongrass</t>
        </is>
      </c>
      <c r="C753" t="n">
        <v>50</v>
      </c>
      <c r="E753" t="inlineStr">
        <is>
          <t>unclassified</t>
        </is>
      </c>
      <c r="G753" t="inlineStr">
        <is>
          <t>General</t>
        </is>
      </c>
      <c r="H753" t="inlineStr">
        <is>
          <t>General</t>
        </is>
      </c>
      <c r="I753" t="inlineStr">
        <is>
          <t>Generalist</t>
        </is>
      </c>
      <c r="J753" t="inlineStr">
        <is>
          <t>Generalist</t>
        </is>
      </c>
    </row>
    <row r="754">
      <c r="A754" t="inlineStr">
        <is>
          <t>Fennel</t>
        </is>
      </c>
      <c r="B754" t="inlineStr">
        <is>
          <t>Longan</t>
        </is>
      </c>
      <c r="C754" t="n">
        <v>50</v>
      </c>
      <c r="E754" t="inlineStr">
        <is>
          <t>unclassified</t>
        </is>
      </c>
      <c r="G754" t="inlineStr">
        <is>
          <t>General</t>
        </is>
      </c>
      <c r="H754" t="inlineStr">
        <is>
          <t>General</t>
        </is>
      </c>
      <c r="I754" t="inlineStr">
        <is>
          <t>Generalist</t>
        </is>
      </c>
      <c r="J754" t="inlineStr">
        <is>
          <t>Generalist</t>
        </is>
      </c>
    </row>
    <row r="755">
      <c r="A755" t="inlineStr">
        <is>
          <t>Fennel</t>
        </is>
      </c>
      <c r="B755" t="inlineStr">
        <is>
          <t>Maitake D-Fraction</t>
        </is>
      </c>
      <c r="C755" t="n">
        <v>50</v>
      </c>
      <c r="E755" t="inlineStr">
        <is>
          <t>unclassified</t>
        </is>
      </c>
      <c r="G755" t="inlineStr">
        <is>
          <t>General</t>
        </is>
      </c>
      <c r="H755" t="inlineStr">
        <is>
          <t>General</t>
        </is>
      </c>
      <c r="I755" t="inlineStr">
        <is>
          <t>Generalist</t>
        </is>
      </c>
      <c r="J755" t="inlineStr">
        <is>
          <t>Generalist</t>
        </is>
      </c>
    </row>
    <row r="756">
      <c r="A756" t="inlineStr">
        <is>
          <t>Fennel</t>
        </is>
      </c>
      <c r="B756" t="inlineStr">
        <is>
          <t>Milk Oats</t>
        </is>
      </c>
      <c r="C756" t="n">
        <v>50</v>
      </c>
      <c r="E756" t="inlineStr">
        <is>
          <t>unclassified</t>
        </is>
      </c>
      <c r="G756" t="inlineStr">
        <is>
          <t>General</t>
        </is>
      </c>
      <c r="H756" t="inlineStr">
        <is>
          <t>General</t>
        </is>
      </c>
      <c r="I756" t="inlineStr">
        <is>
          <t>Generalist</t>
        </is>
      </c>
      <c r="J756" t="inlineStr">
        <is>
          <t>Generalist</t>
        </is>
      </c>
    </row>
    <row r="757">
      <c r="A757" t="inlineStr">
        <is>
          <t>Fennel</t>
        </is>
      </c>
      <c r="B757" t="inlineStr">
        <is>
          <t>Mugwort</t>
        </is>
      </c>
      <c r="C757" t="n">
        <v>50</v>
      </c>
      <c r="E757" t="inlineStr">
        <is>
          <t>unclassified</t>
        </is>
      </c>
      <c r="G757" t="inlineStr">
        <is>
          <t>General</t>
        </is>
      </c>
      <c r="H757" t="inlineStr">
        <is>
          <t>General</t>
        </is>
      </c>
      <c r="I757" t="inlineStr">
        <is>
          <t>Generalist</t>
        </is>
      </c>
      <c r="J757" t="inlineStr">
        <is>
          <t>Generalist</t>
        </is>
      </c>
    </row>
    <row r="758">
      <c r="A758" t="inlineStr">
        <is>
          <t>Fennel</t>
        </is>
      </c>
      <c r="B758" t="inlineStr">
        <is>
          <t>Muira Puama</t>
        </is>
      </c>
      <c r="C758" t="n">
        <v>50</v>
      </c>
      <c r="E758" t="inlineStr">
        <is>
          <t>unclassified</t>
        </is>
      </c>
      <c r="G758" t="inlineStr">
        <is>
          <t>General</t>
        </is>
      </c>
      <c r="H758" t="inlineStr">
        <is>
          <t>General</t>
        </is>
      </c>
      <c r="I758" t="inlineStr">
        <is>
          <t>Generalist</t>
        </is>
      </c>
      <c r="J758" t="inlineStr">
        <is>
          <t>Generalist</t>
        </is>
      </c>
    </row>
    <row r="759">
      <c r="A759" t="inlineStr">
        <is>
          <t>Fennel</t>
        </is>
      </c>
      <c r="B759" t="inlineStr">
        <is>
          <t>Mulberry Leaf</t>
        </is>
      </c>
      <c r="C759" t="n">
        <v>50</v>
      </c>
      <c r="E759" t="inlineStr">
        <is>
          <t>unclassified</t>
        </is>
      </c>
      <c r="G759" t="inlineStr">
        <is>
          <t>General</t>
        </is>
      </c>
      <c r="H759" t="inlineStr">
        <is>
          <t>General</t>
        </is>
      </c>
      <c r="I759" t="inlineStr">
        <is>
          <t>Generalist</t>
        </is>
      </c>
      <c r="J759" t="inlineStr">
        <is>
          <t>Generalist</t>
        </is>
      </c>
    </row>
    <row r="760">
      <c r="A760" t="inlineStr">
        <is>
          <t>Fennel</t>
        </is>
      </c>
      <c r="B760" t="inlineStr">
        <is>
          <t>Myrtle</t>
        </is>
      </c>
      <c r="C760" t="n">
        <v>50</v>
      </c>
      <c r="E760" t="inlineStr">
        <is>
          <t>unclassified</t>
        </is>
      </c>
      <c r="G760" t="inlineStr">
        <is>
          <t>General</t>
        </is>
      </c>
      <c r="H760" t="inlineStr">
        <is>
          <t>General</t>
        </is>
      </c>
      <c r="I760" t="inlineStr">
        <is>
          <t>Generalist</t>
        </is>
      </c>
      <c r="J760" t="inlineStr">
        <is>
          <t>Generalist</t>
        </is>
      </c>
    </row>
    <row r="761">
      <c r="A761" t="inlineStr">
        <is>
          <t>Fennel</t>
        </is>
      </c>
      <c r="B761" t="inlineStr">
        <is>
          <t>Neem</t>
        </is>
      </c>
      <c r="C761" t="n">
        <v>50</v>
      </c>
      <c r="E761" t="inlineStr">
        <is>
          <t>unclassified</t>
        </is>
      </c>
      <c r="G761" t="inlineStr">
        <is>
          <t>General</t>
        </is>
      </c>
      <c r="H761" t="inlineStr">
        <is>
          <t>General</t>
        </is>
      </c>
      <c r="I761" t="inlineStr">
        <is>
          <t>Generalist</t>
        </is>
      </c>
      <c r="J761" t="inlineStr">
        <is>
          <t>Generalist</t>
        </is>
      </c>
    </row>
    <row r="762">
      <c r="A762" t="inlineStr">
        <is>
          <t>Fennel</t>
        </is>
      </c>
      <c r="B762" t="inlineStr">
        <is>
          <t>Nettle Root</t>
        </is>
      </c>
      <c r="C762" t="n">
        <v>50</v>
      </c>
      <c r="E762" t="inlineStr">
        <is>
          <t>unclassified</t>
        </is>
      </c>
      <c r="G762" t="inlineStr">
        <is>
          <t>General</t>
        </is>
      </c>
      <c r="H762" t="inlineStr">
        <is>
          <t>General</t>
        </is>
      </c>
      <c r="I762" t="inlineStr">
        <is>
          <t>Generalist</t>
        </is>
      </c>
      <c r="J762" t="inlineStr">
        <is>
          <t>Generalist</t>
        </is>
      </c>
    </row>
    <row r="763">
      <c r="A763" t="inlineStr">
        <is>
          <t>Fennel</t>
        </is>
      </c>
      <c r="B763" t="inlineStr">
        <is>
          <t>Noni</t>
        </is>
      </c>
      <c r="C763" t="n">
        <v>50</v>
      </c>
      <c r="E763" t="inlineStr">
        <is>
          <t>unclassified</t>
        </is>
      </c>
      <c r="G763" t="inlineStr">
        <is>
          <t>General</t>
        </is>
      </c>
      <c r="H763" t="inlineStr">
        <is>
          <t>General</t>
        </is>
      </c>
      <c r="I763" t="inlineStr">
        <is>
          <t>Generalist</t>
        </is>
      </c>
      <c r="J763" t="inlineStr">
        <is>
          <t>Generalist</t>
        </is>
      </c>
    </row>
    <row r="764">
      <c r="A764" t="inlineStr">
        <is>
          <t>Fennel</t>
        </is>
      </c>
      <c r="B764" t="inlineStr">
        <is>
          <t>Oatstraw</t>
        </is>
      </c>
      <c r="C764" t="n">
        <v>50</v>
      </c>
      <c r="E764" t="inlineStr">
        <is>
          <t>unclassified</t>
        </is>
      </c>
      <c r="G764" t="inlineStr">
        <is>
          <t>General</t>
        </is>
      </c>
      <c r="H764" t="inlineStr">
        <is>
          <t>General</t>
        </is>
      </c>
      <c r="I764" t="inlineStr">
        <is>
          <t>Generalist</t>
        </is>
      </c>
      <c r="J764" t="inlineStr">
        <is>
          <t>Generalist</t>
        </is>
      </c>
    </row>
    <row r="765">
      <c r="A765" t="inlineStr">
        <is>
          <t>Fennel</t>
        </is>
      </c>
      <c r="B765" t="inlineStr">
        <is>
          <t>Passionflower</t>
        </is>
      </c>
      <c r="C765" t="n">
        <v>50</v>
      </c>
      <c r="E765" t="inlineStr">
        <is>
          <t>unclassified</t>
        </is>
      </c>
      <c r="G765" t="inlineStr">
        <is>
          <t>General</t>
        </is>
      </c>
      <c r="H765" t="inlineStr">
        <is>
          <t>General</t>
        </is>
      </c>
      <c r="I765" t="inlineStr">
        <is>
          <t>Generalist</t>
        </is>
      </c>
      <c r="J765" t="inlineStr">
        <is>
          <t>Generalist</t>
        </is>
      </c>
    </row>
    <row r="766">
      <c r="A766" t="inlineStr">
        <is>
          <t>Fennel</t>
        </is>
      </c>
      <c r="B766" t="inlineStr">
        <is>
          <t>Pau d'Arco</t>
        </is>
      </c>
      <c r="C766" t="n">
        <v>50</v>
      </c>
      <c r="E766" t="inlineStr">
        <is>
          <t>unclassified</t>
        </is>
      </c>
      <c r="G766" t="inlineStr">
        <is>
          <t>General</t>
        </is>
      </c>
      <c r="H766" t="inlineStr">
        <is>
          <t>General</t>
        </is>
      </c>
      <c r="I766" t="inlineStr">
        <is>
          <t>Generalist</t>
        </is>
      </c>
      <c r="J766" t="inlineStr">
        <is>
          <t>Generalist</t>
        </is>
      </c>
    </row>
    <row r="767">
      <c r="A767" t="inlineStr">
        <is>
          <t>Fennel</t>
        </is>
      </c>
      <c r="B767" t="inlineStr">
        <is>
          <t>Perilla</t>
        </is>
      </c>
      <c r="C767" t="n">
        <v>50</v>
      </c>
      <c r="E767" t="inlineStr">
        <is>
          <t>unclassified</t>
        </is>
      </c>
      <c r="G767" t="inlineStr">
        <is>
          <t>General</t>
        </is>
      </c>
      <c r="H767" t="inlineStr">
        <is>
          <t>General</t>
        </is>
      </c>
      <c r="I767" t="inlineStr">
        <is>
          <t>Generalist</t>
        </is>
      </c>
      <c r="J767" t="inlineStr">
        <is>
          <t>Generalist</t>
        </is>
      </c>
    </row>
    <row r="768">
      <c r="A768" t="inlineStr">
        <is>
          <t>Fennel</t>
        </is>
      </c>
      <c r="B768" t="inlineStr">
        <is>
          <t>Pomegranate</t>
        </is>
      </c>
      <c r="C768" t="n">
        <v>50</v>
      </c>
      <c r="E768" t="inlineStr">
        <is>
          <t>unclassified</t>
        </is>
      </c>
      <c r="G768" t="inlineStr">
        <is>
          <t>General</t>
        </is>
      </c>
      <c r="H768" t="inlineStr">
        <is>
          <t>General</t>
        </is>
      </c>
      <c r="I768" t="inlineStr">
        <is>
          <t>Generalist</t>
        </is>
      </c>
      <c r="J768" t="inlineStr">
        <is>
          <t>Generalist</t>
        </is>
      </c>
    </row>
    <row r="769">
      <c r="A769" t="inlineStr">
        <is>
          <t>Fennel</t>
        </is>
      </c>
      <c r="B769" t="inlineStr">
        <is>
          <t>Poria</t>
        </is>
      </c>
      <c r="C769" t="n">
        <v>50</v>
      </c>
      <c r="E769" t="inlineStr">
        <is>
          <t>unclassified</t>
        </is>
      </c>
      <c r="G769" t="inlineStr">
        <is>
          <t>General</t>
        </is>
      </c>
      <c r="H769" t="inlineStr">
        <is>
          <t>General</t>
        </is>
      </c>
      <c r="I769" t="inlineStr">
        <is>
          <t>Generalist</t>
        </is>
      </c>
      <c r="J769" t="inlineStr">
        <is>
          <t>Generalist</t>
        </is>
      </c>
    </row>
    <row r="770">
      <c r="A770" t="inlineStr">
        <is>
          <t>Fennel</t>
        </is>
      </c>
      <c r="B770" t="inlineStr">
        <is>
          <t>Punarnava</t>
        </is>
      </c>
      <c r="C770" t="n">
        <v>50</v>
      </c>
      <c r="E770" t="inlineStr">
        <is>
          <t>unclassified</t>
        </is>
      </c>
      <c r="G770" t="inlineStr">
        <is>
          <t>General</t>
        </is>
      </c>
      <c r="H770" t="inlineStr">
        <is>
          <t>General</t>
        </is>
      </c>
      <c r="I770" t="inlineStr">
        <is>
          <t>Generalist</t>
        </is>
      </c>
      <c r="J770" t="inlineStr">
        <is>
          <t>Generalist</t>
        </is>
      </c>
    </row>
    <row r="771">
      <c r="A771" t="inlineStr">
        <is>
          <t>Fennel</t>
        </is>
      </c>
      <c r="B771" t="inlineStr">
        <is>
          <t>Red Clover</t>
        </is>
      </c>
      <c r="C771" t="n">
        <v>50</v>
      </c>
      <c r="E771" t="inlineStr">
        <is>
          <t>unclassified</t>
        </is>
      </c>
      <c r="G771" t="inlineStr">
        <is>
          <t>General</t>
        </is>
      </c>
      <c r="H771" t="inlineStr">
        <is>
          <t>General</t>
        </is>
      </c>
      <c r="I771" t="inlineStr">
        <is>
          <t>Generalist</t>
        </is>
      </c>
      <c r="J771" t="inlineStr">
        <is>
          <t>Generalist</t>
        </is>
      </c>
    </row>
    <row r="772">
      <c r="A772" t="inlineStr">
        <is>
          <t>Fennel</t>
        </is>
      </c>
      <c r="B772" t="inlineStr">
        <is>
          <t>Rehmannia Prepared</t>
        </is>
      </c>
      <c r="C772" t="n">
        <v>50</v>
      </c>
      <c r="E772" t="inlineStr">
        <is>
          <t>unclassified</t>
        </is>
      </c>
      <c r="G772" t="inlineStr">
        <is>
          <t>General</t>
        </is>
      </c>
      <c r="H772" t="inlineStr">
        <is>
          <t>General</t>
        </is>
      </c>
      <c r="I772" t="inlineStr">
        <is>
          <t>Generalist</t>
        </is>
      </c>
      <c r="J772" t="inlineStr">
        <is>
          <t>Generalist</t>
        </is>
      </c>
    </row>
    <row r="773">
      <c r="A773" t="inlineStr">
        <is>
          <t>Fennel</t>
        </is>
      </c>
      <c r="B773" t="inlineStr">
        <is>
          <t>Reishi</t>
        </is>
      </c>
      <c r="C773" t="n">
        <v>50</v>
      </c>
      <c r="E773" t="inlineStr">
        <is>
          <t>unclassified</t>
        </is>
      </c>
      <c r="G773" t="inlineStr">
        <is>
          <t>General</t>
        </is>
      </c>
      <c r="H773" t="inlineStr">
        <is>
          <t>General</t>
        </is>
      </c>
      <c r="I773" t="inlineStr">
        <is>
          <t>Generalist</t>
        </is>
      </c>
      <c r="J773" t="inlineStr">
        <is>
          <t>Generalist</t>
        </is>
      </c>
    </row>
    <row r="774">
      <c r="A774" t="inlineStr">
        <is>
          <t>Fennel</t>
        </is>
      </c>
      <c r="B774" t="inlineStr">
        <is>
          <t>Rose Hips</t>
        </is>
      </c>
      <c r="C774" t="n">
        <v>50</v>
      </c>
      <c r="E774" t="inlineStr">
        <is>
          <t>unclassified</t>
        </is>
      </c>
      <c r="G774" t="inlineStr">
        <is>
          <t>General</t>
        </is>
      </c>
      <c r="H774" t="inlineStr">
        <is>
          <t>General</t>
        </is>
      </c>
      <c r="I774" t="inlineStr">
        <is>
          <t>Generalist</t>
        </is>
      </c>
      <c r="J774" t="inlineStr">
        <is>
          <t>Generalist</t>
        </is>
      </c>
    </row>
    <row r="775">
      <c r="A775" t="inlineStr">
        <is>
          <t>Fennel</t>
        </is>
      </c>
      <c r="B775" t="inlineStr">
        <is>
          <t>Sophora Flavescens</t>
        </is>
      </c>
      <c r="C775" t="n">
        <v>50</v>
      </c>
      <c r="E775" t="inlineStr">
        <is>
          <t>unclassified</t>
        </is>
      </c>
      <c r="G775" t="inlineStr">
        <is>
          <t>General</t>
        </is>
      </c>
      <c r="H775" t="inlineStr">
        <is>
          <t>General</t>
        </is>
      </c>
      <c r="I775" t="inlineStr">
        <is>
          <t>Generalist</t>
        </is>
      </c>
      <c r="J775" t="inlineStr">
        <is>
          <t>Generalist</t>
        </is>
      </c>
    </row>
    <row r="776">
      <c r="A776" t="inlineStr">
        <is>
          <t>Fennel</t>
        </is>
      </c>
      <c r="B776" t="inlineStr">
        <is>
          <t>Soursop</t>
        </is>
      </c>
      <c r="C776" t="n">
        <v>50</v>
      </c>
      <c r="E776" t="inlineStr">
        <is>
          <t>unclassified</t>
        </is>
      </c>
      <c r="G776" t="inlineStr">
        <is>
          <t>General</t>
        </is>
      </c>
      <c r="H776" t="inlineStr">
        <is>
          <t>General</t>
        </is>
      </c>
      <c r="I776" t="inlineStr">
        <is>
          <t>Generalist</t>
        </is>
      </c>
      <c r="J776" t="inlineStr">
        <is>
          <t>Generalist</t>
        </is>
      </c>
    </row>
    <row r="777">
      <c r="A777" t="inlineStr">
        <is>
          <t>Fennel</t>
        </is>
      </c>
      <c r="B777" t="inlineStr">
        <is>
          <t>Tamarind</t>
        </is>
      </c>
      <c r="C777" t="n">
        <v>50</v>
      </c>
      <c r="E777" t="inlineStr">
        <is>
          <t>unclassified</t>
        </is>
      </c>
      <c r="G777" t="inlineStr">
        <is>
          <t>General</t>
        </is>
      </c>
      <c r="H777" t="inlineStr">
        <is>
          <t>General</t>
        </is>
      </c>
      <c r="I777" t="inlineStr">
        <is>
          <t>Generalist</t>
        </is>
      </c>
      <c r="J777" t="inlineStr">
        <is>
          <t>Generalist</t>
        </is>
      </c>
    </row>
    <row r="778">
      <c r="A778" t="inlineStr">
        <is>
          <t>Fennel</t>
        </is>
      </c>
      <c r="B778" t="inlineStr">
        <is>
          <t>White Peony</t>
        </is>
      </c>
      <c r="C778" t="n">
        <v>50</v>
      </c>
      <c r="E778" t="inlineStr">
        <is>
          <t>unclassified</t>
        </is>
      </c>
      <c r="G778" t="inlineStr">
        <is>
          <t>General</t>
        </is>
      </c>
      <c r="H778" t="inlineStr">
        <is>
          <t>General</t>
        </is>
      </c>
      <c r="I778" t="inlineStr">
        <is>
          <t>Generalist</t>
        </is>
      </c>
      <c r="J778" t="inlineStr">
        <is>
          <t>Generalist</t>
        </is>
      </c>
    </row>
    <row r="779">
      <c r="A779" t="inlineStr">
        <is>
          <t>Fennel</t>
        </is>
      </c>
      <c r="B779" t="inlineStr">
        <is>
          <t>Yohimbe</t>
        </is>
      </c>
      <c r="C779" t="n">
        <v>50</v>
      </c>
      <c r="E779" t="inlineStr">
        <is>
          <t>unclassified</t>
        </is>
      </c>
      <c r="G779" t="inlineStr">
        <is>
          <t>General</t>
        </is>
      </c>
      <c r="H779" t="inlineStr">
        <is>
          <t>General</t>
        </is>
      </c>
      <c r="I779" t="inlineStr">
        <is>
          <t>Generalist</t>
        </is>
      </c>
      <c r="J779" t="inlineStr">
        <is>
          <t>Generalist</t>
        </is>
      </c>
    </row>
    <row r="780">
      <c r="A780" t="inlineStr">
        <is>
          <t>Feverfew</t>
        </is>
      </c>
      <c r="B780" t="inlineStr">
        <is>
          <t>Agarikon</t>
        </is>
      </c>
      <c r="C780" t="n">
        <v>50</v>
      </c>
      <c r="E780" t="inlineStr">
        <is>
          <t>unclassified</t>
        </is>
      </c>
      <c r="G780" t="inlineStr">
        <is>
          <t>General</t>
        </is>
      </c>
      <c r="H780" t="inlineStr">
        <is>
          <t>General</t>
        </is>
      </c>
      <c r="I780" t="inlineStr">
        <is>
          <t>Generalist</t>
        </is>
      </c>
      <c r="J780" t="inlineStr">
        <is>
          <t>Generalist</t>
        </is>
      </c>
    </row>
    <row r="781">
      <c r="A781" t="inlineStr">
        <is>
          <t>Feverfew</t>
        </is>
      </c>
      <c r="B781" t="inlineStr">
        <is>
          <t>Ajwain</t>
        </is>
      </c>
      <c r="C781" t="n">
        <v>50</v>
      </c>
      <c r="E781" t="inlineStr">
        <is>
          <t>unclassified</t>
        </is>
      </c>
      <c r="G781" t="inlineStr">
        <is>
          <t>General</t>
        </is>
      </c>
      <c r="H781" t="inlineStr">
        <is>
          <t>General</t>
        </is>
      </c>
      <c r="I781" t="inlineStr">
        <is>
          <t>Generalist</t>
        </is>
      </c>
      <c r="J781" t="inlineStr">
        <is>
          <t>Generalist</t>
        </is>
      </c>
    </row>
    <row r="782">
      <c r="A782" t="inlineStr">
        <is>
          <t>Feverfew</t>
        </is>
      </c>
      <c r="B782" t="inlineStr">
        <is>
          <t>Angelica Root</t>
        </is>
      </c>
      <c r="C782" t="n">
        <v>50</v>
      </c>
      <c r="E782" t="inlineStr">
        <is>
          <t>unclassified</t>
        </is>
      </c>
      <c r="G782" t="inlineStr">
        <is>
          <t>General</t>
        </is>
      </c>
      <c r="H782" t="inlineStr">
        <is>
          <t>General</t>
        </is>
      </c>
      <c r="I782" t="inlineStr">
        <is>
          <t>Generalist</t>
        </is>
      </c>
      <c r="J782" t="inlineStr">
        <is>
          <t>Generalist</t>
        </is>
      </c>
    </row>
    <row r="783">
      <c r="A783" t="inlineStr">
        <is>
          <t>Feverfew</t>
        </is>
      </c>
      <c r="B783" t="inlineStr">
        <is>
          <t>Artichoke</t>
        </is>
      </c>
      <c r="C783" t="n">
        <v>50</v>
      </c>
      <c r="E783" t="inlineStr">
        <is>
          <t>unclassified</t>
        </is>
      </c>
      <c r="G783" t="inlineStr">
        <is>
          <t>General</t>
        </is>
      </c>
      <c r="H783" t="inlineStr">
        <is>
          <t>General</t>
        </is>
      </c>
      <c r="I783" t="inlineStr">
        <is>
          <t>Generalist</t>
        </is>
      </c>
      <c r="J783" t="inlineStr">
        <is>
          <t>Generalist</t>
        </is>
      </c>
    </row>
    <row r="784">
      <c r="A784" t="inlineStr">
        <is>
          <t>Feverfew</t>
        </is>
      </c>
      <c r="B784" t="inlineStr">
        <is>
          <t>Ashoka</t>
        </is>
      </c>
      <c r="C784" t="n">
        <v>50</v>
      </c>
      <c r="E784" t="inlineStr">
        <is>
          <t>unclassified</t>
        </is>
      </c>
      <c r="G784" t="inlineStr">
        <is>
          <t>General</t>
        </is>
      </c>
      <c r="H784" t="inlineStr">
        <is>
          <t>General</t>
        </is>
      </c>
      <c r="I784" t="inlineStr">
        <is>
          <t>Generalist</t>
        </is>
      </c>
      <c r="J784" t="inlineStr">
        <is>
          <t>Generalist</t>
        </is>
      </c>
    </row>
    <row r="785">
      <c r="A785" t="inlineStr">
        <is>
          <t>Feverfew</t>
        </is>
      </c>
      <c r="B785" t="inlineStr">
        <is>
          <t>Boldo</t>
        </is>
      </c>
      <c r="C785" t="n">
        <v>50</v>
      </c>
      <c r="E785" t="inlineStr">
        <is>
          <t>unclassified</t>
        </is>
      </c>
      <c r="G785" t="inlineStr">
        <is>
          <t>General</t>
        </is>
      </c>
      <c r="H785" t="inlineStr">
        <is>
          <t>General</t>
        </is>
      </c>
      <c r="I785" t="inlineStr">
        <is>
          <t>Generalist</t>
        </is>
      </c>
      <c r="J785" t="inlineStr">
        <is>
          <t>Generalist</t>
        </is>
      </c>
    </row>
    <row r="786">
      <c r="A786" t="inlineStr">
        <is>
          <t>Feverfew</t>
        </is>
      </c>
      <c r="B786" t="inlineStr">
        <is>
          <t>Burdock</t>
        </is>
      </c>
      <c r="C786" t="n">
        <v>50</v>
      </c>
      <c r="E786" t="inlineStr">
        <is>
          <t>unclassified</t>
        </is>
      </c>
      <c r="G786" t="inlineStr">
        <is>
          <t>General</t>
        </is>
      </c>
      <c r="H786" t="inlineStr">
        <is>
          <t>General</t>
        </is>
      </c>
      <c r="I786" t="inlineStr">
        <is>
          <t>Generalist</t>
        </is>
      </c>
      <c r="J786" t="inlineStr">
        <is>
          <t>Generalist</t>
        </is>
      </c>
    </row>
    <row r="787">
      <c r="A787" t="inlineStr">
        <is>
          <t>Feverfew</t>
        </is>
      </c>
      <c r="B787" t="inlineStr">
        <is>
          <t>Butterbur</t>
        </is>
      </c>
      <c r="C787" t="n">
        <v>50</v>
      </c>
      <c r="E787" t="inlineStr">
        <is>
          <t>unclassified</t>
        </is>
      </c>
      <c r="G787" t="inlineStr">
        <is>
          <t>General</t>
        </is>
      </c>
      <c r="H787" t="inlineStr">
        <is>
          <t>General</t>
        </is>
      </c>
      <c r="I787" t="inlineStr">
        <is>
          <t>Generalist</t>
        </is>
      </c>
      <c r="J787" t="inlineStr">
        <is>
          <t>Generalist</t>
        </is>
      </c>
    </row>
    <row r="788">
      <c r="A788" t="inlineStr">
        <is>
          <t>Feverfew</t>
        </is>
      </c>
      <c r="B788" t="inlineStr">
        <is>
          <t>Calendula</t>
        </is>
      </c>
      <c r="C788" t="n">
        <v>50</v>
      </c>
      <c r="E788" t="inlineStr">
        <is>
          <t>unclassified</t>
        </is>
      </c>
      <c r="G788" t="inlineStr">
        <is>
          <t>General</t>
        </is>
      </c>
      <c r="H788" t="inlineStr">
        <is>
          <t>General</t>
        </is>
      </c>
      <c r="I788" t="inlineStr">
        <is>
          <t>Generalist</t>
        </is>
      </c>
      <c r="J788" t="inlineStr">
        <is>
          <t>Generalist</t>
        </is>
      </c>
    </row>
    <row r="789">
      <c r="A789" t="inlineStr">
        <is>
          <t>Feverfew</t>
        </is>
      </c>
      <c r="B789" t="inlineStr">
        <is>
          <t>Caraway</t>
        </is>
      </c>
      <c r="C789" t="n">
        <v>50</v>
      </c>
      <c r="E789" t="inlineStr">
        <is>
          <t>unclassified</t>
        </is>
      </c>
      <c r="G789" t="inlineStr">
        <is>
          <t>General</t>
        </is>
      </c>
      <c r="H789" t="inlineStr">
        <is>
          <t>General</t>
        </is>
      </c>
      <c r="I789" t="inlineStr">
        <is>
          <t>Generalist</t>
        </is>
      </c>
      <c r="J789" t="inlineStr">
        <is>
          <t>Generalist</t>
        </is>
      </c>
    </row>
    <row r="790">
      <c r="A790" t="inlineStr">
        <is>
          <t>Feverfew</t>
        </is>
      </c>
      <c r="B790" t="inlineStr">
        <is>
          <t>Cardamom</t>
        </is>
      </c>
      <c r="C790" t="n">
        <v>50</v>
      </c>
      <c r="E790" t="inlineStr">
        <is>
          <t>unclassified</t>
        </is>
      </c>
      <c r="G790" t="inlineStr">
        <is>
          <t>General</t>
        </is>
      </c>
      <c r="H790" t="inlineStr">
        <is>
          <t>General</t>
        </is>
      </c>
      <c r="I790" t="inlineStr">
        <is>
          <t>Generalist</t>
        </is>
      </c>
      <c r="J790" t="inlineStr">
        <is>
          <t>Generalist</t>
        </is>
      </c>
    </row>
    <row r="791">
      <c r="A791" t="inlineStr">
        <is>
          <t>Feverfew</t>
        </is>
      </c>
      <c r="B791" t="inlineStr">
        <is>
          <t>Celastrus Paniculatus</t>
        </is>
      </c>
      <c r="C791" t="n">
        <v>50</v>
      </c>
      <c r="E791" t="inlineStr">
        <is>
          <t>unclassified</t>
        </is>
      </c>
      <c r="G791" t="inlineStr">
        <is>
          <t>General</t>
        </is>
      </c>
      <c r="H791" t="inlineStr">
        <is>
          <t>General</t>
        </is>
      </c>
      <c r="I791" t="inlineStr">
        <is>
          <t>Generalist</t>
        </is>
      </c>
      <c r="J791" t="inlineStr">
        <is>
          <t>Generalist</t>
        </is>
      </c>
    </row>
    <row r="792">
      <c r="A792" t="inlineStr">
        <is>
          <t>Feverfew</t>
        </is>
      </c>
      <c r="B792" t="inlineStr">
        <is>
          <t>Cinnamon</t>
        </is>
      </c>
      <c r="C792" t="n">
        <v>50</v>
      </c>
      <c r="E792" t="inlineStr">
        <is>
          <t>unclassified</t>
        </is>
      </c>
      <c r="G792" t="inlineStr">
        <is>
          <t>General</t>
        </is>
      </c>
      <c r="H792" t="inlineStr">
        <is>
          <t>General</t>
        </is>
      </c>
      <c r="I792" t="inlineStr">
        <is>
          <t>Generalist</t>
        </is>
      </c>
      <c r="J792" t="inlineStr">
        <is>
          <t>Generalist</t>
        </is>
      </c>
    </row>
    <row r="793">
      <c r="A793" t="inlineStr">
        <is>
          <t>Feverfew</t>
        </is>
      </c>
      <c r="B793" t="inlineStr">
        <is>
          <t>Cistanche</t>
        </is>
      </c>
      <c r="C793" t="n">
        <v>50</v>
      </c>
      <c r="E793" t="inlineStr">
        <is>
          <t>unclassified</t>
        </is>
      </c>
      <c r="G793" t="inlineStr">
        <is>
          <t>General</t>
        </is>
      </c>
      <c r="H793" t="inlineStr">
        <is>
          <t>General</t>
        </is>
      </c>
      <c r="I793" t="inlineStr">
        <is>
          <t>Generalist</t>
        </is>
      </c>
      <c r="J793" t="inlineStr">
        <is>
          <t>Generalist</t>
        </is>
      </c>
    </row>
    <row r="794">
      <c r="A794" t="inlineStr">
        <is>
          <t>Feverfew</t>
        </is>
      </c>
      <c r="B794" t="inlineStr">
        <is>
          <t>Cordyceps</t>
        </is>
      </c>
      <c r="C794" t="n">
        <v>50</v>
      </c>
      <c r="E794" t="inlineStr">
        <is>
          <t>unclassified</t>
        </is>
      </c>
      <c r="G794" t="inlineStr">
        <is>
          <t>General</t>
        </is>
      </c>
      <c r="H794" t="inlineStr">
        <is>
          <t>General</t>
        </is>
      </c>
      <c r="I794" t="inlineStr">
        <is>
          <t>Generalist</t>
        </is>
      </c>
      <c r="J794" t="inlineStr">
        <is>
          <t>Generalist</t>
        </is>
      </c>
    </row>
    <row r="795">
      <c r="A795" t="inlineStr">
        <is>
          <t>Feverfew</t>
        </is>
      </c>
      <c r="B795" t="inlineStr">
        <is>
          <t>Dandelion</t>
        </is>
      </c>
      <c r="C795" t="n">
        <v>50</v>
      </c>
      <c r="E795" t="inlineStr">
        <is>
          <t>unclassified</t>
        </is>
      </c>
      <c r="G795" t="inlineStr">
        <is>
          <t>General</t>
        </is>
      </c>
      <c r="H795" t="inlineStr">
        <is>
          <t>General</t>
        </is>
      </c>
      <c r="I795" t="inlineStr">
        <is>
          <t>Generalist</t>
        </is>
      </c>
      <c r="J795" t="inlineStr">
        <is>
          <t>Generalist</t>
        </is>
      </c>
    </row>
    <row r="796">
      <c r="A796" t="inlineStr">
        <is>
          <t>Feverfew</t>
        </is>
      </c>
      <c r="B796" t="inlineStr">
        <is>
          <t>Dendrobium</t>
        </is>
      </c>
      <c r="C796" t="n">
        <v>50</v>
      </c>
      <c r="E796" t="inlineStr">
        <is>
          <t>unclassified</t>
        </is>
      </c>
      <c r="G796" t="inlineStr">
        <is>
          <t>General</t>
        </is>
      </c>
      <c r="H796" t="inlineStr">
        <is>
          <t>General</t>
        </is>
      </c>
      <c r="I796" t="inlineStr">
        <is>
          <t>Generalist</t>
        </is>
      </c>
      <c r="J796" t="inlineStr">
        <is>
          <t>Generalist</t>
        </is>
      </c>
    </row>
    <row r="797">
      <c r="A797" t="inlineStr">
        <is>
          <t>Feverfew</t>
        </is>
      </c>
      <c r="B797" t="inlineStr">
        <is>
          <t>Dong Quai</t>
        </is>
      </c>
      <c r="C797" t="n">
        <v>50</v>
      </c>
      <c r="E797" t="inlineStr">
        <is>
          <t>unclassified</t>
        </is>
      </c>
      <c r="G797" t="inlineStr">
        <is>
          <t>General</t>
        </is>
      </c>
      <c r="H797" t="inlineStr">
        <is>
          <t>General</t>
        </is>
      </c>
      <c r="I797" t="inlineStr">
        <is>
          <t>Generalist</t>
        </is>
      </c>
      <c r="J797" t="inlineStr">
        <is>
          <t>Generalist</t>
        </is>
      </c>
    </row>
    <row r="798">
      <c r="A798" t="inlineStr">
        <is>
          <t>Feverfew</t>
        </is>
      </c>
      <c r="B798" t="inlineStr">
        <is>
          <t>Elecampane</t>
        </is>
      </c>
      <c r="C798" t="n">
        <v>50</v>
      </c>
      <c r="E798" t="inlineStr">
        <is>
          <t>unclassified</t>
        </is>
      </c>
      <c r="G798" t="inlineStr">
        <is>
          <t>General</t>
        </is>
      </c>
      <c r="H798" t="inlineStr">
        <is>
          <t>General</t>
        </is>
      </c>
      <c r="I798" t="inlineStr">
        <is>
          <t>Generalist</t>
        </is>
      </c>
      <c r="J798" t="inlineStr">
        <is>
          <t>Generalist</t>
        </is>
      </c>
    </row>
    <row r="799">
      <c r="A799" t="inlineStr">
        <is>
          <t>Feverfew</t>
        </is>
      </c>
      <c r="B799" t="inlineStr">
        <is>
          <t>Eleuthero</t>
        </is>
      </c>
      <c r="C799" t="n">
        <v>50</v>
      </c>
      <c r="E799" t="inlineStr">
        <is>
          <t>unclassified</t>
        </is>
      </c>
      <c r="G799" t="inlineStr">
        <is>
          <t>General</t>
        </is>
      </c>
      <c r="H799" t="inlineStr">
        <is>
          <t>General</t>
        </is>
      </c>
      <c r="I799" t="inlineStr">
        <is>
          <t>Generalist</t>
        </is>
      </c>
      <c r="J799" t="inlineStr">
        <is>
          <t>Generalist</t>
        </is>
      </c>
    </row>
    <row r="800">
      <c r="A800" t="inlineStr">
        <is>
          <t>Feverfew</t>
        </is>
      </c>
      <c r="B800" t="inlineStr">
        <is>
          <t>Fennel</t>
        </is>
      </c>
      <c r="C800" t="n">
        <v>50</v>
      </c>
      <c r="E800" t="inlineStr">
        <is>
          <t>unclassified</t>
        </is>
      </c>
      <c r="G800" t="inlineStr">
        <is>
          <t>General</t>
        </is>
      </c>
      <c r="H800" t="inlineStr">
        <is>
          <t>General</t>
        </is>
      </c>
      <c r="I800" t="inlineStr">
        <is>
          <t>Generalist</t>
        </is>
      </c>
      <c r="J800" t="inlineStr">
        <is>
          <t>Generalist</t>
        </is>
      </c>
    </row>
    <row r="801">
      <c r="A801" t="inlineStr">
        <is>
          <t>Feverfew</t>
        </is>
      </c>
      <c r="B801" t="inlineStr">
        <is>
          <t>Galangal</t>
        </is>
      </c>
      <c r="C801" t="n">
        <v>50</v>
      </c>
      <c r="E801" t="inlineStr">
        <is>
          <t>unclassified</t>
        </is>
      </c>
      <c r="G801" t="inlineStr">
        <is>
          <t>General</t>
        </is>
      </c>
      <c r="H801" t="inlineStr">
        <is>
          <t>General</t>
        </is>
      </c>
      <c r="I801" t="inlineStr">
        <is>
          <t>Generalist</t>
        </is>
      </c>
      <c r="J801" t="inlineStr">
        <is>
          <t>Generalist</t>
        </is>
      </c>
    </row>
    <row r="802">
      <c r="A802" t="inlineStr">
        <is>
          <t>Feverfew</t>
        </is>
      </c>
      <c r="B802" t="inlineStr">
        <is>
          <t>Gastrodia</t>
        </is>
      </c>
      <c r="C802" t="n">
        <v>50</v>
      </c>
      <c r="E802" t="inlineStr">
        <is>
          <t>unclassified</t>
        </is>
      </c>
      <c r="G802" t="inlineStr">
        <is>
          <t>General</t>
        </is>
      </c>
      <c r="H802" t="inlineStr">
        <is>
          <t>General</t>
        </is>
      </c>
      <c r="I802" t="inlineStr">
        <is>
          <t>Generalist</t>
        </is>
      </c>
      <c r="J802" t="inlineStr">
        <is>
          <t>Generalist</t>
        </is>
      </c>
    </row>
    <row r="803">
      <c r="A803" t="inlineStr">
        <is>
          <t>Feverfew</t>
        </is>
      </c>
      <c r="B803" t="inlineStr">
        <is>
          <t>Gudmar</t>
        </is>
      </c>
      <c r="C803" t="n">
        <v>50</v>
      </c>
      <c r="E803" t="inlineStr">
        <is>
          <t>unclassified</t>
        </is>
      </c>
      <c r="G803" t="inlineStr">
        <is>
          <t>General</t>
        </is>
      </c>
      <c r="H803" t="inlineStr">
        <is>
          <t>General</t>
        </is>
      </c>
      <c r="I803" t="inlineStr">
        <is>
          <t>Generalist</t>
        </is>
      </c>
      <c r="J803" t="inlineStr">
        <is>
          <t>Generalist</t>
        </is>
      </c>
    </row>
    <row r="804">
      <c r="A804" t="inlineStr">
        <is>
          <t>Feverfew</t>
        </is>
      </c>
      <c r="B804" t="inlineStr">
        <is>
          <t>Gymnema</t>
        </is>
      </c>
      <c r="C804" t="n">
        <v>50</v>
      </c>
      <c r="E804" t="inlineStr">
        <is>
          <t>unclassified</t>
        </is>
      </c>
      <c r="G804" t="inlineStr">
        <is>
          <t>General</t>
        </is>
      </c>
      <c r="H804" t="inlineStr">
        <is>
          <t>General</t>
        </is>
      </c>
      <c r="I804" t="inlineStr">
        <is>
          <t>Generalist</t>
        </is>
      </c>
      <c r="J804" t="inlineStr">
        <is>
          <t>Generalist</t>
        </is>
      </c>
    </row>
    <row r="805">
      <c r="A805" t="inlineStr">
        <is>
          <t>Feverfew</t>
        </is>
      </c>
      <c r="B805" t="inlineStr">
        <is>
          <t>Hops</t>
        </is>
      </c>
      <c r="C805" t="n">
        <v>50</v>
      </c>
      <c r="E805" t="inlineStr">
        <is>
          <t>unclassified</t>
        </is>
      </c>
      <c r="G805" t="inlineStr">
        <is>
          <t>General</t>
        </is>
      </c>
      <c r="H805" t="inlineStr">
        <is>
          <t>General</t>
        </is>
      </c>
      <c r="I805" t="inlineStr">
        <is>
          <t>Generalist</t>
        </is>
      </c>
      <c r="J805" t="inlineStr">
        <is>
          <t>Generalist</t>
        </is>
      </c>
    </row>
    <row r="806">
      <c r="A806" t="inlineStr">
        <is>
          <t>Feverfew</t>
        </is>
      </c>
      <c r="B806" t="inlineStr">
        <is>
          <t>Houttuynia</t>
        </is>
      </c>
      <c r="C806" t="n">
        <v>50</v>
      </c>
      <c r="E806" t="inlineStr">
        <is>
          <t>unclassified</t>
        </is>
      </c>
      <c r="G806" t="inlineStr">
        <is>
          <t>General</t>
        </is>
      </c>
      <c r="H806" t="inlineStr">
        <is>
          <t>General</t>
        </is>
      </c>
      <c r="I806" t="inlineStr">
        <is>
          <t>Generalist</t>
        </is>
      </c>
      <c r="J806" t="inlineStr">
        <is>
          <t>Generalist</t>
        </is>
      </c>
    </row>
    <row r="807">
      <c r="A807" t="inlineStr">
        <is>
          <t>Feverfew</t>
        </is>
      </c>
      <c r="B807" t="inlineStr">
        <is>
          <t>Isatis</t>
        </is>
      </c>
      <c r="C807" t="n">
        <v>50</v>
      </c>
      <c r="E807" t="inlineStr">
        <is>
          <t>unclassified</t>
        </is>
      </c>
      <c r="G807" t="inlineStr">
        <is>
          <t>General</t>
        </is>
      </c>
      <c r="H807" t="inlineStr">
        <is>
          <t>General</t>
        </is>
      </c>
      <c r="I807" t="inlineStr">
        <is>
          <t>Generalist</t>
        </is>
      </c>
      <c r="J807" t="inlineStr">
        <is>
          <t>Generalist</t>
        </is>
      </c>
    </row>
    <row r="808">
      <c r="A808" t="inlineStr">
        <is>
          <t>Feverfew</t>
        </is>
      </c>
      <c r="B808" t="inlineStr">
        <is>
          <t>Jatamansi</t>
        </is>
      </c>
      <c r="C808" t="n">
        <v>50</v>
      </c>
      <c r="E808" t="inlineStr">
        <is>
          <t>unclassified</t>
        </is>
      </c>
      <c r="G808" t="inlineStr">
        <is>
          <t>General</t>
        </is>
      </c>
      <c r="H808" t="inlineStr">
        <is>
          <t>General</t>
        </is>
      </c>
      <c r="I808" t="inlineStr">
        <is>
          <t>Generalist</t>
        </is>
      </c>
      <c r="J808" t="inlineStr">
        <is>
          <t>Generalist</t>
        </is>
      </c>
    </row>
    <row r="809">
      <c r="A809" t="inlineStr">
        <is>
          <t>Feverfew</t>
        </is>
      </c>
      <c r="B809" t="inlineStr">
        <is>
          <t>Lemon Verbena</t>
        </is>
      </c>
      <c r="C809" t="n">
        <v>50</v>
      </c>
      <c r="E809" t="inlineStr">
        <is>
          <t>unclassified</t>
        </is>
      </c>
      <c r="G809" t="inlineStr">
        <is>
          <t>General</t>
        </is>
      </c>
      <c r="H809" t="inlineStr">
        <is>
          <t>General</t>
        </is>
      </c>
      <c r="I809" t="inlineStr">
        <is>
          <t>Generalist</t>
        </is>
      </c>
      <c r="J809" t="inlineStr">
        <is>
          <t>Generalist</t>
        </is>
      </c>
    </row>
    <row r="810">
      <c r="A810" t="inlineStr">
        <is>
          <t>Feverfew</t>
        </is>
      </c>
      <c r="B810" t="inlineStr">
        <is>
          <t>Lemongrass</t>
        </is>
      </c>
      <c r="C810" t="n">
        <v>50</v>
      </c>
      <c r="E810" t="inlineStr">
        <is>
          <t>unclassified</t>
        </is>
      </c>
      <c r="G810" t="inlineStr">
        <is>
          <t>General</t>
        </is>
      </c>
      <c r="H810" t="inlineStr">
        <is>
          <t>General</t>
        </is>
      </c>
      <c r="I810" t="inlineStr">
        <is>
          <t>Generalist</t>
        </is>
      </c>
      <c r="J810" t="inlineStr">
        <is>
          <t>Generalist</t>
        </is>
      </c>
    </row>
    <row r="811">
      <c r="A811" t="inlineStr">
        <is>
          <t>Feverfew</t>
        </is>
      </c>
      <c r="B811" t="inlineStr">
        <is>
          <t>Longan</t>
        </is>
      </c>
      <c r="C811" t="n">
        <v>50</v>
      </c>
      <c r="E811" t="inlineStr">
        <is>
          <t>unclassified</t>
        </is>
      </c>
      <c r="G811" t="inlineStr">
        <is>
          <t>General</t>
        </is>
      </c>
      <c r="H811" t="inlineStr">
        <is>
          <t>General</t>
        </is>
      </c>
      <c r="I811" t="inlineStr">
        <is>
          <t>Generalist</t>
        </is>
      </c>
      <c r="J811" t="inlineStr">
        <is>
          <t>Generalist</t>
        </is>
      </c>
    </row>
    <row r="812">
      <c r="A812" t="inlineStr">
        <is>
          <t>Feverfew</t>
        </is>
      </c>
      <c r="B812" t="inlineStr">
        <is>
          <t>Maitake D-Fraction</t>
        </is>
      </c>
      <c r="C812" t="n">
        <v>50</v>
      </c>
      <c r="E812" t="inlineStr">
        <is>
          <t>unclassified</t>
        </is>
      </c>
      <c r="G812" t="inlineStr">
        <is>
          <t>General</t>
        </is>
      </c>
      <c r="H812" t="inlineStr">
        <is>
          <t>General</t>
        </is>
      </c>
      <c r="I812" t="inlineStr">
        <is>
          <t>Generalist</t>
        </is>
      </c>
      <c r="J812" t="inlineStr">
        <is>
          <t>Generalist</t>
        </is>
      </c>
    </row>
    <row r="813">
      <c r="A813" t="inlineStr">
        <is>
          <t>Feverfew</t>
        </is>
      </c>
      <c r="B813" t="inlineStr">
        <is>
          <t>Milk Oats</t>
        </is>
      </c>
      <c r="C813" t="n">
        <v>50</v>
      </c>
      <c r="E813" t="inlineStr">
        <is>
          <t>unclassified</t>
        </is>
      </c>
      <c r="G813" t="inlineStr">
        <is>
          <t>General</t>
        </is>
      </c>
      <c r="H813" t="inlineStr">
        <is>
          <t>General</t>
        </is>
      </c>
      <c r="I813" t="inlineStr">
        <is>
          <t>Generalist</t>
        </is>
      </c>
      <c r="J813" t="inlineStr">
        <is>
          <t>Generalist</t>
        </is>
      </c>
    </row>
    <row r="814">
      <c r="A814" t="inlineStr">
        <is>
          <t>Feverfew</t>
        </is>
      </c>
      <c r="B814" t="inlineStr">
        <is>
          <t>Mugwort</t>
        </is>
      </c>
      <c r="C814" t="n">
        <v>50</v>
      </c>
      <c r="E814" t="inlineStr">
        <is>
          <t>unclassified</t>
        </is>
      </c>
      <c r="G814" t="inlineStr">
        <is>
          <t>General</t>
        </is>
      </c>
      <c r="H814" t="inlineStr">
        <is>
          <t>General</t>
        </is>
      </c>
      <c r="I814" t="inlineStr">
        <is>
          <t>Generalist</t>
        </is>
      </c>
      <c r="J814" t="inlineStr">
        <is>
          <t>Generalist</t>
        </is>
      </c>
    </row>
    <row r="815">
      <c r="A815" t="inlineStr">
        <is>
          <t>Feverfew</t>
        </is>
      </c>
      <c r="B815" t="inlineStr">
        <is>
          <t>Muira Puama</t>
        </is>
      </c>
      <c r="C815" t="n">
        <v>50</v>
      </c>
      <c r="E815" t="inlineStr">
        <is>
          <t>unclassified</t>
        </is>
      </c>
      <c r="G815" t="inlineStr">
        <is>
          <t>General</t>
        </is>
      </c>
      <c r="H815" t="inlineStr">
        <is>
          <t>General</t>
        </is>
      </c>
      <c r="I815" t="inlineStr">
        <is>
          <t>Generalist</t>
        </is>
      </c>
      <c r="J815" t="inlineStr">
        <is>
          <t>Generalist</t>
        </is>
      </c>
    </row>
    <row r="816">
      <c r="A816" t="inlineStr">
        <is>
          <t>Feverfew</t>
        </is>
      </c>
      <c r="B816" t="inlineStr">
        <is>
          <t>Mulberry Leaf</t>
        </is>
      </c>
      <c r="C816" t="n">
        <v>50</v>
      </c>
      <c r="E816" t="inlineStr">
        <is>
          <t>unclassified</t>
        </is>
      </c>
      <c r="G816" t="inlineStr">
        <is>
          <t>General</t>
        </is>
      </c>
      <c r="H816" t="inlineStr">
        <is>
          <t>General</t>
        </is>
      </c>
      <c r="I816" t="inlineStr">
        <is>
          <t>Generalist</t>
        </is>
      </c>
      <c r="J816" t="inlineStr">
        <is>
          <t>Generalist</t>
        </is>
      </c>
    </row>
    <row r="817">
      <c r="A817" t="inlineStr">
        <is>
          <t>Feverfew</t>
        </is>
      </c>
      <c r="B817" t="inlineStr">
        <is>
          <t>Myrtle</t>
        </is>
      </c>
      <c r="C817" t="n">
        <v>50</v>
      </c>
      <c r="E817" t="inlineStr">
        <is>
          <t>unclassified</t>
        </is>
      </c>
      <c r="G817" t="inlineStr">
        <is>
          <t>General</t>
        </is>
      </c>
      <c r="H817" t="inlineStr">
        <is>
          <t>General</t>
        </is>
      </c>
      <c r="I817" t="inlineStr">
        <is>
          <t>Generalist</t>
        </is>
      </c>
      <c r="J817" t="inlineStr">
        <is>
          <t>Generalist</t>
        </is>
      </c>
    </row>
    <row r="818">
      <c r="A818" t="inlineStr">
        <is>
          <t>Feverfew</t>
        </is>
      </c>
      <c r="B818" t="inlineStr">
        <is>
          <t>Neem</t>
        </is>
      </c>
      <c r="C818" t="n">
        <v>50</v>
      </c>
      <c r="E818" t="inlineStr">
        <is>
          <t>unclassified</t>
        </is>
      </c>
      <c r="G818" t="inlineStr">
        <is>
          <t>General</t>
        </is>
      </c>
      <c r="H818" t="inlineStr">
        <is>
          <t>General</t>
        </is>
      </c>
      <c r="I818" t="inlineStr">
        <is>
          <t>Generalist</t>
        </is>
      </c>
      <c r="J818" t="inlineStr">
        <is>
          <t>Generalist</t>
        </is>
      </c>
    </row>
    <row r="819">
      <c r="A819" t="inlineStr">
        <is>
          <t>Feverfew</t>
        </is>
      </c>
      <c r="B819" t="inlineStr">
        <is>
          <t>Nettle Root</t>
        </is>
      </c>
      <c r="C819" t="n">
        <v>50</v>
      </c>
      <c r="E819" t="inlineStr">
        <is>
          <t>unclassified</t>
        </is>
      </c>
      <c r="G819" t="inlineStr">
        <is>
          <t>General</t>
        </is>
      </c>
      <c r="H819" t="inlineStr">
        <is>
          <t>General</t>
        </is>
      </c>
      <c r="I819" t="inlineStr">
        <is>
          <t>Generalist</t>
        </is>
      </c>
      <c r="J819" t="inlineStr">
        <is>
          <t>Generalist</t>
        </is>
      </c>
    </row>
    <row r="820">
      <c r="A820" t="inlineStr">
        <is>
          <t>Feverfew</t>
        </is>
      </c>
      <c r="B820" t="inlineStr">
        <is>
          <t>Noni</t>
        </is>
      </c>
      <c r="C820" t="n">
        <v>50</v>
      </c>
      <c r="E820" t="inlineStr">
        <is>
          <t>unclassified</t>
        </is>
      </c>
      <c r="G820" t="inlineStr">
        <is>
          <t>General</t>
        </is>
      </c>
      <c r="H820" t="inlineStr">
        <is>
          <t>General</t>
        </is>
      </c>
      <c r="I820" t="inlineStr">
        <is>
          <t>Generalist</t>
        </is>
      </c>
      <c r="J820" t="inlineStr">
        <is>
          <t>Generalist</t>
        </is>
      </c>
    </row>
    <row r="821">
      <c r="A821" t="inlineStr">
        <is>
          <t>Feverfew</t>
        </is>
      </c>
      <c r="B821" t="inlineStr">
        <is>
          <t>Oatstraw</t>
        </is>
      </c>
      <c r="C821" t="n">
        <v>50</v>
      </c>
      <c r="E821" t="inlineStr">
        <is>
          <t>unclassified</t>
        </is>
      </c>
      <c r="G821" t="inlineStr">
        <is>
          <t>General</t>
        </is>
      </c>
      <c r="H821" t="inlineStr">
        <is>
          <t>General</t>
        </is>
      </c>
      <c r="I821" t="inlineStr">
        <is>
          <t>Generalist</t>
        </is>
      </c>
      <c r="J821" t="inlineStr">
        <is>
          <t>Generalist</t>
        </is>
      </c>
    </row>
    <row r="822">
      <c r="A822" t="inlineStr">
        <is>
          <t>Feverfew</t>
        </is>
      </c>
      <c r="B822" t="inlineStr">
        <is>
          <t>Passionflower</t>
        </is>
      </c>
      <c r="C822" t="n">
        <v>50</v>
      </c>
      <c r="E822" t="inlineStr">
        <is>
          <t>unclassified</t>
        </is>
      </c>
      <c r="G822" t="inlineStr">
        <is>
          <t>General</t>
        </is>
      </c>
      <c r="H822" t="inlineStr">
        <is>
          <t>General</t>
        </is>
      </c>
      <c r="I822" t="inlineStr">
        <is>
          <t>Generalist</t>
        </is>
      </c>
      <c r="J822" t="inlineStr">
        <is>
          <t>Generalist</t>
        </is>
      </c>
    </row>
    <row r="823">
      <c r="A823" t="inlineStr">
        <is>
          <t>Feverfew</t>
        </is>
      </c>
      <c r="B823" t="inlineStr">
        <is>
          <t>Pau d'Arco</t>
        </is>
      </c>
      <c r="C823" t="n">
        <v>50</v>
      </c>
      <c r="E823" t="inlineStr">
        <is>
          <t>unclassified</t>
        </is>
      </c>
      <c r="G823" t="inlineStr">
        <is>
          <t>General</t>
        </is>
      </c>
      <c r="H823" t="inlineStr">
        <is>
          <t>General</t>
        </is>
      </c>
      <c r="I823" t="inlineStr">
        <is>
          <t>Generalist</t>
        </is>
      </c>
      <c r="J823" t="inlineStr">
        <is>
          <t>Generalist</t>
        </is>
      </c>
    </row>
    <row r="824">
      <c r="A824" t="inlineStr">
        <is>
          <t>Feverfew</t>
        </is>
      </c>
      <c r="B824" t="inlineStr">
        <is>
          <t>Perilla</t>
        </is>
      </c>
      <c r="C824" t="n">
        <v>50</v>
      </c>
      <c r="E824" t="inlineStr">
        <is>
          <t>unclassified</t>
        </is>
      </c>
      <c r="G824" t="inlineStr">
        <is>
          <t>General</t>
        </is>
      </c>
      <c r="H824" t="inlineStr">
        <is>
          <t>General</t>
        </is>
      </c>
      <c r="I824" t="inlineStr">
        <is>
          <t>Generalist</t>
        </is>
      </c>
      <c r="J824" t="inlineStr">
        <is>
          <t>Generalist</t>
        </is>
      </c>
    </row>
    <row r="825">
      <c r="A825" t="inlineStr">
        <is>
          <t>Feverfew</t>
        </is>
      </c>
      <c r="B825" t="inlineStr">
        <is>
          <t>Pomegranate</t>
        </is>
      </c>
      <c r="C825" t="n">
        <v>50</v>
      </c>
      <c r="E825" t="inlineStr">
        <is>
          <t>unclassified</t>
        </is>
      </c>
      <c r="G825" t="inlineStr">
        <is>
          <t>General</t>
        </is>
      </c>
      <c r="H825" t="inlineStr">
        <is>
          <t>General</t>
        </is>
      </c>
      <c r="I825" t="inlineStr">
        <is>
          <t>Generalist</t>
        </is>
      </c>
      <c r="J825" t="inlineStr">
        <is>
          <t>Generalist</t>
        </is>
      </c>
    </row>
    <row r="826">
      <c r="A826" t="inlineStr">
        <is>
          <t>Feverfew</t>
        </is>
      </c>
      <c r="B826" t="inlineStr">
        <is>
          <t>Poria</t>
        </is>
      </c>
      <c r="C826" t="n">
        <v>50</v>
      </c>
      <c r="E826" t="inlineStr">
        <is>
          <t>unclassified</t>
        </is>
      </c>
      <c r="G826" t="inlineStr">
        <is>
          <t>General</t>
        </is>
      </c>
      <c r="H826" t="inlineStr">
        <is>
          <t>General</t>
        </is>
      </c>
      <c r="I826" t="inlineStr">
        <is>
          <t>Generalist</t>
        </is>
      </c>
      <c r="J826" t="inlineStr">
        <is>
          <t>Generalist</t>
        </is>
      </c>
    </row>
    <row r="827">
      <c r="A827" t="inlineStr">
        <is>
          <t>Feverfew</t>
        </is>
      </c>
      <c r="B827" t="inlineStr">
        <is>
          <t>Punarnava</t>
        </is>
      </c>
      <c r="C827" t="n">
        <v>50</v>
      </c>
      <c r="E827" t="inlineStr">
        <is>
          <t>unclassified</t>
        </is>
      </c>
      <c r="G827" t="inlineStr">
        <is>
          <t>General</t>
        </is>
      </c>
      <c r="H827" t="inlineStr">
        <is>
          <t>General</t>
        </is>
      </c>
      <c r="I827" t="inlineStr">
        <is>
          <t>Generalist</t>
        </is>
      </c>
      <c r="J827" t="inlineStr">
        <is>
          <t>Generalist</t>
        </is>
      </c>
    </row>
    <row r="828">
      <c r="A828" t="inlineStr">
        <is>
          <t>Feverfew</t>
        </is>
      </c>
      <c r="B828" t="inlineStr">
        <is>
          <t>Red Clover</t>
        </is>
      </c>
      <c r="C828" t="n">
        <v>50</v>
      </c>
      <c r="E828" t="inlineStr">
        <is>
          <t>unclassified</t>
        </is>
      </c>
      <c r="G828" t="inlineStr">
        <is>
          <t>General</t>
        </is>
      </c>
      <c r="H828" t="inlineStr">
        <is>
          <t>General</t>
        </is>
      </c>
      <c r="I828" t="inlineStr">
        <is>
          <t>Generalist</t>
        </is>
      </c>
      <c r="J828" t="inlineStr">
        <is>
          <t>Generalist</t>
        </is>
      </c>
    </row>
    <row r="829">
      <c r="A829" t="inlineStr">
        <is>
          <t>Feverfew</t>
        </is>
      </c>
      <c r="B829" t="inlineStr">
        <is>
          <t>Rehmannia Prepared</t>
        </is>
      </c>
      <c r="C829" t="n">
        <v>50</v>
      </c>
      <c r="E829" t="inlineStr">
        <is>
          <t>unclassified</t>
        </is>
      </c>
      <c r="G829" t="inlineStr">
        <is>
          <t>General</t>
        </is>
      </c>
      <c r="H829" t="inlineStr">
        <is>
          <t>General</t>
        </is>
      </c>
      <c r="I829" t="inlineStr">
        <is>
          <t>Generalist</t>
        </is>
      </c>
      <c r="J829" t="inlineStr">
        <is>
          <t>Generalist</t>
        </is>
      </c>
    </row>
    <row r="830">
      <c r="A830" t="inlineStr">
        <is>
          <t>Feverfew</t>
        </is>
      </c>
      <c r="B830" t="inlineStr">
        <is>
          <t>Reishi</t>
        </is>
      </c>
      <c r="C830" t="n">
        <v>50</v>
      </c>
      <c r="E830" t="inlineStr">
        <is>
          <t>unclassified</t>
        </is>
      </c>
      <c r="G830" t="inlineStr">
        <is>
          <t>General</t>
        </is>
      </c>
      <c r="H830" t="inlineStr">
        <is>
          <t>General</t>
        </is>
      </c>
      <c r="I830" t="inlineStr">
        <is>
          <t>Generalist</t>
        </is>
      </c>
      <c r="J830" t="inlineStr">
        <is>
          <t>Generalist</t>
        </is>
      </c>
    </row>
    <row r="831">
      <c r="A831" t="inlineStr">
        <is>
          <t>Feverfew</t>
        </is>
      </c>
      <c r="B831" t="inlineStr">
        <is>
          <t>Rose Hips</t>
        </is>
      </c>
      <c r="C831" t="n">
        <v>50</v>
      </c>
      <c r="E831" t="inlineStr">
        <is>
          <t>unclassified</t>
        </is>
      </c>
      <c r="G831" t="inlineStr">
        <is>
          <t>General</t>
        </is>
      </c>
      <c r="H831" t="inlineStr">
        <is>
          <t>General</t>
        </is>
      </c>
      <c r="I831" t="inlineStr">
        <is>
          <t>Generalist</t>
        </is>
      </c>
      <c r="J831" t="inlineStr">
        <is>
          <t>Generalist</t>
        </is>
      </c>
    </row>
    <row r="832">
      <c r="A832" t="inlineStr">
        <is>
          <t>Feverfew</t>
        </is>
      </c>
      <c r="B832" t="inlineStr">
        <is>
          <t>Rosemary</t>
        </is>
      </c>
      <c r="C832" t="n">
        <v>50</v>
      </c>
      <c r="E832" t="inlineStr">
        <is>
          <t>unclassified</t>
        </is>
      </c>
      <c r="G832" t="inlineStr">
        <is>
          <t>General</t>
        </is>
      </c>
      <c r="H832" t="inlineStr">
        <is>
          <t>General</t>
        </is>
      </c>
      <c r="I832" t="inlineStr">
        <is>
          <t>Generalist</t>
        </is>
      </c>
      <c r="J832" t="inlineStr">
        <is>
          <t>Generalist</t>
        </is>
      </c>
    </row>
    <row r="833">
      <c r="A833" t="inlineStr">
        <is>
          <t>Feverfew</t>
        </is>
      </c>
      <c r="B833" t="inlineStr">
        <is>
          <t>Sage</t>
        </is>
      </c>
      <c r="C833" t="n">
        <v>50</v>
      </c>
      <c r="E833" t="inlineStr">
        <is>
          <t>unclassified</t>
        </is>
      </c>
      <c r="G833" t="inlineStr">
        <is>
          <t>General</t>
        </is>
      </c>
      <c r="H833" t="inlineStr">
        <is>
          <t>General</t>
        </is>
      </c>
      <c r="I833" t="inlineStr">
        <is>
          <t>Generalist</t>
        </is>
      </c>
      <c r="J833" t="inlineStr">
        <is>
          <t>Generalist</t>
        </is>
      </c>
    </row>
    <row r="834">
      <c r="A834" t="inlineStr">
        <is>
          <t>Feverfew</t>
        </is>
      </c>
      <c r="B834" t="inlineStr">
        <is>
          <t>Sophora Flavescens</t>
        </is>
      </c>
      <c r="C834" t="n">
        <v>50</v>
      </c>
      <c r="E834" t="inlineStr">
        <is>
          <t>unclassified</t>
        </is>
      </c>
      <c r="G834" t="inlineStr">
        <is>
          <t>General</t>
        </is>
      </c>
      <c r="H834" t="inlineStr">
        <is>
          <t>General</t>
        </is>
      </c>
      <c r="I834" t="inlineStr">
        <is>
          <t>Generalist</t>
        </is>
      </c>
      <c r="J834" t="inlineStr">
        <is>
          <t>Generalist</t>
        </is>
      </c>
    </row>
    <row r="835">
      <c r="A835" t="inlineStr">
        <is>
          <t>Feverfew</t>
        </is>
      </c>
      <c r="B835" t="inlineStr">
        <is>
          <t>Soursop</t>
        </is>
      </c>
      <c r="C835" t="n">
        <v>50</v>
      </c>
      <c r="E835" t="inlineStr">
        <is>
          <t>unclassified</t>
        </is>
      </c>
      <c r="G835" t="inlineStr">
        <is>
          <t>General</t>
        </is>
      </c>
      <c r="H835" t="inlineStr">
        <is>
          <t>General</t>
        </is>
      </c>
      <c r="I835" t="inlineStr">
        <is>
          <t>Generalist</t>
        </is>
      </c>
      <c r="J835" t="inlineStr">
        <is>
          <t>Generalist</t>
        </is>
      </c>
    </row>
    <row r="836">
      <c r="A836" t="inlineStr">
        <is>
          <t>Feverfew</t>
        </is>
      </c>
      <c r="B836" t="inlineStr">
        <is>
          <t>Tamarind</t>
        </is>
      </c>
      <c r="C836" t="n">
        <v>50</v>
      </c>
      <c r="E836" t="inlineStr">
        <is>
          <t>unclassified</t>
        </is>
      </c>
      <c r="G836" t="inlineStr">
        <is>
          <t>General</t>
        </is>
      </c>
      <c r="H836" t="inlineStr">
        <is>
          <t>General</t>
        </is>
      </c>
      <c r="I836" t="inlineStr">
        <is>
          <t>Generalist</t>
        </is>
      </c>
      <c r="J836" t="inlineStr">
        <is>
          <t>Generalist</t>
        </is>
      </c>
    </row>
    <row r="837">
      <c r="A837" t="inlineStr">
        <is>
          <t>Feverfew</t>
        </is>
      </c>
      <c r="B837" t="inlineStr">
        <is>
          <t>Thyme</t>
        </is>
      </c>
      <c r="C837" t="n">
        <v>50</v>
      </c>
      <c r="E837" t="inlineStr">
        <is>
          <t>unclassified</t>
        </is>
      </c>
      <c r="G837" t="inlineStr">
        <is>
          <t>General</t>
        </is>
      </c>
      <c r="H837" t="inlineStr">
        <is>
          <t>General</t>
        </is>
      </c>
      <c r="I837" t="inlineStr">
        <is>
          <t>Generalist</t>
        </is>
      </c>
      <c r="J837" t="inlineStr">
        <is>
          <t>Generalist</t>
        </is>
      </c>
    </row>
    <row r="838">
      <c r="A838" t="inlineStr">
        <is>
          <t>Feverfew</t>
        </is>
      </c>
      <c r="B838" t="inlineStr">
        <is>
          <t>White Peony</t>
        </is>
      </c>
      <c r="C838" t="n">
        <v>50</v>
      </c>
      <c r="E838" t="inlineStr">
        <is>
          <t>unclassified</t>
        </is>
      </c>
      <c r="G838" t="inlineStr">
        <is>
          <t>General</t>
        </is>
      </c>
      <c r="H838" t="inlineStr">
        <is>
          <t>General</t>
        </is>
      </c>
      <c r="I838" t="inlineStr">
        <is>
          <t>Generalist</t>
        </is>
      </c>
      <c r="J838" t="inlineStr">
        <is>
          <t>Generalist</t>
        </is>
      </c>
    </row>
    <row r="839">
      <c r="A839" t="inlineStr">
        <is>
          <t>Feverfew</t>
        </is>
      </c>
      <c r="B839" t="inlineStr">
        <is>
          <t>Yohimbe</t>
        </is>
      </c>
      <c r="C839" t="n">
        <v>50</v>
      </c>
      <c r="E839" t="inlineStr">
        <is>
          <t>unclassified</t>
        </is>
      </c>
      <c r="G839" t="inlineStr">
        <is>
          <t>General</t>
        </is>
      </c>
      <c r="H839" t="inlineStr">
        <is>
          <t>General</t>
        </is>
      </c>
      <c r="I839" t="inlineStr">
        <is>
          <t>Generalist</t>
        </is>
      </c>
      <c r="J839" t="inlineStr">
        <is>
          <t>Generalist</t>
        </is>
      </c>
    </row>
    <row r="840">
      <c r="A840" t="inlineStr">
        <is>
          <t>Galangal</t>
        </is>
      </c>
      <c r="B840" t="inlineStr">
        <is>
          <t>Ajwain</t>
        </is>
      </c>
      <c r="C840" t="n">
        <v>50</v>
      </c>
      <c r="E840" t="inlineStr">
        <is>
          <t>unclassified</t>
        </is>
      </c>
      <c r="G840" t="inlineStr">
        <is>
          <t>General</t>
        </is>
      </c>
      <c r="H840" t="inlineStr">
        <is>
          <t>General</t>
        </is>
      </c>
      <c r="I840" t="inlineStr">
        <is>
          <t>Generalist</t>
        </is>
      </c>
      <c r="J840" t="inlineStr">
        <is>
          <t>Generalist</t>
        </is>
      </c>
    </row>
    <row r="841">
      <c r="A841" t="inlineStr">
        <is>
          <t>Galangal</t>
        </is>
      </c>
      <c r="B841" t="inlineStr">
        <is>
          <t>Caraway</t>
        </is>
      </c>
      <c r="C841" t="n">
        <v>50</v>
      </c>
      <c r="E841" t="inlineStr">
        <is>
          <t>unclassified</t>
        </is>
      </c>
      <c r="G841" t="inlineStr">
        <is>
          <t>General</t>
        </is>
      </c>
      <c r="H841" t="inlineStr">
        <is>
          <t>General</t>
        </is>
      </c>
      <c r="I841" t="inlineStr">
        <is>
          <t>Generalist</t>
        </is>
      </c>
      <c r="J841" t="inlineStr">
        <is>
          <t>Generalist</t>
        </is>
      </c>
    </row>
    <row r="842">
      <c r="A842" t="inlineStr">
        <is>
          <t>Galangal</t>
        </is>
      </c>
      <c r="B842" t="inlineStr">
        <is>
          <t>Cardamom</t>
        </is>
      </c>
      <c r="C842" t="n">
        <v>50</v>
      </c>
      <c r="E842" t="inlineStr">
        <is>
          <t>unclassified</t>
        </is>
      </c>
      <c r="G842" t="inlineStr">
        <is>
          <t>General</t>
        </is>
      </c>
      <c r="H842" t="inlineStr">
        <is>
          <t>General</t>
        </is>
      </c>
      <c r="I842" t="inlineStr">
        <is>
          <t>Generalist</t>
        </is>
      </c>
      <c r="J842" t="inlineStr">
        <is>
          <t>Generalist</t>
        </is>
      </c>
    </row>
    <row r="843">
      <c r="A843" t="inlineStr">
        <is>
          <t>Galangal</t>
        </is>
      </c>
      <c r="B843" t="inlineStr">
        <is>
          <t>Celastrus Paniculatus</t>
        </is>
      </c>
      <c r="C843" t="n">
        <v>50</v>
      </c>
      <c r="E843" t="inlineStr">
        <is>
          <t>unclassified</t>
        </is>
      </c>
      <c r="G843" t="inlineStr">
        <is>
          <t>General</t>
        </is>
      </c>
      <c r="H843" t="inlineStr">
        <is>
          <t>General</t>
        </is>
      </c>
      <c r="I843" t="inlineStr">
        <is>
          <t>Generalist</t>
        </is>
      </c>
      <c r="J843" t="inlineStr">
        <is>
          <t>Generalist</t>
        </is>
      </c>
    </row>
    <row r="844">
      <c r="A844" t="inlineStr">
        <is>
          <t>Galangal</t>
        </is>
      </c>
      <c r="B844" t="inlineStr">
        <is>
          <t>Cordyceps</t>
        </is>
      </c>
      <c r="C844" t="n">
        <v>50</v>
      </c>
      <c r="E844" t="inlineStr">
        <is>
          <t>unclassified</t>
        </is>
      </c>
      <c r="G844" t="inlineStr">
        <is>
          <t>General</t>
        </is>
      </c>
      <c r="H844" t="inlineStr">
        <is>
          <t>General</t>
        </is>
      </c>
      <c r="I844" t="inlineStr">
        <is>
          <t>Generalist</t>
        </is>
      </c>
      <c r="J844" t="inlineStr">
        <is>
          <t>Generalist</t>
        </is>
      </c>
    </row>
    <row r="845">
      <c r="A845" t="inlineStr">
        <is>
          <t>Galangal</t>
        </is>
      </c>
      <c r="B845" t="inlineStr">
        <is>
          <t>Eleuthero</t>
        </is>
      </c>
      <c r="C845" t="n">
        <v>50</v>
      </c>
      <c r="E845" t="inlineStr">
        <is>
          <t>unclassified</t>
        </is>
      </c>
      <c r="G845" t="inlineStr">
        <is>
          <t>General</t>
        </is>
      </c>
      <c r="H845" t="inlineStr">
        <is>
          <t>General</t>
        </is>
      </c>
      <c r="I845" t="inlineStr">
        <is>
          <t>Generalist</t>
        </is>
      </c>
      <c r="J845" t="inlineStr">
        <is>
          <t>Generalist</t>
        </is>
      </c>
    </row>
    <row r="846">
      <c r="A846" t="inlineStr">
        <is>
          <t>Galangal</t>
        </is>
      </c>
      <c r="B846" t="inlineStr">
        <is>
          <t>Gudmar</t>
        </is>
      </c>
      <c r="C846" t="n">
        <v>50</v>
      </c>
      <c r="E846" t="inlineStr">
        <is>
          <t>unclassified</t>
        </is>
      </c>
      <c r="G846" t="inlineStr">
        <is>
          <t>General</t>
        </is>
      </c>
      <c r="H846" t="inlineStr">
        <is>
          <t>General</t>
        </is>
      </c>
      <c r="I846" t="inlineStr">
        <is>
          <t>Generalist</t>
        </is>
      </c>
      <c r="J846" t="inlineStr">
        <is>
          <t>Generalist</t>
        </is>
      </c>
    </row>
    <row r="847">
      <c r="A847" t="inlineStr">
        <is>
          <t>Galangal</t>
        </is>
      </c>
      <c r="B847" t="inlineStr">
        <is>
          <t>Nettle Root</t>
        </is>
      </c>
      <c r="C847" t="n">
        <v>50</v>
      </c>
      <c r="E847" t="inlineStr">
        <is>
          <t>unclassified</t>
        </is>
      </c>
      <c r="G847" t="inlineStr">
        <is>
          <t>General</t>
        </is>
      </c>
      <c r="H847" t="inlineStr">
        <is>
          <t>General</t>
        </is>
      </c>
      <c r="I847" t="inlineStr">
        <is>
          <t>Generalist</t>
        </is>
      </c>
      <c r="J847" t="inlineStr">
        <is>
          <t>Generalist</t>
        </is>
      </c>
    </row>
    <row r="848">
      <c r="A848" t="inlineStr">
        <is>
          <t>Galangal</t>
        </is>
      </c>
      <c r="B848" t="inlineStr">
        <is>
          <t>Passionflower</t>
        </is>
      </c>
      <c r="C848" t="n">
        <v>50</v>
      </c>
      <c r="E848" t="inlineStr">
        <is>
          <t>unclassified</t>
        </is>
      </c>
      <c r="G848" t="inlineStr">
        <is>
          <t>General</t>
        </is>
      </c>
      <c r="H848" t="inlineStr">
        <is>
          <t>General</t>
        </is>
      </c>
      <c r="I848" t="inlineStr">
        <is>
          <t>Generalist</t>
        </is>
      </c>
      <c r="J848" t="inlineStr">
        <is>
          <t>Generalist</t>
        </is>
      </c>
    </row>
    <row r="849">
      <c r="A849" t="inlineStr">
        <is>
          <t>Galangal</t>
        </is>
      </c>
      <c r="B849" t="inlineStr">
        <is>
          <t>Punarnava</t>
        </is>
      </c>
      <c r="C849" t="n">
        <v>50</v>
      </c>
      <c r="E849" t="inlineStr">
        <is>
          <t>unclassified</t>
        </is>
      </c>
      <c r="G849" t="inlineStr">
        <is>
          <t>General</t>
        </is>
      </c>
      <c r="H849" t="inlineStr">
        <is>
          <t>General</t>
        </is>
      </c>
      <c r="I849" t="inlineStr">
        <is>
          <t>Generalist</t>
        </is>
      </c>
      <c r="J849" t="inlineStr">
        <is>
          <t>Generalist</t>
        </is>
      </c>
    </row>
    <row r="850">
      <c r="A850" t="inlineStr">
        <is>
          <t>Galangal</t>
        </is>
      </c>
      <c r="B850" t="inlineStr">
        <is>
          <t>Reishi</t>
        </is>
      </c>
      <c r="C850" t="n">
        <v>50</v>
      </c>
      <c r="E850" t="inlineStr">
        <is>
          <t>unclassified</t>
        </is>
      </c>
      <c r="G850" t="inlineStr">
        <is>
          <t>General</t>
        </is>
      </c>
      <c r="H850" t="inlineStr">
        <is>
          <t>General</t>
        </is>
      </c>
      <c r="I850" t="inlineStr">
        <is>
          <t>Generalist</t>
        </is>
      </c>
      <c r="J850" t="inlineStr">
        <is>
          <t>Generalist</t>
        </is>
      </c>
    </row>
    <row r="851">
      <c r="A851" t="inlineStr">
        <is>
          <t>Galangal</t>
        </is>
      </c>
      <c r="B851" t="inlineStr">
        <is>
          <t>Tamarind</t>
        </is>
      </c>
      <c r="C851" t="n">
        <v>50</v>
      </c>
      <c r="E851" t="inlineStr">
        <is>
          <t>unclassified</t>
        </is>
      </c>
      <c r="G851" t="inlineStr">
        <is>
          <t>General</t>
        </is>
      </c>
      <c r="H851" t="inlineStr">
        <is>
          <t>General</t>
        </is>
      </c>
      <c r="I851" t="inlineStr">
        <is>
          <t>Generalist</t>
        </is>
      </c>
      <c r="J851" t="inlineStr">
        <is>
          <t>Generalist</t>
        </is>
      </c>
    </row>
    <row r="852">
      <c r="A852" t="inlineStr">
        <is>
          <t>Galangal</t>
        </is>
      </c>
      <c r="B852" t="inlineStr">
        <is>
          <t>Yohimbe</t>
        </is>
      </c>
      <c r="C852" t="n">
        <v>50</v>
      </c>
      <c r="E852" t="inlineStr">
        <is>
          <t>unclassified</t>
        </is>
      </c>
      <c r="G852" t="inlineStr">
        <is>
          <t>General</t>
        </is>
      </c>
      <c r="H852" t="inlineStr">
        <is>
          <t>General</t>
        </is>
      </c>
      <c r="I852" t="inlineStr">
        <is>
          <t>Generalist</t>
        </is>
      </c>
      <c r="J852" t="inlineStr">
        <is>
          <t>Generalist</t>
        </is>
      </c>
    </row>
    <row r="853">
      <c r="A853" t="inlineStr">
        <is>
          <t>Garlic</t>
        </is>
      </c>
      <c r="B853" t="inlineStr">
        <is>
          <t>Agarikon</t>
        </is>
      </c>
      <c r="C853" t="n">
        <v>50</v>
      </c>
      <c r="E853" t="inlineStr">
        <is>
          <t>unclassified</t>
        </is>
      </c>
      <c r="G853" t="inlineStr">
        <is>
          <t>General</t>
        </is>
      </c>
      <c r="H853" t="inlineStr">
        <is>
          <t>General</t>
        </is>
      </c>
      <c r="I853" t="inlineStr">
        <is>
          <t>Generalist</t>
        </is>
      </c>
      <c r="J853" t="inlineStr">
        <is>
          <t>Generalist</t>
        </is>
      </c>
    </row>
    <row r="854">
      <c r="A854" t="inlineStr">
        <is>
          <t>Garlic</t>
        </is>
      </c>
      <c r="B854" t="inlineStr">
        <is>
          <t>Ajwain</t>
        </is>
      </c>
      <c r="C854" t="n">
        <v>50</v>
      </c>
      <c r="E854" t="inlineStr">
        <is>
          <t>unclassified</t>
        </is>
      </c>
      <c r="G854" t="inlineStr">
        <is>
          <t>General</t>
        </is>
      </c>
      <c r="H854" t="inlineStr">
        <is>
          <t>General</t>
        </is>
      </c>
      <c r="I854" t="inlineStr">
        <is>
          <t>Generalist</t>
        </is>
      </c>
      <c r="J854" t="inlineStr">
        <is>
          <t>Generalist</t>
        </is>
      </c>
    </row>
    <row r="855">
      <c r="A855" t="inlineStr">
        <is>
          <t>Garlic</t>
        </is>
      </c>
      <c r="B855" t="inlineStr">
        <is>
          <t>Angelica Root</t>
        </is>
      </c>
      <c r="C855" t="n">
        <v>50</v>
      </c>
      <c r="E855" t="inlineStr">
        <is>
          <t>unclassified</t>
        </is>
      </c>
      <c r="G855" t="inlineStr">
        <is>
          <t>General</t>
        </is>
      </c>
      <c r="H855" t="inlineStr">
        <is>
          <t>General</t>
        </is>
      </c>
      <c r="I855" t="inlineStr">
        <is>
          <t>Generalist</t>
        </is>
      </c>
      <c r="J855" t="inlineStr">
        <is>
          <t>Generalist</t>
        </is>
      </c>
    </row>
    <row r="856">
      <c r="A856" t="inlineStr">
        <is>
          <t>Garlic</t>
        </is>
      </c>
      <c r="B856" t="inlineStr">
        <is>
          <t>Artichoke</t>
        </is>
      </c>
      <c r="C856" t="n">
        <v>50</v>
      </c>
      <c r="E856" t="inlineStr">
        <is>
          <t>unclassified</t>
        </is>
      </c>
      <c r="G856" t="inlineStr">
        <is>
          <t>General</t>
        </is>
      </c>
      <c r="H856" t="inlineStr">
        <is>
          <t>General</t>
        </is>
      </c>
      <c r="I856" t="inlineStr">
        <is>
          <t>Generalist</t>
        </is>
      </c>
      <c r="J856" t="inlineStr">
        <is>
          <t>Generalist</t>
        </is>
      </c>
    </row>
    <row r="857">
      <c r="A857" t="inlineStr">
        <is>
          <t>Garlic</t>
        </is>
      </c>
      <c r="B857" t="inlineStr">
        <is>
          <t>Ashoka</t>
        </is>
      </c>
      <c r="C857" t="n">
        <v>50</v>
      </c>
      <c r="E857" t="inlineStr">
        <is>
          <t>unclassified</t>
        </is>
      </c>
      <c r="G857" t="inlineStr">
        <is>
          <t>General</t>
        </is>
      </c>
      <c r="H857" t="inlineStr">
        <is>
          <t>General</t>
        </is>
      </c>
      <c r="I857" t="inlineStr">
        <is>
          <t>Generalist</t>
        </is>
      </c>
      <c r="J857" t="inlineStr">
        <is>
          <t>Generalist</t>
        </is>
      </c>
    </row>
    <row r="858">
      <c r="A858" t="inlineStr">
        <is>
          <t>Garlic</t>
        </is>
      </c>
      <c r="B858" t="inlineStr">
        <is>
          <t>Blue Lotus</t>
        </is>
      </c>
      <c r="C858" t="n">
        <v>50</v>
      </c>
      <c r="E858" t="inlineStr">
        <is>
          <t>unclassified</t>
        </is>
      </c>
      <c r="G858" t="inlineStr">
        <is>
          <t>General</t>
        </is>
      </c>
      <c r="H858" t="inlineStr">
        <is>
          <t>General</t>
        </is>
      </c>
      <c r="I858" t="inlineStr">
        <is>
          <t>Generalist</t>
        </is>
      </c>
      <c r="J858" t="inlineStr">
        <is>
          <t>Generalist</t>
        </is>
      </c>
    </row>
    <row r="859">
      <c r="A859" t="inlineStr">
        <is>
          <t>Garlic</t>
        </is>
      </c>
      <c r="B859" t="inlineStr">
        <is>
          <t>Boldo</t>
        </is>
      </c>
      <c r="C859" t="n">
        <v>50</v>
      </c>
      <c r="E859" t="inlineStr">
        <is>
          <t>unclassified</t>
        </is>
      </c>
      <c r="G859" t="inlineStr">
        <is>
          <t>General</t>
        </is>
      </c>
      <c r="H859" t="inlineStr">
        <is>
          <t>General</t>
        </is>
      </c>
      <c r="I859" t="inlineStr">
        <is>
          <t>Generalist</t>
        </is>
      </c>
      <c r="J859" t="inlineStr">
        <is>
          <t>Generalist</t>
        </is>
      </c>
    </row>
    <row r="860">
      <c r="A860" t="inlineStr">
        <is>
          <t>Garlic</t>
        </is>
      </c>
      <c r="B860" t="inlineStr">
        <is>
          <t>Burdock</t>
        </is>
      </c>
      <c r="C860" t="n">
        <v>50</v>
      </c>
      <c r="E860" t="inlineStr">
        <is>
          <t>unclassified</t>
        </is>
      </c>
      <c r="G860" t="inlineStr">
        <is>
          <t>General</t>
        </is>
      </c>
      <c r="H860" t="inlineStr">
        <is>
          <t>General</t>
        </is>
      </c>
      <c r="I860" t="inlineStr">
        <is>
          <t>Generalist</t>
        </is>
      </c>
      <c r="J860" t="inlineStr">
        <is>
          <t>Generalist</t>
        </is>
      </c>
    </row>
    <row r="861">
      <c r="A861" t="inlineStr">
        <is>
          <t>Garlic</t>
        </is>
      </c>
      <c r="B861" t="inlineStr">
        <is>
          <t>Butterbur</t>
        </is>
      </c>
      <c r="C861" t="n">
        <v>50</v>
      </c>
      <c r="E861" t="inlineStr">
        <is>
          <t>unclassified</t>
        </is>
      </c>
      <c r="G861" t="inlineStr">
        <is>
          <t>General</t>
        </is>
      </c>
      <c r="H861" t="inlineStr">
        <is>
          <t>General</t>
        </is>
      </c>
      <c r="I861" t="inlineStr">
        <is>
          <t>Generalist</t>
        </is>
      </c>
      <c r="J861" t="inlineStr">
        <is>
          <t>Generalist</t>
        </is>
      </c>
    </row>
    <row r="862">
      <c r="A862" t="inlineStr">
        <is>
          <t>Garlic</t>
        </is>
      </c>
      <c r="B862" t="inlineStr">
        <is>
          <t>Calendula</t>
        </is>
      </c>
      <c r="C862" t="n">
        <v>50</v>
      </c>
      <c r="E862" t="inlineStr">
        <is>
          <t>unclassified</t>
        </is>
      </c>
      <c r="G862" t="inlineStr">
        <is>
          <t>General</t>
        </is>
      </c>
      <c r="H862" t="inlineStr">
        <is>
          <t>General</t>
        </is>
      </c>
      <c r="I862" t="inlineStr">
        <is>
          <t>Generalist</t>
        </is>
      </c>
      <c r="J862" t="inlineStr">
        <is>
          <t>Generalist</t>
        </is>
      </c>
    </row>
    <row r="863">
      <c r="A863" t="inlineStr">
        <is>
          <t>Garlic</t>
        </is>
      </c>
      <c r="B863" t="inlineStr">
        <is>
          <t>Caraway</t>
        </is>
      </c>
      <c r="C863" t="n">
        <v>50</v>
      </c>
      <c r="E863" t="inlineStr">
        <is>
          <t>unclassified</t>
        </is>
      </c>
      <c r="G863" t="inlineStr">
        <is>
          <t>General</t>
        </is>
      </c>
      <c r="H863" t="inlineStr">
        <is>
          <t>General</t>
        </is>
      </c>
      <c r="I863" t="inlineStr">
        <is>
          <t>Generalist</t>
        </is>
      </c>
      <c r="J863" t="inlineStr">
        <is>
          <t>Generalist</t>
        </is>
      </c>
    </row>
    <row r="864">
      <c r="A864" t="inlineStr">
        <is>
          <t>Garlic</t>
        </is>
      </c>
      <c r="B864" t="inlineStr">
        <is>
          <t>Cardamom</t>
        </is>
      </c>
      <c r="C864" t="n">
        <v>50</v>
      </c>
      <c r="E864" t="inlineStr">
        <is>
          <t>unclassified</t>
        </is>
      </c>
      <c r="G864" t="inlineStr">
        <is>
          <t>General</t>
        </is>
      </c>
      <c r="H864" t="inlineStr">
        <is>
          <t>General</t>
        </is>
      </c>
      <c r="I864" t="inlineStr">
        <is>
          <t>Generalist</t>
        </is>
      </c>
      <c r="J864" t="inlineStr">
        <is>
          <t>Generalist</t>
        </is>
      </c>
    </row>
    <row r="865">
      <c r="A865" t="inlineStr">
        <is>
          <t>Garlic</t>
        </is>
      </c>
      <c r="B865" t="inlineStr">
        <is>
          <t>Celastrus Paniculatus</t>
        </is>
      </c>
      <c r="C865" t="n">
        <v>50</v>
      </c>
      <c r="E865" t="inlineStr">
        <is>
          <t>unclassified</t>
        </is>
      </c>
      <c r="G865" t="inlineStr">
        <is>
          <t>General</t>
        </is>
      </c>
      <c r="H865" t="inlineStr">
        <is>
          <t>General</t>
        </is>
      </c>
      <c r="I865" t="inlineStr">
        <is>
          <t>Generalist</t>
        </is>
      </c>
      <c r="J865" t="inlineStr">
        <is>
          <t>Generalist</t>
        </is>
      </c>
    </row>
    <row r="866">
      <c r="A866" t="inlineStr">
        <is>
          <t>Garlic</t>
        </is>
      </c>
      <c r="B866" t="inlineStr">
        <is>
          <t>Cinnamon</t>
        </is>
      </c>
      <c r="C866" t="n">
        <v>50</v>
      </c>
      <c r="E866" t="inlineStr">
        <is>
          <t>unclassified</t>
        </is>
      </c>
      <c r="G866" t="inlineStr">
        <is>
          <t>General</t>
        </is>
      </c>
      <c r="H866" t="inlineStr">
        <is>
          <t>General</t>
        </is>
      </c>
      <c r="I866" t="inlineStr">
        <is>
          <t>Generalist</t>
        </is>
      </c>
      <c r="J866" t="inlineStr">
        <is>
          <t>Generalist</t>
        </is>
      </c>
    </row>
    <row r="867">
      <c r="A867" t="inlineStr">
        <is>
          <t>Garlic</t>
        </is>
      </c>
      <c r="B867" t="inlineStr">
        <is>
          <t>Cistanche</t>
        </is>
      </c>
      <c r="C867" t="n">
        <v>50</v>
      </c>
      <c r="E867" t="inlineStr">
        <is>
          <t>unclassified</t>
        </is>
      </c>
      <c r="G867" t="inlineStr">
        <is>
          <t>General</t>
        </is>
      </c>
      <c r="H867" t="inlineStr">
        <is>
          <t>General</t>
        </is>
      </c>
      <c r="I867" t="inlineStr">
        <is>
          <t>Generalist</t>
        </is>
      </c>
      <c r="J867" t="inlineStr">
        <is>
          <t>Generalist</t>
        </is>
      </c>
    </row>
    <row r="868">
      <c r="A868" t="inlineStr">
        <is>
          <t>Garlic</t>
        </is>
      </c>
      <c r="B868" t="inlineStr">
        <is>
          <t>Cordyceps</t>
        </is>
      </c>
      <c r="C868" t="n">
        <v>50</v>
      </c>
      <c r="E868" t="inlineStr">
        <is>
          <t>unclassified</t>
        </is>
      </c>
      <c r="G868" t="inlineStr">
        <is>
          <t>General</t>
        </is>
      </c>
      <c r="H868" t="inlineStr">
        <is>
          <t>General</t>
        </is>
      </c>
      <c r="I868" t="inlineStr">
        <is>
          <t>Generalist</t>
        </is>
      </c>
      <c r="J868" t="inlineStr">
        <is>
          <t>Generalist</t>
        </is>
      </c>
    </row>
    <row r="869">
      <c r="A869" t="inlineStr">
        <is>
          <t>Garlic</t>
        </is>
      </c>
      <c r="B869" t="inlineStr">
        <is>
          <t>Damiana</t>
        </is>
      </c>
      <c r="C869" t="n">
        <v>50</v>
      </c>
      <c r="E869" t="inlineStr">
        <is>
          <t>unclassified</t>
        </is>
      </c>
      <c r="G869" t="inlineStr">
        <is>
          <t>General</t>
        </is>
      </c>
      <c r="H869" t="inlineStr">
        <is>
          <t>General</t>
        </is>
      </c>
      <c r="I869" t="inlineStr">
        <is>
          <t>Generalist</t>
        </is>
      </c>
      <c r="J869" t="inlineStr">
        <is>
          <t>Generalist</t>
        </is>
      </c>
    </row>
    <row r="870">
      <c r="A870" t="inlineStr">
        <is>
          <t>Garlic</t>
        </is>
      </c>
      <c r="B870" t="inlineStr">
        <is>
          <t>Dandelion</t>
        </is>
      </c>
      <c r="C870" t="n">
        <v>50</v>
      </c>
      <c r="E870" t="inlineStr">
        <is>
          <t>unclassified</t>
        </is>
      </c>
      <c r="G870" t="inlineStr">
        <is>
          <t>General</t>
        </is>
      </c>
      <c r="H870" t="inlineStr">
        <is>
          <t>General</t>
        </is>
      </c>
      <c r="I870" t="inlineStr">
        <is>
          <t>Generalist</t>
        </is>
      </c>
      <c r="J870" t="inlineStr">
        <is>
          <t>Generalist</t>
        </is>
      </c>
    </row>
    <row r="871">
      <c r="A871" t="inlineStr">
        <is>
          <t>Garlic</t>
        </is>
      </c>
      <c r="B871" t="inlineStr">
        <is>
          <t>Dendrobium</t>
        </is>
      </c>
      <c r="C871" t="n">
        <v>50</v>
      </c>
      <c r="E871" t="inlineStr">
        <is>
          <t>unclassified</t>
        </is>
      </c>
      <c r="G871" t="inlineStr">
        <is>
          <t>General</t>
        </is>
      </c>
      <c r="H871" t="inlineStr">
        <is>
          <t>General</t>
        </is>
      </c>
      <c r="I871" t="inlineStr">
        <is>
          <t>Generalist</t>
        </is>
      </c>
      <c r="J871" t="inlineStr">
        <is>
          <t>Generalist</t>
        </is>
      </c>
    </row>
    <row r="872">
      <c r="A872" t="inlineStr">
        <is>
          <t>Garlic</t>
        </is>
      </c>
      <c r="B872" t="inlineStr">
        <is>
          <t>Dong Quai</t>
        </is>
      </c>
      <c r="C872" t="n">
        <v>50</v>
      </c>
      <c r="E872" t="inlineStr">
        <is>
          <t>unclassified</t>
        </is>
      </c>
      <c r="G872" t="inlineStr">
        <is>
          <t>General</t>
        </is>
      </c>
      <c r="H872" t="inlineStr">
        <is>
          <t>General</t>
        </is>
      </c>
      <c r="I872" t="inlineStr">
        <is>
          <t>Generalist</t>
        </is>
      </c>
      <c r="J872" t="inlineStr">
        <is>
          <t>Generalist</t>
        </is>
      </c>
    </row>
    <row r="873">
      <c r="A873" t="inlineStr">
        <is>
          <t>Garlic</t>
        </is>
      </c>
      <c r="B873" t="inlineStr">
        <is>
          <t>Elecampane</t>
        </is>
      </c>
      <c r="C873" t="n">
        <v>50</v>
      </c>
      <c r="E873" t="inlineStr">
        <is>
          <t>unclassified</t>
        </is>
      </c>
      <c r="G873" t="inlineStr">
        <is>
          <t>General</t>
        </is>
      </c>
      <c r="H873" t="inlineStr">
        <is>
          <t>General</t>
        </is>
      </c>
      <c r="I873" t="inlineStr">
        <is>
          <t>Generalist</t>
        </is>
      </c>
      <c r="J873" t="inlineStr">
        <is>
          <t>Generalist</t>
        </is>
      </c>
    </row>
    <row r="874">
      <c r="A874" t="inlineStr">
        <is>
          <t>Garlic</t>
        </is>
      </c>
      <c r="B874" t="inlineStr">
        <is>
          <t>Eleuthero</t>
        </is>
      </c>
      <c r="C874" t="n">
        <v>50</v>
      </c>
      <c r="E874" t="inlineStr">
        <is>
          <t>unclassified</t>
        </is>
      </c>
      <c r="G874" t="inlineStr">
        <is>
          <t>General</t>
        </is>
      </c>
      <c r="H874" t="inlineStr">
        <is>
          <t>General</t>
        </is>
      </c>
      <c r="I874" t="inlineStr">
        <is>
          <t>Generalist</t>
        </is>
      </c>
      <c r="J874" t="inlineStr">
        <is>
          <t>Generalist</t>
        </is>
      </c>
    </row>
    <row r="875">
      <c r="A875" t="inlineStr">
        <is>
          <t>Garlic</t>
        </is>
      </c>
      <c r="B875" t="inlineStr">
        <is>
          <t>Fennel</t>
        </is>
      </c>
      <c r="C875" t="n">
        <v>50</v>
      </c>
      <c r="E875" t="inlineStr">
        <is>
          <t>unclassified</t>
        </is>
      </c>
      <c r="G875" t="inlineStr">
        <is>
          <t>General</t>
        </is>
      </c>
      <c r="H875" t="inlineStr">
        <is>
          <t>General</t>
        </is>
      </c>
      <c r="I875" t="inlineStr">
        <is>
          <t>Generalist</t>
        </is>
      </c>
      <c r="J875" t="inlineStr">
        <is>
          <t>Generalist</t>
        </is>
      </c>
    </row>
    <row r="876">
      <c r="A876" t="inlineStr">
        <is>
          <t>Garlic</t>
        </is>
      </c>
      <c r="B876" t="inlineStr">
        <is>
          <t>Feverfew</t>
        </is>
      </c>
      <c r="C876" t="n">
        <v>50</v>
      </c>
      <c r="E876" t="inlineStr">
        <is>
          <t>unclassified</t>
        </is>
      </c>
      <c r="G876" t="inlineStr">
        <is>
          <t>General</t>
        </is>
      </c>
      <c r="H876" t="inlineStr">
        <is>
          <t>General</t>
        </is>
      </c>
      <c r="I876" t="inlineStr">
        <is>
          <t>Generalist</t>
        </is>
      </c>
      <c r="J876" t="inlineStr">
        <is>
          <t>Generalist</t>
        </is>
      </c>
    </row>
    <row r="877">
      <c r="A877" t="inlineStr">
        <is>
          <t>Garlic</t>
        </is>
      </c>
      <c r="B877" t="inlineStr">
        <is>
          <t>Galangal</t>
        </is>
      </c>
      <c r="C877" t="n">
        <v>50</v>
      </c>
      <c r="E877" t="inlineStr">
        <is>
          <t>unclassified</t>
        </is>
      </c>
      <c r="G877" t="inlineStr">
        <is>
          <t>General</t>
        </is>
      </c>
      <c r="H877" t="inlineStr">
        <is>
          <t>General</t>
        </is>
      </c>
      <c r="I877" t="inlineStr">
        <is>
          <t>Generalist</t>
        </is>
      </c>
      <c r="J877" t="inlineStr">
        <is>
          <t>Generalist</t>
        </is>
      </c>
    </row>
    <row r="878">
      <c r="A878" t="inlineStr">
        <is>
          <t>Garlic</t>
        </is>
      </c>
      <c r="B878" t="inlineStr">
        <is>
          <t>Gastrodia</t>
        </is>
      </c>
      <c r="C878" t="n">
        <v>50</v>
      </c>
      <c r="E878" t="inlineStr">
        <is>
          <t>unclassified</t>
        </is>
      </c>
      <c r="G878" t="inlineStr">
        <is>
          <t>General</t>
        </is>
      </c>
      <c r="H878" t="inlineStr">
        <is>
          <t>General</t>
        </is>
      </c>
      <c r="I878" t="inlineStr">
        <is>
          <t>Generalist</t>
        </is>
      </c>
      <c r="J878" t="inlineStr">
        <is>
          <t>Generalist</t>
        </is>
      </c>
    </row>
    <row r="879">
      <c r="A879" t="inlineStr">
        <is>
          <t>Garlic</t>
        </is>
      </c>
      <c r="B879" t="inlineStr">
        <is>
          <t>Ginger</t>
        </is>
      </c>
      <c r="C879" t="n">
        <v>50</v>
      </c>
      <c r="E879" t="inlineStr">
        <is>
          <t>unclassified</t>
        </is>
      </c>
      <c r="G879" t="inlineStr">
        <is>
          <t>General</t>
        </is>
      </c>
      <c r="H879" t="inlineStr">
        <is>
          <t>General</t>
        </is>
      </c>
      <c r="I879" t="inlineStr">
        <is>
          <t>Generalist</t>
        </is>
      </c>
      <c r="J879" t="inlineStr">
        <is>
          <t>Generalist</t>
        </is>
      </c>
    </row>
    <row r="880">
      <c r="A880" t="inlineStr">
        <is>
          <t>Garlic</t>
        </is>
      </c>
      <c r="B880" t="inlineStr">
        <is>
          <t>Gudmar</t>
        </is>
      </c>
      <c r="C880" t="n">
        <v>50</v>
      </c>
      <c r="E880" t="inlineStr">
        <is>
          <t>unclassified</t>
        </is>
      </c>
      <c r="G880" t="inlineStr">
        <is>
          <t>General</t>
        </is>
      </c>
      <c r="H880" t="inlineStr">
        <is>
          <t>General</t>
        </is>
      </c>
      <c r="I880" t="inlineStr">
        <is>
          <t>Generalist</t>
        </is>
      </c>
      <c r="J880" t="inlineStr">
        <is>
          <t>Generalist</t>
        </is>
      </c>
    </row>
    <row r="881">
      <c r="A881" t="inlineStr">
        <is>
          <t>Garlic</t>
        </is>
      </c>
      <c r="B881" t="inlineStr">
        <is>
          <t>Gymnema</t>
        </is>
      </c>
      <c r="C881" t="n">
        <v>50</v>
      </c>
      <c r="E881" t="inlineStr">
        <is>
          <t>unclassified</t>
        </is>
      </c>
      <c r="G881" t="inlineStr">
        <is>
          <t>General</t>
        </is>
      </c>
      <c r="H881" t="inlineStr">
        <is>
          <t>General</t>
        </is>
      </c>
      <c r="I881" t="inlineStr">
        <is>
          <t>Generalist</t>
        </is>
      </c>
      <c r="J881" t="inlineStr">
        <is>
          <t>Generalist</t>
        </is>
      </c>
    </row>
    <row r="882">
      <c r="A882" t="inlineStr">
        <is>
          <t>Garlic</t>
        </is>
      </c>
      <c r="B882" t="inlineStr">
        <is>
          <t>Hops</t>
        </is>
      </c>
      <c r="C882" t="n">
        <v>50</v>
      </c>
      <c r="E882" t="inlineStr">
        <is>
          <t>unclassified</t>
        </is>
      </c>
      <c r="G882" t="inlineStr">
        <is>
          <t>General</t>
        </is>
      </c>
      <c r="H882" t="inlineStr">
        <is>
          <t>General</t>
        </is>
      </c>
      <c r="I882" t="inlineStr">
        <is>
          <t>Generalist</t>
        </is>
      </c>
      <c r="J882" t="inlineStr">
        <is>
          <t>Generalist</t>
        </is>
      </c>
    </row>
    <row r="883">
      <c r="A883" t="inlineStr">
        <is>
          <t>Garlic</t>
        </is>
      </c>
      <c r="B883" t="inlineStr">
        <is>
          <t>Houttuynia</t>
        </is>
      </c>
      <c r="C883" t="n">
        <v>50</v>
      </c>
      <c r="E883" t="inlineStr">
        <is>
          <t>unclassified</t>
        </is>
      </c>
      <c r="G883" t="inlineStr">
        <is>
          <t>General</t>
        </is>
      </c>
      <c r="H883" t="inlineStr">
        <is>
          <t>General</t>
        </is>
      </c>
      <c r="I883" t="inlineStr">
        <is>
          <t>Generalist</t>
        </is>
      </c>
      <c r="J883" t="inlineStr">
        <is>
          <t>Generalist</t>
        </is>
      </c>
    </row>
    <row r="884">
      <c r="A884" t="inlineStr">
        <is>
          <t>Garlic</t>
        </is>
      </c>
      <c r="B884" t="inlineStr">
        <is>
          <t>Isatis</t>
        </is>
      </c>
      <c r="C884" t="n">
        <v>50</v>
      </c>
      <c r="E884" t="inlineStr">
        <is>
          <t>unclassified</t>
        </is>
      </c>
      <c r="G884" t="inlineStr">
        <is>
          <t>General</t>
        </is>
      </c>
      <c r="H884" t="inlineStr">
        <is>
          <t>General</t>
        </is>
      </c>
      <c r="I884" t="inlineStr">
        <is>
          <t>Generalist</t>
        </is>
      </c>
      <c r="J884" t="inlineStr">
        <is>
          <t>Generalist</t>
        </is>
      </c>
    </row>
    <row r="885">
      <c r="A885" t="inlineStr">
        <is>
          <t>Garlic</t>
        </is>
      </c>
      <c r="B885" t="inlineStr">
        <is>
          <t>Jatamansi</t>
        </is>
      </c>
      <c r="C885" t="n">
        <v>50</v>
      </c>
      <c r="E885" t="inlineStr">
        <is>
          <t>unclassified</t>
        </is>
      </c>
      <c r="G885" t="inlineStr">
        <is>
          <t>General</t>
        </is>
      </c>
      <c r="H885" t="inlineStr">
        <is>
          <t>General</t>
        </is>
      </c>
      <c r="I885" t="inlineStr">
        <is>
          <t>Generalist</t>
        </is>
      </c>
      <c r="J885" t="inlineStr">
        <is>
          <t>Generalist</t>
        </is>
      </c>
    </row>
    <row r="886">
      <c r="A886" t="inlineStr">
        <is>
          <t>Garlic</t>
        </is>
      </c>
      <c r="B886" t="inlineStr">
        <is>
          <t>Kava</t>
        </is>
      </c>
      <c r="C886" t="n">
        <v>50</v>
      </c>
      <c r="E886" t="inlineStr">
        <is>
          <t>unclassified</t>
        </is>
      </c>
      <c r="G886" t="inlineStr">
        <is>
          <t>General</t>
        </is>
      </c>
      <c r="H886" t="inlineStr">
        <is>
          <t>General</t>
        </is>
      </c>
      <c r="I886" t="inlineStr">
        <is>
          <t>Generalist</t>
        </is>
      </c>
      <c r="J886" t="inlineStr">
        <is>
          <t>Generalist</t>
        </is>
      </c>
    </row>
    <row r="887">
      <c r="A887" t="inlineStr">
        <is>
          <t>Garlic</t>
        </is>
      </c>
      <c r="B887" t="inlineStr">
        <is>
          <t>Kudzu</t>
        </is>
      </c>
      <c r="C887" t="n">
        <v>50</v>
      </c>
      <c r="E887" t="inlineStr">
        <is>
          <t>unclassified</t>
        </is>
      </c>
      <c r="G887" t="inlineStr">
        <is>
          <t>General</t>
        </is>
      </c>
      <c r="H887" t="inlineStr">
        <is>
          <t>General</t>
        </is>
      </c>
      <c r="I887" t="inlineStr">
        <is>
          <t>Generalist</t>
        </is>
      </c>
      <c r="J887" t="inlineStr">
        <is>
          <t>Generalist</t>
        </is>
      </c>
    </row>
    <row r="888">
      <c r="A888" t="inlineStr">
        <is>
          <t>Garlic</t>
        </is>
      </c>
      <c r="B888" t="inlineStr">
        <is>
          <t>Lemon Balm</t>
        </is>
      </c>
      <c r="C888" t="n">
        <v>50</v>
      </c>
      <c r="E888" t="inlineStr">
        <is>
          <t>unclassified</t>
        </is>
      </c>
      <c r="G888" t="inlineStr">
        <is>
          <t>General</t>
        </is>
      </c>
      <c r="H888" t="inlineStr">
        <is>
          <t>General</t>
        </is>
      </c>
      <c r="I888" t="inlineStr">
        <is>
          <t>Generalist</t>
        </is>
      </c>
      <c r="J888" t="inlineStr">
        <is>
          <t>Generalist</t>
        </is>
      </c>
    </row>
    <row r="889">
      <c r="A889" t="inlineStr">
        <is>
          <t>Garlic</t>
        </is>
      </c>
      <c r="B889" t="inlineStr">
        <is>
          <t>Lemon Verbena</t>
        </is>
      </c>
      <c r="C889" t="n">
        <v>50</v>
      </c>
      <c r="E889" t="inlineStr">
        <is>
          <t>unclassified</t>
        </is>
      </c>
      <c r="G889" t="inlineStr">
        <is>
          <t>General</t>
        </is>
      </c>
      <c r="H889" t="inlineStr">
        <is>
          <t>General</t>
        </is>
      </c>
      <c r="I889" t="inlineStr">
        <is>
          <t>Generalist</t>
        </is>
      </c>
      <c r="J889" t="inlineStr">
        <is>
          <t>Generalist</t>
        </is>
      </c>
    </row>
    <row r="890">
      <c r="A890" t="inlineStr">
        <is>
          <t>Garlic</t>
        </is>
      </c>
      <c r="B890" t="inlineStr">
        <is>
          <t>Lemongrass</t>
        </is>
      </c>
      <c r="C890" t="n">
        <v>50</v>
      </c>
      <c r="E890" t="inlineStr">
        <is>
          <t>unclassified</t>
        </is>
      </c>
      <c r="G890" t="inlineStr">
        <is>
          <t>General</t>
        </is>
      </c>
      <c r="H890" t="inlineStr">
        <is>
          <t>General</t>
        </is>
      </c>
      <c r="I890" t="inlineStr">
        <is>
          <t>Generalist</t>
        </is>
      </c>
      <c r="J890" t="inlineStr">
        <is>
          <t>Generalist</t>
        </is>
      </c>
    </row>
    <row r="891">
      <c r="A891" t="inlineStr">
        <is>
          <t>Garlic</t>
        </is>
      </c>
      <c r="B891" t="inlineStr">
        <is>
          <t>Longan</t>
        </is>
      </c>
      <c r="C891" t="n">
        <v>50</v>
      </c>
      <c r="E891" t="inlineStr">
        <is>
          <t>unclassified</t>
        </is>
      </c>
      <c r="G891" t="inlineStr">
        <is>
          <t>General</t>
        </is>
      </c>
      <c r="H891" t="inlineStr">
        <is>
          <t>General</t>
        </is>
      </c>
      <c r="I891" t="inlineStr">
        <is>
          <t>Generalist</t>
        </is>
      </c>
      <c r="J891" t="inlineStr">
        <is>
          <t>Generalist</t>
        </is>
      </c>
    </row>
    <row r="892">
      <c r="A892" t="inlineStr">
        <is>
          <t>Garlic</t>
        </is>
      </c>
      <c r="B892" t="inlineStr">
        <is>
          <t>Maitake D-Fraction</t>
        </is>
      </c>
      <c r="C892" t="n">
        <v>50</v>
      </c>
      <c r="E892" t="inlineStr">
        <is>
          <t>unclassified</t>
        </is>
      </c>
      <c r="G892" t="inlineStr">
        <is>
          <t>General</t>
        </is>
      </c>
      <c r="H892" t="inlineStr">
        <is>
          <t>General</t>
        </is>
      </c>
      <c r="I892" t="inlineStr">
        <is>
          <t>Generalist</t>
        </is>
      </c>
      <c r="J892" t="inlineStr">
        <is>
          <t>Generalist</t>
        </is>
      </c>
    </row>
    <row r="893">
      <c r="A893" t="inlineStr">
        <is>
          <t>Garlic</t>
        </is>
      </c>
      <c r="B893" t="inlineStr">
        <is>
          <t>Milk Oats</t>
        </is>
      </c>
      <c r="C893" t="n">
        <v>50</v>
      </c>
      <c r="E893" t="inlineStr">
        <is>
          <t>unclassified</t>
        </is>
      </c>
      <c r="G893" t="inlineStr">
        <is>
          <t>General</t>
        </is>
      </c>
      <c r="H893" t="inlineStr">
        <is>
          <t>General</t>
        </is>
      </c>
      <c r="I893" t="inlineStr">
        <is>
          <t>Generalist</t>
        </is>
      </c>
      <c r="J893" t="inlineStr">
        <is>
          <t>Generalist</t>
        </is>
      </c>
    </row>
    <row r="894">
      <c r="A894" t="inlineStr">
        <is>
          <t>Garlic</t>
        </is>
      </c>
      <c r="B894" t="inlineStr">
        <is>
          <t>Mugwort</t>
        </is>
      </c>
      <c r="C894" t="n">
        <v>50</v>
      </c>
      <c r="E894" t="inlineStr">
        <is>
          <t>unclassified</t>
        </is>
      </c>
      <c r="G894" t="inlineStr">
        <is>
          <t>General</t>
        </is>
      </c>
      <c r="H894" t="inlineStr">
        <is>
          <t>General</t>
        </is>
      </c>
      <c r="I894" t="inlineStr">
        <is>
          <t>Generalist</t>
        </is>
      </c>
      <c r="J894" t="inlineStr">
        <is>
          <t>Generalist</t>
        </is>
      </c>
    </row>
    <row r="895">
      <c r="A895" t="inlineStr">
        <is>
          <t>Garlic</t>
        </is>
      </c>
      <c r="B895" t="inlineStr">
        <is>
          <t>Muira Puama</t>
        </is>
      </c>
      <c r="C895" t="n">
        <v>50</v>
      </c>
      <c r="E895" t="inlineStr">
        <is>
          <t>unclassified</t>
        </is>
      </c>
      <c r="G895" t="inlineStr">
        <is>
          <t>General</t>
        </is>
      </c>
      <c r="H895" t="inlineStr">
        <is>
          <t>General</t>
        </is>
      </c>
      <c r="I895" t="inlineStr">
        <is>
          <t>Generalist</t>
        </is>
      </c>
      <c r="J895" t="inlineStr">
        <is>
          <t>Generalist</t>
        </is>
      </c>
    </row>
    <row r="896">
      <c r="A896" t="inlineStr">
        <is>
          <t>Garlic</t>
        </is>
      </c>
      <c r="B896" t="inlineStr">
        <is>
          <t>Mulberry Leaf</t>
        </is>
      </c>
      <c r="C896" t="n">
        <v>50</v>
      </c>
      <c r="E896" t="inlineStr">
        <is>
          <t>unclassified</t>
        </is>
      </c>
      <c r="G896" t="inlineStr">
        <is>
          <t>General</t>
        </is>
      </c>
      <c r="H896" t="inlineStr">
        <is>
          <t>General</t>
        </is>
      </c>
      <c r="I896" t="inlineStr">
        <is>
          <t>Generalist</t>
        </is>
      </c>
      <c r="J896" t="inlineStr">
        <is>
          <t>Generalist</t>
        </is>
      </c>
    </row>
    <row r="897">
      <c r="A897" t="inlineStr">
        <is>
          <t>Garlic</t>
        </is>
      </c>
      <c r="B897" t="inlineStr">
        <is>
          <t>Myrtle</t>
        </is>
      </c>
      <c r="C897" t="n">
        <v>50</v>
      </c>
      <c r="E897" t="inlineStr">
        <is>
          <t>unclassified</t>
        </is>
      </c>
      <c r="G897" t="inlineStr">
        <is>
          <t>General</t>
        </is>
      </c>
      <c r="H897" t="inlineStr">
        <is>
          <t>General</t>
        </is>
      </c>
      <c r="I897" t="inlineStr">
        <is>
          <t>Generalist</t>
        </is>
      </c>
      <c r="J897" t="inlineStr">
        <is>
          <t>Generalist</t>
        </is>
      </c>
    </row>
    <row r="898">
      <c r="A898" t="inlineStr">
        <is>
          <t>Garlic</t>
        </is>
      </c>
      <c r="B898" t="inlineStr">
        <is>
          <t>Neem</t>
        </is>
      </c>
      <c r="C898" t="n">
        <v>50</v>
      </c>
      <c r="E898" t="inlineStr">
        <is>
          <t>unclassified</t>
        </is>
      </c>
      <c r="G898" t="inlineStr">
        <is>
          <t>General</t>
        </is>
      </c>
      <c r="H898" t="inlineStr">
        <is>
          <t>General</t>
        </is>
      </c>
      <c r="I898" t="inlineStr">
        <is>
          <t>Generalist</t>
        </is>
      </c>
      <c r="J898" t="inlineStr">
        <is>
          <t>Generalist</t>
        </is>
      </c>
    </row>
    <row r="899">
      <c r="A899" t="inlineStr">
        <is>
          <t>Garlic</t>
        </is>
      </c>
      <c r="B899" t="inlineStr">
        <is>
          <t>Nettle Root</t>
        </is>
      </c>
      <c r="C899" t="n">
        <v>50</v>
      </c>
      <c r="E899" t="inlineStr">
        <is>
          <t>unclassified</t>
        </is>
      </c>
      <c r="G899" t="inlineStr">
        <is>
          <t>General</t>
        </is>
      </c>
      <c r="H899" t="inlineStr">
        <is>
          <t>General</t>
        </is>
      </c>
      <c r="I899" t="inlineStr">
        <is>
          <t>Generalist</t>
        </is>
      </c>
      <c r="J899" t="inlineStr">
        <is>
          <t>Generalist</t>
        </is>
      </c>
    </row>
    <row r="900">
      <c r="A900" t="inlineStr">
        <is>
          <t>Garlic</t>
        </is>
      </c>
      <c r="B900" t="inlineStr">
        <is>
          <t>Noni</t>
        </is>
      </c>
      <c r="C900" t="n">
        <v>50</v>
      </c>
      <c r="E900" t="inlineStr">
        <is>
          <t>unclassified</t>
        </is>
      </c>
      <c r="G900" t="inlineStr">
        <is>
          <t>General</t>
        </is>
      </c>
      <c r="H900" t="inlineStr">
        <is>
          <t>General</t>
        </is>
      </c>
      <c r="I900" t="inlineStr">
        <is>
          <t>Generalist</t>
        </is>
      </c>
      <c r="J900" t="inlineStr">
        <is>
          <t>Generalist</t>
        </is>
      </c>
    </row>
    <row r="901">
      <c r="A901" t="inlineStr">
        <is>
          <t>Garlic</t>
        </is>
      </c>
      <c r="B901" t="inlineStr">
        <is>
          <t>Oatstraw</t>
        </is>
      </c>
      <c r="C901" t="n">
        <v>50</v>
      </c>
      <c r="E901" t="inlineStr">
        <is>
          <t>unclassified</t>
        </is>
      </c>
      <c r="G901" t="inlineStr">
        <is>
          <t>General</t>
        </is>
      </c>
      <c r="H901" t="inlineStr">
        <is>
          <t>General</t>
        </is>
      </c>
      <c r="I901" t="inlineStr">
        <is>
          <t>Generalist</t>
        </is>
      </c>
      <c r="J901" t="inlineStr">
        <is>
          <t>Generalist</t>
        </is>
      </c>
    </row>
    <row r="902">
      <c r="A902" t="inlineStr">
        <is>
          <t>Garlic</t>
        </is>
      </c>
      <c r="B902" t="inlineStr">
        <is>
          <t>Passionflower</t>
        </is>
      </c>
      <c r="C902" t="n">
        <v>50</v>
      </c>
      <c r="E902" t="inlineStr">
        <is>
          <t>unclassified</t>
        </is>
      </c>
      <c r="G902" t="inlineStr">
        <is>
          <t>General</t>
        </is>
      </c>
      <c r="H902" t="inlineStr">
        <is>
          <t>General</t>
        </is>
      </c>
      <c r="I902" t="inlineStr">
        <is>
          <t>Generalist</t>
        </is>
      </c>
      <c r="J902" t="inlineStr">
        <is>
          <t>Generalist</t>
        </is>
      </c>
    </row>
    <row r="903">
      <c r="A903" t="inlineStr">
        <is>
          <t>Garlic</t>
        </is>
      </c>
      <c r="B903" t="inlineStr">
        <is>
          <t>Pau d'Arco</t>
        </is>
      </c>
      <c r="C903" t="n">
        <v>50</v>
      </c>
      <c r="E903" t="inlineStr">
        <is>
          <t>unclassified</t>
        </is>
      </c>
      <c r="G903" t="inlineStr">
        <is>
          <t>General</t>
        </is>
      </c>
      <c r="H903" t="inlineStr">
        <is>
          <t>General</t>
        </is>
      </c>
      <c r="I903" t="inlineStr">
        <is>
          <t>Generalist</t>
        </is>
      </c>
      <c r="J903" t="inlineStr">
        <is>
          <t>Generalist</t>
        </is>
      </c>
    </row>
    <row r="904">
      <c r="A904" t="inlineStr">
        <is>
          <t>Garlic</t>
        </is>
      </c>
      <c r="B904" t="inlineStr">
        <is>
          <t>Peppermint</t>
        </is>
      </c>
      <c r="C904" t="n">
        <v>50</v>
      </c>
      <c r="E904" t="inlineStr">
        <is>
          <t>unclassified</t>
        </is>
      </c>
      <c r="G904" t="inlineStr">
        <is>
          <t>General</t>
        </is>
      </c>
      <c r="H904" t="inlineStr">
        <is>
          <t>General</t>
        </is>
      </c>
      <c r="I904" t="inlineStr">
        <is>
          <t>Generalist</t>
        </is>
      </c>
      <c r="J904" t="inlineStr">
        <is>
          <t>Generalist</t>
        </is>
      </c>
    </row>
    <row r="905">
      <c r="A905" t="inlineStr">
        <is>
          <t>Garlic</t>
        </is>
      </c>
      <c r="B905" t="inlineStr">
        <is>
          <t>Perilla</t>
        </is>
      </c>
      <c r="C905" t="n">
        <v>50</v>
      </c>
      <c r="E905" t="inlineStr">
        <is>
          <t>unclassified</t>
        </is>
      </c>
      <c r="G905" t="inlineStr">
        <is>
          <t>General</t>
        </is>
      </c>
      <c r="H905" t="inlineStr">
        <is>
          <t>General</t>
        </is>
      </c>
      <c r="I905" t="inlineStr">
        <is>
          <t>Generalist</t>
        </is>
      </c>
      <c r="J905" t="inlineStr">
        <is>
          <t>Generalist</t>
        </is>
      </c>
    </row>
    <row r="906">
      <c r="A906" t="inlineStr">
        <is>
          <t>Garlic</t>
        </is>
      </c>
      <c r="B906" t="inlineStr">
        <is>
          <t>Pomegranate</t>
        </is>
      </c>
      <c r="C906" t="n">
        <v>50</v>
      </c>
      <c r="E906" t="inlineStr">
        <is>
          <t>unclassified</t>
        </is>
      </c>
      <c r="G906" t="inlineStr">
        <is>
          <t>General</t>
        </is>
      </c>
      <c r="H906" t="inlineStr">
        <is>
          <t>General</t>
        </is>
      </c>
      <c r="I906" t="inlineStr">
        <is>
          <t>Generalist</t>
        </is>
      </c>
      <c r="J906" t="inlineStr">
        <is>
          <t>Generalist</t>
        </is>
      </c>
    </row>
    <row r="907">
      <c r="A907" t="inlineStr">
        <is>
          <t>Garlic</t>
        </is>
      </c>
      <c r="B907" t="inlineStr">
        <is>
          <t>Poria</t>
        </is>
      </c>
      <c r="C907" t="n">
        <v>50</v>
      </c>
      <c r="E907" t="inlineStr">
        <is>
          <t>unclassified</t>
        </is>
      </c>
      <c r="G907" t="inlineStr">
        <is>
          <t>General</t>
        </is>
      </c>
      <c r="H907" t="inlineStr">
        <is>
          <t>General</t>
        </is>
      </c>
      <c r="I907" t="inlineStr">
        <is>
          <t>Generalist</t>
        </is>
      </c>
      <c r="J907" t="inlineStr">
        <is>
          <t>Generalist</t>
        </is>
      </c>
    </row>
    <row r="908">
      <c r="A908" t="inlineStr">
        <is>
          <t>Garlic</t>
        </is>
      </c>
      <c r="B908" t="inlineStr">
        <is>
          <t>Punarnava</t>
        </is>
      </c>
      <c r="C908" t="n">
        <v>50</v>
      </c>
      <c r="E908" t="inlineStr">
        <is>
          <t>unclassified</t>
        </is>
      </c>
      <c r="G908" t="inlineStr">
        <is>
          <t>General</t>
        </is>
      </c>
      <c r="H908" t="inlineStr">
        <is>
          <t>General</t>
        </is>
      </c>
      <c r="I908" t="inlineStr">
        <is>
          <t>Generalist</t>
        </is>
      </c>
      <c r="J908" t="inlineStr">
        <is>
          <t>Generalist</t>
        </is>
      </c>
    </row>
    <row r="909">
      <c r="A909" t="inlineStr">
        <is>
          <t>Garlic</t>
        </is>
      </c>
      <c r="B909" t="inlineStr">
        <is>
          <t>Red Clover</t>
        </is>
      </c>
      <c r="C909" t="n">
        <v>50</v>
      </c>
      <c r="E909" t="inlineStr">
        <is>
          <t>unclassified</t>
        </is>
      </c>
      <c r="G909" t="inlineStr">
        <is>
          <t>General</t>
        </is>
      </c>
      <c r="H909" t="inlineStr">
        <is>
          <t>General</t>
        </is>
      </c>
      <c r="I909" t="inlineStr">
        <is>
          <t>Generalist</t>
        </is>
      </c>
      <c r="J909" t="inlineStr">
        <is>
          <t>Generalist</t>
        </is>
      </c>
    </row>
    <row r="910">
      <c r="A910" t="inlineStr">
        <is>
          <t>Garlic</t>
        </is>
      </c>
      <c r="B910" t="inlineStr">
        <is>
          <t>Rehmannia Prepared</t>
        </is>
      </c>
      <c r="C910" t="n">
        <v>50</v>
      </c>
      <c r="E910" t="inlineStr">
        <is>
          <t>unclassified</t>
        </is>
      </c>
      <c r="G910" t="inlineStr">
        <is>
          <t>General</t>
        </is>
      </c>
      <c r="H910" t="inlineStr">
        <is>
          <t>General</t>
        </is>
      </c>
      <c r="I910" t="inlineStr">
        <is>
          <t>Generalist</t>
        </is>
      </c>
      <c r="J910" t="inlineStr">
        <is>
          <t>Generalist</t>
        </is>
      </c>
    </row>
    <row r="911">
      <c r="A911" t="inlineStr">
        <is>
          <t>Garlic</t>
        </is>
      </c>
      <c r="B911" t="inlineStr">
        <is>
          <t>Reishi</t>
        </is>
      </c>
      <c r="C911" t="n">
        <v>50</v>
      </c>
      <c r="E911" t="inlineStr">
        <is>
          <t>unclassified</t>
        </is>
      </c>
      <c r="G911" t="inlineStr">
        <is>
          <t>General</t>
        </is>
      </c>
      <c r="H911" t="inlineStr">
        <is>
          <t>General</t>
        </is>
      </c>
      <c r="I911" t="inlineStr">
        <is>
          <t>Generalist</t>
        </is>
      </c>
      <c r="J911" t="inlineStr">
        <is>
          <t>Generalist</t>
        </is>
      </c>
    </row>
    <row r="912">
      <c r="A912" t="inlineStr">
        <is>
          <t>Garlic</t>
        </is>
      </c>
      <c r="B912" t="inlineStr">
        <is>
          <t>Rose Hips</t>
        </is>
      </c>
      <c r="C912" t="n">
        <v>50</v>
      </c>
      <c r="E912" t="inlineStr">
        <is>
          <t>unclassified</t>
        </is>
      </c>
      <c r="G912" t="inlineStr">
        <is>
          <t>General</t>
        </is>
      </c>
      <c r="H912" t="inlineStr">
        <is>
          <t>General</t>
        </is>
      </c>
      <c r="I912" t="inlineStr">
        <is>
          <t>Generalist</t>
        </is>
      </c>
      <c r="J912" t="inlineStr">
        <is>
          <t>Generalist</t>
        </is>
      </c>
    </row>
    <row r="913">
      <c r="A913" t="inlineStr">
        <is>
          <t>Garlic</t>
        </is>
      </c>
      <c r="B913" t="inlineStr">
        <is>
          <t>Rosemary</t>
        </is>
      </c>
      <c r="C913" t="n">
        <v>50</v>
      </c>
      <c r="E913" t="inlineStr">
        <is>
          <t>unclassified</t>
        </is>
      </c>
      <c r="G913" t="inlineStr">
        <is>
          <t>General</t>
        </is>
      </c>
      <c r="H913" t="inlineStr">
        <is>
          <t>General</t>
        </is>
      </c>
      <c r="I913" t="inlineStr">
        <is>
          <t>Generalist</t>
        </is>
      </c>
      <c r="J913" t="inlineStr">
        <is>
          <t>Generalist</t>
        </is>
      </c>
    </row>
    <row r="914">
      <c r="A914" t="inlineStr">
        <is>
          <t>Garlic</t>
        </is>
      </c>
      <c r="B914" t="inlineStr">
        <is>
          <t>Sage</t>
        </is>
      </c>
      <c r="C914" t="n">
        <v>50</v>
      </c>
      <c r="E914" t="inlineStr">
        <is>
          <t>unclassified</t>
        </is>
      </c>
      <c r="G914" t="inlineStr">
        <is>
          <t>General</t>
        </is>
      </c>
      <c r="H914" t="inlineStr">
        <is>
          <t>General</t>
        </is>
      </c>
      <c r="I914" t="inlineStr">
        <is>
          <t>Generalist</t>
        </is>
      </c>
      <c r="J914" t="inlineStr">
        <is>
          <t>Generalist</t>
        </is>
      </c>
    </row>
    <row r="915">
      <c r="A915" t="inlineStr">
        <is>
          <t>Garlic</t>
        </is>
      </c>
      <c r="B915" t="inlineStr">
        <is>
          <t>Sophora Flavescens</t>
        </is>
      </c>
      <c r="C915" t="n">
        <v>50</v>
      </c>
      <c r="E915" t="inlineStr">
        <is>
          <t>unclassified</t>
        </is>
      </c>
      <c r="G915" t="inlineStr">
        <is>
          <t>General</t>
        </is>
      </c>
      <c r="H915" t="inlineStr">
        <is>
          <t>General</t>
        </is>
      </c>
      <c r="I915" t="inlineStr">
        <is>
          <t>Generalist</t>
        </is>
      </c>
      <c r="J915" t="inlineStr">
        <is>
          <t>Generalist</t>
        </is>
      </c>
    </row>
    <row r="916">
      <c r="A916" t="inlineStr">
        <is>
          <t>Garlic</t>
        </is>
      </c>
      <c r="B916" t="inlineStr">
        <is>
          <t>Soursop</t>
        </is>
      </c>
      <c r="C916" t="n">
        <v>50</v>
      </c>
      <c r="E916" t="inlineStr">
        <is>
          <t>unclassified</t>
        </is>
      </c>
      <c r="G916" t="inlineStr">
        <is>
          <t>General</t>
        </is>
      </c>
      <c r="H916" t="inlineStr">
        <is>
          <t>General</t>
        </is>
      </c>
      <c r="I916" t="inlineStr">
        <is>
          <t>Generalist</t>
        </is>
      </c>
      <c r="J916" t="inlineStr">
        <is>
          <t>Generalist</t>
        </is>
      </c>
    </row>
    <row r="917">
      <c r="A917" t="inlineStr">
        <is>
          <t>Garlic</t>
        </is>
      </c>
      <c r="B917" t="inlineStr">
        <is>
          <t>St Johns Wort</t>
        </is>
      </c>
      <c r="C917" t="n">
        <v>50</v>
      </c>
      <c r="E917" t="inlineStr">
        <is>
          <t>unclassified</t>
        </is>
      </c>
      <c r="G917" t="inlineStr">
        <is>
          <t>General</t>
        </is>
      </c>
      <c r="H917" t="inlineStr">
        <is>
          <t>General</t>
        </is>
      </c>
      <c r="I917" t="inlineStr">
        <is>
          <t>Generalist</t>
        </is>
      </c>
      <c r="J917" t="inlineStr">
        <is>
          <t>Generalist</t>
        </is>
      </c>
    </row>
    <row r="918">
      <c r="A918" t="inlineStr">
        <is>
          <t>Garlic</t>
        </is>
      </c>
      <c r="B918" t="inlineStr">
        <is>
          <t>Tamarind</t>
        </is>
      </c>
      <c r="C918" t="n">
        <v>50</v>
      </c>
      <c r="E918" t="inlineStr">
        <is>
          <t>unclassified</t>
        </is>
      </c>
      <c r="G918" t="inlineStr">
        <is>
          <t>General</t>
        </is>
      </c>
      <c r="H918" t="inlineStr">
        <is>
          <t>General</t>
        </is>
      </c>
      <c r="I918" t="inlineStr">
        <is>
          <t>Generalist</t>
        </is>
      </c>
      <c r="J918" t="inlineStr">
        <is>
          <t>Generalist</t>
        </is>
      </c>
    </row>
    <row r="919">
      <c r="A919" t="inlineStr">
        <is>
          <t>Garlic</t>
        </is>
      </c>
      <c r="B919" t="inlineStr">
        <is>
          <t>Thyme</t>
        </is>
      </c>
      <c r="C919" t="n">
        <v>50</v>
      </c>
      <c r="E919" t="inlineStr">
        <is>
          <t>unclassified</t>
        </is>
      </c>
      <c r="G919" t="inlineStr">
        <is>
          <t>General</t>
        </is>
      </c>
      <c r="H919" t="inlineStr">
        <is>
          <t>General</t>
        </is>
      </c>
      <c r="I919" t="inlineStr">
        <is>
          <t>Generalist</t>
        </is>
      </c>
      <c r="J919" t="inlineStr">
        <is>
          <t>Generalist</t>
        </is>
      </c>
    </row>
    <row r="920">
      <c r="A920" t="inlineStr">
        <is>
          <t>Garlic</t>
        </is>
      </c>
      <c r="B920" t="inlineStr">
        <is>
          <t>Turmeric</t>
        </is>
      </c>
      <c r="C920" t="n">
        <v>50</v>
      </c>
      <c r="E920" t="inlineStr">
        <is>
          <t>unclassified</t>
        </is>
      </c>
      <c r="G920" t="inlineStr">
        <is>
          <t>General</t>
        </is>
      </c>
      <c r="H920" t="inlineStr">
        <is>
          <t>General</t>
        </is>
      </c>
      <c r="I920" t="inlineStr">
        <is>
          <t>Generalist</t>
        </is>
      </c>
      <c r="J920" t="inlineStr">
        <is>
          <t>Generalist</t>
        </is>
      </c>
    </row>
    <row r="921">
      <c r="A921" t="inlineStr">
        <is>
          <t>Garlic</t>
        </is>
      </c>
      <c r="B921" t="inlineStr">
        <is>
          <t>Valerian</t>
        </is>
      </c>
      <c r="C921" t="n">
        <v>50</v>
      </c>
      <c r="E921" t="inlineStr">
        <is>
          <t>unclassified</t>
        </is>
      </c>
      <c r="G921" t="inlineStr">
        <is>
          <t>General</t>
        </is>
      </c>
      <c r="H921" t="inlineStr">
        <is>
          <t>General</t>
        </is>
      </c>
      <c r="I921" t="inlineStr">
        <is>
          <t>Generalist</t>
        </is>
      </c>
      <c r="J921" t="inlineStr">
        <is>
          <t>Generalist</t>
        </is>
      </c>
    </row>
    <row r="922">
      <c r="A922" t="inlineStr">
        <is>
          <t>Garlic</t>
        </is>
      </c>
      <c r="B922" t="inlineStr">
        <is>
          <t>White Peony</t>
        </is>
      </c>
      <c r="C922" t="n">
        <v>50</v>
      </c>
      <c r="E922" t="inlineStr">
        <is>
          <t>unclassified</t>
        </is>
      </c>
      <c r="G922" t="inlineStr">
        <is>
          <t>General</t>
        </is>
      </c>
      <c r="H922" t="inlineStr">
        <is>
          <t>General</t>
        </is>
      </c>
      <c r="I922" t="inlineStr">
        <is>
          <t>Generalist</t>
        </is>
      </c>
      <c r="J922" t="inlineStr">
        <is>
          <t>Generalist</t>
        </is>
      </c>
    </row>
    <row r="923">
      <c r="A923" t="inlineStr">
        <is>
          <t>Garlic</t>
        </is>
      </c>
      <c r="B923" t="inlineStr">
        <is>
          <t>Yarrow</t>
        </is>
      </c>
      <c r="C923" t="n">
        <v>50</v>
      </c>
      <c r="E923" t="inlineStr">
        <is>
          <t>unclassified</t>
        </is>
      </c>
      <c r="G923" t="inlineStr">
        <is>
          <t>General</t>
        </is>
      </c>
      <c r="H923" t="inlineStr">
        <is>
          <t>General</t>
        </is>
      </c>
      <c r="I923" t="inlineStr">
        <is>
          <t>Generalist</t>
        </is>
      </c>
      <c r="J923" t="inlineStr">
        <is>
          <t>Generalist</t>
        </is>
      </c>
    </row>
    <row r="924">
      <c r="A924" t="inlineStr">
        <is>
          <t>Garlic</t>
        </is>
      </c>
      <c r="B924" t="inlineStr">
        <is>
          <t>Yohimbe</t>
        </is>
      </c>
      <c r="C924" t="n">
        <v>50</v>
      </c>
      <c r="E924" t="inlineStr">
        <is>
          <t>unclassified</t>
        </is>
      </c>
      <c r="G924" t="inlineStr">
        <is>
          <t>General</t>
        </is>
      </c>
      <c r="H924" t="inlineStr">
        <is>
          <t>General</t>
        </is>
      </c>
      <c r="I924" t="inlineStr">
        <is>
          <t>Generalist</t>
        </is>
      </c>
      <c r="J924" t="inlineStr">
        <is>
          <t>Generalist</t>
        </is>
      </c>
    </row>
    <row r="925">
      <c r="A925" t="inlineStr">
        <is>
          <t>Gastrodia</t>
        </is>
      </c>
      <c r="B925" t="inlineStr">
        <is>
          <t>Agarikon</t>
        </is>
      </c>
      <c r="C925" t="n">
        <v>50</v>
      </c>
      <c r="E925" t="inlineStr">
        <is>
          <t>unclassified</t>
        </is>
      </c>
      <c r="G925" t="inlineStr">
        <is>
          <t>General</t>
        </is>
      </c>
      <c r="H925" t="inlineStr">
        <is>
          <t>General</t>
        </is>
      </c>
      <c r="I925" t="inlineStr">
        <is>
          <t>Generalist</t>
        </is>
      </c>
      <c r="J925" t="inlineStr">
        <is>
          <t>Generalist</t>
        </is>
      </c>
    </row>
    <row r="926">
      <c r="A926" t="inlineStr">
        <is>
          <t>Gastrodia</t>
        </is>
      </c>
      <c r="B926" t="inlineStr">
        <is>
          <t>Ajwain</t>
        </is>
      </c>
      <c r="C926" t="n">
        <v>50</v>
      </c>
      <c r="E926" t="inlineStr">
        <is>
          <t>unclassified</t>
        </is>
      </c>
      <c r="G926" t="inlineStr">
        <is>
          <t>General</t>
        </is>
      </c>
      <c r="H926" t="inlineStr">
        <is>
          <t>General</t>
        </is>
      </c>
      <c r="I926" t="inlineStr">
        <is>
          <t>Generalist</t>
        </is>
      </c>
      <c r="J926" t="inlineStr">
        <is>
          <t>Generalist</t>
        </is>
      </c>
    </row>
    <row r="927">
      <c r="A927" t="inlineStr">
        <is>
          <t>Gastrodia</t>
        </is>
      </c>
      <c r="B927" t="inlineStr">
        <is>
          <t>Angelica Root</t>
        </is>
      </c>
      <c r="C927" t="n">
        <v>50</v>
      </c>
      <c r="E927" t="inlineStr">
        <is>
          <t>unclassified</t>
        </is>
      </c>
      <c r="G927" t="inlineStr">
        <is>
          <t>General</t>
        </is>
      </c>
      <c r="H927" t="inlineStr">
        <is>
          <t>General</t>
        </is>
      </c>
      <c r="I927" t="inlineStr">
        <is>
          <t>Generalist</t>
        </is>
      </c>
      <c r="J927" t="inlineStr">
        <is>
          <t>Generalist</t>
        </is>
      </c>
    </row>
    <row r="928">
      <c r="A928" t="inlineStr">
        <is>
          <t>Gastrodia</t>
        </is>
      </c>
      <c r="B928" t="inlineStr">
        <is>
          <t>Caraway</t>
        </is>
      </c>
      <c r="C928" t="n">
        <v>50</v>
      </c>
      <c r="E928" t="inlineStr">
        <is>
          <t>unclassified</t>
        </is>
      </c>
      <c r="G928" t="inlineStr">
        <is>
          <t>General</t>
        </is>
      </c>
      <c r="H928" t="inlineStr">
        <is>
          <t>General</t>
        </is>
      </c>
      <c r="I928" t="inlineStr">
        <is>
          <t>Generalist</t>
        </is>
      </c>
      <c r="J928" t="inlineStr">
        <is>
          <t>Generalist</t>
        </is>
      </c>
    </row>
    <row r="929">
      <c r="A929" t="inlineStr">
        <is>
          <t>Gastrodia</t>
        </is>
      </c>
      <c r="B929" t="inlineStr">
        <is>
          <t>Cardamom</t>
        </is>
      </c>
      <c r="C929" t="n">
        <v>50</v>
      </c>
      <c r="E929" t="inlineStr">
        <is>
          <t>unclassified</t>
        </is>
      </c>
      <c r="G929" t="inlineStr">
        <is>
          <t>General</t>
        </is>
      </c>
      <c r="H929" t="inlineStr">
        <is>
          <t>General</t>
        </is>
      </c>
      <c r="I929" t="inlineStr">
        <is>
          <t>Generalist</t>
        </is>
      </c>
      <c r="J929" t="inlineStr">
        <is>
          <t>Generalist</t>
        </is>
      </c>
    </row>
    <row r="930">
      <c r="A930" t="inlineStr">
        <is>
          <t>Gastrodia</t>
        </is>
      </c>
      <c r="B930" t="inlineStr">
        <is>
          <t>Celastrus Paniculatus</t>
        </is>
      </c>
      <c r="C930" t="n">
        <v>50</v>
      </c>
      <c r="E930" t="inlineStr">
        <is>
          <t>unclassified</t>
        </is>
      </c>
      <c r="G930" t="inlineStr">
        <is>
          <t>General</t>
        </is>
      </c>
      <c r="H930" t="inlineStr">
        <is>
          <t>General</t>
        </is>
      </c>
      <c r="I930" t="inlineStr">
        <is>
          <t>Generalist</t>
        </is>
      </c>
      <c r="J930" t="inlineStr">
        <is>
          <t>Generalist</t>
        </is>
      </c>
    </row>
    <row r="931">
      <c r="A931" t="inlineStr">
        <is>
          <t>Gastrodia</t>
        </is>
      </c>
      <c r="B931" t="inlineStr">
        <is>
          <t>Cordyceps</t>
        </is>
      </c>
      <c r="C931" t="n">
        <v>50</v>
      </c>
      <c r="E931" t="inlineStr">
        <is>
          <t>unclassified</t>
        </is>
      </c>
      <c r="G931" t="inlineStr">
        <is>
          <t>General</t>
        </is>
      </c>
      <c r="H931" t="inlineStr">
        <is>
          <t>General</t>
        </is>
      </c>
      <c r="I931" t="inlineStr">
        <is>
          <t>Generalist</t>
        </is>
      </c>
      <c r="J931" t="inlineStr">
        <is>
          <t>Generalist</t>
        </is>
      </c>
    </row>
    <row r="932">
      <c r="A932" t="inlineStr">
        <is>
          <t>Gastrodia</t>
        </is>
      </c>
      <c r="B932" t="inlineStr">
        <is>
          <t>Dendrobium</t>
        </is>
      </c>
      <c r="C932" t="n">
        <v>50</v>
      </c>
      <c r="E932" t="inlineStr">
        <is>
          <t>unclassified</t>
        </is>
      </c>
      <c r="G932" t="inlineStr">
        <is>
          <t>General</t>
        </is>
      </c>
      <c r="H932" t="inlineStr">
        <is>
          <t>General</t>
        </is>
      </c>
      <c r="I932" t="inlineStr">
        <is>
          <t>Generalist</t>
        </is>
      </c>
      <c r="J932" t="inlineStr">
        <is>
          <t>Generalist</t>
        </is>
      </c>
    </row>
    <row r="933">
      <c r="A933" t="inlineStr">
        <is>
          <t>Gastrodia</t>
        </is>
      </c>
      <c r="B933" t="inlineStr">
        <is>
          <t>Elecampane</t>
        </is>
      </c>
      <c r="C933" t="n">
        <v>50</v>
      </c>
      <c r="E933" t="inlineStr">
        <is>
          <t>unclassified</t>
        </is>
      </c>
      <c r="G933" t="inlineStr">
        <is>
          <t>General</t>
        </is>
      </c>
      <c r="H933" t="inlineStr">
        <is>
          <t>General</t>
        </is>
      </c>
      <c r="I933" t="inlineStr">
        <is>
          <t>Generalist</t>
        </is>
      </c>
      <c r="J933" t="inlineStr">
        <is>
          <t>Generalist</t>
        </is>
      </c>
    </row>
    <row r="934">
      <c r="A934" t="inlineStr">
        <is>
          <t>Gastrodia</t>
        </is>
      </c>
      <c r="B934" t="inlineStr">
        <is>
          <t>Eleuthero</t>
        </is>
      </c>
      <c r="C934" t="n">
        <v>50</v>
      </c>
      <c r="E934" t="inlineStr">
        <is>
          <t>unclassified</t>
        </is>
      </c>
      <c r="G934" t="inlineStr">
        <is>
          <t>General</t>
        </is>
      </c>
      <c r="H934" t="inlineStr">
        <is>
          <t>General</t>
        </is>
      </c>
      <c r="I934" t="inlineStr">
        <is>
          <t>Generalist</t>
        </is>
      </c>
      <c r="J934" t="inlineStr">
        <is>
          <t>Generalist</t>
        </is>
      </c>
    </row>
    <row r="935">
      <c r="A935" t="inlineStr">
        <is>
          <t>Gastrodia</t>
        </is>
      </c>
      <c r="B935" t="inlineStr">
        <is>
          <t>Galangal</t>
        </is>
      </c>
      <c r="C935" t="n">
        <v>50</v>
      </c>
      <c r="E935" t="inlineStr">
        <is>
          <t>unclassified</t>
        </is>
      </c>
      <c r="G935" t="inlineStr">
        <is>
          <t>General</t>
        </is>
      </c>
      <c r="H935" t="inlineStr">
        <is>
          <t>General</t>
        </is>
      </c>
      <c r="I935" t="inlineStr">
        <is>
          <t>Generalist</t>
        </is>
      </c>
      <c r="J935" t="inlineStr">
        <is>
          <t>Generalist</t>
        </is>
      </c>
    </row>
    <row r="936">
      <c r="A936" t="inlineStr">
        <is>
          <t>Gastrodia</t>
        </is>
      </c>
      <c r="B936" t="inlineStr">
        <is>
          <t>Gudmar</t>
        </is>
      </c>
      <c r="C936" t="n">
        <v>50</v>
      </c>
      <c r="E936" t="inlineStr">
        <is>
          <t>unclassified</t>
        </is>
      </c>
      <c r="G936" t="inlineStr">
        <is>
          <t>General</t>
        </is>
      </c>
      <c r="H936" t="inlineStr">
        <is>
          <t>General</t>
        </is>
      </c>
      <c r="I936" t="inlineStr">
        <is>
          <t>Generalist</t>
        </is>
      </c>
      <c r="J936" t="inlineStr">
        <is>
          <t>Generalist</t>
        </is>
      </c>
    </row>
    <row r="937">
      <c r="A937" t="inlineStr">
        <is>
          <t>Gastrodia</t>
        </is>
      </c>
      <c r="B937" t="inlineStr">
        <is>
          <t>Houttuynia</t>
        </is>
      </c>
      <c r="C937" t="n">
        <v>50</v>
      </c>
      <c r="E937" t="inlineStr">
        <is>
          <t>unclassified</t>
        </is>
      </c>
      <c r="G937" t="inlineStr">
        <is>
          <t>General</t>
        </is>
      </c>
      <c r="H937" t="inlineStr">
        <is>
          <t>General</t>
        </is>
      </c>
      <c r="I937" t="inlineStr">
        <is>
          <t>Generalist</t>
        </is>
      </c>
      <c r="J937" t="inlineStr">
        <is>
          <t>Generalist</t>
        </is>
      </c>
    </row>
    <row r="938">
      <c r="A938" t="inlineStr">
        <is>
          <t>Gastrodia</t>
        </is>
      </c>
      <c r="B938" t="inlineStr">
        <is>
          <t>Isatis</t>
        </is>
      </c>
      <c r="C938" t="n">
        <v>50</v>
      </c>
      <c r="E938" t="inlineStr">
        <is>
          <t>unclassified</t>
        </is>
      </c>
      <c r="G938" t="inlineStr">
        <is>
          <t>General</t>
        </is>
      </c>
      <c r="H938" t="inlineStr">
        <is>
          <t>General</t>
        </is>
      </c>
      <c r="I938" t="inlineStr">
        <is>
          <t>Generalist</t>
        </is>
      </c>
      <c r="J938" t="inlineStr">
        <is>
          <t>Generalist</t>
        </is>
      </c>
    </row>
    <row r="939">
      <c r="A939" t="inlineStr">
        <is>
          <t>Gastrodia</t>
        </is>
      </c>
      <c r="B939" t="inlineStr">
        <is>
          <t>Maitake D-Fraction</t>
        </is>
      </c>
      <c r="C939" t="n">
        <v>50</v>
      </c>
      <c r="E939" t="inlineStr">
        <is>
          <t>unclassified</t>
        </is>
      </c>
      <c r="G939" t="inlineStr">
        <is>
          <t>General</t>
        </is>
      </c>
      <c r="H939" t="inlineStr">
        <is>
          <t>General</t>
        </is>
      </c>
      <c r="I939" t="inlineStr">
        <is>
          <t>Generalist</t>
        </is>
      </c>
      <c r="J939" t="inlineStr">
        <is>
          <t>Generalist</t>
        </is>
      </c>
    </row>
    <row r="940">
      <c r="A940" t="inlineStr">
        <is>
          <t>Gastrodia</t>
        </is>
      </c>
      <c r="B940" t="inlineStr">
        <is>
          <t>Muira Puama</t>
        </is>
      </c>
      <c r="C940" t="n">
        <v>50</v>
      </c>
      <c r="E940" t="inlineStr">
        <is>
          <t>unclassified</t>
        </is>
      </c>
      <c r="G940" t="inlineStr">
        <is>
          <t>General</t>
        </is>
      </c>
      <c r="H940" t="inlineStr">
        <is>
          <t>General</t>
        </is>
      </c>
      <c r="I940" t="inlineStr">
        <is>
          <t>Generalist</t>
        </is>
      </c>
      <c r="J940" t="inlineStr">
        <is>
          <t>Generalist</t>
        </is>
      </c>
    </row>
    <row r="941">
      <c r="A941" t="inlineStr">
        <is>
          <t>Gastrodia</t>
        </is>
      </c>
      <c r="B941" t="inlineStr">
        <is>
          <t>Nettle Root</t>
        </is>
      </c>
      <c r="C941" t="n">
        <v>50</v>
      </c>
      <c r="E941" t="inlineStr">
        <is>
          <t>unclassified</t>
        </is>
      </c>
      <c r="G941" t="inlineStr">
        <is>
          <t>General</t>
        </is>
      </c>
      <c r="H941" t="inlineStr">
        <is>
          <t>General</t>
        </is>
      </c>
      <c r="I941" t="inlineStr">
        <is>
          <t>Generalist</t>
        </is>
      </c>
      <c r="J941" t="inlineStr">
        <is>
          <t>Generalist</t>
        </is>
      </c>
    </row>
    <row r="942">
      <c r="A942" t="inlineStr">
        <is>
          <t>Gastrodia</t>
        </is>
      </c>
      <c r="B942" t="inlineStr">
        <is>
          <t>Passionflower</t>
        </is>
      </c>
      <c r="C942" t="n">
        <v>50</v>
      </c>
      <c r="E942" t="inlineStr">
        <is>
          <t>unclassified</t>
        </is>
      </c>
      <c r="G942" t="inlineStr">
        <is>
          <t>General</t>
        </is>
      </c>
      <c r="H942" t="inlineStr">
        <is>
          <t>General</t>
        </is>
      </c>
      <c r="I942" t="inlineStr">
        <is>
          <t>Generalist</t>
        </is>
      </c>
      <c r="J942" t="inlineStr">
        <is>
          <t>Generalist</t>
        </is>
      </c>
    </row>
    <row r="943">
      <c r="A943" t="inlineStr">
        <is>
          <t>Gastrodia</t>
        </is>
      </c>
      <c r="B943" t="inlineStr">
        <is>
          <t>Poria</t>
        </is>
      </c>
      <c r="C943" t="n">
        <v>50</v>
      </c>
      <c r="E943" t="inlineStr">
        <is>
          <t>unclassified</t>
        </is>
      </c>
      <c r="G943" t="inlineStr">
        <is>
          <t>General</t>
        </is>
      </c>
      <c r="H943" t="inlineStr">
        <is>
          <t>General</t>
        </is>
      </c>
      <c r="I943" t="inlineStr">
        <is>
          <t>Generalist</t>
        </is>
      </c>
      <c r="J943" t="inlineStr">
        <is>
          <t>Generalist</t>
        </is>
      </c>
    </row>
    <row r="944">
      <c r="A944" t="inlineStr">
        <is>
          <t>Gastrodia</t>
        </is>
      </c>
      <c r="B944" t="inlineStr">
        <is>
          <t>Punarnava</t>
        </is>
      </c>
      <c r="C944" t="n">
        <v>50</v>
      </c>
      <c r="E944" t="inlineStr">
        <is>
          <t>unclassified</t>
        </is>
      </c>
      <c r="G944" t="inlineStr">
        <is>
          <t>General</t>
        </is>
      </c>
      <c r="H944" t="inlineStr">
        <is>
          <t>General</t>
        </is>
      </c>
      <c r="I944" t="inlineStr">
        <is>
          <t>Generalist</t>
        </is>
      </c>
      <c r="J944" t="inlineStr">
        <is>
          <t>Generalist</t>
        </is>
      </c>
    </row>
    <row r="945">
      <c r="A945" t="inlineStr">
        <is>
          <t>Gastrodia</t>
        </is>
      </c>
      <c r="B945" t="inlineStr">
        <is>
          <t>Rehmannia Prepared</t>
        </is>
      </c>
      <c r="C945" t="n">
        <v>50</v>
      </c>
      <c r="E945" t="inlineStr">
        <is>
          <t>unclassified</t>
        </is>
      </c>
      <c r="G945" t="inlineStr">
        <is>
          <t>General</t>
        </is>
      </c>
      <c r="H945" t="inlineStr">
        <is>
          <t>General</t>
        </is>
      </c>
      <c r="I945" t="inlineStr">
        <is>
          <t>Generalist</t>
        </is>
      </c>
      <c r="J945" t="inlineStr">
        <is>
          <t>Generalist</t>
        </is>
      </c>
    </row>
    <row r="946">
      <c r="A946" t="inlineStr">
        <is>
          <t>Gastrodia</t>
        </is>
      </c>
      <c r="B946" t="inlineStr">
        <is>
          <t>Reishi</t>
        </is>
      </c>
      <c r="C946" t="n">
        <v>50</v>
      </c>
      <c r="E946" t="inlineStr">
        <is>
          <t>unclassified</t>
        </is>
      </c>
      <c r="G946" t="inlineStr">
        <is>
          <t>General</t>
        </is>
      </c>
      <c r="H946" t="inlineStr">
        <is>
          <t>General</t>
        </is>
      </c>
      <c r="I946" t="inlineStr">
        <is>
          <t>Generalist</t>
        </is>
      </c>
      <c r="J946" t="inlineStr">
        <is>
          <t>Generalist</t>
        </is>
      </c>
    </row>
    <row r="947">
      <c r="A947" t="inlineStr">
        <is>
          <t>Gastrodia</t>
        </is>
      </c>
      <c r="B947" t="inlineStr">
        <is>
          <t>Sophora Flavescens</t>
        </is>
      </c>
      <c r="C947" t="n">
        <v>50</v>
      </c>
      <c r="E947" t="inlineStr">
        <is>
          <t>unclassified</t>
        </is>
      </c>
      <c r="G947" t="inlineStr">
        <is>
          <t>General</t>
        </is>
      </c>
      <c r="H947" t="inlineStr">
        <is>
          <t>General</t>
        </is>
      </c>
      <c r="I947" t="inlineStr">
        <is>
          <t>Generalist</t>
        </is>
      </c>
      <c r="J947" t="inlineStr">
        <is>
          <t>Generalist</t>
        </is>
      </c>
    </row>
    <row r="948">
      <c r="A948" t="inlineStr">
        <is>
          <t>Gastrodia</t>
        </is>
      </c>
      <c r="B948" t="inlineStr">
        <is>
          <t>Tamarind</t>
        </is>
      </c>
      <c r="C948" t="n">
        <v>50</v>
      </c>
      <c r="E948" t="inlineStr">
        <is>
          <t>unclassified</t>
        </is>
      </c>
      <c r="G948" t="inlineStr">
        <is>
          <t>General</t>
        </is>
      </c>
      <c r="H948" t="inlineStr">
        <is>
          <t>General</t>
        </is>
      </c>
      <c r="I948" t="inlineStr">
        <is>
          <t>Generalist</t>
        </is>
      </c>
      <c r="J948" t="inlineStr">
        <is>
          <t>Generalist</t>
        </is>
      </c>
    </row>
    <row r="949">
      <c r="A949" t="inlineStr">
        <is>
          <t>Gastrodia</t>
        </is>
      </c>
      <c r="B949" t="inlineStr">
        <is>
          <t>White Peony</t>
        </is>
      </c>
      <c r="C949" t="n">
        <v>50</v>
      </c>
      <c r="E949" t="inlineStr">
        <is>
          <t>unclassified</t>
        </is>
      </c>
      <c r="G949" t="inlineStr">
        <is>
          <t>General</t>
        </is>
      </c>
      <c r="H949" t="inlineStr">
        <is>
          <t>General</t>
        </is>
      </c>
      <c r="I949" t="inlineStr">
        <is>
          <t>Generalist</t>
        </is>
      </c>
      <c r="J949" t="inlineStr">
        <is>
          <t>Generalist</t>
        </is>
      </c>
    </row>
    <row r="950">
      <c r="A950" t="inlineStr">
        <is>
          <t>Gastrodia</t>
        </is>
      </c>
      <c r="B950" t="inlineStr">
        <is>
          <t>Yohimbe</t>
        </is>
      </c>
      <c r="C950" t="n">
        <v>50</v>
      </c>
      <c r="E950" t="inlineStr">
        <is>
          <t>unclassified</t>
        </is>
      </c>
      <c r="G950" t="inlineStr">
        <is>
          <t>General</t>
        </is>
      </c>
      <c r="H950" t="inlineStr">
        <is>
          <t>General</t>
        </is>
      </c>
      <c r="I950" t="inlineStr">
        <is>
          <t>Generalist</t>
        </is>
      </c>
      <c r="J950" t="inlineStr">
        <is>
          <t>Generalist</t>
        </is>
      </c>
    </row>
    <row r="951">
      <c r="A951" t="inlineStr">
        <is>
          <t>Ginger</t>
        </is>
      </c>
      <c r="B951" t="inlineStr">
        <is>
          <t>Agarikon</t>
        </is>
      </c>
      <c r="C951" t="n">
        <v>50</v>
      </c>
      <c r="E951" t="inlineStr">
        <is>
          <t>unclassified</t>
        </is>
      </c>
      <c r="G951" t="inlineStr">
        <is>
          <t>General</t>
        </is>
      </c>
      <c r="H951" t="inlineStr">
        <is>
          <t>General</t>
        </is>
      </c>
      <c r="I951" t="inlineStr">
        <is>
          <t>Generalist</t>
        </is>
      </c>
      <c r="J951" t="inlineStr">
        <is>
          <t>Generalist</t>
        </is>
      </c>
    </row>
    <row r="952">
      <c r="A952" t="inlineStr">
        <is>
          <t>Ginger</t>
        </is>
      </c>
      <c r="B952" t="inlineStr">
        <is>
          <t>Ajwain</t>
        </is>
      </c>
      <c r="C952" t="n">
        <v>50</v>
      </c>
      <c r="E952" t="inlineStr">
        <is>
          <t>unclassified</t>
        </is>
      </c>
      <c r="G952" t="inlineStr">
        <is>
          <t>General</t>
        </is>
      </c>
      <c r="H952" t="inlineStr">
        <is>
          <t>General</t>
        </is>
      </c>
      <c r="I952" t="inlineStr">
        <is>
          <t>Generalist</t>
        </is>
      </c>
      <c r="J952" t="inlineStr">
        <is>
          <t>Generalist</t>
        </is>
      </c>
    </row>
    <row r="953">
      <c r="A953" t="inlineStr">
        <is>
          <t>Ginger</t>
        </is>
      </c>
      <c r="B953" t="inlineStr">
        <is>
          <t>Angelica Root</t>
        </is>
      </c>
      <c r="C953" t="n">
        <v>50</v>
      </c>
      <c r="E953" t="inlineStr">
        <is>
          <t>unclassified</t>
        </is>
      </c>
      <c r="G953" t="inlineStr">
        <is>
          <t>General</t>
        </is>
      </c>
      <c r="H953" t="inlineStr">
        <is>
          <t>General</t>
        </is>
      </c>
      <c r="I953" t="inlineStr">
        <is>
          <t>Generalist</t>
        </is>
      </c>
      <c r="J953" t="inlineStr">
        <is>
          <t>Generalist</t>
        </is>
      </c>
    </row>
    <row r="954">
      <c r="A954" t="inlineStr">
        <is>
          <t>Ginger</t>
        </is>
      </c>
      <c r="B954" t="inlineStr">
        <is>
          <t>Artichoke</t>
        </is>
      </c>
      <c r="C954" t="n">
        <v>50</v>
      </c>
      <c r="E954" t="inlineStr">
        <is>
          <t>unclassified</t>
        </is>
      </c>
      <c r="G954" t="inlineStr">
        <is>
          <t>General</t>
        </is>
      </c>
      <c r="H954" t="inlineStr">
        <is>
          <t>General</t>
        </is>
      </c>
      <c r="I954" t="inlineStr">
        <is>
          <t>Generalist</t>
        </is>
      </c>
      <c r="J954" t="inlineStr">
        <is>
          <t>Generalist</t>
        </is>
      </c>
    </row>
    <row r="955">
      <c r="A955" t="inlineStr">
        <is>
          <t>Ginger</t>
        </is>
      </c>
      <c r="B955" t="inlineStr">
        <is>
          <t>Ashoka</t>
        </is>
      </c>
      <c r="C955" t="n">
        <v>50</v>
      </c>
      <c r="E955" t="inlineStr">
        <is>
          <t>unclassified</t>
        </is>
      </c>
      <c r="G955" t="inlineStr">
        <is>
          <t>General</t>
        </is>
      </c>
      <c r="H955" t="inlineStr">
        <is>
          <t>General</t>
        </is>
      </c>
      <c r="I955" t="inlineStr">
        <is>
          <t>Generalist</t>
        </is>
      </c>
      <c r="J955" t="inlineStr">
        <is>
          <t>Generalist</t>
        </is>
      </c>
    </row>
    <row r="956">
      <c r="A956" t="inlineStr">
        <is>
          <t>Ginger</t>
        </is>
      </c>
      <c r="B956" t="inlineStr">
        <is>
          <t>Blue Lotus</t>
        </is>
      </c>
      <c r="C956" t="n">
        <v>50</v>
      </c>
      <c r="E956" t="inlineStr">
        <is>
          <t>unclassified</t>
        </is>
      </c>
      <c r="G956" t="inlineStr">
        <is>
          <t>General</t>
        </is>
      </c>
      <c r="H956" t="inlineStr">
        <is>
          <t>General</t>
        </is>
      </c>
      <c r="I956" t="inlineStr">
        <is>
          <t>Generalist</t>
        </is>
      </c>
      <c r="J956" t="inlineStr">
        <is>
          <t>Generalist</t>
        </is>
      </c>
    </row>
    <row r="957">
      <c r="A957" t="inlineStr">
        <is>
          <t>Ginger</t>
        </is>
      </c>
      <c r="B957" t="inlineStr">
        <is>
          <t>Boldo</t>
        </is>
      </c>
      <c r="C957" t="n">
        <v>50</v>
      </c>
      <c r="E957" t="inlineStr">
        <is>
          <t>unclassified</t>
        </is>
      </c>
      <c r="G957" t="inlineStr">
        <is>
          <t>General</t>
        </is>
      </c>
      <c r="H957" t="inlineStr">
        <is>
          <t>General</t>
        </is>
      </c>
      <c r="I957" t="inlineStr">
        <is>
          <t>Generalist</t>
        </is>
      </c>
      <c r="J957" t="inlineStr">
        <is>
          <t>Generalist</t>
        </is>
      </c>
    </row>
    <row r="958">
      <c r="A958" t="inlineStr">
        <is>
          <t>Ginger</t>
        </is>
      </c>
      <c r="B958" t="inlineStr">
        <is>
          <t>Burdock</t>
        </is>
      </c>
      <c r="C958" t="n">
        <v>50</v>
      </c>
      <c r="E958" t="inlineStr">
        <is>
          <t>unclassified</t>
        </is>
      </c>
      <c r="G958" t="inlineStr">
        <is>
          <t>General</t>
        </is>
      </c>
      <c r="H958" t="inlineStr">
        <is>
          <t>General</t>
        </is>
      </c>
      <c r="I958" t="inlineStr">
        <is>
          <t>Generalist</t>
        </is>
      </c>
      <c r="J958" t="inlineStr">
        <is>
          <t>Generalist</t>
        </is>
      </c>
    </row>
    <row r="959">
      <c r="A959" t="inlineStr">
        <is>
          <t>Ginger</t>
        </is>
      </c>
      <c r="B959" t="inlineStr">
        <is>
          <t>Butterbur</t>
        </is>
      </c>
      <c r="C959" t="n">
        <v>50</v>
      </c>
      <c r="E959" t="inlineStr">
        <is>
          <t>unclassified</t>
        </is>
      </c>
      <c r="G959" t="inlineStr">
        <is>
          <t>General</t>
        </is>
      </c>
      <c r="H959" t="inlineStr">
        <is>
          <t>General</t>
        </is>
      </c>
      <c r="I959" t="inlineStr">
        <is>
          <t>Generalist</t>
        </is>
      </c>
      <c r="J959" t="inlineStr">
        <is>
          <t>Generalist</t>
        </is>
      </c>
    </row>
    <row r="960">
      <c r="A960" t="inlineStr">
        <is>
          <t>Ginger</t>
        </is>
      </c>
      <c r="B960" t="inlineStr">
        <is>
          <t>Calendula</t>
        </is>
      </c>
      <c r="C960" t="n">
        <v>50</v>
      </c>
      <c r="E960" t="inlineStr">
        <is>
          <t>unclassified</t>
        </is>
      </c>
      <c r="G960" t="inlineStr">
        <is>
          <t>General</t>
        </is>
      </c>
      <c r="H960" t="inlineStr">
        <is>
          <t>General</t>
        </is>
      </c>
      <c r="I960" t="inlineStr">
        <is>
          <t>Generalist</t>
        </is>
      </c>
      <c r="J960" t="inlineStr">
        <is>
          <t>Generalist</t>
        </is>
      </c>
    </row>
    <row r="961">
      <c r="A961" t="inlineStr">
        <is>
          <t>Ginger</t>
        </is>
      </c>
      <c r="B961" t="inlineStr">
        <is>
          <t>Caraway</t>
        </is>
      </c>
      <c r="C961" t="n">
        <v>50</v>
      </c>
      <c r="E961" t="inlineStr">
        <is>
          <t>unclassified</t>
        </is>
      </c>
      <c r="G961" t="inlineStr">
        <is>
          <t>General</t>
        </is>
      </c>
      <c r="H961" t="inlineStr">
        <is>
          <t>General</t>
        </is>
      </c>
      <c r="I961" t="inlineStr">
        <is>
          <t>Generalist</t>
        </is>
      </c>
      <c r="J961" t="inlineStr">
        <is>
          <t>Generalist</t>
        </is>
      </c>
    </row>
    <row r="962">
      <c r="A962" t="inlineStr">
        <is>
          <t>Ginger</t>
        </is>
      </c>
      <c r="B962" t="inlineStr">
        <is>
          <t>Cardamom</t>
        </is>
      </c>
      <c r="C962" t="n">
        <v>50</v>
      </c>
      <c r="E962" t="inlineStr">
        <is>
          <t>unclassified</t>
        </is>
      </c>
      <c r="G962" t="inlineStr">
        <is>
          <t>General</t>
        </is>
      </c>
      <c r="H962" t="inlineStr">
        <is>
          <t>General</t>
        </is>
      </c>
      <c r="I962" t="inlineStr">
        <is>
          <t>Generalist</t>
        </is>
      </c>
      <c r="J962" t="inlineStr">
        <is>
          <t>Generalist</t>
        </is>
      </c>
    </row>
    <row r="963">
      <c r="A963" t="inlineStr">
        <is>
          <t>Ginger</t>
        </is>
      </c>
      <c r="B963" t="inlineStr">
        <is>
          <t>Celastrus Paniculatus</t>
        </is>
      </c>
      <c r="C963" t="n">
        <v>50</v>
      </c>
      <c r="E963" t="inlineStr">
        <is>
          <t>unclassified</t>
        </is>
      </c>
      <c r="G963" t="inlineStr">
        <is>
          <t>General</t>
        </is>
      </c>
      <c r="H963" t="inlineStr">
        <is>
          <t>General</t>
        </is>
      </c>
      <c r="I963" t="inlineStr">
        <is>
          <t>Generalist</t>
        </is>
      </c>
      <c r="J963" t="inlineStr">
        <is>
          <t>Generalist</t>
        </is>
      </c>
    </row>
    <row r="964">
      <c r="A964" t="inlineStr">
        <is>
          <t>Ginger</t>
        </is>
      </c>
      <c r="B964" t="inlineStr">
        <is>
          <t>Cinnamon</t>
        </is>
      </c>
      <c r="C964" t="n">
        <v>50</v>
      </c>
      <c r="E964" t="inlineStr">
        <is>
          <t>unclassified</t>
        </is>
      </c>
      <c r="G964" t="inlineStr">
        <is>
          <t>General</t>
        </is>
      </c>
      <c r="H964" t="inlineStr">
        <is>
          <t>General</t>
        </is>
      </c>
      <c r="I964" t="inlineStr">
        <is>
          <t>Generalist</t>
        </is>
      </c>
      <c r="J964" t="inlineStr">
        <is>
          <t>Generalist</t>
        </is>
      </c>
    </row>
    <row r="965">
      <c r="A965" t="inlineStr">
        <is>
          <t>Ginger</t>
        </is>
      </c>
      <c r="B965" t="inlineStr">
        <is>
          <t>Cistanche</t>
        </is>
      </c>
      <c r="C965" t="n">
        <v>50</v>
      </c>
      <c r="E965" t="inlineStr">
        <is>
          <t>unclassified</t>
        </is>
      </c>
      <c r="G965" t="inlineStr">
        <is>
          <t>General</t>
        </is>
      </c>
      <c r="H965" t="inlineStr">
        <is>
          <t>General</t>
        </is>
      </c>
      <c r="I965" t="inlineStr">
        <is>
          <t>Generalist</t>
        </is>
      </c>
      <c r="J965" t="inlineStr">
        <is>
          <t>Generalist</t>
        </is>
      </c>
    </row>
    <row r="966">
      <c r="A966" t="inlineStr">
        <is>
          <t>Ginger</t>
        </is>
      </c>
      <c r="B966" t="inlineStr">
        <is>
          <t>Cordyceps</t>
        </is>
      </c>
      <c r="C966" t="n">
        <v>50</v>
      </c>
      <c r="E966" t="inlineStr">
        <is>
          <t>unclassified</t>
        </is>
      </c>
      <c r="G966" t="inlineStr">
        <is>
          <t>General</t>
        </is>
      </c>
      <c r="H966" t="inlineStr">
        <is>
          <t>General</t>
        </is>
      </c>
      <c r="I966" t="inlineStr">
        <is>
          <t>Generalist</t>
        </is>
      </c>
      <c r="J966" t="inlineStr">
        <is>
          <t>Generalist</t>
        </is>
      </c>
    </row>
    <row r="967">
      <c r="A967" t="inlineStr">
        <is>
          <t>Ginger</t>
        </is>
      </c>
      <c r="B967" t="inlineStr">
        <is>
          <t>Damiana</t>
        </is>
      </c>
      <c r="C967" t="n">
        <v>50</v>
      </c>
      <c r="E967" t="inlineStr">
        <is>
          <t>unclassified</t>
        </is>
      </c>
      <c r="G967" t="inlineStr">
        <is>
          <t>General</t>
        </is>
      </c>
      <c r="H967" t="inlineStr">
        <is>
          <t>General</t>
        </is>
      </c>
      <c r="I967" t="inlineStr">
        <is>
          <t>Generalist</t>
        </is>
      </c>
      <c r="J967" t="inlineStr">
        <is>
          <t>Generalist</t>
        </is>
      </c>
    </row>
    <row r="968">
      <c r="A968" t="inlineStr">
        <is>
          <t>Ginger</t>
        </is>
      </c>
      <c r="B968" t="inlineStr">
        <is>
          <t>Dandelion</t>
        </is>
      </c>
      <c r="C968" t="n">
        <v>50</v>
      </c>
      <c r="E968" t="inlineStr">
        <is>
          <t>unclassified</t>
        </is>
      </c>
      <c r="G968" t="inlineStr">
        <is>
          <t>General</t>
        </is>
      </c>
      <c r="H968" t="inlineStr">
        <is>
          <t>General</t>
        </is>
      </c>
      <c r="I968" t="inlineStr">
        <is>
          <t>Generalist</t>
        </is>
      </c>
      <c r="J968" t="inlineStr">
        <is>
          <t>Generalist</t>
        </is>
      </c>
    </row>
    <row r="969">
      <c r="A969" t="inlineStr">
        <is>
          <t>Ginger</t>
        </is>
      </c>
      <c r="B969" t="inlineStr">
        <is>
          <t>Dendrobium</t>
        </is>
      </c>
      <c r="C969" t="n">
        <v>50</v>
      </c>
      <c r="E969" t="inlineStr">
        <is>
          <t>unclassified</t>
        </is>
      </c>
      <c r="G969" t="inlineStr">
        <is>
          <t>General</t>
        </is>
      </c>
      <c r="H969" t="inlineStr">
        <is>
          <t>General</t>
        </is>
      </c>
      <c r="I969" t="inlineStr">
        <is>
          <t>Generalist</t>
        </is>
      </c>
      <c r="J969" t="inlineStr">
        <is>
          <t>Generalist</t>
        </is>
      </c>
    </row>
    <row r="970">
      <c r="A970" t="inlineStr">
        <is>
          <t>Ginger</t>
        </is>
      </c>
      <c r="B970" t="inlineStr">
        <is>
          <t>Dong Quai</t>
        </is>
      </c>
      <c r="C970" t="n">
        <v>50</v>
      </c>
      <c r="E970" t="inlineStr">
        <is>
          <t>unclassified</t>
        </is>
      </c>
      <c r="G970" t="inlineStr">
        <is>
          <t>General</t>
        </is>
      </c>
      <c r="H970" t="inlineStr">
        <is>
          <t>General</t>
        </is>
      </c>
      <c r="I970" t="inlineStr">
        <is>
          <t>Generalist</t>
        </is>
      </c>
      <c r="J970" t="inlineStr">
        <is>
          <t>Generalist</t>
        </is>
      </c>
    </row>
    <row r="971">
      <c r="A971" t="inlineStr">
        <is>
          <t>Ginger</t>
        </is>
      </c>
      <c r="B971" t="inlineStr">
        <is>
          <t>Elecampane</t>
        </is>
      </c>
      <c r="C971" t="n">
        <v>50</v>
      </c>
      <c r="E971" t="inlineStr">
        <is>
          <t>unclassified</t>
        </is>
      </c>
      <c r="G971" t="inlineStr">
        <is>
          <t>General</t>
        </is>
      </c>
      <c r="H971" t="inlineStr">
        <is>
          <t>General</t>
        </is>
      </c>
      <c r="I971" t="inlineStr">
        <is>
          <t>Generalist</t>
        </is>
      </c>
      <c r="J971" t="inlineStr">
        <is>
          <t>Generalist</t>
        </is>
      </c>
    </row>
    <row r="972">
      <c r="A972" t="inlineStr">
        <is>
          <t>Ginger</t>
        </is>
      </c>
      <c r="B972" t="inlineStr">
        <is>
          <t>Eleuthero</t>
        </is>
      </c>
      <c r="C972" t="n">
        <v>50</v>
      </c>
      <c r="E972" t="inlineStr">
        <is>
          <t>unclassified</t>
        </is>
      </c>
      <c r="G972" t="inlineStr">
        <is>
          <t>General</t>
        </is>
      </c>
      <c r="H972" t="inlineStr">
        <is>
          <t>General</t>
        </is>
      </c>
      <c r="I972" t="inlineStr">
        <is>
          <t>Generalist</t>
        </is>
      </c>
      <c r="J972" t="inlineStr">
        <is>
          <t>Generalist</t>
        </is>
      </c>
    </row>
    <row r="973">
      <c r="A973" t="inlineStr">
        <is>
          <t>Ginger</t>
        </is>
      </c>
      <c r="B973" t="inlineStr">
        <is>
          <t>Fennel</t>
        </is>
      </c>
      <c r="C973" t="n">
        <v>50</v>
      </c>
      <c r="E973" t="inlineStr">
        <is>
          <t>unclassified</t>
        </is>
      </c>
      <c r="G973" t="inlineStr">
        <is>
          <t>General</t>
        </is>
      </c>
      <c r="H973" t="inlineStr">
        <is>
          <t>General</t>
        </is>
      </c>
      <c r="I973" t="inlineStr">
        <is>
          <t>Generalist</t>
        </is>
      </c>
      <c r="J973" t="inlineStr">
        <is>
          <t>Generalist</t>
        </is>
      </c>
    </row>
    <row r="974">
      <c r="A974" t="inlineStr">
        <is>
          <t>Ginger</t>
        </is>
      </c>
      <c r="B974" t="inlineStr">
        <is>
          <t>Feverfew</t>
        </is>
      </c>
      <c r="C974" t="n">
        <v>50</v>
      </c>
      <c r="E974" t="inlineStr">
        <is>
          <t>unclassified</t>
        </is>
      </c>
      <c r="G974" t="inlineStr">
        <is>
          <t>General</t>
        </is>
      </c>
      <c r="H974" t="inlineStr">
        <is>
          <t>General</t>
        </is>
      </c>
      <c r="I974" t="inlineStr">
        <is>
          <t>Generalist</t>
        </is>
      </c>
      <c r="J974" t="inlineStr">
        <is>
          <t>Generalist</t>
        </is>
      </c>
    </row>
    <row r="975">
      <c r="A975" t="inlineStr">
        <is>
          <t>Ginger</t>
        </is>
      </c>
      <c r="B975" t="inlineStr">
        <is>
          <t>Galangal</t>
        </is>
      </c>
      <c r="C975" t="n">
        <v>50</v>
      </c>
      <c r="E975" t="inlineStr">
        <is>
          <t>unclassified</t>
        </is>
      </c>
      <c r="G975" t="inlineStr">
        <is>
          <t>General</t>
        </is>
      </c>
      <c r="H975" t="inlineStr">
        <is>
          <t>General</t>
        </is>
      </c>
      <c r="I975" t="inlineStr">
        <is>
          <t>Generalist</t>
        </is>
      </c>
      <c r="J975" t="inlineStr">
        <is>
          <t>Generalist</t>
        </is>
      </c>
    </row>
    <row r="976">
      <c r="A976" t="inlineStr">
        <is>
          <t>Ginger</t>
        </is>
      </c>
      <c r="B976" t="inlineStr">
        <is>
          <t>Gastrodia</t>
        </is>
      </c>
      <c r="C976" t="n">
        <v>50</v>
      </c>
      <c r="E976" t="inlineStr">
        <is>
          <t>unclassified</t>
        </is>
      </c>
      <c r="G976" t="inlineStr">
        <is>
          <t>General</t>
        </is>
      </c>
      <c r="H976" t="inlineStr">
        <is>
          <t>General</t>
        </is>
      </c>
      <c r="I976" t="inlineStr">
        <is>
          <t>Generalist</t>
        </is>
      </c>
      <c r="J976" t="inlineStr">
        <is>
          <t>Generalist</t>
        </is>
      </c>
    </row>
    <row r="977">
      <c r="A977" t="inlineStr">
        <is>
          <t>Ginger</t>
        </is>
      </c>
      <c r="B977" t="inlineStr">
        <is>
          <t>Gudmar</t>
        </is>
      </c>
      <c r="C977" t="n">
        <v>50</v>
      </c>
      <c r="E977" t="inlineStr">
        <is>
          <t>unclassified</t>
        </is>
      </c>
      <c r="G977" t="inlineStr">
        <is>
          <t>General</t>
        </is>
      </c>
      <c r="H977" t="inlineStr">
        <is>
          <t>General</t>
        </is>
      </c>
      <c r="I977" t="inlineStr">
        <is>
          <t>Generalist</t>
        </is>
      </c>
      <c r="J977" t="inlineStr">
        <is>
          <t>Generalist</t>
        </is>
      </c>
    </row>
    <row r="978">
      <c r="A978" t="inlineStr">
        <is>
          <t>Ginger</t>
        </is>
      </c>
      <c r="B978" t="inlineStr">
        <is>
          <t>Gymnema</t>
        </is>
      </c>
      <c r="C978" t="n">
        <v>50</v>
      </c>
      <c r="E978" t="inlineStr">
        <is>
          <t>unclassified</t>
        </is>
      </c>
      <c r="G978" t="inlineStr">
        <is>
          <t>General</t>
        </is>
      </c>
      <c r="H978" t="inlineStr">
        <is>
          <t>General</t>
        </is>
      </c>
      <c r="I978" t="inlineStr">
        <is>
          <t>Generalist</t>
        </is>
      </c>
      <c r="J978" t="inlineStr">
        <is>
          <t>Generalist</t>
        </is>
      </c>
    </row>
    <row r="979">
      <c r="A979" t="inlineStr">
        <is>
          <t>Ginger</t>
        </is>
      </c>
      <c r="B979" t="inlineStr">
        <is>
          <t>Hops</t>
        </is>
      </c>
      <c r="C979" t="n">
        <v>50</v>
      </c>
      <c r="E979" t="inlineStr">
        <is>
          <t>unclassified</t>
        </is>
      </c>
      <c r="G979" t="inlineStr">
        <is>
          <t>General</t>
        </is>
      </c>
      <c r="H979" t="inlineStr">
        <is>
          <t>General</t>
        </is>
      </c>
      <c r="I979" t="inlineStr">
        <is>
          <t>Generalist</t>
        </is>
      </c>
      <c r="J979" t="inlineStr">
        <is>
          <t>Generalist</t>
        </is>
      </c>
    </row>
    <row r="980">
      <c r="A980" t="inlineStr">
        <is>
          <t>Ginger</t>
        </is>
      </c>
      <c r="B980" t="inlineStr">
        <is>
          <t>Houttuynia</t>
        </is>
      </c>
      <c r="C980" t="n">
        <v>50</v>
      </c>
      <c r="E980" t="inlineStr">
        <is>
          <t>unclassified</t>
        </is>
      </c>
      <c r="G980" t="inlineStr">
        <is>
          <t>General</t>
        </is>
      </c>
      <c r="H980" t="inlineStr">
        <is>
          <t>General</t>
        </is>
      </c>
      <c r="I980" t="inlineStr">
        <is>
          <t>Generalist</t>
        </is>
      </c>
      <c r="J980" t="inlineStr">
        <is>
          <t>Generalist</t>
        </is>
      </c>
    </row>
    <row r="981">
      <c r="A981" t="inlineStr">
        <is>
          <t>Ginger</t>
        </is>
      </c>
      <c r="B981" t="inlineStr">
        <is>
          <t>Isatis</t>
        </is>
      </c>
      <c r="C981" t="n">
        <v>50</v>
      </c>
      <c r="E981" t="inlineStr">
        <is>
          <t>unclassified</t>
        </is>
      </c>
      <c r="G981" t="inlineStr">
        <is>
          <t>General</t>
        </is>
      </c>
      <c r="H981" t="inlineStr">
        <is>
          <t>General</t>
        </is>
      </c>
      <c r="I981" t="inlineStr">
        <is>
          <t>Generalist</t>
        </is>
      </c>
      <c r="J981" t="inlineStr">
        <is>
          <t>Generalist</t>
        </is>
      </c>
    </row>
    <row r="982">
      <c r="A982" t="inlineStr">
        <is>
          <t>Ginger</t>
        </is>
      </c>
      <c r="B982" t="inlineStr">
        <is>
          <t>Jatamansi</t>
        </is>
      </c>
      <c r="C982" t="n">
        <v>50</v>
      </c>
      <c r="E982" t="inlineStr">
        <is>
          <t>unclassified</t>
        </is>
      </c>
      <c r="G982" t="inlineStr">
        <is>
          <t>General</t>
        </is>
      </c>
      <c r="H982" t="inlineStr">
        <is>
          <t>General</t>
        </is>
      </c>
      <c r="I982" t="inlineStr">
        <is>
          <t>Generalist</t>
        </is>
      </c>
      <c r="J982" t="inlineStr">
        <is>
          <t>Generalist</t>
        </is>
      </c>
    </row>
    <row r="983">
      <c r="A983" t="inlineStr">
        <is>
          <t>Ginger</t>
        </is>
      </c>
      <c r="B983" t="inlineStr">
        <is>
          <t>Kava</t>
        </is>
      </c>
      <c r="C983" t="n">
        <v>50</v>
      </c>
      <c r="E983" t="inlineStr">
        <is>
          <t>unclassified</t>
        </is>
      </c>
      <c r="G983" t="inlineStr">
        <is>
          <t>General</t>
        </is>
      </c>
      <c r="H983" t="inlineStr">
        <is>
          <t>General</t>
        </is>
      </c>
      <c r="I983" t="inlineStr">
        <is>
          <t>Generalist</t>
        </is>
      </c>
      <c r="J983" t="inlineStr">
        <is>
          <t>Generalist</t>
        </is>
      </c>
    </row>
    <row r="984">
      <c r="A984" t="inlineStr">
        <is>
          <t>Ginger</t>
        </is>
      </c>
      <c r="B984" t="inlineStr">
        <is>
          <t>Kudzu</t>
        </is>
      </c>
      <c r="C984" t="n">
        <v>50</v>
      </c>
      <c r="E984" t="inlineStr">
        <is>
          <t>unclassified</t>
        </is>
      </c>
      <c r="G984" t="inlineStr">
        <is>
          <t>General</t>
        </is>
      </c>
      <c r="H984" t="inlineStr">
        <is>
          <t>General</t>
        </is>
      </c>
      <c r="I984" t="inlineStr">
        <is>
          <t>Generalist</t>
        </is>
      </c>
      <c r="J984" t="inlineStr">
        <is>
          <t>Generalist</t>
        </is>
      </c>
    </row>
    <row r="985">
      <c r="A985" t="inlineStr">
        <is>
          <t>Ginger</t>
        </is>
      </c>
      <c r="B985" t="inlineStr">
        <is>
          <t>Lemon Balm</t>
        </is>
      </c>
      <c r="C985" t="n">
        <v>50</v>
      </c>
      <c r="E985" t="inlineStr">
        <is>
          <t>unclassified</t>
        </is>
      </c>
      <c r="G985" t="inlineStr">
        <is>
          <t>General</t>
        </is>
      </c>
      <c r="H985" t="inlineStr">
        <is>
          <t>General</t>
        </is>
      </c>
      <c r="I985" t="inlineStr">
        <is>
          <t>Generalist</t>
        </is>
      </c>
      <c r="J985" t="inlineStr">
        <is>
          <t>Generalist</t>
        </is>
      </c>
    </row>
    <row r="986">
      <c r="A986" t="inlineStr">
        <is>
          <t>Ginger</t>
        </is>
      </c>
      <c r="B986" t="inlineStr">
        <is>
          <t>Lemon Verbena</t>
        </is>
      </c>
      <c r="C986" t="n">
        <v>50</v>
      </c>
      <c r="E986" t="inlineStr">
        <is>
          <t>unclassified</t>
        </is>
      </c>
      <c r="G986" t="inlineStr">
        <is>
          <t>General</t>
        </is>
      </c>
      <c r="H986" t="inlineStr">
        <is>
          <t>General</t>
        </is>
      </c>
      <c r="I986" t="inlineStr">
        <is>
          <t>Generalist</t>
        </is>
      </c>
      <c r="J986" t="inlineStr">
        <is>
          <t>Generalist</t>
        </is>
      </c>
    </row>
    <row r="987">
      <c r="A987" t="inlineStr">
        <is>
          <t>Ginger</t>
        </is>
      </c>
      <c r="B987" t="inlineStr">
        <is>
          <t>Lemongrass</t>
        </is>
      </c>
      <c r="C987" t="n">
        <v>50</v>
      </c>
      <c r="E987" t="inlineStr">
        <is>
          <t>unclassified</t>
        </is>
      </c>
      <c r="G987" t="inlineStr">
        <is>
          <t>General</t>
        </is>
      </c>
      <c r="H987" t="inlineStr">
        <is>
          <t>General</t>
        </is>
      </c>
      <c r="I987" t="inlineStr">
        <is>
          <t>Generalist</t>
        </is>
      </c>
      <c r="J987" t="inlineStr">
        <is>
          <t>Generalist</t>
        </is>
      </c>
    </row>
    <row r="988">
      <c r="A988" t="inlineStr">
        <is>
          <t>Ginger</t>
        </is>
      </c>
      <c r="B988" t="inlineStr">
        <is>
          <t>Longan</t>
        </is>
      </c>
      <c r="C988" t="n">
        <v>50</v>
      </c>
      <c r="E988" t="inlineStr">
        <is>
          <t>unclassified</t>
        </is>
      </c>
      <c r="G988" t="inlineStr">
        <is>
          <t>General</t>
        </is>
      </c>
      <c r="H988" t="inlineStr">
        <is>
          <t>General</t>
        </is>
      </c>
      <c r="I988" t="inlineStr">
        <is>
          <t>Generalist</t>
        </is>
      </c>
      <c r="J988" t="inlineStr">
        <is>
          <t>Generalist</t>
        </is>
      </c>
    </row>
    <row r="989">
      <c r="A989" t="inlineStr">
        <is>
          <t>Ginger</t>
        </is>
      </c>
      <c r="B989" t="inlineStr">
        <is>
          <t>Maitake D-Fraction</t>
        </is>
      </c>
      <c r="C989" t="n">
        <v>50</v>
      </c>
      <c r="E989" t="inlineStr">
        <is>
          <t>unclassified</t>
        </is>
      </c>
      <c r="G989" t="inlineStr">
        <is>
          <t>General</t>
        </is>
      </c>
      <c r="H989" t="inlineStr">
        <is>
          <t>General</t>
        </is>
      </c>
      <c r="I989" t="inlineStr">
        <is>
          <t>Generalist</t>
        </is>
      </c>
      <c r="J989" t="inlineStr">
        <is>
          <t>Generalist</t>
        </is>
      </c>
    </row>
    <row r="990">
      <c r="A990" t="inlineStr">
        <is>
          <t>Ginger</t>
        </is>
      </c>
      <c r="B990" t="inlineStr">
        <is>
          <t>Milk Oats</t>
        </is>
      </c>
      <c r="C990" t="n">
        <v>50</v>
      </c>
      <c r="E990" t="inlineStr">
        <is>
          <t>unclassified</t>
        </is>
      </c>
      <c r="G990" t="inlineStr">
        <is>
          <t>General</t>
        </is>
      </c>
      <c r="H990" t="inlineStr">
        <is>
          <t>General</t>
        </is>
      </c>
      <c r="I990" t="inlineStr">
        <is>
          <t>Generalist</t>
        </is>
      </c>
      <c r="J990" t="inlineStr">
        <is>
          <t>Generalist</t>
        </is>
      </c>
    </row>
    <row r="991">
      <c r="A991" t="inlineStr">
        <is>
          <t>Ginger</t>
        </is>
      </c>
      <c r="B991" t="inlineStr">
        <is>
          <t>Mugwort</t>
        </is>
      </c>
      <c r="C991" t="n">
        <v>50</v>
      </c>
      <c r="E991" t="inlineStr">
        <is>
          <t>unclassified</t>
        </is>
      </c>
      <c r="G991" t="inlineStr">
        <is>
          <t>General</t>
        </is>
      </c>
      <c r="H991" t="inlineStr">
        <is>
          <t>General</t>
        </is>
      </c>
      <c r="I991" t="inlineStr">
        <is>
          <t>Generalist</t>
        </is>
      </c>
      <c r="J991" t="inlineStr">
        <is>
          <t>Generalist</t>
        </is>
      </c>
    </row>
    <row r="992">
      <c r="A992" t="inlineStr">
        <is>
          <t>Ginger</t>
        </is>
      </c>
      <c r="B992" t="inlineStr">
        <is>
          <t>Muira Puama</t>
        </is>
      </c>
      <c r="C992" t="n">
        <v>50</v>
      </c>
      <c r="E992" t="inlineStr">
        <is>
          <t>unclassified</t>
        </is>
      </c>
      <c r="G992" t="inlineStr">
        <is>
          <t>General</t>
        </is>
      </c>
      <c r="H992" t="inlineStr">
        <is>
          <t>General</t>
        </is>
      </c>
      <c r="I992" t="inlineStr">
        <is>
          <t>Generalist</t>
        </is>
      </c>
      <c r="J992" t="inlineStr">
        <is>
          <t>Generalist</t>
        </is>
      </c>
    </row>
    <row r="993">
      <c r="A993" t="inlineStr">
        <is>
          <t>Ginger</t>
        </is>
      </c>
      <c r="B993" t="inlineStr">
        <is>
          <t>Mulberry Leaf</t>
        </is>
      </c>
      <c r="C993" t="n">
        <v>50</v>
      </c>
      <c r="E993" t="inlineStr">
        <is>
          <t>unclassified</t>
        </is>
      </c>
      <c r="G993" t="inlineStr">
        <is>
          <t>General</t>
        </is>
      </c>
      <c r="H993" t="inlineStr">
        <is>
          <t>General</t>
        </is>
      </c>
      <c r="I993" t="inlineStr">
        <is>
          <t>Generalist</t>
        </is>
      </c>
      <c r="J993" t="inlineStr">
        <is>
          <t>Generalist</t>
        </is>
      </c>
    </row>
    <row r="994">
      <c r="A994" t="inlineStr">
        <is>
          <t>Ginger</t>
        </is>
      </c>
      <c r="B994" t="inlineStr">
        <is>
          <t>Myrtle</t>
        </is>
      </c>
      <c r="C994" t="n">
        <v>50</v>
      </c>
      <c r="E994" t="inlineStr">
        <is>
          <t>unclassified</t>
        </is>
      </c>
      <c r="G994" t="inlineStr">
        <is>
          <t>General</t>
        </is>
      </c>
      <c r="H994" t="inlineStr">
        <is>
          <t>General</t>
        </is>
      </c>
      <c r="I994" t="inlineStr">
        <is>
          <t>Generalist</t>
        </is>
      </c>
      <c r="J994" t="inlineStr">
        <is>
          <t>Generalist</t>
        </is>
      </c>
    </row>
    <row r="995">
      <c r="A995" t="inlineStr">
        <is>
          <t>Ginger</t>
        </is>
      </c>
      <c r="B995" t="inlineStr">
        <is>
          <t>Neem</t>
        </is>
      </c>
      <c r="C995" t="n">
        <v>50</v>
      </c>
      <c r="E995" t="inlineStr">
        <is>
          <t>unclassified</t>
        </is>
      </c>
      <c r="G995" t="inlineStr">
        <is>
          <t>General</t>
        </is>
      </c>
      <c r="H995" t="inlineStr">
        <is>
          <t>General</t>
        </is>
      </c>
      <c r="I995" t="inlineStr">
        <is>
          <t>Generalist</t>
        </is>
      </c>
      <c r="J995" t="inlineStr">
        <is>
          <t>Generalist</t>
        </is>
      </c>
    </row>
    <row r="996">
      <c r="A996" t="inlineStr">
        <is>
          <t>Ginger</t>
        </is>
      </c>
      <c r="B996" t="inlineStr">
        <is>
          <t>Nettle Root</t>
        </is>
      </c>
      <c r="C996" t="n">
        <v>50</v>
      </c>
      <c r="E996" t="inlineStr">
        <is>
          <t>unclassified</t>
        </is>
      </c>
      <c r="G996" t="inlineStr">
        <is>
          <t>General</t>
        </is>
      </c>
      <c r="H996" t="inlineStr">
        <is>
          <t>General</t>
        </is>
      </c>
      <c r="I996" t="inlineStr">
        <is>
          <t>Generalist</t>
        </is>
      </c>
      <c r="J996" t="inlineStr">
        <is>
          <t>Generalist</t>
        </is>
      </c>
    </row>
    <row r="997">
      <c r="A997" t="inlineStr">
        <is>
          <t>Ginger</t>
        </is>
      </c>
      <c r="B997" t="inlineStr">
        <is>
          <t>Noni</t>
        </is>
      </c>
      <c r="C997" t="n">
        <v>50</v>
      </c>
      <c r="E997" t="inlineStr">
        <is>
          <t>unclassified</t>
        </is>
      </c>
      <c r="G997" t="inlineStr">
        <is>
          <t>General</t>
        </is>
      </c>
      <c r="H997" t="inlineStr">
        <is>
          <t>General</t>
        </is>
      </c>
      <c r="I997" t="inlineStr">
        <is>
          <t>Generalist</t>
        </is>
      </c>
      <c r="J997" t="inlineStr">
        <is>
          <t>Generalist</t>
        </is>
      </c>
    </row>
    <row r="998">
      <c r="A998" t="inlineStr">
        <is>
          <t>Ginger</t>
        </is>
      </c>
      <c r="B998" t="inlineStr">
        <is>
          <t>Oatstraw</t>
        </is>
      </c>
      <c r="C998" t="n">
        <v>50</v>
      </c>
      <c r="E998" t="inlineStr">
        <is>
          <t>unclassified</t>
        </is>
      </c>
      <c r="G998" t="inlineStr">
        <is>
          <t>General</t>
        </is>
      </c>
      <c r="H998" t="inlineStr">
        <is>
          <t>General</t>
        </is>
      </c>
      <c r="I998" t="inlineStr">
        <is>
          <t>Generalist</t>
        </is>
      </c>
      <c r="J998" t="inlineStr">
        <is>
          <t>Generalist</t>
        </is>
      </c>
    </row>
    <row r="999">
      <c r="A999" t="inlineStr">
        <is>
          <t>Ginger</t>
        </is>
      </c>
      <c r="B999" t="inlineStr">
        <is>
          <t>Passionflower</t>
        </is>
      </c>
      <c r="C999" t="n">
        <v>50</v>
      </c>
      <c r="E999" t="inlineStr">
        <is>
          <t>unclassified</t>
        </is>
      </c>
      <c r="G999" t="inlineStr">
        <is>
          <t>General</t>
        </is>
      </c>
      <c r="H999" t="inlineStr">
        <is>
          <t>General</t>
        </is>
      </c>
      <c r="I999" t="inlineStr">
        <is>
          <t>Generalist</t>
        </is>
      </c>
      <c r="J999" t="inlineStr">
        <is>
          <t>Generalist</t>
        </is>
      </c>
    </row>
    <row r="1000">
      <c r="A1000" t="inlineStr">
        <is>
          <t>Ginger</t>
        </is>
      </c>
      <c r="B1000" t="inlineStr">
        <is>
          <t>Pau d'Arco</t>
        </is>
      </c>
      <c r="C1000" t="n">
        <v>50</v>
      </c>
      <c r="E1000" t="inlineStr">
        <is>
          <t>unclassified</t>
        </is>
      </c>
      <c r="G1000" t="inlineStr">
        <is>
          <t>General</t>
        </is>
      </c>
      <c r="H1000" t="inlineStr">
        <is>
          <t>General</t>
        </is>
      </c>
      <c r="I1000" t="inlineStr">
        <is>
          <t>Generalist</t>
        </is>
      </c>
      <c r="J1000" t="inlineStr">
        <is>
          <t>Generalist</t>
        </is>
      </c>
    </row>
    <row r="1001">
      <c r="A1001" t="inlineStr">
        <is>
          <t>Ginger</t>
        </is>
      </c>
      <c r="B1001" t="inlineStr">
        <is>
          <t>Peppermint</t>
        </is>
      </c>
      <c r="C1001" t="n">
        <v>50</v>
      </c>
      <c r="E1001" t="inlineStr">
        <is>
          <t>unclassified</t>
        </is>
      </c>
      <c r="G1001" t="inlineStr">
        <is>
          <t>General</t>
        </is>
      </c>
      <c r="H1001" t="inlineStr">
        <is>
          <t>General</t>
        </is>
      </c>
      <c r="I1001" t="inlineStr">
        <is>
          <t>Generalist</t>
        </is>
      </c>
      <c r="J1001" t="inlineStr">
        <is>
          <t>Generalist</t>
        </is>
      </c>
    </row>
    <row r="1002">
      <c r="A1002" t="inlineStr">
        <is>
          <t>Ginger</t>
        </is>
      </c>
      <c r="B1002" t="inlineStr">
        <is>
          <t>Perilla</t>
        </is>
      </c>
      <c r="C1002" t="n">
        <v>50</v>
      </c>
      <c r="E1002" t="inlineStr">
        <is>
          <t>unclassified</t>
        </is>
      </c>
      <c r="G1002" t="inlineStr">
        <is>
          <t>General</t>
        </is>
      </c>
      <c r="H1002" t="inlineStr">
        <is>
          <t>General</t>
        </is>
      </c>
      <c r="I1002" t="inlineStr">
        <is>
          <t>Generalist</t>
        </is>
      </c>
      <c r="J1002" t="inlineStr">
        <is>
          <t>Generalist</t>
        </is>
      </c>
    </row>
    <row r="1003">
      <c r="A1003" t="inlineStr">
        <is>
          <t>Ginger</t>
        </is>
      </c>
      <c r="B1003" t="inlineStr">
        <is>
          <t>Pomegranate</t>
        </is>
      </c>
      <c r="C1003" t="n">
        <v>50</v>
      </c>
      <c r="E1003" t="inlineStr">
        <is>
          <t>unclassified</t>
        </is>
      </c>
      <c r="G1003" t="inlineStr">
        <is>
          <t>General</t>
        </is>
      </c>
      <c r="H1003" t="inlineStr">
        <is>
          <t>General</t>
        </is>
      </c>
      <c r="I1003" t="inlineStr">
        <is>
          <t>Generalist</t>
        </is>
      </c>
      <c r="J1003" t="inlineStr">
        <is>
          <t>Generalist</t>
        </is>
      </c>
    </row>
    <row r="1004">
      <c r="A1004" t="inlineStr">
        <is>
          <t>Ginger</t>
        </is>
      </c>
      <c r="B1004" t="inlineStr">
        <is>
          <t>Poria</t>
        </is>
      </c>
      <c r="C1004" t="n">
        <v>50</v>
      </c>
      <c r="E1004" t="inlineStr">
        <is>
          <t>unclassified</t>
        </is>
      </c>
      <c r="G1004" t="inlineStr">
        <is>
          <t>General</t>
        </is>
      </c>
      <c r="H1004" t="inlineStr">
        <is>
          <t>General</t>
        </is>
      </c>
      <c r="I1004" t="inlineStr">
        <is>
          <t>Generalist</t>
        </is>
      </c>
      <c r="J1004" t="inlineStr">
        <is>
          <t>Generalist</t>
        </is>
      </c>
    </row>
    <row r="1005">
      <c r="A1005" t="inlineStr">
        <is>
          <t>Ginger</t>
        </is>
      </c>
      <c r="B1005" t="inlineStr">
        <is>
          <t>Punarnava</t>
        </is>
      </c>
      <c r="C1005" t="n">
        <v>50</v>
      </c>
      <c r="E1005" t="inlineStr">
        <is>
          <t>unclassified</t>
        </is>
      </c>
      <c r="G1005" t="inlineStr">
        <is>
          <t>General</t>
        </is>
      </c>
      <c r="H1005" t="inlineStr">
        <is>
          <t>General</t>
        </is>
      </c>
      <c r="I1005" t="inlineStr">
        <is>
          <t>Generalist</t>
        </is>
      </c>
      <c r="J1005" t="inlineStr">
        <is>
          <t>Generalist</t>
        </is>
      </c>
    </row>
    <row r="1006">
      <c r="A1006" t="inlineStr">
        <is>
          <t>Ginger</t>
        </is>
      </c>
      <c r="B1006" t="inlineStr">
        <is>
          <t>Red Clover</t>
        </is>
      </c>
      <c r="C1006" t="n">
        <v>50</v>
      </c>
      <c r="E1006" t="inlineStr">
        <is>
          <t>unclassified</t>
        </is>
      </c>
      <c r="G1006" t="inlineStr">
        <is>
          <t>General</t>
        </is>
      </c>
      <c r="H1006" t="inlineStr">
        <is>
          <t>General</t>
        </is>
      </c>
      <c r="I1006" t="inlineStr">
        <is>
          <t>Generalist</t>
        </is>
      </c>
      <c r="J1006" t="inlineStr">
        <is>
          <t>Generalist</t>
        </is>
      </c>
    </row>
    <row r="1007">
      <c r="A1007" t="inlineStr">
        <is>
          <t>Ginger</t>
        </is>
      </c>
      <c r="B1007" t="inlineStr">
        <is>
          <t>Rehmannia Prepared</t>
        </is>
      </c>
      <c r="C1007" t="n">
        <v>50</v>
      </c>
      <c r="E1007" t="inlineStr">
        <is>
          <t>unclassified</t>
        </is>
      </c>
      <c r="G1007" t="inlineStr">
        <is>
          <t>General</t>
        </is>
      </c>
      <c r="H1007" t="inlineStr">
        <is>
          <t>General</t>
        </is>
      </c>
      <c r="I1007" t="inlineStr">
        <is>
          <t>Generalist</t>
        </is>
      </c>
      <c r="J1007" t="inlineStr">
        <is>
          <t>Generalist</t>
        </is>
      </c>
    </row>
    <row r="1008">
      <c r="A1008" t="inlineStr">
        <is>
          <t>Ginger</t>
        </is>
      </c>
      <c r="B1008" t="inlineStr">
        <is>
          <t>Reishi</t>
        </is>
      </c>
      <c r="C1008" t="n">
        <v>50</v>
      </c>
      <c r="E1008" t="inlineStr">
        <is>
          <t>unclassified</t>
        </is>
      </c>
      <c r="G1008" t="inlineStr">
        <is>
          <t>General</t>
        </is>
      </c>
      <c r="H1008" t="inlineStr">
        <is>
          <t>General</t>
        </is>
      </c>
      <c r="I1008" t="inlineStr">
        <is>
          <t>Generalist</t>
        </is>
      </c>
      <c r="J1008" t="inlineStr">
        <is>
          <t>Generalist</t>
        </is>
      </c>
    </row>
    <row r="1009">
      <c r="A1009" t="inlineStr">
        <is>
          <t>Ginger</t>
        </is>
      </c>
      <c r="B1009" t="inlineStr">
        <is>
          <t>Rose Hips</t>
        </is>
      </c>
      <c r="C1009" t="n">
        <v>50</v>
      </c>
      <c r="E1009" t="inlineStr">
        <is>
          <t>unclassified</t>
        </is>
      </c>
      <c r="G1009" t="inlineStr">
        <is>
          <t>General</t>
        </is>
      </c>
      <c r="H1009" t="inlineStr">
        <is>
          <t>General</t>
        </is>
      </c>
      <c r="I1009" t="inlineStr">
        <is>
          <t>Generalist</t>
        </is>
      </c>
      <c r="J1009" t="inlineStr">
        <is>
          <t>Generalist</t>
        </is>
      </c>
    </row>
    <row r="1010">
      <c r="A1010" t="inlineStr">
        <is>
          <t>Ginger</t>
        </is>
      </c>
      <c r="B1010" t="inlineStr">
        <is>
          <t>Rosemary</t>
        </is>
      </c>
      <c r="C1010" t="n">
        <v>50</v>
      </c>
      <c r="E1010" t="inlineStr">
        <is>
          <t>unclassified</t>
        </is>
      </c>
      <c r="G1010" t="inlineStr">
        <is>
          <t>General</t>
        </is>
      </c>
      <c r="H1010" t="inlineStr">
        <is>
          <t>General</t>
        </is>
      </c>
      <c r="I1010" t="inlineStr">
        <is>
          <t>Generalist</t>
        </is>
      </c>
      <c r="J1010" t="inlineStr">
        <is>
          <t>Generalist</t>
        </is>
      </c>
    </row>
    <row r="1011">
      <c r="A1011" t="inlineStr">
        <is>
          <t>Ginger</t>
        </is>
      </c>
      <c r="B1011" t="inlineStr">
        <is>
          <t>Sage</t>
        </is>
      </c>
      <c r="C1011" t="n">
        <v>50</v>
      </c>
      <c r="E1011" t="inlineStr">
        <is>
          <t>unclassified</t>
        </is>
      </c>
      <c r="G1011" t="inlineStr">
        <is>
          <t>General</t>
        </is>
      </c>
      <c r="H1011" t="inlineStr">
        <is>
          <t>General</t>
        </is>
      </c>
      <c r="I1011" t="inlineStr">
        <is>
          <t>Generalist</t>
        </is>
      </c>
      <c r="J1011" t="inlineStr">
        <is>
          <t>Generalist</t>
        </is>
      </c>
    </row>
    <row r="1012">
      <c r="A1012" t="inlineStr">
        <is>
          <t>Ginger</t>
        </is>
      </c>
      <c r="B1012" t="inlineStr">
        <is>
          <t>Sophora Flavescens</t>
        </is>
      </c>
      <c r="C1012" t="n">
        <v>50</v>
      </c>
      <c r="E1012" t="inlineStr">
        <is>
          <t>unclassified</t>
        </is>
      </c>
      <c r="G1012" t="inlineStr">
        <is>
          <t>General</t>
        </is>
      </c>
      <c r="H1012" t="inlineStr">
        <is>
          <t>General</t>
        </is>
      </c>
      <c r="I1012" t="inlineStr">
        <is>
          <t>Generalist</t>
        </is>
      </c>
      <c r="J1012" t="inlineStr">
        <is>
          <t>Generalist</t>
        </is>
      </c>
    </row>
    <row r="1013">
      <c r="A1013" t="inlineStr">
        <is>
          <t>Ginger</t>
        </is>
      </c>
      <c r="B1013" t="inlineStr">
        <is>
          <t>Soursop</t>
        </is>
      </c>
      <c r="C1013" t="n">
        <v>50</v>
      </c>
      <c r="E1013" t="inlineStr">
        <is>
          <t>unclassified</t>
        </is>
      </c>
      <c r="G1013" t="inlineStr">
        <is>
          <t>General</t>
        </is>
      </c>
      <c r="H1013" t="inlineStr">
        <is>
          <t>General</t>
        </is>
      </c>
      <c r="I1013" t="inlineStr">
        <is>
          <t>Generalist</t>
        </is>
      </c>
      <c r="J1013" t="inlineStr">
        <is>
          <t>Generalist</t>
        </is>
      </c>
    </row>
    <row r="1014">
      <c r="A1014" t="inlineStr">
        <is>
          <t>Ginger</t>
        </is>
      </c>
      <c r="B1014" t="inlineStr">
        <is>
          <t>St Johns Wort</t>
        </is>
      </c>
      <c r="C1014" t="n">
        <v>50</v>
      </c>
      <c r="E1014" t="inlineStr">
        <is>
          <t>unclassified</t>
        </is>
      </c>
      <c r="G1014" t="inlineStr">
        <is>
          <t>General</t>
        </is>
      </c>
      <c r="H1014" t="inlineStr">
        <is>
          <t>General</t>
        </is>
      </c>
      <c r="I1014" t="inlineStr">
        <is>
          <t>Generalist</t>
        </is>
      </c>
      <c r="J1014" t="inlineStr">
        <is>
          <t>Generalist</t>
        </is>
      </c>
    </row>
    <row r="1015">
      <c r="A1015" t="inlineStr">
        <is>
          <t>Ginger</t>
        </is>
      </c>
      <c r="B1015" t="inlineStr">
        <is>
          <t>Tamarind</t>
        </is>
      </c>
      <c r="C1015" t="n">
        <v>50</v>
      </c>
      <c r="E1015" t="inlineStr">
        <is>
          <t>unclassified</t>
        </is>
      </c>
      <c r="G1015" t="inlineStr">
        <is>
          <t>General</t>
        </is>
      </c>
      <c r="H1015" t="inlineStr">
        <is>
          <t>General</t>
        </is>
      </c>
      <c r="I1015" t="inlineStr">
        <is>
          <t>Generalist</t>
        </is>
      </c>
      <c r="J1015" t="inlineStr">
        <is>
          <t>Generalist</t>
        </is>
      </c>
    </row>
    <row r="1016">
      <c r="A1016" t="inlineStr">
        <is>
          <t>Ginger</t>
        </is>
      </c>
      <c r="B1016" t="inlineStr">
        <is>
          <t>Thyme</t>
        </is>
      </c>
      <c r="C1016" t="n">
        <v>50</v>
      </c>
      <c r="E1016" t="inlineStr">
        <is>
          <t>unclassified</t>
        </is>
      </c>
      <c r="G1016" t="inlineStr">
        <is>
          <t>General</t>
        </is>
      </c>
      <c r="H1016" t="inlineStr">
        <is>
          <t>General</t>
        </is>
      </c>
      <c r="I1016" t="inlineStr">
        <is>
          <t>Generalist</t>
        </is>
      </c>
      <c r="J1016" t="inlineStr">
        <is>
          <t>Generalist</t>
        </is>
      </c>
    </row>
    <row r="1017">
      <c r="A1017" t="inlineStr">
        <is>
          <t>Ginger</t>
        </is>
      </c>
      <c r="B1017" t="inlineStr">
        <is>
          <t>Turmeric</t>
        </is>
      </c>
      <c r="C1017" t="n">
        <v>50</v>
      </c>
      <c r="E1017" t="inlineStr">
        <is>
          <t>unclassified</t>
        </is>
      </c>
      <c r="G1017" t="inlineStr">
        <is>
          <t>General</t>
        </is>
      </c>
      <c r="H1017" t="inlineStr">
        <is>
          <t>General</t>
        </is>
      </c>
      <c r="I1017" t="inlineStr">
        <is>
          <t>Generalist</t>
        </is>
      </c>
      <c r="J1017" t="inlineStr">
        <is>
          <t>Generalist</t>
        </is>
      </c>
    </row>
    <row r="1018">
      <c r="A1018" t="inlineStr">
        <is>
          <t>Ginger</t>
        </is>
      </c>
      <c r="B1018" t="inlineStr">
        <is>
          <t>Valerian</t>
        </is>
      </c>
      <c r="C1018" t="n">
        <v>50</v>
      </c>
      <c r="E1018" t="inlineStr">
        <is>
          <t>unclassified</t>
        </is>
      </c>
      <c r="G1018" t="inlineStr">
        <is>
          <t>General</t>
        </is>
      </c>
      <c r="H1018" t="inlineStr">
        <is>
          <t>General</t>
        </is>
      </c>
      <c r="I1018" t="inlineStr">
        <is>
          <t>Generalist</t>
        </is>
      </c>
      <c r="J1018" t="inlineStr">
        <is>
          <t>Generalist</t>
        </is>
      </c>
    </row>
    <row r="1019">
      <c r="A1019" t="inlineStr">
        <is>
          <t>Ginger</t>
        </is>
      </c>
      <c r="B1019" t="inlineStr">
        <is>
          <t>White Peony</t>
        </is>
      </c>
      <c r="C1019" t="n">
        <v>50</v>
      </c>
      <c r="E1019" t="inlineStr">
        <is>
          <t>unclassified</t>
        </is>
      </c>
      <c r="G1019" t="inlineStr">
        <is>
          <t>General</t>
        </is>
      </c>
      <c r="H1019" t="inlineStr">
        <is>
          <t>General</t>
        </is>
      </c>
      <c r="I1019" t="inlineStr">
        <is>
          <t>Generalist</t>
        </is>
      </c>
      <c r="J1019" t="inlineStr">
        <is>
          <t>Generalist</t>
        </is>
      </c>
    </row>
    <row r="1020">
      <c r="A1020" t="inlineStr">
        <is>
          <t>Ginger</t>
        </is>
      </c>
      <c r="B1020" t="inlineStr">
        <is>
          <t>Yarrow</t>
        </is>
      </c>
      <c r="C1020" t="n">
        <v>50</v>
      </c>
      <c r="E1020" t="inlineStr">
        <is>
          <t>unclassified</t>
        </is>
      </c>
      <c r="G1020" t="inlineStr">
        <is>
          <t>General</t>
        </is>
      </c>
      <c r="H1020" t="inlineStr">
        <is>
          <t>General</t>
        </is>
      </c>
      <c r="I1020" t="inlineStr">
        <is>
          <t>Generalist</t>
        </is>
      </c>
      <c r="J1020" t="inlineStr">
        <is>
          <t>Generalist</t>
        </is>
      </c>
    </row>
    <row r="1021">
      <c r="A1021" t="inlineStr">
        <is>
          <t>Ginger</t>
        </is>
      </c>
      <c r="B1021" t="inlineStr">
        <is>
          <t>Yohimbe</t>
        </is>
      </c>
      <c r="C1021" t="n">
        <v>50</v>
      </c>
      <c r="E1021" t="inlineStr">
        <is>
          <t>unclassified</t>
        </is>
      </c>
      <c r="G1021" t="inlineStr">
        <is>
          <t>General</t>
        </is>
      </c>
      <c r="H1021" t="inlineStr">
        <is>
          <t>General</t>
        </is>
      </c>
      <c r="I1021" t="inlineStr">
        <is>
          <t>Generalist</t>
        </is>
      </c>
      <c r="J1021" t="inlineStr">
        <is>
          <t>Generalist</t>
        </is>
      </c>
    </row>
    <row r="1022">
      <c r="A1022" t="inlineStr">
        <is>
          <t>Guarana</t>
        </is>
      </c>
      <c r="B1022" t="inlineStr">
        <is>
          <t>Ashitaba</t>
        </is>
      </c>
      <c r="C1022" t="n">
        <v>50</v>
      </c>
      <c r="E1022" t="inlineStr">
        <is>
          <t>unclassified</t>
        </is>
      </c>
      <c r="G1022" t="inlineStr">
        <is>
          <t>Metabolic Support</t>
        </is>
      </c>
      <c r="H1022" t="inlineStr">
        <is>
          <t>Metabolic Support</t>
        </is>
      </c>
      <c r="I1022" t="inlineStr">
        <is>
          <t>Metabolic</t>
        </is>
      </c>
      <c r="J1022" t="inlineStr">
        <is>
          <t>Metabolic</t>
        </is>
      </c>
    </row>
    <row r="1023">
      <c r="A1023" t="inlineStr">
        <is>
          <t>Guarana</t>
        </is>
      </c>
      <c r="B1023" t="inlineStr">
        <is>
          <t>Banaba</t>
        </is>
      </c>
      <c r="C1023" t="n">
        <v>50</v>
      </c>
      <c r="E1023" t="inlineStr">
        <is>
          <t>unclassified</t>
        </is>
      </c>
      <c r="G1023" t="inlineStr">
        <is>
          <t>Metabolic Support</t>
        </is>
      </c>
      <c r="H1023" t="inlineStr">
        <is>
          <t>Metabolic Support</t>
        </is>
      </c>
      <c r="I1023" t="inlineStr">
        <is>
          <t>Metabolic</t>
        </is>
      </c>
      <c r="J1023" t="inlineStr">
        <is>
          <t>Metabolic</t>
        </is>
      </c>
    </row>
    <row r="1024">
      <c r="A1024" t="inlineStr">
        <is>
          <t>Guarana</t>
        </is>
      </c>
      <c r="B1024" t="inlineStr">
        <is>
          <t>Curry Leaf</t>
        </is>
      </c>
      <c r="C1024" t="n">
        <v>50</v>
      </c>
      <c r="E1024" t="inlineStr">
        <is>
          <t>unclassified</t>
        </is>
      </c>
      <c r="G1024" t="inlineStr">
        <is>
          <t>Metabolic Support</t>
        </is>
      </c>
      <c r="H1024" t="inlineStr">
        <is>
          <t>Metabolic Support</t>
        </is>
      </c>
      <c r="I1024" t="inlineStr">
        <is>
          <t>Metabolic</t>
        </is>
      </c>
      <c r="J1024" t="inlineStr">
        <is>
          <t>Metabolic</t>
        </is>
      </c>
    </row>
    <row r="1025">
      <c r="A1025" t="inlineStr">
        <is>
          <t>Guarana</t>
        </is>
      </c>
      <c r="B1025" t="inlineStr">
        <is>
          <t>Eucommia</t>
        </is>
      </c>
      <c r="C1025" t="n">
        <v>50</v>
      </c>
      <c r="E1025" t="inlineStr">
        <is>
          <t>unclassified</t>
        </is>
      </c>
      <c r="G1025" t="inlineStr">
        <is>
          <t>Metabolic Support</t>
        </is>
      </c>
      <c r="H1025" t="inlineStr">
        <is>
          <t>Metabolic Support</t>
        </is>
      </c>
      <c r="I1025" t="inlineStr">
        <is>
          <t>Metabolic</t>
        </is>
      </c>
      <c r="J1025" t="inlineStr">
        <is>
          <t>Metabolic</t>
        </is>
      </c>
    </row>
    <row r="1026">
      <c r="A1026" t="inlineStr">
        <is>
          <t>Guarana</t>
        </is>
      </c>
      <c r="B1026" t="inlineStr">
        <is>
          <t>Kuding Tea</t>
        </is>
      </c>
      <c r="C1026" t="n">
        <v>50</v>
      </c>
      <c r="E1026" t="inlineStr">
        <is>
          <t>unclassified</t>
        </is>
      </c>
      <c r="G1026" t="inlineStr">
        <is>
          <t>Metabolic Support</t>
        </is>
      </c>
      <c r="H1026" t="inlineStr">
        <is>
          <t>Metabolic Support</t>
        </is>
      </c>
      <c r="I1026" t="inlineStr">
        <is>
          <t>Metabolic</t>
        </is>
      </c>
      <c r="J1026" t="inlineStr">
        <is>
          <t>Metabolic</t>
        </is>
      </c>
    </row>
    <row r="1027">
      <c r="A1027" t="inlineStr">
        <is>
          <t>Guarana</t>
        </is>
      </c>
      <c r="B1027" t="inlineStr">
        <is>
          <t>Moringa</t>
        </is>
      </c>
      <c r="C1027" t="n">
        <v>50</v>
      </c>
      <c r="E1027" t="inlineStr">
        <is>
          <t>unclassified</t>
        </is>
      </c>
      <c r="G1027" t="inlineStr">
        <is>
          <t>Metabolic Support</t>
        </is>
      </c>
      <c r="H1027" t="inlineStr">
        <is>
          <t>Metabolic Support</t>
        </is>
      </c>
      <c r="I1027" t="inlineStr">
        <is>
          <t>Metabolic</t>
        </is>
      </c>
      <c r="J1027" t="inlineStr">
        <is>
          <t>Metabolic</t>
        </is>
      </c>
    </row>
    <row r="1028">
      <c r="A1028" t="inlineStr">
        <is>
          <t>Guarana</t>
        </is>
      </c>
      <c r="B1028" t="inlineStr">
        <is>
          <t>Yerba Mate</t>
        </is>
      </c>
      <c r="C1028" t="n">
        <v>50</v>
      </c>
      <c r="E1028" t="inlineStr">
        <is>
          <t>unclassified</t>
        </is>
      </c>
      <c r="G1028" t="inlineStr">
        <is>
          <t>Metabolic Support</t>
        </is>
      </c>
      <c r="H1028" t="inlineStr">
        <is>
          <t>Metabolic Support</t>
        </is>
      </c>
      <c r="I1028" t="inlineStr">
        <is>
          <t>Metabolic</t>
        </is>
      </c>
      <c r="J1028" t="inlineStr">
        <is>
          <t>Metabolic</t>
        </is>
      </c>
    </row>
    <row r="1029">
      <c r="A1029" t="inlineStr">
        <is>
          <t>Gudmar</t>
        </is>
      </c>
      <c r="B1029" t="inlineStr">
        <is>
          <t>Celastrus Paniculatus</t>
        </is>
      </c>
      <c r="C1029" t="n">
        <v>50</v>
      </c>
      <c r="E1029" t="inlineStr">
        <is>
          <t>unclassified</t>
        </is>
      </c>
      <c r="G1029" t="inlineStr">
        <is>
          <t>General</t>
        </is>
      </c>
      <c r="H1029" t="inlineStr">
        <is>
          <t>General</t>
        </is>
      </c>
      <c r="I1029" t="inlineStr">
        <is>
          <t>Generalist</t>
        </is>
      </c>
      <c r="J1029" t="inlineStr">
        <is>
          <t>Generalist</t>
        </is>
      </c>
    </row>
    <row r="1030">
      <c r="A1030" t="inlineStr">
        <is>
          <t>Gudmar</t>
        </is>
      </c>
      <c r="B1030" t="inlineStr">
        <is>
          <t>Cordyceps</t>
        </is>
      </c>
      <c r="C1030" t="n">
        <v>50</v>
      </c>
      <c r="E1030" t="inlineStr">
        <is>
          <t>unclassified</t>
        </is>
      </c>
      <c r="G1030" t="inlineStr">
        <is>
          <t>General</t>
        </is>
      </c>
      <c r="H1030" t="inlineStr">
        <is>
          <t>General</t>
        </is>
      </c>
      <c r="I1030" t="inlineStr">
        <is>
          <t>Generalist</t>
        </is>
      </c>
      <c r="J1030" t="inlineStr">
        <is>
          <t>Generalist</t>
        </is>
      </c>
    </row>
    <row r="1031">
      <c r="A1031" t="inlineStr">
        <is>
          <t>Gudmar</t>
        </is>
      </c>
      <c r="B1031" t="inlineStr">
        <is>
          <t>Eleuthero</t>
        </is>
      </c>
      <c r="C1031" t="n">
        <v>50</v>
      </c>
      <c r="E1031" t="inlineStr">
        <is>
          <t>unclassified</t>
        </is>
      </c>
      <c r="G1031" t="inlineStr">
        <is>
          <t>General</t>
        </is>
      </c>
      <c r="H1031" t="inlineStr">
        <is>
          <t>General</t>
        </is>
      </c>
      <c r="I1031" t="inlineStr">
        <is>
          <t>Generalist</t>
        </is>
      </c>
      <c r="J1031" t="inlineStr">
        <is>
          <t>Generalist</t>
        </is>
      </c>
    </row>
    <row r="1032">
      <c r="A1032" t="inlineStr">
        <is>
          <t>Gudmar</t>
        </is>
      </c>
      <c r="B1032" t="inlineStr">
        <is>
          <t>Nettle Root</t>
        </is>
      </c>
      <c r="C1032" t="n">
        <v>50</v>
      </c>
      <c r="E1032" t="inlineStr">
        <is>
          <t>unclassified</t>
        </is>
      </c>
      <c r="G1032" t="inlineStr">
        <is>
          <t>General</t>
        </is>
      </c>
      <c r="H1032" t="inlineStr">
        <is>
          <t>General</t>
        </is>
      </c>
      <c r="I1032" t="inlineStr">
        <is>
          <t>Generalist</t>
        </is>
      </c>
      <c r="J1032" t="inlineStr">
        <is>
          <t>Generalist</t>
        </is>
      </c>
    </row>
    <row r="1033">
      <c r="A1033" t="inlineStr">
        <is>
          <t>Gudmar</t>
        </is>
      </c>
      <c r="B1033" t="inlineStr">
        <is>
          <t>Passionflower</t>
        </is>
      </c>
      <c r="C1033" t="n">
        <v>50</v>
      </c>
      <c r="E1033" t="inlineStr">
        <is>
          <t>unclassified</t>
        </is>
      </c>
      <c r="G1033" t="inlineStr">
        <is>
          <t>General</t>
        </is>
      </c>
      <c r="H1033" t="inlineStr">
        <is>
          <t>General</t>
        </is>
      </c>
      <c r="I1033" t="inlineStr">
        <is>
          <t>Generalist</t>
        </is>
      </c>
      <c r="J1033" t="inlineStr">
        <is>
          <t>Generalist</t>
        </is>
      </c>
    </row>
    <row r="1034">
      <c r="A1034" t="inlineStr">
        <is>
          <t>Gudmar</t>
        </is>
      </c>
      <c r="B1034" t="inlineStr">
        <is>
          <t>Punarnava</t>
        </is>
      </c>
      <c r="C1034" t="n">
        <v>50</v>
      </c>
      <c r="E1034" t="inlineStr">
        <is>
          <t>unclassified</t>
        </is>
      </c>
      <c r="G1034" t="inlineStr">
        <is>
          <t>General</t>
        </is>
      </c>
      <c r="H1034" t="inlineStr">
        <is>
          <t>General</t>
        </is>
      </c>
      <c r="I1034" t="inlineStr">
        <is>
          <t>Generalist</t>
        </is>
      </c>
      <c r="J1034" t="inlineStr">
        <is>
          <t>Generalist</t>
        </is>
      </c>
    </row>
    <row r="1035">
      <c r="A1035" t="inlineStr">
        <is>
          <t>Gudmar</t>
        </is>
      </c>
      <c r="B1035" t="inlineStr">
        <is>
          <t>Reishi</t>
        </is>
      </c>
      <c r="C1035" t="n">
        <v>50</v>
      </c>
      <c r="E1035" t="inlineStr">
        <is>
          <t>unclassified</t>
        </is>
      </c>
      <c r="G1035" t="inlineStr">
        <is>
          <t>General</t>
        </is>
      </c>
      <c r="H1035" t="inlineStr">
        <is>
          <t>General</t>
        </is>
      </c>
      <c r="I1035" t="inlineStr">
        <is>
          <t>Generalist</t>
        </is>
      </c>
      <c r="J1035" t="inlineStr">
        <is>
          <t>Generalist</t>
        </is>
      </c>
    </row>
    <row r="1036">
      <c r="A1036" t="inlineStr">
        <is>
          <t>Gudmar</t>
        </is>
      </c>
      <c r="B1036" t="inlineStr">
        <is>
          <t>Tamarind</t>
        </is>
      </c>
      <c r="C1036" t="n">
        <v>50</v>
      </c>
      <c r="E1036" t="inlineStr">
        <is>
          <t>unclassified</t>
        </is>
      </c>
      <c r="G1036" t="inlineStr">
        <is>
          <t>General</t>
        </is>
      </c>
      <c r="H1036" t="inlineStr">
        <is>
          <t>General</t>
        </is>
      </c>
      <c r="I1036" t="inlineStr">
        <is>
          <t>Generalist</t>
        </is>
      </c>
      <c r="J1036" t="inlineStr">
        <is>
          <t>Generalist</t>
        </is>
      </c>
    </row>
    <row r="1037">
      <c r="A1037" t="inlineStr">
        <is>
          <t>Gudmar</t>
        </is>
      </c>
      <c r="B1037" t="inlineStr">
        <is>
          <t>Yohimbe</t>
        </is>
      </c>
      <c r="C1037" t="n">
        <v>50</v>
      </c>
      <c r="E1037" t="inlineStr">
        <is>
          <t>unclassified</t>
        </is>
      </c>
      <c r="G1037" t="inlineStr">
        <is>
          <t>General</t>
        </is>
      </c>
      <c r="H1037" t="inlineStr">
        <is>
          <t>General</t>
        </is>
      </c>
      <c r="I1037" t="inlineStr">
        <is>
          <t>Generalist</t>
        </is>
      </c>
      <c r="J1037" t="inlineStr">
        <is>
          <t>Generalist</t>
        </is>
      </c>
    </row>
    <row r="1038">
      <c r="A1038" t="inlineStr">
        <is>
          <t>Gymnema</t>
        </is>
      </c>
      <c r="B1038" t="inlineStr">
        <is>
          <t>Agarikon</t>
        </is>
      </c>
      <c r="C1038" t="n">
        <v>50</v>
      </c>
      <c r="E1038" t="inlineStr">
        <is>
          <t>unclassified</t>
        </is>
      </c>
      <c r="G1038" t="inlineStr">
        <is>
          <t>General</t>
        </is>
      </c>
      <c r="H1038" t="inlineStr">
        <is>
          <t>General</t>
        </is>
      </c>
      <c r="I1038" t="inlineStr">
        <is>
          <t>Generalist</t>
        </is>
      </c>
      <c r="J1038" t="inlineStr">
        <is>
          <t>Generalist</t>
        </is>
      </c>
    </row>
    <row r="1039">
      <c r="A1039" t="inlineStr">
        <is>
          <t>Gymnema</t>
        </is>
      </c>
      <c r="B1039" t="inlineStr">
        <is>
          <t>Ajwain</t>
        </is>
      </c>
      <c r="C1039" t="n">
        <v>50</v>
      </c>
      <c r="E1039" t="inlineStr">
        <is>
          <t>unclassified</t>
        </is>
      </c>
      <c r="G1039" t="inlineStr">
        <is>
          <t>General</t>
        </is>
      </c>
      <c r="H1039" t="inlineStr">
        <is>
          <t>General</t>
        </is>
      </c>
      <c r="I1039" t="inlineStr">
        <is>
          <t>Generalist</t>
        </is>
      </c>
      <c r="J1039" t="inlineStr">
        <is>
          <t>Generalist</t>
        </is>
      </c>
    </row>
    <row r="1040">
      <c r="A1040" t="inlineStr">
        <is>
          <t>Gymnema</t>
        </is>
      </c>
      <c r="B1040" t="inlineStr">
        <is>
          <t>Angelica Root</t>
        </is>
      </c>
      <c r="C1040" t="n">
        <v>50</v>
      </c>
      <c r="E1040" t="inlineStr">
        <is>
          <t>unclassified</t>
        </is>
      </c>
      <c r="G1040" t="inlineStr">
        <is>
          <t>General</t>
        </is>
      </c>
      <c r="H1040" t="inlineStr">
        <is>
          <t>General</t>
        </is>
      </c>
      <c r="I1040" t="inlineStr">
        <is>
          <t>Generalist</t>
        </is>
      </c>
      <c r="J1040" t="inlineStr">
        <is>
          <t>Generalist</t>
        </is>
      </c>
    </row>
    <row r="1041">
      <c r="A1041" t="inlineStr">
        <is>
          <t>Gymnema</t>
        </is>
      </c>
      <c r="B1041" t="inlineStr">
        <is>
          <t>Ashoka</t>
        </is>
      </c>
      <c r="C1041" t="n">
        <v>50</v>
      </c>
      <c r="E1041" t="inlineStr">
        <is>
          <t>unclassified</t>
        </is>
      </c>
      <c r="G1041" t="inlineStr">
        <is>
          <t>General</t>
        </is>
      </c>
      <c r="H1041" t="inlineStr">
        <is>
          <t>General</t>
        </is>
      </c>
      <c r="I1041" t="inlineStr">
        <is>
          <t>Generalist</t>
        </is>
      </c>
      <c r="J1041" t="inlineStr">
        <is>
          <t>Generalist</t>
        </is>
      </c>
    </row>
    <row r="1042">
      <c r="A1042" t="inlineStr">
        <is>
          <t>Gymnema</t>
        </is>
      </c>
      <c r="B1042" t="inlineStr">
        <is>
          <t>Boldo</t>
        </is>
      </c>
      <c r="C1042" t="n">
        <v>50</v>
      </c>
      <c r="E1042" t="inlineStr">
        <is>
          <t>unclassified</t>
        </is>
      </c>
      <c r="G1042" t="inlineStr">
        <is>
          <t>General</t>
        </is>
      </c>
      <c r="H1042" t="inlineStr">
        <is>
          <t>General</t>
        </is>
      </c>
      <c r="I1042" t="inlineStr">
        <is>
          <t>Generalist</t>
        </is>
      </c>
      <c r="J1042" t="inlineStr">
        <is>
          <t>Generalist</t>
        </is>
      </c>
    </row>
    <row r="1043">
      <c r="A1043" t="inlineStr">
        <is>
          <t>Gymnema</t>
        </is>
      </c>
      <c r="B1043" t="inlineStr">
        <is>
          <t>Caraway</t>
        </is>
      </c>
      <c r="C1043" t="n">
        <v>50</v>
      </c>
      <c r="E1043" t="inlineStr">
        <is>
          <t>unclassified</t>
        </is>
      </c>
      <c r="G1043" t="inlineStr">
        <is>
          <t>General</t>
        </is>
      </c>
      <c r="H1043" t="inlineStr">
        <is>
          <t>General</t>
        </is>
      </c>
      <c r="I1043" t="inlineStr">
        <is>
          <t>Generalist</t>
        </is>
      </c>
      <c r="J1043" t="inlineStr">
        <is>
          <t>Generalist</t>
        </is>
      </c>
    </row>
    <row r="1044">
      <c r="A1044" t="inlineStr">
        <is>
          <t>Gymnema</t>
        </is>
      </c>
      <c r="B1044" t="inlineStr">
        <is>
          <t>Cardamom</t>
        </is>
      </c>
      <c r="C1044" t="n">
        <v>50</v>
      </c>
      <c r="E1044" t="inlineStr">
        <is>
          <t>unclassified</t>
        </is>
      </c>
      <c r="G1044" t="inlineStr">
        <is>
          <t>General</t>
        </is>
      </c>
      <c r="H1044" t="inlineStr">
        <is>
          <t>General</t>
        </is>
      </c>
      <c r="I1044" t="inlineStr">
        <is>
          <t>Generalist</t>
        </is>
      </c>
      <c r="J1044" t="inlineStr">
        <is>
          <t>Generalist</t>
        </is>
      </c>
    </row>
    <row r="1045">
      <c r="A1045" t="inlineStr">
        <is>
          <t>Gymnema</t>
        </is>
      </c>
      <c r="B1045" t="inlineStr">
        <is>
          <t>Celastrus Paniculatus</t>
        </is>
      </c>
      <c r="C1045" t="n">
        <v>50</v>
      </c>
      <c r="E1045" t="inlineStr">
        <is>
          <t>unclassified</t>
        </is>
      </c>
      <c r="G1045" t="inlineStr">
        <is>
          <t>General</t>
        </is>
      </c>
      <c r="H1045" t="inlineStr">
        <is>
          <t>General</t>
        </is>
      </c>
      <c r="I1045" t="inlineStr">
        <is>
          <t>Generalist</t>
        </is>
      </c>
      <c r="J1045" t="inlineStr">
        <is>
          <t>Generalist</t>
        </is>
      </c>
    </row>
    <row r="1046">
      <c r="A1046" t="inlineStr">
        <is>
          <t>Gymnema</t>
        </is>
      </c>
      <c r="B1046" t="inlineStr">
        <is>
          <t>Cistanche</t>
        </is>
      </c>
      <c r="C1046" t="n">
        <v>50</v>
      </c>
      <c r="E1046" t="inlineStr">
        <is>
          <t>unclassified</t>
        </is>
      </c>
      <c r="G1046" t="inlineStr">
        <is>
          <t>General</t>
        </is>
      </c>
      <c r="H1046" t="inlineStr">
        <is>
          <t>General</t>
        </is>
      </c>
      <c r="I1046" t="inlineStr">
        <is>
          <t>Generalist</t>
        </is>
      </c>
      <c r="J1046" t="inlineStr">
        <is>
          <t>Generalist</t>
        </is>
      </c>
    </row>
    <row r="1047">
      <c r="A1047" t="inlineStr">
        <is>
          <t>Gymnema</t>
        </is>
      </c>
      <c r="B1047" t="inlineStr">
        <is>
          <t>Cordyceps</t>
        </is>
      </c>
      <c r="C1047" t="n">
        <v>50</v>
      </c>
      <c r="E1047" t="inlineStr">
        <is>
          <t>unclassified</t>
        </is>
      </c>
      <c r="G1047" t="inlineStr">
        <is>
          <t>General</t>
        </is>
      </c>
      <c r="H1047" t="inlineStr">
        <is>
          <t>General</t>
        </is>
      </c>
      <c r="I1047" t="inlineStr">
        <is>
          <t>Generalist</t>
        </is>
      </c>
      <c r="J1047" t="inlineStr">
        <is>
          <t>Generalist</t>
        </is>
      </c>
    </row>
    <row r="1048">
      <c r="A1048" t="inlineStr">
        <is>
          <t>Gymnema</t>
        </is>
      </c>
      <c r="B1048" t="inlineStr">
        <is>
          <t>Dendrobium</t>
        </is>
      </c>
      <c r="C1048" t="n">
        <v>50</v>
      </c>
      <c r="E1048" t="inlineStr">
        <is>
          <t>unclassified</t>
        </is>
      </c>
      <c r="G1048" t="inlineStr">
        <is>
          <t>General</t>
        </is>
      </c>
      <c r="H1048" t="inlineStr">
        <is>
          <t>General</t>
        </is>
      </c>
      <c r="I1048" t="inlineStr">
        <is>
          <t>Generalist</t>
        </is>
      </c>
      <c r="J1048" t="inlineStr">
        <is>
          <t>Generalist</t>
        </is>
      </c>
    </row>
    <row r="1049">
      <c r="A1049" t="inlineStr">
        <is>
          <t>Gymnema</t>
        </is>
      </c>
      <c r="B1049" t="inlineStr">
        <is>
          <t>Elecampane</t>
        </is>
      </c>
      <c r="C1049" t="n">
        <v>50</v>
      </c>
      <c r="E1049" t="inlineStr">
        <is>
          <t>unclassified</t>
        </is>
      </c>
      <c r="G1049" t="inlineStr">
        <is>
          <t>General</t>
        </is>
      </c>
      <c r="H1049" t="inlineStr">
        <is>
          <t>General</t>
        </is>
      </c>
      <c r="I1049" t="inlineStr">
        <is>
          <t>Generalist</t>
        </is>
      </c>
      <c r="J1049" t="inlineStr">
        <is>
          <t>Generalist</t>
        </is>
      </c>
    </row>
    <row r="1050">
      <c r="A1050" t="inlineStr">
        <is>
          <t>Gymnema</t>
        </is>
      </c>
      <c r="B1050" t="inlineStr">
        <is>
          <t>Eleuthero</t>
        </is>
      </c>
      <c r="C1050" t="n">
        <v>50</v>
      </c>
      <c r="E1050" t="inlineStr">
        <is>
          <t>unclassified</t>
        </is>
      </c>
      <c r="G1050" t="inlineStr">
        <is>
          <t>General</t>
        </is>
      </c>
      <c r="H1050" t="inlineStr">
        <is>
          <t>General</t>
        </is>
      </c>
      <c r="I1050" t="inlineStr">
        <is>
          <t>Generalist</t>
        </is>
      </c>
      <c r="J1050" t="inlineStr">
        <is>
          <t>Generalist</t>
        </is>
      </c>
    </row>
    <row r="1051">
      <c r="A1051" t="inlineStr">
        <is>
          <t>Gymnema</t>
        </is>
      </c>
      <c r="B1051" t="inlineStr">
        <is>
          <t>Galangal</t>
        </is>
      </c>
      <c r="C1051" t="n">
        <v>50</v>
      </c>
      <c r="E1051" t="inlineStr">
        <is>
          <t>unclassified</t>
        </is>
      </c>
      <c r="G1051" t="inlineStr">
        <is>
          <t>General</t>
        </is>
      </c>
      <c r="H1051" t="inlineStr">
        <is>
          <t>General</t>
        </is>
      </c>
      <c r="I1051" t="inlineStr">
        <is>
          <t>Generalist</t>
        </is>
      </c>
      <c r="J1051" t="inlineStr">
        <is>
          <t>Generalist</t>
        </is>
      </c>
    </row>
    <row r="1052">
      <c r="A1052" t="inlineStr">
        <is>
          <t>Gymnema</t>
        </is>
      </c>
      <c r="B1052" t="inlineStr">
        <is>
          <t>Gastrodia</t>
        </is>
      </c>
      <c r="C1052" t="n">
        <v>50</v>
      </c>
      <c r="E1052" t="inlineStr">
        <is>
          <t>unclassified</t>
        </is>
      </c>
      <c r="G1052" t="inlineStr">
        <is>
          <t>General</t>
        </is>
      </c>
      <c r="H1052" t="inlineStr">
        <is>
          <t>General</t>
        </is>
      </c>
      <c r="I1052" t="inlineStr">
        <is>
          <t>Generalist</t>
        </is>
      </c>
      <c r="J1052" t="inlineStr">
        <is>
          <t>Generalist</t>
        </is>
      </c>
    </row>
    <row r="1053">
      <c r="A1053" t="inlineStr">
        <is>
          <t>Gymnema</t>
        </is>
      </c>
      <c r="B1053" t="inlineStr">
        <is>
          <t>Hops</t>
        </is>
      </c>
      <c r="C1053" t="n">
        <v>50</v>
      </c>
      <c r="E1053" t="inlineStr">
        <is>
          <t>unclassified</t>
        </is>
      </c>
      <c r="G1053" t="inlineStr">
        <is>
          <t>General</t>
        </is>
      </c>
      <c r="H1053" t="inlineStr">
        <is>
          <t>General</t>
        </is>
      </c>
      <c r="I1053" t="inlineStr">
        <is>
          <t>Generalist</t>
        </is>
      </c>
      <c r="J1053" t="inlineStr">
        <is>
          <t>Generalist</t>
        </is>
      </c>
    </row>
    <row r="1054">
      <c r="A1054" t="inlineStr">
        <is>
          <t>Gymnema</t>
        </is>
      </c>
      <c r="B1054" t="inlineStr">
        <is>
          <t>Houttuynia</t>
        </is>
      </c>
      <c r="C1054" t="n">
        <v>50</v>
      </c>
      <c r="E1054" t="inlineStr">
        <is>
          <t>unclassified</t>
        </is>
      </c>
      <c r="G1054" t="inlineStr">
        <is>
          <t>General</t>
        </is>
      </c>
      <c r="H1054" t="inlineStr">
        <is>
          <t>General</t>
        </is>
      </c>
      <c r="I1054" t="inlineStr">
        <is>
          <t>Generalist</t>
        </is>
      </c>
      <c r="J1054" t="inlineStr">
        <is>
          <t>Generalist</t>
        </is>
      </c>
    </row>
    <row r="1055">
      <c r="A1055" t="inlineStr">
        <is>
          <t>Gymnema</t>
        </is>
      </c>
      <c r="B1055" t="inlineStr">
        <is>
          <t>Isatis</t>
        </is>
      </c>
      <c r="C1055" t="n">
        <v>50</v>
      </c>
      <c r="E1055" t="inlineStr">
        <is>
          <t>unclassified</t>
        </is>
      </c>
      <c r="G1055" t="inlineStr">
        <is>
          <t>General</t>
        </is>
      </c>
      <c r="H1055" t="inlineStr">
        <is>
          <t>General</t>
        </is>
      </c>
      <c r="I1055" t="inlineStr">
        <is>
          <t>Generalist</t>
        </is>
      </c>
      <c r="J1055" t="inlineStr">
        <is>
          <t>Generalist</t>
        </is>
      </c>
    </row>
    <row r="1056">
      <c r="A1056" t="inlineStr">
        <is>
          <t>Gymnema</t>
        </is>
      </c>
      <c r="B1056" t="inlineStr">
        <is>
          <t>Jatamansi</t>
        </is>
      </c>
      <c r="C1056" t="n">
        <v>50</v>
      </c>
      <c r="E1056" t="inlineStr">
        <is>
          <t>unclassified</t>
        </is>
      </c>
      <c r="G1056" t="inlineStr">
        <is>
          <t>General</t>
        </is>
      </c>
      <c r="H1056" t="inlineStr">
        <is>
          <t>General</t>
        </is>
      </c>
      <c r="I1056" t="inlineStr">
        <is>
          <t>Generalist</t>
        </is>
      </c>
      <c r="J1056" t="inlineStr">
        <is>
          <t>Generalist</t>
        </is>
      </c>
    </row>
    <row r="1057">
      <c r="A1057" t="inlineStr">
        <is>
          <t>Gymnema</t>
        </is>
      </c>
      <c r="B1057" t="inlineStr">
        <is>
          <t>Lemon Verbena</t>
        </is>
      </c>
      <c r="C1057" t="n">
        <v>50</v>
      </c>
      <c r="E1057" t="inlineStr">
        <is>
          <t>unclassified</t>
        </is>
      </c>
      <c r="G1057" t="inlineStr">
        <is>
          <t>General</t>
        </is>
      </c>
      <c r="H1057" t="inlineStr">
        <is>
          <t>General</t>
        </is>
      </c>
      <c r="I1057" t="inlineStr">
        <is>
          <t>Generalist</t>
        </is>
      </c>
      <c r="J1057" t="inlineStr">
        <is>
          <t>Generalist</t>
        </is>
      </c>
    </row>
    <row r="1058">
      <c r="A1058" t="inlineStr">
        <is>
          <t>Gymnema</t>
        </is>
      </c>
      <c r="B1058" t="inlineStr">
        <is>
          <t>Lemongrass</t>
        </is>
      </c>
      <c r="C1058" t="n">
        <v>50</v>
      </c>
      <c r="E1058" t="inlineStr">
        <is>
          <t>unclassified</t>
        </is>
      </c>
      <c r="G1058" t="inlineStr">
        <is>
          <t>General</t>
        </is>
      </c>
      <c r="H1058" t="inlineStr">
        <is>
          <t>General</t>
        </is>
      </c>
      <c r="I1058" t="inlineStr">
        <is>
          <t>Generalist</t>
        </is>
      </c>
      <c r="J1058" t="inlineStr">
        <is>
          <t>Generalist</t>
        </is>
      </c>
    </row>
    <row r="1059">
      <c r="A1059" t="inlineStr">
        <is>
          <t>Gymnema</t>
        </is>
      </c>
      <c r="B1059" t="inlineStr">
        <is>
          <t>Longan</t>
        </is>
      </c>
      <c r="C1059" t="n">
        <v>50</v>
      </c>
      <c r="E1059" t="inlineStr">
        <is>
          <t>unclassified</t>
        </is>
      </c>
      <c r="G1059" t="inlineStr">
        <is>
          <t>General</t>
        </is>
      </c>
      <c r="H1059" t="inlineStr">
        <is>
          <t>General</t>
        </is>
      </c>
      <c r="I1059" t="inlineStr">
        <is>
          <t>Generalist</t>
        </is>
      </c>
      <c r="J1059" t="inlineStr">
        <is>
          <t>Generalist</t>
        </is>
      </c>
    </row>
    <row r="1060">
      <c r="A1060" t="inlineStr">
        <is>
          <t>Gymnema</t>
        </is>
      </c>
      <c r="B1060" t="inlineStr">
        <is>
          <t>Maitake D-Fraction</t>
        </is>
      </c>
      <c r="C1060" t="n">
        <v>50</v>
      </c>
      <c r="E1060" t="inlineStr">
        <is>
          <t>unclassified</t>
        </is>
      </c>
      <c r="G1060" t="inlineStr">
        <is>
          <t>General</t>
        </is>
      </c>
      <c r="H1060" t="inlineStr">
        <is>
          <t>General</t>
        </is>
      </c>
      <c r="I1060" t="inlineStr">
        <is>
          <t>Generalist</t>
        </is>
      </c>
      <c r="J1060" t="inlineStr">
        <is>
          <t>Generalist</t>
        </is>
      </c>
    </row>
    <row r="1061">
      <c r="A1061" t="inlineStr">
        <is>
          <t>Gymnema</t>
        </is>
      </c>
      <c r="B1061" t="inlineStr">
        <is>
          <t>Milk Oats</t>
        </is>
      </c>
      <c r="C1061" t="n">
        <v>50</v>
      </c>
      <c r="E1061" t="inlineStr">
        <is>
          <t>unclassified</t>
        </is>
      </c>
      <c r="G1061" t="inlineStr">
        <is>
          <t>General</t>
        </is>
      </c>
      <c r="H1061" t="inlineStr">
        <is>
          <t>General</t>
        </is>
      </c>
      <c r="I1061" t="inlineStr">
        <is>
          <t>Generalist</t>
        </is>
      </c>
      <c r="J1061" t="inlineStr">
        <is>
          <t>Generalist</t>
        </is>
      </c>
    </row>
    <row r="1062">
      <c r="A1062" t="inlineStr">
        <is>
          <t>Gymnema</t>
        </is>
      </c>
      <c r="B1062" t="inlineStr">
        <is>
          <t>Mugwort</t>
        </is>
      </c>
      <c r="C1062" t="n">
        <v>50</v>
      </c>
      <c r="E1062" t="inlineStr">
        <is>
          <t>unclassified</t>
        </is>
      </c>
      <c r="G1062" t="inlineStr">
        <is>
          <t>General</t>
        </is>
      </c>
      <c r="H1062" t="inlineStr">
        <is>
          <t>General</t>
        </is>
      </c>
      <c r="I1062" t="inlineStr">
        <is>
          <t>Generalist</t>
        </is>
      </c>
      <c r="J1062" t="inlineStr">
        <is>
          <t>Generalist</t>
        </is>
      </c>
    </row>
    <row r="1063">
      <c r="A1063" t="inlineStr">
        <is>
          <t>Gymnema</t>
        </is>
      </c>
      <c r="B1063" t="inlineStr">
        <is>
          <t>Muira Puama</t>
        </is>
      </c>
      <c r="C1063" t="n">
        <v>50</v>
      </c>
      <c r="E1063" t="inlineStr">
        <is>
          <t>unclassified</t>
        </is>
      </c>
      <c r="G1063" t="inlineStr">
        <is>
          <t>General</t>
        </is>
      </c>
      <c r="H1063" t="inlineStr">
        <is>
          <t>General</t>
        </is>
      </c>
      <c r="I1063" t="inlineStr">
        <is>
          <t>Generalist</t>
        </is>
      </c>
      <c r="J1063" t="inlineStr">
        <is>
          <t>Generalist</t>
        </is>
      </c>
    </row>
    <row r="1064">
      <c r="A1064" t="inlineStr">
        <is>
          <t>Gymnema</t>
        </is>
      </c>
      <c r="B1064" t="inlineStr">
        <is>
          <t>Mulberry Leaf</t>
        </is>
      </c>
      <c r="C1064" t="n">
        <v>50</v>
      </c>
      <c r="E1064" t="inlineStr">
        <is>
          <t>unclassified</t>
        </is>
      </c>
      <c r="G1064" t="inlineStr">
        <is>
          <t>General</t>
        </is>
      </c>
      <c r="H1064" t="inlineStr">
        <is>
          <t>General</t>
        </is>
      </c>
      <c r="I1064" t="inlineStr">
        <is>
          <t>Generalist</t>
        </is>
      </c>
      <c r="J1064" t="inlineStr">
        <is>
          <t>Generalist</t>
        </is>
      </c>
    </row>
    <row r="1065">
      <c r="A1065" t="inlineStr">
        <is>
          <t>Gymnema</t>
        </is>
      </c>
      <c r="B1065" t="inlineStr">
        <is>
          <t>Myrtle</t>
        </is>
      </c>
      <c r="C1065" t="n">
        <v>50</v>
      </c>
      <c r="E1065" t="inlineStr">
        <is>
          <t>unclassified</t>
        </is>
      </c>
      <c r="G1065" t="inlineStr">
        <is>
          <t>General</t>
        </is>
      </c>
      <c r="H1065" t="inlineStr">
        <is>
          <t>General</t>
        </is>
      </c>
      <c r="I1065" t="inlineStr">
        <is>
          <t>Generalist</t>
        </is>
      </c>
      <c r="J1065" t="inlineStr">
        <is>
          <t>Generalist</t>
        </is>
      </c>
    </row>
    <row r="1066">
      <c r="A1066" t="inlineStr">
        <is>
          <t>Gymnema</t>
        </is>
      </c>
      <c r="B1066" t="inlineStr">
        <is>
          <t>Neem</t>
        </is>
      </c>
      <c r="C1066" t="n">
        <v>50</v>
      </c>
      <c r="E1066" t="inlineStr">
        <is>
          <t>unclassified</t>
        </is>
      </c>
      <c r="G1066" t="inlineStr">
        <is>
          <t>General</t>
        </is>
      </c>
      <c r="H1066" t="inlineStr">
        <is>
          <t>General</t>
        </is>
      </c>
      <c r="I1066" t="inlineStr">
        <is>
          <t>Generalist</t>
        </is>
      </c>
      <c r="J1066" t="inlineStr">
        <is>
          <t>Generalist</t>
        </is>
      </c>
    </row>
    <row r="1067">
      <c r="A1067" t="inlineStr">
        <is>
          <t>Gymnema</t>
        </is>
      </c>
      <c r="B1067" t="inlineStr">
        <is>
          <t>Nettle Root</t>
        </is>
      </c>
      <c r="C1067" t="n">
        <v>50</v>
      </c>
      <c r="E1067" t="inlineStr">
        <is>
          <t>unclassified</t>
        </is>
      </c>
      <c r="G1067" t="inlineStr">
        <is>
          <t>General</t>
        </is>
      </c>
      <c r="H1067" t="inlineStr">
        <is>
          <t>General</t>
        </is>
      </c>
      <c r="I1067" t="inlineStr">
        <is>
          <t>Generalist</t>
        </is>
      </c>
      <c r="J1067" t="inlineStr">
        <is>
          <t>Generalist</t>
        </is>
      </c>
    </row>
    <row r="1068">
      <c r="A1068" t="inlineStr">
        <is>
          <t>Gymnema</t>
        </is>
      </c>
      <c r="B1068" t="inlineStr">
        <is>
          <t>Noni</t>
        </is>
      </c>
      <c r="C1068" t="n">
        <v>50</v>
      </c>
      <c r="E1068" t="inlineStr">
        <is>
          <t>unclassified</t>
        </is>
      </c>
      <c r="G1068" t="inlineStr">
        <is>
          <t>General</t>
        </is>
      </c>
      <c r="H1068" t="inlineStr">
        <is>
          <t>General</t>
        </is>
      </c>
      <c r="I1068" t="inlineStr">
        <is>
          <t>Generalist</t>
        </is>
      </c>
      <c r="J1068" t="inlineStr">
        <is>
          <t>Generalist</t>
        </is>
      </c>
    </row>
    <row r="1069">
      <c r="A1069" t="inlineStr">
        <is>
          <t>Gymnema</t>
        </is>
      </c>
      <c r="B1069" t="inlineStr">
        <is>
          <t>Passionflower</t>
        </is>
      </c>
      <c r="C1069" t="n">
        <v>50</v>
      </c>
      <c r="E1069" t="inlineStr">
        <is>
          <t>unclassified</t>
        </is>
      </c>
      <c r="G1069" t="inlineStr">
        <is>
          <t>General</t>
        </is>
      </c>
      <c r="H1069" t="inlineStr">
        <is>
          <t>General</t>
        </is>
      </c>
      <c r="I1069" t="inlineStr">
        <is>
          <t>Generalist</t>
        </is>
      </c>
      <c r="J1069" t="inlineStr">
        <is>
          <t>Generalist</t>
        </is>
      </c>
    </row>
    <row r="1070">
      <c r="A1070" t="inlineStr">
        <is>
          <t>Gymnema</t>
        </is>
      </c>
      <c r="B1070" t="inlineStr">
        <is>
          <t>Perilla</t>
        </is>
      </c>
      <c r="C1070" t="n">
        <v>50</v>
      </c>
      <c r="E1070" t="inlineStr">
        <is>
          <t>unclassified</t>
        </is>
      </c>
      <c r="G1070" t="inlineStr">
        <is>
          <t>General</t>
        </is>
      </c>
      <c r="H1070" t="inlineStr">
        <is>
          <t>General</t>
        </is>
      </c>
      <c r="I1070" t="inlineStr">
        <is>
          <t>Generalist</t>
        </is>
      </c>
      <c r="J1070" t="inlineStr">
        <is>
          <t>Generalist</t>
        </is>
      </c>
    </row>
    <row r="1071">
      <c r="A1071" t="inlineStr">
        <is>
          <t>Gymnema</t>
        </is>
      </c>
      <c r="B1071" t="inlineStr">
        <is>
          <t>Pomegranate</t>
        </is>
      </c>
      <c r="C1071" t="n">
        <v>50</v>
      </c>
      <c r="E1071" t="inlineStr">
        <is>
          <t>unclassified</t>
        </is>
      </c>
      <c r="G1071" t="inlineStr">
        <is>
          <t>General</t>
        </is>
      </c>
      <c r="H1071" t="inlineStr">
        <is>
          <t>General</t>
        </is>
      </c>
      <c r="I1071" t="inlineStr">
        <is>
          <t>Generalist</t>
        </is>
      </c>
      <c r="J1071" t="inlineStr">
        <is>
          <t>Generalist</t>
        </is>
      </c>
    </row>
    <row r="1072">
      <c r="A1072" t="inlineStr">
        <is>
          <t>Gymnema</t>
        </is>
      </c>
      <c r="B1072" t="inlineStr">
        <is>
          <t>Poria</t>
        </is>
      </c>
      <c r="C1072" t="n">
        <v>50</v>
      </c>
      <c r="E1072" t="inlineStr">
        <is>
          <t>unclassified</t>
        </is>
      </c>
      <c r="G1072" t="inlineStr">
        <is>
          <t>General</t>
        </is>
      </c>
      <c r="H1072" t="inlineStr">
        <is>
          <t>General</t>
        </is>
      </c>
      <c r="I1072" t="inlineStr">
        <is>
          <t>Generalist</t>
        </is>
      </c>
      <c r="J1072" t="inlineStr">
        <is>
          <t>Generalist</t>
        </is>
      </c>
    </row>
    <row r="1073">
      <c r="A1073" t="inlineStr">
        <is>
          <t>Gymnema</t>
        </is>
      </c>
      <c r="B1073" t="inlineStr">
        <is>
          <t>Punarnava</t>
        </is>
      </c>
      <c r="C1073" t="n">
        <v>50</v>
      </c>
      <c r="E1073" t="inlineStr">
        <is>
          <t>unclassified</t>
        </is>
      </c>
      <c r="G1073" t="inlineStr">
        <is>
          <t>General</t>
        </is>
      </c>
      <c r="H1073" t="inlineStr">
        <is>
          <t>General</t>
        </is>
      </c>
      <c r="I1073" t="inlineStr">
        <is>
          <t>Generalist</t>
        </is>
      </c>
      <c r="J1073" t="inlineStr">
        <is>
          <t>Generalist</t>
        </is>
      </c>
    </row>
    <row r="1074">
      <c r="A1074" t="inlineStr">
        <is>
          <t>Gymnema</t>
        </is>
      </c>
      <c r="B1074" t="inlineStr">
        <is>
          <t>Rehmannia Prepared</t>
        </is>
      </c>
      <c r="C1074" t="n">
        <v>50</v>
      </c>
      <c r="E1074" t="inlineStr">
        <is>
          <t>unclassified</t>
        </is>
      </c>
      <c r="G1074" t="inlineStr">
        <is>
          <t>General</t>
        </is>
      </c>
      <c r="H1074" t="inlineStr">
        <is>
          <t>General</t>
        </is>
      </c>
      <c r="I1074" t="inlineStr">
        <is>
          <t>Generalist</t>
        </is>
      </c>
      <c r="J1074" t="inlineStr">
        <is>
          <t>Generalist</t>
        </is>
      </c>
    </row>
    <row r="1075">
      <c r="A1075" t="inlineStr">
        <is>
          <t>Gymnema</t>
        </is>
      </c>
      <c r="B1075" t="inlineStr">
        <is>
          <t>Reishi</t>
        </is>
      </c>
      <c r="C1075" t="n">
        <v>50</v>
      </c>
      <c r="E1075" t="inlineStr">
        <is>
          <t>unclassified</t>
        </is>
      </c>
      <c r="G1075" t="inlineStr">
        <is>
          <t>General</t>
        </is>
      </c>
      <c r="H1075" t="inlineStr">
        <is>
          <t>General</t>
        </is>
      </c>
      <c r="I1075" t="inlineStr">
        <is>
          <t>Generalist</t>
        </is>
      </c>
      <c r="J1075" t="inlineStr">
        <is>
          <t>Generalist</t>
        </is>
      </c>
    </row>
    <row r="1076">
      <c r="A1076" t="inlineStr">
        <is>
          <t>Gymnema</t>
        </is>
      </c>
      <c r="B1076" t="inlineStr">
        <is>
          <t>Rose Hips</t>
        </is>
      </c>
      <c r="C1076" t="n">
        <v>50</v>
      </c>
      <c r="E1076" t="inlineStr">
        <is>
          <t>unclassified</t>
        </is>
      </c>
      <c r="G1076" t="inlineStr">
        <is>
          <t>General</t>
        </is>
      </c>
      <c r="H1076" t="inlineStr">
        <is>
          <t>General</t>
        </is>
      </c>
      <c r="I1076" t="inlineStr">
        <is>
          <t>Generalist</t>
        </is>
      </c>
      <c r="J1076" t="inlineStr">
        <is>
          <t>Generalist</t>
        </is>
      </c>
    </row>
    <row r="1077">
      <c r="A1077" t="inlineStr">
        <is>
          <t>Gymnema</t>
        </is>
      </c>
      <c r="B1077" t="inlineStr">
        <is>
          <t>Sophora Flavescens</t>
        </is>
      </c>
      <c r="C1077" t="n">
        <v>50</v>
      </c>
      <c r="E1077" t="inlineStr">
        <is>
          <t>unclassified</t>
        </is>
      </c>
      <c r="G1077" t="inlineStr">
        <is>
          <t>General</t>
        </is>
      </c>
      <c r="H1077" t="inlineStr">
        <is>
          <t>General</t>
        </is>
      </c>
      <c r="I1077" t="inlineStr">
        <is>
          <t>Generalist</t>
        </is>
      </c>
      <c r="J1077" t="inlineStr">
        <is>
          <t>Generalist</t>
        </is>
      </c>
    </row>
    <row r="1078">
      <c r="A1078" t="inlineStr">
        <is>
          <t>Gymnema</t>
        </is>
      </c>
      <c r="B1078" t="inlineStr">
        <is>
          <t>Soursop</t>
        </is>
      </c>
      <c r="C1078" t="n">
        <v>50</v>
      </c>
      <c r="E1078" t="inlineStr">
        <is>
          <t>unclassified</t>
        </is>
      </c>
      <c r="G1078" t="inlineStr">
        <is>
          <t>General</t>
        </is>
      </c>
      <c r="H1078" t="inlineStr">
        <is>
          <t>General</t>
        </is>
      </c>
      <c r="I1078" t="inlineStr">
        <is>
          <t>Generalist</t>
        </is>
      </c>
      <c r="J1078" t="inlineStr">
        <is>
          <t>Generalist</t>
        </is>
      </c>
    </row>
    <row r="1079">
      <c r="A1079" t="inlineStr">
        <is>
          <t>Gymnema</t>
        </is>
      </c>
      <c r="B1079" t="inlineStr">
        <is>
          <t>Tamarind</t>
        </is>
      </c>
      <c r="C1079" t="n">
        <v>50</v>
      </c>
      <c r="E1079" t="inlineStr">
        <is>
          <t>unclassified</t>
        </is>
      </c>
      <c r="G1079" t="inlineStr">
        <is>
          <t>General</t>
        </is>
      </c>
      <c r="H1079" t="inlineStr">
        <is>
          <t>General</t>
        </is>
      </c>
      <c r="I1079" t="inlineStr">
        <is>
          <t>Generalist</t>
        </is>
      </c>
      <c r="J1079" t="inlineStr">
        <is>
          <t>Generalist</t>
        </is>
      </c>
    </row>
    <row r="1080">
      <c r="A1080" t="inlineStr">
        <is>
          <t>Gymnema</t>
        </is>
      </c>
      <c r="B1080" t="inlineStr">
        <is>
          <t>White Peony</t>
        </is>
      </c>
      <c r="C1080" t="n">
        <v>50</v>
      </c>
      <c r="E1080" t="inlineStr">
        <is>
          <t>unclassified</t>
        </is>
      </c>
      <c r="G1080" t="inlineStr">
        <is>
          <t>General</t>
        </is>
      </c>
      <c r="H1080" t="inlineStr">
        <is>
          <t>General</t>
        </is>
      </c>
      <c r="I1080" t="inlineStr">
        <is>
          <t>Generalist</t>
        </is>
      </c>
      <c r="J1080" t="inlineStr">
        <is>
          <t>Generalist</t>
        </is>
      </c>
    </row>
    <row r="1081">
      <c r="A1081" t="inlineStr">
        <is>
          <t>Gymnema</t>
        </is>
      </c>
      <c r="B1081" t="inlineStr">
        <is>
          <t>Yohimbe</t>
        </is>
      </c>
      <c r="C1081" t="n">
        <v>50</v>
      </c>
      <c r="E1081" t="inlineStr">
        <is>
          <t>unclassified</t>
        </is>
      </c>
      <c r="G1081" t="inlineStr">
        <is>
          <t>General</t>
        </is>
      </c>
      <c r="H1081" t="inlineStr">
        <is>
          <t>General</t>
        </is>
      </c>
      <c r="I1081" t="inlineStr">
        <is>
          <t>Generalist</t>
        </is>
      </c>
      <c r="J1081" t="inlineStr">
        <is>
          <t>Generalist</t>
        </is>
      </c>
    </row>
    <row r="1082">
      <c r="A1082" t="inlineStr">
        <is>
          <t>Holy Basil</t>
        </is>
      </c>
      <c r="B1082" t="inlineStr">
        <is>
          <t>Maca</t>
        </is>
      </c>
      <c r="C1082" t="n">
        <v>50</v>
      </c>
      <c r="E1082" t="inlineStr">
        <is>
          <t>unclassified</t>
        </is>
      </c>
      <c r="G1082" t="inlineStr">
        <is>
          <t>Stress</t>
        </is>
      </c>
      <c r="H1082" t="inlineStr">
        <is>
          <t>Stress</t>
        </is>
      </c>
      <c r="I1082" t="inlineStr">
        <is>
          <t>Stress / Adaptogenic</t>
        </is>
      </c>
      <c r="J1082" t="inlineStr">
        <is>
          <t>Stress / Adaptogenic</t>
        </is>
      </c>
    </row>
    <row r="1083">
      <c r="A1083" t="inlineStr">
        <is>
          <t>Holy Basil</t>
        </is>
      </c>
      <c r="B1083" t="inlineStr">
        <is>
          <t>Maral Root</t>
        </is>
      </c>
      <c r="C1083" t="n">
        <v>50</v>
      </c>
      <c r="E1083" t="inlineStr">
        <is>
          <t>unclassified</t>
        </is>
      </c>
      <c r="G1083" t="inlineStr">
        <is>
          <t>Stress</t>
        </is>
      </c>
      <c r="H1083" t="inlineStr">
        <is>
          <t>Stress</t>
        </is>
      </c>
      <c r="I1083" t="inlineStr">
        <is>
          <t>Stress / Adaptogenic</t>
        </is>
      </c>
      <c r="J1083" t="inlineStr">
        <is>
          <t>Stress / Adaptogenic</t>
        </is>
      </c>
    </row>
    <row r="1084">
      <c r="A1084" t="inlineStr">
        <is>
          <t>Holy Basil</t>
        </is>
      </c>
      <c r="B1084" t="inlineStr">
        <is>
          <t>Rhodiola</t>
        </is>
      </c>
      <c r="C1084" t="n">
        <v>50</v>
      </c>
      <c r="E1084" t="inlineStr">
        <is>
          <t>unclassified</t>
        </is>
      </c>
      <c r="G1084" t="inlineStr">
        <is>
          <t>Stress</t>
        </is>
      </c>
      <c r="H1084" t="inlineStr">
        <is>
          <t>Stress</t>
        </is>
      </c>
      <c r="I1084" t="inlineStr">
        <is>
          <t>Stress / Adaptogenic</t>
        </is>
      </c>
      <c r="J1084" t="inlineStr">
        <is>
          <t>Stress / Adaptogenic</t>
        </is>
      </c>
    </row>
    <row r="1085">
      <c r="A1085" t="inlineStr">
        <is>
          <t>Holy Basil</t>
        </is>
      </c>
      <c r="B1085" t="inlineStr">
        <is>
          <t>Rhodiola Rosea</t>
        </is>
      </c>
      <c r="C1085" t="n">
        <v>50</v>
      </c>
      <c r="E1085" t="inlineStr">
        <is>
          <t>unclassified</t>
        </is>
      </c>
      <c r="G1085" t="inlineStr">
        <is>
          <t>Stress</t>
        </is>
      </c>
      <c r="H1085" t="inlineStr">
        <is>
          <t>Stress</t>
        </is>
      </c>
      <c r="I1085" t="inlineStr">
        <is>
          <t>Stress / Adaptogenic</t>
        </is>
      </c>
      <c r="J1085" t="inlineStr">
        <is>
          <t>Stress / Adaptogenic</t>
        </is>
      </c>
    </row>
    <row r="1086">
      <c r="A1086" t="inlineStr">
        <is>
          <t>Holy Basil</t>
        </is>
      </c>
      <c r="B1086" t="inlineStr">
        <is>
          <t>Suma</t>
        </is>
      </c>
      <c r="C1086" t="n">
        <v>50</v>
      </c>
      <c r="E1086" t="inlineStr">
        <is>
          <t>unclassified</t>
        </is>
      </c>
      <c r="G1086" t="inlineStr">
        <is>
          <t>Stress</t>
        </is>
      </c>
      <c r="H1086" t="inlineStr">
        <is>
          <t>Stress</t>
        </is>
      </c>
      <c r="I1086" t="inlineStr">
        <is>
          <t>Stress / Adaptogenic</t>
        </is>
      </c>
      <c r="J1086" t="inlineStr">
        <is>
          <t>Stress / Adaptogenic</t>
        </is>
      </c>
    </row>
    <row r="1087">
      <c r="A1087" t="inlineStr">
        <is>
          <t>Holy Basil Purple</t>
        </is>
      </c>
      <c r="B1087" t="inlineStr">
        <is>
          <t>Rhodiola</t>
        </is>
      </c>
      <c r="C1087" t="n">
        <v>50</v>
      </c>
      <c r="E1087" t="inlineStr">
        <is>
          <t>unclassified</t>
        </is>
      </c>
      <c r="G1087" t="inlineStr">
        <is>
          <t>Stress</t>
        </is>
      </c>
      <c r="H1087" t="inlineStr">
        <is>
          <t>Stress</t>
        </is>
      </c>
      <c r="I1087" t="inlineStr">
        <is>
          <t>Stress / Adaptogenic</t>
        </is>
      </c>
      <c r="J1087" t="inlineStr">
        <is>
          <t>Stress / Adaptogenic</t>
        </is>
      </c>
    </row>
    <row r="1088">
      <c r="A1088" t="inlineStr">
        <is>
          <t>Hops</t>
        </is>
      </c>
      <c r="B1088" t="inlineStr">
        <is>
          <t>Agarikon</t>
        </is>
      </c>
      <c r="C1088" t="n">
        <v>50</v>
      </c>
      <c r="E1088" t="inlineStr">
        <is>
          <t>unclassified</t>
        </is>
      </c>
      <c r="G1088" t="inlineStr">
        <is>
          <t>General</t>
        </is>
      </c>
      <c r="H1088" t="inlineStr">
        <is>
          <t>General</t>
        </is>
      </c>
      <c r="I1088" t="inlineStr">
        <is>
          <t>Generalist</t>
        </is>
      </c>
      <c r="J1088" t="inlineStr">
        <is>
          <t>Generalist</t>
        </is>
      </c>
    </row>
    <row r="1089">
      <c r="A1089" t="inlineStr">
        <is>
          <t>Hops</t>
        </is>
      </c>
      <c r="B1089" t="inlineStr">
        <is>
          <t>Ajwain</t>
        </is>
      </c>
      <c r="C1089" t="n">
        <v>50</v>
      </c>
      <c r="E1089" t="inlineStr">
        <is>
          <t>unclassified</t>
        </is>
      </c>
      <c r="G1089" t="inlineStr">
        <is>
          <t>General</t>
        </is>
      </c>
      <c r="H1089" t="inlineStr">
        <is>
          <t>General</t>
        </is>
      </c>
      <c r="I1089" t="inlineStr">
        <is>
          <t>Generalist</t>
        </is>
      </c>
      <c r="J1089" t="inlineStr">
        <is>
          <t>Generalist</t>
        </is>
      </c>
    </row>
    <row r="1090">
      <c r="A1090" t="inlineStr">
        <is>
          <t>Hops</t>
        </is>
      </c>
      <c r="B1090" t="inlineStr">
        <is>
          <t>Angelica Root</t>
        </is>
      </c>
      <c r="C1090" t="n">
        <v>50</v>
      </c>
      <c r="E1090" t="inlineStr">
        <is>
          <t>unclassified</t>
        </is>
      </c>
      <c r="G1090" t="inlineStr">
        <is>
          <t>General</t>
        </is>
      </c>
      <c r="H1090" t="inlineStr">
        <is>
          <t>General</t>
        </is>
      </c>
      <c r="I1090" t="inlineStr">
        <is>
          <t>Generalist</t>
        </is>
      </c>
      <c r="J1090" t="inlineStr">
        <is>
          <t>Generalist</t>
        </is>
      </c>
    </row>
    <row r="1091">
      <c r="A1091" t="inlineStr">
        <is>
          <t>Hops</t>
        </is>
      </c>
      <c r="B1091" t="inlineStr">
        <is>
          <t>Caraway</t>
        </is>
      </c>
      <c r="C1091" t="n">
        <v>50</v>
      </c>
      <c r="E1091" t="inlineStr">
        <is>
          <t>unclassified</t>
        </is>
      </c>
      <c r="G1091" t="inlineStr">
        <is>
          <t>General</t>
        </is>
      </c>
      <c r="H1091" t="inlineStr">
        <is>
          <t>General</t>
        </is>
      </c>
      <c r="I1091" t="inlineStr">
        <is>
          <t>Generalist</t>
        </is>
      </c>
      <c r="J1091" t="inlineStr">
        <is>
          <t>Generalist</t>
        </is>
      </c>
    </row>
    <row r="1092">
      <c r="A1092" t="inlineStr">
        <is>
          <t>Hops</t>
        </is>
      </c>
      <c r="B1092" t="inlineStr">
        <is>
          <t>Cardamom</t>
        </is>
      </c>
      <c r="C1092" t="n">
        <v>50</v>
      </c>
      <c r="E1092" t="inlineStr">
        <is>
          <t>unclassified</t>
        </is>
      </c>
      <c r="G1092" t="inlineStr">
        <is>
          <t>General</t>
        </is>
      </c>
      <c r="H1092" t="inlineStr">
        <is>
          <t>General</t>
        </is>
      </c>
      <c r="I1092" t="inlineStr">
        <is>
          <t>Generalist</t>
        </is>
      </c>
      <c r="J1092" t="inlineStr">
        <is>
          <t>Generalist</t>
        </is>
      </c>
    </row>
    <row r="1093">
      <c r="A1093" t="inlineStr">
        <is>
          <t>Hops</t>
        </is>
      </c>
      <c r="B1093" t="inlineStr">
        <is>
          <t>Celastrus Paniculatus</t>
        </is>
      </c>
      <c r="C1093" t="n">
        <v>50</v>
      </c>
      <c r="E1093" t="inlineStr">
        <is>
          <t>unclassified</t>
        </is>
      </c>
      <c r="G1093" t="inlineStr">
        <is>
          <t>General</t>
        </is>
      </c>
      <c r="H1093" t="inlineStr">
        <is>
          <t>General</t>
        </is>
      </c>
      <c r="I1093" t="inlineStr">
        <is>
          <t>Generalist</t>
        </is>
      </c>
      <c r="J1093" t="inlineStr">
        <is>
          <t>Generalist</t>
        </is>
      </c>
    </row>
    <row r="1094">
      <c r="A1094" t="inlineStr">
        <is>
          <t>Hops</t>
        </is>
      </c>
      <c r="B1094" t="inlineStr">
        <is>
          <t>Cistanche</t>
        </is>
      </c>
      <c r="C1094" t="n">
        <v>50</v>
      </c>
      <c r="E1094" t="inlineStr">
        <is>
          <t>unclassified</t>
        </is>
      </c>
      <c r="G1094" t="inlineStr">
        <is>
          <t>General</t>
        </is>
      </c>
      <c r="H1094" t="inlineStr">
        <is>
          <t>General</t>
        </is>
      </c>
      <c r="I1094" t="inlineStr">
        <is>
          <t>Generalist</t>
        </is>
      </c>
      <c r="J1094" t="inlineStr">
        <is>
          <t>Generalist</t>
        </is>
      </c>
    </row>
    <row r="1095">
      <c r="A1095" t="inlineStr">
        <is>
          <t>Hops</t>
        </is>
      </c>
      <c r="B1095" t="inlineStr">
        <is>
          <t>Cordyceps</t>
        </is>
      </c>
      <c r="C1095" t="n">
        <v>50</v>
      </c>
      <c r="E1095" t="inlineStr">
        <is>
          <t>unclassified</t>
        </is>
      </c>
      <c r="G1095" t="inlineStr">
        <is>
          <t>General</t>
        </is>
      </c>
      <c r="H1095" t="inlineStr">
        <is>
          <t>General</t>
        </is>
      </c>
      <c r="I1095" t="inlineStr">
        <is>
          <t>Generalist</t>
        </is>
      </c>
      <c r="J1095" t="inlineStr">
        <is>
          <t>Generalist</t>
        </is>
      </c>
    </row>
    <row r="1096">
      <c r="A1096" t="inlineStr">
        <is>
          <t>Hops</t>
        </is>
      </c>
      <c r="B1096" t="inlineStr">
        <is>
          <t>Dendrobium</t>
        </is>
      </c>
      <c r="C1096" t="n">
        <v>50</v>
      </c>
      <c r="E1096" t="inlineStr">
        <is>
          <t>unclassified</t>
        </is>
      </c>
      <c r="G1096" t="inlineStr">
        <is>
          <t>General</t>
        </is>
      </c>
      <c r="H1096" t="inlineStr">
        <is>
          <t>General</t>
        </is>
      </c>
      <c r="I1096" t="inlineStr">
        <is>
          <t>Generalist</t>
        </is>
      </c>
      <c r="J1096" t="inlineStr">
        <is>
          <t>Generalist</t>
        </is>
      </c>
    </row>
    <row r="1097">
      <c r="A1097" t="inlineStr">
        <is>
          <t>Hops</t>
        </is>
      </c>
      <c r="B1097" t="inlineStr">
        <is>
          <t>Elecampane</t>
        </is>
      </c>
      <c r="C1097" t="n">
        <v>50</v>
      </c>
      <c r="E1097" t="inlineStr">
        <is>
          <t>unclassified</t>
        </is>
      </c>
      <c r="G1097" t="inlineStr">
        <is>
          <t>General</t>
        </is>
      </c>
      <c r="H1097" t="inlineStr">
        <is>
          <t>General</t>
        </is>
      </c>
      <c r="I1097" t="inlineStr">
        <is>
          <t>Generalist</t>
        </is>
      </c>
      <c r="J1097" t="inlineStr">
        <is>
          <t>Generalist</t>
        </is>
      </c>
    </row>
    <row r="1098">
      <c r="A1098" t="inlineStr">
        <is>
          <t>Hops</t>
        </is>
      </c>
      <c r="B1098" t="inlineStr">
        <is>
          <t>Eleuthero</t>
        </is>
      </c>
      <c r="C1098" t="n">
        <v>50</v>
      </c>
      <c r="E1098" t="inlineStr">
        <is>
          <t>unclassified</t>
        </is>
      </c>
      <c r="G1098" t="inlineStr">
        <is>
          <t>General</t>
        </is>
      </c>
      <c r="H1098" t="inlineStr">
        <is>
          <t>General</t>
        </is>
      </c>
      <c r="I1098" t="inlineStr">
        <is>
          <t>Generalist</t>
        </is>
      </c>
      <c r="J1098" t="inlineStr">
        <is>
          <t>Generalist</t>
        </is>
      </c>
    </row>
    <row r="1099">
      <c r="A1099" t="inlineStr">
        <is>
          <t>Hops</t>
        </is>
      </c>
      <c r="B1099" t="inlineStr">
        <is>
          <t>Galangal</t>
        </is>
      </c>
      <c r="C1099" t="n">
        <v>50</v>
      </c>
      <c r="E1099" t="inlineStr">
        <is>
          <t>unclassified</t>
        </is>
      </c>
      <c r="G1099" t="inlineStr">
        <is>
          <t>General</t>
        </is>
      </c>
      <c r="H1099" t="inlineStr">
        <is>
          <t>General</t>
        </is>
      </c>
      <c r="I1099" t="inlineStr">
        <is>
          <t>Generalist</t>
        </is>
      </c>
      <c r="J1099" t="inlineStr">
        <is>
          <t>Generalist</t>
        </is>
      </c>
    </row>
    <row r="1100">
      <c r="A1100" t="inlineStr">
        <is>
          <t>Hops</t>
        </is>
      </c>
      <c r="B1100" t="inlineStr">
        <is>
          <t>Gastrodia</t>
        </is>
      </c>
      <c r="C1100" t="n">
        <v>50</v>
      </c>
      <c r="E1100" t="inlineStr">
        <is>
          <t>unclassified</t>
        </is>
      </c>
      <c r="G1100" t="inlineStr">
        <is>
          <t>General</t>
        </is>
      </c>
      <c r="H1100" t="inlineStr">
        <is>
          <t>General</t>
        </is>
      </c>
      <c r="I1100" t="inlineStr">
        <is>
          <t>Generalist</t>
        </is>
      </c>
      <c r="J1100" t="inlineStr">
        <is>
          <t>Generalist</t>
        </is>
      </c>
    </row>
    <row r="1101">
      <c r="A1101" t="inlineStr">
        <is>
          <t>Hops</t>
        </is>
      </c>
      <c r="B1101" t="inlineStr">
        <is>
          <t>Gudmar</t>
        </is>
      </c>
      <c r="C1101" t="n">
        <v>50</v>
      </c>
      <c r="E1101" t="inlineStr">
        <is>
          <t>unclassified</t>
        </is>
      </c>
      <c r="G1101" t="inlineStr">
        <is>
          <t>General</t>
        </is>
      </c>
      <c r="H1101" t="inlineStr">
        <is>
          <t>General</t>
        </is>
      </c>
      <c r="I1101" t="inlineStr">
        <is>
          <t>Generalist</t>
        </is>
      </c>
      <c r="J1101" t="inlineStr">
        <is>
          <t>Generalist</t>
        </is>
      </c>
    </row>
    <row r="1102">
      <c r="A1102" t="inlineStr">
        <is>
          <t>Hops</t>
        </is>
      </c>
      <c r="B1102" t="inlineStr">
        <is>
          <t>Houttuynia</t>
        </is>
      </c>
      <c r="C1102" t="n">
        <v>50</v>
      </c>
      <c r="E1102" t="inlineStr">
        <is>
          <t>unclassified</t>
        </is>
      </c>
      <c r="G1102" t="inlineStr">
        <is>
          <t>General</t>
        </is>
      </c>
      <c r="H1102" t="inlineStr">
        <is>
          <t>General</t>
        </is>
      </c>
      <c r="I1102" t="inlineStr">
        <is>
          <t>Generalist</t>
        </is>
      </c>
      <c r="J1102" t="inlineStr">
        <is>
          <t>Generalist</t>
        </is>
      </c>
    </row>
    <row r="1103">
      <c r="A1103" t="inlineStr">
        <is>
          <t>Hops</t>
        </is>
      </c>
      <c r="B1103" t="inlineStr">
        <is>
          <t>Isatis</t>
        </is>
      </c>
      <c r="C1103" t="n">
        <v>50</v>
      </c>
      <c r="E1103" t="inlineStr">
        <is>
          <t>unclassified</t>
        </is>
      </c>
      <c r="G1103" t="inlineStr">
        <is>
          <t>General</t>
        </is>
      </c>
      <c r="H1103" t="inlineStr">
        <is>
          <t>General</t>
        </is>
      </c>
      <c r="I1103" t="inlineStr">
        <is>
          <t>Generalist</t>
        </is>
      </c>
      <c r="J1103" t="inlineStr">
        <is>
          <t>Generalist</t>
        </is>
      </c>
    </row>
    <row r="1104">
      <c r="A1104" t="inlineStr">
        <is>
          <t>Hops</t>
        </is>
      </c>
      <c r="B1104" t="inlineStr">
        <is>
          <t>Lemongrass</t>
        </is>
      </c>
      <c r="C1104" t="n">
        <v>50</v>
      </c>
      <c r="E1104" t="inlineStr">
        <is>
          <t>unclassified</t>
        </is>
      </c>
      <c r="G1104" t="inlineStr">
        <is>
          <t>General</t>
        </is>
      </c>
      <c r="H1104" t="inlineStr">
        <is>
          <t>General</t>
        </is>
      </c>
      <c r="I1104" t="inlineStr">
        <is>
          <t>Generalist</t>
        </is>
      </c>
      <c r="J1104" t="inlineStr">
        <is>
          <t>Generalist</t>
        </is>
      </c>
    </row>
    <row r="1105">
      <c r="A1105" t="inlineStr">
        <is>
          <t>Hops</t>
        </is>
      </c>
      <c r="B1105" t="inlineStr">
        <is>
          <t>Longan</t>
        </is>
      </c>
      <c r="C1105" t="n">
        <v>50</v>
      </c>
      <c r="E1105" t="inlineStr">
        <is>
          <t>unclassified</t>
        </is>
      </c>
      <c r="G1105" t="inlineStr">
        <is>
          <t>General</t>
        </is>
      </c>
      <c r="H1105" t="inlineStr">
        <is>
          <t>General</t>
        </is>
      </c>
      <c r="I1105" t="inlineStr">
        <is>
          <t>Generalist</t>
        </is>
      </c>
      <c r="J1105" t="inlineStr">
        <is>
          <t>Generalist</t>
        </is>
      </c>
    </row>
    <row r="1106">
      <c r="A1106" t="inlineStr">
        <is>
          <t>Hops</t>
        </is>
      </c>
      <c r="B1106" t="inlineStr">
        <is>
          <t>Maitake D-Fraction</t>
        </is>
      </c>
      <c r="C1106" t="n">
        <v>50</v>
      </c>
      <c r="E1106" t="inlineStr">
        <is>
          <t>unclassified</t>
        </is>
      </c>
      <c r="G1106" t="inlineStr">
        <is>
          <t>General</t>
        </is>
      </c>
      <c r="H1106" t="inlineStr">
        <is>
          <t>General</t>
        </is>
      </c>
      <c r="I1106" t="inlineStr">
        <is>
          <t>Generalist</t>
        </is>
      </c>
      <c r="J1106" t="inlineStr">
        <is>
          <t>Generalist</t>
        </is>
      </c>
    </row>
    <row r="1107">
      <c r="A1107" t="inlineStr">
        <is>
          <t>Hops</t>
        </is>
      </c>
      <c r="B1107" t="inlineStr">
        <is>
          <t>Muira Puama</t>
        </is>
      </c>
      <c r="C1107" t="n">
        <v>50</v>
      </c>
      <c r="E1107" t="inlineStr">
        <is>
          <t>unclassified</t>
        </is>
      </c>
      <c r="G1107" t="inlineStr">
        <is>
          <t>General</t>
        </is>
      </c>
      <c r="H1107" t="inlineStr">
        <is>
          <t>General</t>
        </is>
      </c>
      <c r="I1107" t="inlineStr">
        <is>
          <t>Generalist</t>
        </is>
      </c>
      <c r="J1107" t="inlineStr">
        <is>
          <t>Generalist</t>
        </is>
      </c>
    </row>
    <row r="1108">
      <c r="A1108" t="inlineStr">
        <is>
          <t>Hops</t>
        </is>
      </c>
      <c r="B1108" t="inlineStr">
        <is>
          <t>Nettle Root</t>
        </is>
      </c>
      <c r="C1108" t="n">
        <v>50</v>
      </c>
      <c r="E1108" t="inlineStr">
        <is>
          <t>unclassified</t>
        </is>
      </c>
      <c r="G1108" t="inlineStr">
        <is>
          <t>General</t>
        </is>
      </c>
      <c r="H1108" t="inlineStr">
        <is>
          <t>General</t>
        </is>
      </c>
      <c r="I1108" t="inlineStr">
        <is>
          <t>Generalist</t>
        </is>
      </c>
      <c r="J1108" t="inlineStr">
        <is>
          <t>Generalist</t>
        </is>
      </c>
    </row>
    <row r="1109">
      <c r="A1109" t="inlineStr">
        <is>
          <t>Hops</t>
        </is>
      </c>
      <c r="B1109" t="inlineStr">
        <is>
          <t>Passionflower</t>
        </is>
      </c>
      <c r="C1109" t="n">
        <v>50</v>
      </c>
      <c r="E1109" t="inlineStr">
        <is>
          <t>unclassified</t>
        </is>
      </c>
      <c r="G1109" t="inlineStr">
        <is>
          <t>General</t>
        </is>
      </c>
      <c r="H1109" t="inlineStr">
        <is>
          <t>General</t>
        </is>
      </c>
      <c r="I1109" t="inlineStr">
        <is>
          <t>Generalist</t>
        </is>
      </c>
      <c r="J1109" t="inlineStr">
        <is>
          <t>Generalist</t>
        </is>
      </c>
    </row>
    <row r="1110">
      <c r="A1110" t="inlineStr">
        <is>
          <t>Hops</t>
        </is>
      </c>
      <c r="B1110" t="inlineStr">
        <is>
          <t>Perilla</t>
        </is>
      </c>
      <c r="C1110" t="n">
        <v>50</v>
      </c>
      <c r="E1110" t="inlineStr">
        <is>
          <t>unclassified</t>
        </is>
      </c>
      <c r="G1110" t="inlineStr">
        <is>
          <t>General</t>
        </is>
      </c>
      <c r="H1110" t="inlineStr">
        <is>
          <t>General</t>
        </is>
      </c>
      <c r="I1110" t="inlineStr">
        <is>
          <t>Generalist</t>
        </is>
      </c>
      <c r="J1110" t="inlineStr">
        <is>
          <t>Generalist</t>
        </is>
      </c>
    </row>
    <row r="1111">
      <c r="A1111" t="inlineStr">
        <is>
          <t>Hops</t>
        </is>
      </c>
      <c r="B1111" t="inlineStr">
        <is>
          <t>Poria</t>
        </is>
      </c>
      <c r="C1111" t="n">
        <v>50</v>
      </c>
      <c r="E1111" t="inlineStr">
        <is>
          <t>unclassified</t>
        </is>
      </c>
      <c r="G1111" t="inlineStr">
        <is>
          <t>General</t>
        </is>
      </c>
      <c r="H1111" t="inlineStr">
        <is>
          <t>General</t>
        </is>
      </c>
      <c r="I1111" t="inlineStr">
        <is>
          <t>Generalist</t>
        </is>
      </c>
      <c r="J1111" t="inlineStr">
        <is>
          <t>Generalist</t>
        </is>
      </c>
    </row>
    <row r="1112">
      <c r="A1112" t="inlineStr">
        <is>
          <t>Hops</t>
        </is>
      </c>
      <c r="B1112" t="inlineStr">
        <is>
          <t>Punarnava</t>
        </is>
      </c>
      <c r="C1112" t="n">
        <v>50</v>
      </c>
      <c r="E1112" t="inlineStr">
        <is>
          <t>unclassified</t>
        </is>
      </c>
      <c r="G1112" t="inlineStr">
        <is>
          <t>General</t>
        </is>
      </c>
      <c r="H1112" t="inlineStr">
        <is>
          <t>General</t>
        </is>
      </c>
      <c r="I1112" t="inlineStr">
        <is>
          <t>Generalist</t>
        </is>
      </c>
      <c r="J1112" t="inlineStr">
        <is>
          <t>Generalist</t>
        </is>
      </c>
    </row>
    <row r="1113">
      <c r="A1113" t="inlineStr">
        <is>
          <t>Hops</t>
        </is>
      </c>
      <c r="B1113" t="inlineStr">
        <is>
          <t>Rehmannia Prepared</t>
        </is>
      </c>
      <c r="C1113" t="n">
        <v>50</v>
      </c>
      <c r="E1113" t="inlineStr">
        <is>
          <t>unclassified</t>
        </is>
      </c>
      <c r="G1113" t="inlineStr">
        <is>
          <t>General</t>
        </is>
      </c>
      <c r="H1113" t="inlineStr">
        <is>
          <t>General</t>
        </is>
      </c>
      <c r="I1113" t="inlineStr">
        <is>
          <t>Generalist</t>
        </is>
      </c>
      <c r="J1113" t="inlineStr">
        <is>
          <t>Generalist</t>
        </is>
      </c>
    </row>
    <row r="1114">
      <c r="A1114" t="inlineStr">
        <is>
          <t>Hops</t>
        </is>
      </c>
      <c r="B1114" t="inlineStr">
        <is>
          <t>Reishi</t>
        </is>
      </c>
      <c r="C1114" t="n">
        <v>50</v>
      </c>
      <c r="E1114" t="inlineStr">
        <is>
          <t>unclassified</t>
        </is>
      </c>
      <c r="G1114" t="inlineStr">
        <is>
          <t>General</t>
        </is>
      </c>
      <c r="H1114" t="inlineStr">
        <is>
          <t>General</t>
        </is>
      </c>
      <c r="I1114" t="inlineStr">
        <is>
          <t>Generalist</t>
        </is>
      </c>
      <c r="J1114" t="inlineStr">
        <is>
          <t>Generalist</t>
        </is>
      </c>
    </row>
    <row r="1115">
      <c r="A1115" t="inlineStr">
        <is>
          <t>Hops</t>
        </is>
      </c>
      <c r="B1115" t="inlineStr">
        <is>
          <t>Sophora Flavescens</t>
        </is>
      </c>
      <c r="C1115" t="n">
        <v>50</v>
      </c>
      <c r="E1115" t="inlineStr">
        <is>
          <t>unclassified</t>
        </is>
      </c>
      <c r="G1115" t="inlineStr">
        <is>
          <t>General</t>
        </is>
      </c>
      <c r="H1115" t="inlineStr">
        <is>
          <t>General</t>
        </is>
      </c>
      <c r="I1115" t="inlineStr">
        <is>
          <t>Generalist</t>
        </is>
      </c>
      <c r="J1115" t="inlineStr">
        <is>
          <t>Generalist</t>
        </is>
      </c>
    </row>
    <row r="1116">
      <c r="A1116" t="inlineStr">
        <is>
          <t>Hops</t>
        </is>
      </c>
      <c r="B1116" t="inlineStr">
        <is>
          <t>Tamarind</t>
        </is>
      </c>
      <c r="C1116" t="n">
        <v>50</v>
      </c>
      <c r="E1116" t="inlineStr">
        <is>
          <t>unclassified</t>
        </is>
      </c>
      <c r="G1116" t="inlineStr">
        <is>
          <t>General</t>
        </is>
      </c>
      <c r="H1116" t="inlineStr">
        <is>
          <t>General</t>
        </is>
      </c>
      <c r="I1116" t="inlineStr">
        <is>
          <t>Generalist</t>
        </is>
      </c>
      <c r="J1116" t="inlineStr">
        <is>
          <t>Generalist</t>
        </is>
      </c>
    </row>
    <row r="1117">
      <c r="A1117" t="inlineStr">
        <is>
          <t>Hops</t>
        </is>
      </c>
      <c r="B1117" t="inlineStr">
        <is>
          <t>White Peony</t>
        </is>
      </c>
      <c r="C1117" t="n">
        <v>50</v>
      </c>
      <c r="E1117" t="inlineStr">
        <is>
          <t>unclassified</t>
        </is>
      </c>
      <c r="G1117" t="inlineStr">
        <is>
          <t>General</t>
        </is>
      </c>
      <c r="H1117" t="inlineStr">
        <is>
          <t>General</t>
        </is>
      </c>
      <c r="I1117" t="inlineStr">
        <is>
          <t>Generalist</t>
        </is>
      </c>
      <c r="J1117" t="inlineStr">
        <is>
          <t>Generalist</t>
        </is>
      </c>
    </row>
    <row r="1118">
      <c r="A1118" t="inlineStr">
        <is>
          <t>Hops</t>
        </is>
      </c>
      <c r="B1118" t="inlineStr">
        <is>
          <t>Yohimbe</t>
        </is>
      </c>
      <c r="C1118" t="n">
        <v>50</v>
      </c>
      <c r="E1118" t="inlineStr">
        <is>
          <t>unclassified</t>
        </is>
      </c>
      <c r="G1118" t="inlineStr">
        <is>
          <t>General</t>
        </is>
      </c>
      <c r="H1118" t="inlineStr">
        <is>
          <t>General</t>
        </is>
      </c>
      <c r="I1118" t="inlineStr">
        <is>
          <t>Generalist</t>
        </is>
      </c>
      <c r="J1118" t="inlineStr">
        <is>
          <t>Generalist</t>
        </is>
      </c>
    </row>
    <row r="1119">
      <c r="A1119" t="inlineStr">
        <is>
          <t>Houttuynia</t>
        </is>
      </c>
      <c r="B1119" t="inlineStr">
        <is>
          <t>Agarikon</t>
        </is>
      </c>
      <c r="C1119" t="n">
        <v>50</v>
      </c>
      <c r="E1119" t="inlineStr">
        <is>
          <t>unclassified</t>
        </is>
      </c>
      <c r="G1119" t="inlineStr">
        <is>
          <t>General</t>
        </is>
      </c>
      <c r="H1119" t="inlineStr">
        <is>
          <t>General</t>
        </is>
      </c>
      <c r="I1119" t="inlineStr">
        <is>
          <t>Generalist</t>
        </is>
      </c>
      <c r="J1119" t="inlineStr">
        <is>
          <t>Generalist</t>
        </is>
      </c>
    </row>
    <row r="1120">
      <c r="A1120" t="inlineStr">
        <is>
          <t>Houttuynia</t>
        </is>
      </c>
      <c r="B1120" t="inlineStr">
        <is>
          <t>Ajwain</t>
        </is>
      </c>
      <c r="C1120" t="n">
        <v>50</v>
      </c>
      <c r="E1120" t="inlineStr">
        <is>
          <t>unclassified</t>
        </is>
      </c>
      <c r="G1120" t="inlineStr">
        <is>
          <t>General</t>
        </is>
      </c>
      <c r="H1120" t="inlineStr">
        <is>
          <t>General</t>
        </is>
      </c>
      <c r="I1120" t="inlineStr">
        <is>
          <t>Generalist</t>
        </is>
      </c>
      <c r="J1120" t="inlineStr">
        <is>
          <t>Generalist</t>
        </is>
      </c>
    </row>
    <row r="1121">
      <c r="A1121" t="inlineStr">
        <is>
          <t>Houttuynia</t>
        </is>
      </c>
      <c r="B1121" t="inlineStr">
        <is>
          <t>Angelica Root</t>
        </is>
      </c>
      <c r="C1121" t="n">
        <v>50</v>
      </c>
      <c r="E1121" t="inlineStr">
        <is>
          <t>unclassified</t>
        </is>
      </c>
      <c r="G1121" t="inlineStr">
        <is>
          <t>General</t>
        </is>
      </c>
      <c r="H1121" t="inlineStr">
        <is>
          <t>General</t>
        </is>
      </c>
      <c r="I1121" t="inlineStr">
        <is>
          <t>Generalist</t>
        </is>
      </c>
      <c r="J1121" t="inlineStr">
        <is>
          <t>Generalist</t>
        </is>
      </c>
    </row>
    <row r="1122">
      <c r="A1122" t="inlineStr">
        <is>
          <t>Houttuynia</t>
        </is>
      </c>
      <c r="B1122" t="inlineStr">
        <is>
          <t>Caraway</t>
        </is>
      </c>
      <c r="C1122" t="n">
        <v>50</v>
      </c>
      <c r="E1122" t="inlineStr">
        <is>
          <t>unclassified</t>
        </is>
      </c>
      <c r="G1122" t="inlineStr">
        <is>
          <t>General</t>
        </is>
      </c>
      <c r="H1122" t="inlineStr">
        <is>
          <t>General</t>
        </is>
      </c>
      <c r="I1122" t="inlineStr">
        <is>
          <t>Generalist</t>
        </is>
      </c>
      <c r="J1122" t="inlineStr">
        <is>
          <t>Generalist</t>
        </is>
      </c>
    </row>
    <row r="1123">
      <c r="A1123" t="inlineStr">
        <is>
          <t>Houttuynia</t>
        </is>
      </c>
      <c r="B1123" t="inlineStr">
        <is>
          <t>Cardamom</t>
        </is>
      </c>
      <c r="C1123" t="n">
        <v>50</v>
      </c>
      <c r="E1123" t="inlineStr">
        <is>
          <t>unclassified</t>
        </is>
      </c>
      <c r="G1123" t="inlineStr">
        <is>
          <t>General</t>
        </is>
      </c>
      <c r="H1123" t="inlineStr">
        <is>
          <t>General</t>
        </is>
      </c>
      <c r="I1123" t="inlineStr">
        <is>
          <t>Generalist</t>
        </is>
      </c>
      <c r="J1123" t="inlineStr">
        <is>
          <t>Generalist</t>
        </is>
      </c>
    </row>
    <row r="1124">
      <c r="A1124" t="inlineStr">
        <is>
          <t>Houttuynia</t>
        </is>
      </c>
      <c r="B1124" t="inlineStr">
        <is>
          <t>Celastrus Paniculatus</t>
        </is>
      </c>
      <c r="C1124" t="n">
        <v>50</v>
      </c>
      <c r="E1124" t="inlineStr">
        <is>
          <t>unclassified</t>
        </is>
      </c>
      <c r="G1124" t="inlineStr">
        <is>
          <t>General</t>
        </is>
      </c>
      <c r="H1124" t="inlineStr">
        <is>
          <t>General</t>
        </is>
      </c>
      <c r="I1124" t="inlineStr">
        <is>
          <t>Generalist</t>
        </is>
      </c>
      <c r="J1124" t="inlineStr">
        <is>
          <t>Generalist</t>
        </is>
      </c>
    </row>
    <row r="1125">
      <c r="A1125" t="inlineStr">
        <is>
          <t>Houttuynia</t>
        </is>
      </c>
      <c r="B1125" t="inlineStr">
        <is>
          <t>Cordyceps</t>
        </is>
      </c>
      <c r="C1125" t="n">
        <v>50</v>
      </c>
      <c r="E1125" t="inlineStr">
        <is>
          <t>unclassified</t>
        </is>
      </c>
      <c r="G1125" t="inlineStr">
        <is>
          <t>General</t>
        </is>
      </c>
      <c r="H1125" t="inlineStr">
        <is>
          <t>General</t>
        </is>
      </c>
      <c r="I1125" t="inlineStr">
        <is>
          <t>Generalist</t>
        </is>
      </c>
      <c r="J1125" t="inlineStr">
        <is>
          <t>Generalist</t>
        </is>
      </c>
    </row>
    <row r="1126">
      <c r="A1126" t="inlineStr">
        <is>
          <t>Houttuynia</t>
        </is>
      </c>
      <c r="B1126" t="inlineStr">
        <is>
          <t>Elecampane</t>
        </is>
      </c>
      <c r="C1126" t="n">
        <v>50</v>
      </c>
      <c r="E1126" t="inlineStr">
        <is>
          <t>unclassified</t>
        </is>
      </c>
      <c r="G1126" t="inlineStr">
        <is>
          <t>General</t>
        </is>
      </c>
      <c r="H1126" t="inlineStr">
        <is>
          <t>General</t>
        </is>
      </c>
      <c r="I1126" t="inlineStr">
        <is>
          <t>Generalist</t>
        </is>
      </c>
      <c r="J1126" t="inlineStr">
        <is>
          <t>Generalist</t>
        </is>
      </c>
    </row>
    <row r="1127">
      <c r="A1127" t="inlineStr">
        <is>
          <t>Houttuynia</t>
        </is>
      </c>
      <c r="B1127" t="inlineStr">
        <is>
          <t>Eleuthero</t>
        </is>
      </c>
      <c r="C1127" t="n">
        <v>50</v>
      </c>
      <c r="E1127" t="inlineStr">
        <is>
          <t>unclassified</t>
        </is>
      </c>
      <c r="G1127" t="inlineStr">
        <is>
          <t>General</t>
        </is>
      </c>
      <c r="H1127" t="inlineStr">
        <is>
          <t>General</t>
        </is>
      </c>
      <c r="I1127" t="inlineStr">
        <is>
          <t>Generalist</t>
        </is>
      </c>
      <c r="J1127" t="inlineStr">
        <is>
          <t>Generalist</t>
        </is>
      </c>
    </row>
    <row r="1128">
      <c r="A1128" t="inlineStr">
        <is>
          <t>Houttuynia</t>
        </is>
      </c>
      <c r="B1128" t="inlineStr">
        <is>
          <t>Galangal</t>
        </is>
      </c>
      <c r="C1128" t="n">
        <v>50</v>
      </c>
      <c r="E1128" t="inlineStr">
        <is>
          <t>unclassified</t>
        </is>
      </c>
      <c r="G1128" t="inlineStr">
        <is>
          <t>General</t>
        </is>
      </c>
      <c r="H1128" t="inlineStr">
        <is>
          <t>General</t>
        </is>
      </c>
      <c r="I1128" t="inlineStr">
        <is>
          <t>Generalist</t>
        </is>
      </c>
      <c r="J1128" t="inlineStr">
        <is>
          <t>Generalist</t>
        </is>
      </c>
    </row>
    <row r="1129">
      <c r="A1129" t="inlineStr">
        <is>
          <t>Houttuynia</t>
        </is>
      </c>
      <c r="B1129" t="inlineStr">
        <is>
          <t>Gudmar</t>
        </is>
      </c>
      <c r="C1129" t="n">
        <v>50</v>
      </c>
      <c r="E1129" t="inlineStr">
        <is>
          <t>unclassified</t>
        </is>
      </c>
      <c r="G1129" t="inlineStr">
        <is>
          <t>General</t>
        </is>
      </c>
      <c r="H1129" t="inlineStr">
        <is>
          <t>General</t>
        </is>
      </c>
      <c r="I1129" t="inlineStr">
        <is>
          <t>Generalist</t>
        </is>
      </c>
      <c r="J1129" t="inlineStr">
        <is>
          <t>Generalist</t>
        </is>
      </c>
    </row>
    <row r="1130">
      <c r="A1130" t="inlineStr">
        <is>
          <t>Houttuynia</t>
        </is>
      </c>
      <c r="B1130" t="inlineStr">
        <is>
          <t>Isatis</t>
        </is>
      </c>
      <c r="C1130" t="n">
        <v>50</v>
      </c>
      <c r="E1130" t="inlineStr">
        <is>
          <t>unclassified</t>
        </is>
      </c>
      <c r="G1130" t="inlineStr">
        <is>
          <t>General</t>
        </is>
      </c>
      <c r="H1130" t="inlineStr">
        <is>
          <t>General</t>
        </is>
      </c>
      <c r="I1130" t="inlineStr">
        <is>
          <t>Generalist</t>
        </is>
      </c>
      <c r="J1130" t="inlineStr">
        <is>
          <t>Generalist</t>
        </is>
      </c>
    </row>
    <row r="1131">
      <c r="A1131" t="inlineStr">
        <is>
          <t>Houttuynia</t>
        </is>
      </c>
      <c r="B1131" t="inlineStr">
        <is>
          <t>Maitake D-Fraction</t>
        </is>
      </c>
      <c r="C1131" t="n">
        <v>50</v>
      </c>
      <c r="E1131" t="inlineStr">
        <is>
          <t>unclassified</t>
        </is>
      </c>
      <c r="G1131" t="inlineStr">
        <is>
          <t>General</t>
        </is>
      </c>
      <c r="H1131" t="inlineStr">
        <is>
          <t>General</t>
        </is>
      </c>
      <c r="I1131" t="inlineStr">
        <is>
          <t>Generalist</t>
        </is>
      </c>
      <c r="J1131" t="inlineStr">
        <is>
          <t>Generalist</t>
        </is>
      </c>
    </row>
    <row r="1132">
      <c r="A1132" t="inlineStr">
        <is>
          <t>Houttuynia</t>
        </is>
      </c>
      <c r="B1132" t="inlineStr">
        <is>
          <t>Muira Puama</t>
        </is>
      </c>
      <c r="C1132" t="n">
        <v>50</v>
      </c>
      <c r="E1132" t="inlineStr">
        <is>
          <t>unclassified</t>
        </is>
      </c>
      <c r="G1132" t="inlineStr">
        <is>
          <t>General</t>
        </is>
      </c>
      <c r="H1132" t="inlineStr">
        <is>
          <t>General</t>
        </is>
      </c>
      <c r="I1132" t="inlineStr">
        <is>
          <t>Generalist</t>
        </is>
      </c>
      <c r="J1132" t="inlineStr">
        <is>
          <t>Generalist</t>
        </is>
      </c>
    </row>
    <row r="1133">
      <c r="A1133" t="inlineStr">
        <is>
          <t>Houttuynia</t>
        </is>
      </c>
      <c r="B1133" t="inlineStr">
        <is>
          <t>Nettle Root</t>
        </is>
      </c>
      <c r="C1133" t="n">
        <v>50</v>
      </c>
      <c r="E1133" t="inlineStr">
        <is>
          <t>unclassified</t>
        </is>
      </c>
      <c r="G1133" t="inlineStr">
        <is>
          <t>General</t>
        </is>
      </c>
      <c r="H1133" t="inlineStr">
        <is>
          <t>General</t>
        </is>
      </c>
      <c r="I1133" t="inlineStr">
        <is>
          <t>Generalist</t>
        </is>
      </c>
      <c r="J1133" t="inlineStr">
        <is>
          <t>Generalist</t>
        </is>
      </c>
    </row>
    <row r="1134">
      <c r="A1134" t="inlineStr">
        <is>
          <t>Houttuynia</t>
        </is>
      </c>
      <c r="B1134" t="inlineStr">
        <is>
          <t>Passionflower</t>
        </is>
      </c>
      <c r="C1134" t="n">
        <v>50</v>
      </c>
      <c r="E1134" t="inlineStr">
        <is>
          <t>unclassified</t>
        </is>
      </c>
      <c r="G1134" t="inlineStr">
        <is>
          <t>General</t>
        </is>
      </c>
      <c r="H1134" t="inlineStr">
        <is>
          <t>General</t>
        </is>
      </c>
      <c r="I1134" t="inlineStr">
        <is>
          <t>Generalist</t>
        </is>
      </c>
      <c r="J1134" t="inlineStr">
        <is>
          <t>Generalist</t>
        </is>
      </c>
    </row>
    <row r="1135">
      <c r="A1135" t="inlineStr">
        <is>
          <t>Houttuynia</t>
        </is>
      </c>
      <c r="B1135" t="inlineStr">
        <is>
          <t>Poria</t>
        </is>
      </c>
      <c r="C1135" t="n">
        <v>50</v>
      </c>
      <c r="E1135" t="inlineStr">
        <is>
          <t>unclassified</t>
        </is>
      </c>
      <c r="G1135" t="inlineStr">
        <is>
          <t>General</t>
        </is>
      </c>
      <c r="H1135" t="inlineStr">
        <is>
          <t>General</t>
        </is>
      </c>
      <c r="I1135" t="inlineStr">
        <is>
          <t>Generalist</t>
        </is>
      </c>
      <c r="J1135" t="inlineStr">
        <is>
          <t>Generalist</t>
        </is>
      </c>
    </row>
    <row r="1136">
      <c r="A1136" t="inlineStr">
        <is>
          <t>Houttuynia</t>
        </is>
      </c>
      <c r="B1136" t="inlineStr">
        <is>
          <t>Punarnava</t>
        </is>
      </c>
      <c r="C1136" t="n">
        <v>50</v>
      </c>
      <c r="E1136" t="inlineStr">
        <is>
          <t>unclassified</t>
        </is>
      </c>
      <c r="G1136" t="inlineStr">
        <is>
          <t>General</t>
        </is>
      </c>
      <c r="H1136" t="inlineStr">
        <is>
          <t>General</t>
        </is>
      </c>
      <c r="I1136" t="inlineStr">
        <is>
          <t>Generalist</t>
        </is>
      </c>
      <c r="J1136" t="inlineStr">
        <is>
          <t>Generalist</t>
        </is>
      </c>
    </row>
    <row r="1137">
      <c r="A1137" t="inlineStr">
        <is>
          <t>Houttuynia</t>
        </is>
      </c>
      <c r="B1137" t="inlineStr">
        <is>
          <t>Rehmannia Prepared</t>
        </is>
      </c>
      <c r="C1137" t="n">
        <v>50</v>
      </c>
      <c r="E1137" t="inlineStr">
        <is>
          <t>unclassified</t>
        </is>
      </c>
      <c r="G1137" t="inlineStr">
        <is>
          <t>General</t>
        </is>
      </c>
      <c r="H1137" t="inlineStr">
        <is>
          <t>General</t>
        </is>
      </c>
      <c r="I1137" t="inlineStr">
        <is>
          <t>Generalist</t>
        </is>
      </c>
      <c r="J1137" t="inlineStr">
        <is>
          <t>Generalist</t>
        </is>
      </c>
    </row>
    <row r="1138">
      <c r="A1138" t="inlineStr">
        <is>
          <t>Houttuynia</t>
        </is>
      </c>
      <c r="B1138" t="inlineStr">
        <is>
          <t>Reishi</t>
        </is>
      </c>
      <c r="C1138" t="n">
        <v>50</v>
      </c>
      <c r="E1138" t="inlineStr">
        <is>
          <t>unclassified</t>
        </is>
      </c>
      <c r="G1138" t="inlineStr">
        <is>
          <t>General</t>
        </is>
      </c>
      <c r="H1138" t="inlineStr">
        <is>
          <t>General</t>
        </is>
      </c>
      <c r="I1138" t="inlineStr">
        <is>
          <t>Generalist</t>
        </is>
      </c>
      <c r="J1138" t="inlineStr">
        <is>
          <t>Generalist</t>
        </is>
      </c>
    </row>
    <row r="1139">
      <c r="A1139" t="inlineStr">
        <is>
          <t>Houttuynia</t>
        </is>
      </c>
      <c r="B1139" t="inlineStr">
        <is>
          <t>Sophora Flavescens</t>
        </is>
      </c>
      <c r="C1139" t="n">
        <v>50</v>
      </c>
      <c r="E1139" t="inlineStr">
        <is>
          <t>unclassified</t>
        </is>
      </c>
      <c r="G1139" t="inlineStr">
        <is>
          <t>General</t>
        </is>
      </c>
      <c r="H1139" t="inlineStr">
        <is>
          <t>General</t>
        </is>
      </c>
      <c r="I1139" t="inlineStr">
        <is>
          <t>Generalist</t>
        </is>
      </c>
      <c r="J1139" t="inlineStr">
        <is>
          <t>Generalist</t>
        </is>
      </c>
    </row>
    <row r="1140">
      <c r="A1140" t="inlineStr">
        <is>
          <t>Houttuynia</t>
        </is>
      </c>
      <c r="B1140" t="inlineStr">
        <is>
          <t>Tamarind</t>
        </is>
      </c>
      <c r="C1140" t="n">
        <v>50</v>
      </c>
      <c r="E1140" t="inlineStr">
        <is>
          <t>unclassified</t>
        </is>
      </c>
      <c r="G1140" t="inlineStr">
        <is>
          <t>General</t>
        </is>
      </c>
      <c r="H1140" t="inlineStr">
        <is>
          <t>General</t>
        </is>
      </c>
      <c r="I1140" t="inlineStr">
        <is>
          <t>Generalist</t>
        </is>
      </c>
      <c r="J1140" t="inlineStr">
        <is>
          <t>Generalist</t>
        </is>
      </c>
    </row>
    <row r="1141">
      <c r="A1141" t="inlineStr">
        <is>
          <t>Houttuynia</t>
        </is>
      </c>
      <c r="B1141" t="inlineStr">
        <is>
          <t>Yohimbe</t>
        </is>
      </c>
      <c r="C1141" t="n">
        <v>50</v>
      </c>
      <c r="E1141" t="inlineStr">
        <is>
          <t>unclassified</t>
        </is>
      </c>
      <c r="G1141" t="inlineStr">
        <is>
          <t>General</t>
        </is>
      </c>
      <c r="H1141" t="inlineStr">
        <is>
          <t>General</t>
        </is>
      </c>
      <c r="I1141" t="inlineStr">
        <is>
          <t>Generalist</t>
        </is>
      </c>
      <c r="J1141" t="inlineStr">
        <is>
          <t>Generalist</t>
        </is>
      </c>
    </row>
    <row r="1142">
      <c r="A1142" t="inlineStr">
        <is>
          <t>Isatis</t>
        </is>
      </c>
      <c r="B1142" t="inlineStr">
        <is>
          <t>Agarikon</t>
        </is>
      </c>
      <c r="C1142" t="n">
        <v>50</v>
      </c>
      <c r="E1142" t="inlineStr">
        <is>
          <t>unclassified</t>
        </is>
      </c>
      <c r="G1142" t="inlineStr">
        <is>
          <t>General</t>
        </is>
      </c>
      <c r="H1142" t="inlineStr">
        <is>
          <t>General</t>
        </is>
      </c>
      <c r="I1142" t="inlineStr">
        <is>
          <t>Generalist</t>
        </is>
      </c>
      <c r="J1142" t="inlineStr">
        <is>
          <t>Generalist</t>
        </is>
      </c>
    </row>
    <row r="1143">
      <c r="A1143" t="inlineStr">
        <is>
          <t>Isatis</t>
        </is>
      </c>
      <c r="B1143" t="inlineStr">
        <is>
          <t>Ajwain</t>
        </is>
      </c>
      <c r="C1143" t="n">
        <v>50</v>
      </c>
      <c r="E1143" t="inlineStr">
        <is>
          <t>unclassified</t>
        </is>
      </c>
      <c r="G1143" t="inlineStr">
        <is>
          <t>General</t>
        </is>
      </c>
      <c r="H1143" t="inlineStr">
        <is>
          <t>General</t>
        </is>
      </c>
      <c r="I1143" t="inlineStr">
        <is>
          <t>Generalist</t>
        </is>
      </c>
      <c r="J1143" t="inlineStr">
        <is>
          <t>Generalist</t>
        </is>
      </c>
    </row>
    <row r="1144">
      <c r="A1144" t="inlineStr">
        <is>
          <t>Isatis</t>
        </is>
      </c>
      <c r="B1144" t="inlineStr">
        <is>
          <t>Angelica Root</t>
        </is>
      </c>
      <c r="C1144" t="n">
        <v>50</v>
      </c>
      <c r="E1144" t="inlineStr">
        <is>
          <t>unclassified</t>
        </is>
      </c>
      <c r="G1144" t="inlineStr">
        <is>
          <t>General</t>
        </is>
      </c>
      <c r="H1144" t="inlineStr">
        <is>
          <t>General</t>
        </is>
      </c>
      <c r="I1144" t="inlineStr">
        <is>
          <t>Generalist</t>
        </is>
      </c>
      <c r="J1144" t="inlineStr">
        <is>
          <t>Generalist</t>
        </is>
      </c>
    </row>
    <row r="1145">
      <c r="A1145" t="inlineStr">
        <is>
          <t>Isatis</t>
        </is>
      </c>
      <c r="B1145" t="inlineStr">
        <is>
          <t>Caraway</t>
        </is>
      </c>
      <c r="C1145" t="n">
        <v>50</v>
      </c>
      <c r="E1145" t="inlineStr">
        <is>
          <t>unclassified</t>
        </is>
      </c>
      <c r="G1145" t="inlineStr">
        <is>
          <t>General</t>
        </is>
      </c>
      <c r="H1145" t="inlineStr">
        <is>
          <t>General</t>
        </is>
      </c>
      <c r="I1145" t="inlineStr">
        <is>
          <t>Generalist</t>
        </is>
      </c>
      <c r="J1145" t="inlineStr">
        <is>
          <t>Generalist</t>
        </is>
      </c>
    </row>
    <row r="1146">
      <c r="A1146" t="inlineStr">
        <is>
          <t>Isatis</t>
        </is>
      </c>
      <c r="B1146" t="inlineStr">
        <is>
          <t>Cardamom</t>
        </is>
      </c>
      <c r="C1146" t="n">
        <v>50</v>
      </c>
      <c r="E1146" t="inlineStr">
        <is>
          <t>unclassified</t>
        </is>
      </c>
      <c r="G1146" t="inlineStr">
        <is>
          <t>General</t>
        </is>
      </c>
      <c r="H1146" t="inlineStr">
        <is>
          <t>General</t>
        </is>
      </c>
      <c r="I1146" t="inlineStr">
        <is>
          <t>Generalist</t>
        </is>
      </c>
      <c r="J1146" t="inlineStr">
        <is>
          <t>Generalist</t>
        </is>
      </c>
    </row>
    <row r="1147">
      <c r="A1147" t="inlineStr">
        <is>
          <t>Isatis</t>
        </is>
      </c>
      <c r="B1147" t="inlineStr">
        <is>
          <t>Celastrus Paniculatus</t>
        </is>
      </c>
      <c r="C1147" t="n">
        <v>50</v>
      </c>
      <c r="E1147" t="inlineStr">
        <is>
          <t>unclassified</t>
        </is>
      </c>
      <c r="G1147" t="inlineStr">
        <is>
          <t>General</t>
        </is>
      </c>
      <c r="H1147" t="inlineStr">
        <is>
          <t>General</t>
        </is>
      </c>
      <c r="I1147" t="inlineStr">
        <is>
          <t>Generalist</t>
        </is>
      </c>
      <c r="J1147" t="inlineStr">
        <is>
          <t>Generalist</t>
        </is>
      </c>
    </row>
    <row r="1148">
      <c r="A1148" t="inlineStr">
        <is>
          <t>Isatis</t>
        </is>
      </c>
      <c r="B1148" t="inlineStr">
        <is>
          <t>Cordyceps</t>
        </is>
      </c>
      <c r="C1148" t="n">
        <v>50</v>
      </c>
      <c r="E1148" t="inlineStr">
        <is>
          <t>unclassified</t>
        </is>
      </c>
      <c r="G1148" t="inlineStr">
        <is>
          <t>General</t>
        </is>
      </c>
      <c r="H1148" t="inlineStr">
        <is>
          <t>General</t>
        </is>
      </c>
      <c r="I1148" t="inlineStr">
        <is>
          <t>Generalist</t>
        </is>
      </c>
      <c r="J1148" t="inlineStr">
        <is>
          <t>Generalist</t>
        </is>
      </c>
    </row>
    <row r="1149">
      <c r="A1149" t="inlineStr">
        <is>
          <t>Isatis</t>
        </is>
      </c>
      <c r="B1149" t="inlineStr">
        <is>
          <t>Elecampane</t>
        </is>
      </c>
      <c r="C1149" t="n">
        <v>50</v>
      </c>
      <c r="E1149" t="inlineStr">
        <is>
          <t>unclassified</t>
        </is>
      </c>
      <c r="G1149" t="inlineStr">
        <is>
          <t>General</t>
        </is>
      </c>
      <c r="H1149" t="inlineStr">
        <is>
          <t>General</t>
        </is>
      </c>
      <c r="I1149" t="inlineStr">
        <is>
          <t>Generalist</t>
        </is>
      </c>
      <c r="J1149" t="inlineStr">
        <is>
          <t>Generalist</t>
        </is>
      </c>
    </row>
    <row r="1150">
      <c r="A1150" t="inlineStr">
        <is>
          <t>Isatis</t>
        </is>
      </c>
      <c r="B1150" t="inlineStr">
        <is>
          <t>Eleuthero</t>
        </is>
      </c>
      <c r="C1150" t="n">
        <v>50</v>
      </c>
      <c r="E1150" t="inlineStr">
        <is>
          <t>unclassified</t>
        </is>
      </c>
      <c r="G1150" t="inlineStr">
        <is>
          <t>General</t>
        </is>
      </c>
      <c r="H1150" t="inlineStr">
        <is>
          <t>General</t>
        </is>
      </c>
      <c r="I1150" t="inlineStr">
        <is>
          <t>Generalist</t>
        </is>
      </c>
      <c r="J1150" t="inlineStr">
        <is>
          <t>Generalist</t>
        </is>
      </c>
    </row>
    <row r="1151">
      <c r="A1151" t="inlineStr">
        <is>
          <t>Isatis</t>
        </is>
      </c>
      <c r="B1151" t="inlineStr">
        <is>
          <t>Galangal</t>
        </is>
      </c>
      <c r="C1151" t="n">
        <v>50</v>
      </c>
      <c r="E1151" t="inlineStr">
        <is>
          <t>unclassified</t>
        </is>
      </c>
      <c r="G1151" t="inlineStr">
        <is>
          <t>General</t>
        </is>
      </c>
      <c r="H1151" t="inlineStr">
        <is>
          <t>General</t>
        </is>
      </c>
      <c r="I1151" t="inlineStr">
        <is>
          <t>Generalist</t>
        </is>
      </c>
      <c r="J1151" t="inlineStr">
        <is>
          <t>Generalist</t>
        </is>
      </c>
    </row>
    <row r="1152">
      <c r="A1152" t="inlineStr">
        <is>
          <t>Isatis</t>
        </is>
      </c>
      <c r="B1152" t="inlineStr">
        <is>
          <t>Gudmar</t>
        </is>
      </c>
      <c r="C1152" t="n">
        <v>50</v>
      </c>
      <c r="E1152" t="inlineStr">
        <is>
          <t>unclassified</t>
        </is>
      </c>
      <c r="G1152" t="inlineStr">
        <is>
          <t>General</t>
        </is>
      </c>
      <c r="H1152" t="inlineStr">
        <is>
          <t>General</t>
        </is>
      </c>
      <c r="I1152" t="inlineStr">
        <is>
          <t>Generalist</t>
        </is>
      </c>
      <c r="J1152" t="inlineStr">
        <is>
          <t>Generalist</t>
        </is>
      </c>
    </row>
    <row r="1153">
      <c r="A1153" t="inlineStr">
        <is>
          <t>Isatis</t>
        </is>
      </c>
      <c r="B1153" t="inlineStr">
        <is>
          <t>Maitake D-Fraction</t>
        </is>
      </c>
      <c r="C1153" t="n">
        <v>50</v>
      </c>
      <c r="E1153" t="inlineStr">
        <is>
          <t>unclassified</t>
        </is>
      </c>
      <c r="G1153" t="inlineStr">
        <is>
          <t>General</t>
        </is>
      </c>
      <c r="H1153" t="inlineStr">
        <is>
          <t>General</t>
        </is>
      </c>
      <c r="I1153" t="inlineStr">
        <is>
          <t>Generalist</t>
        </is>
      </c>
      <c r="J1153" t="inlineStr">
        <is>
          <t>Generalist</t>
        </is>
      </c>
    </row>
    <row r="1154">
      <c r="A1154" t="inlineStr">
        <is>
          <t>Isatis</t>
        </is>
      </c>
      <c r="B1154" t="inlineStr">
        <is>
          <t>Muira Puama</t>
        </is>
      </c>
      <c r="C1154" t="n">
        <v>50</v>
      </c>
      <c r="E1154" t="inlineStr">
        <is>
          <t>unclassified</t>
        </is>
      </c>
      <c r="G1154" t="inlineStr">
        <is>
          <t>General</t>
        </is>
      </c>
      <c r="H1154" t="inlineStr">
        <is>
          <t>General</t>
        </is>
      </c>
      <c r="I1154" t="inlineStr">
        <is>
          <t>Generalist</t>
        </is>
      </c>
      <c r="J1154" t="inlineStr">
        <is>
          <t>Generalist</t>
        </is>
      </c>
    </row>
    <row r="1155">
      <c r="A1155" t="inlineStr">
        <is>
          <t>Isatis</t>
        </is>
      </c>
      <c r="B1155" t="inlineStr">
        <is>
          <t>Nettle Root</t>
        </is>
      </c>
      <c r="C1155" t="n">
        <v>50</v>
      </c>
      <c r="E1155" t="inlineStr">
        <is>
          <t>unclassified</t>
        </is>
      </c>
      <c r="G1155" t="inlineStr">
        <is>
          <t>General</t>
        </is>
      </c>
      <c r="H1155" t="inlineStr">
        <is>
          <t>General</t>
        </is>
      </c>
      <c r="I1155" t="inlineStr">
        <is>
          <t>Generalist</t>
        </is>
      </c>
      <c r="J1155" t="inlineStr">
        <is>
          <t>Generalist</t>
        </is>
      </c>
    </row>
    <row r="1156">
      <c r="A1156" t="inlineStr">
        <is>
          <t>Isatis</t>
        </is>
      </c>
      <c r="B1156" t="inlineStr">
        <is>
          <t>Passionflower</t>
        </is>
      </c>
      <c r="C1156" t="n">
        <v>50</v>
      </c>
      <c r="E1156" t="inlineStr">
        <is>
          <t>unclassified</t>
        </is>
      </c>
      <c r="G1156" t="inlineStr">
        <is>
          <t>General</t>
        </is>
      </c>
      <c r="H1156" t="inlineStr">
        <is>
          <t>General</t>
        </is>
      </c>
      <c r="I1156" t="inlineStr">
        <is>
          <t>Generalist</t>
        </is>
      </c>
      <c r="J1156" t="inlineStr">
        <is>
          <t>Generalist</t>
        </is>
      </c>
    </row>
    <row r="1157">
      <c r="A1157" t="inlineStr">
        <is>
          <t>Isatis</t>
        </is>
      </c>
      <c r="B1157" t="inlineStr">
        <is>
          <t>Poria</t>
        </is>
      </c>
      <c r="C1157" t="n">
        <v>50</v>
      </c>
      <c r="E1157" t="inlineStr">
        <is>
          <t>unclassified</t>
        </is>
      </c>
      <c r="G1157" t="inlineStr">
        <is>
          <t>General</t>
        </is>
      </c>
      <c r="H1157" t="inlineStr">
        <is>
          <t>General</t>
        </is>
      </c>
      <c r="I1157" t="inlineStr">
        <is>
          <t>Generalist</t>
        </is>
      </c>
      <c r="J1157" t="inlineStr">
        <is>
          <t>Generalist</t>
        </is>
      </c>
    </row>
    <row r="1158">
      <c r="A1158" t="inlineStr">
        <is>
          <t>Isatis</t>
        </is>
      </c>
      <c r="B1158" t="inlineStr">
        <is>
          <t>Punarnava</t>
        </is>
      </c>
      <c r="C1158" t="n">
        <v>50</v>
      </c>
      <c r="E1158" t="inlineStr">
        <is>
          <t>unclassified</t>
        </is>
      </c>
      <c r="G1158" t="inlineStr">
        <is>
          <t>General</t>
        </is>
      </c>
      <c r="H1158" t="inlineStr">
        <is>
          <t>General</t>
        </is>
      </c>
      <c r="I1158" t="inlineStr">
        <is>
          <t>Generalist</t>
        </is>
      </c>
      <c r="J1158" t="inlineStr">
        <is>
          <t>Generalist</t>
        </is>
      </c>
    </row>
    <row r="1159">
      <c r="A1159" t="inlineStr">
        <is>
          <t>Isatis</t>
        </is>
      </c>
      <c r="B1159" t="inlineStr">
        <is>
          <t>Rehmannia Prepared</t>
        </is>
      </c>
      <c r="C1159" t="n">
        <v>50</v>
      </c>
      <c r="E1159" t="inlineStr">
        <is>
          <t>unclassified</t>
        </is>
      </c>
      <c r="G1159" t="inlineStr">
        <is>
          <t>General</t>
        </is>
      </c>
      <c r="H1159" t="inlineStr">
        <is>
          <t>General</t>
        </is>
      </c>
      <c r="I1159" t="inlineStr">
        <is>
          <t>Generalist</t>
        </is>
      </c>
      <c r="J1159" t="inlineStr">
        <is>
          <t>Generalist</t>
        </is>
      </c>
    </row>
    <row r="1160">
      <c r="A1160" t="inlineStr">
        <is>
          <t>Isatis</t>
        </is>
      </c>
      <c r="B1160" t="inlineStr">
        <is>
          <t>Reishi</t>
        </is>
      </c>
      <c r="C1160" t="n">
        <v>50</v>
      </c>
      <c r="E1160" t="inlineStr">
        <is>
          <t>unclassified</t>
        </is>
      </c>
      <c r="G1160" t="inlineStr">
        <is>
          <t>General</t>
        </is>
      </c>
      <c r="H1160" t="inlineStr">
        <is>
          <t>General</t>
        </is>
      </c>
      <c r="I1160" t="inlineStr">
        <is>
          <t>Generalist</t>
        </is>
      </c>
      <c r="J1160" t="inlineStr">
        <is>
          <t>Generalist</t>
        </is>
      </c>
    </row>
    <row r="1161">
      <c r="A1161" t="inlineStr">
        <is>
          <t>Isatis</t>
        </is>
      </c>
      <c r="B1161" t="inlineStr">
        <is>
          <t>Sophora Flavescens</t>
        </is>
      </c>
      <c r="C1161" t="n">
        <v>50</v>
      </c>
      <c r="E1161" t="inlineStr">
        <is>
          <t>unclassified</t>
        </is>
      </c>
      <c r="G1161" t="inlineStr">
        <is>
          <t>General</t>
        </is>
      </c>
      <c r="H1161" t="inlineStr">
        <is>
          <t>General</t>
        </is>
      </c>
      <c r="I1161" t="inlineStr">
        <is>
          <t>Generalist</t>
        </is>
      </c>
      <c r="J1161" t="inlineStr">
        <is>
          <t>Generalist</t>
        </is>
      </c>
    </row>
    <row r="1162">
      <c r="A1162" t="inlineStr">
        <is>
          <t>Isatis</t>
        </is>
      </c>
      <c r="B1162" t="inlineStr">
        <is>
          <t>Tamarind</t>
        </is>
      </c>
      <c r="C1162" t="n">
        <v>50</v>
      </c>
      <c r="E1162" t="inlineStr">
        <is>
          <t>unclassified</t>
        </is>
      </c>
      <c r="G1162" t="inlineStr">
        <is>
          <t>General</t>
        </is>
      </c>
      <c r="H1162" t="inlineStr">
        <is>
          <t>General</t>
        </is>
      </c>
      <c r="I1162" t="inlineStr">
        <is>
          <t>Generalist</t>
        </is>
      </c>
      <c r="J1162" t="inlineStr">
        <is>
          <t>Generalist</t>
        </is>
      </c>
    </row>
    <row r="1163">
      <c r="A1163" t="inlineStr">
        <is>
          <t>Isatis</t>
        </is>
      </c>
      <c r="B1163" t="inlineStr">
        <is>
          <t>Yohimbe</t>
        </is>
      </c>
      <c r="C1163" t="n">
        <v>50</v>
      </c>
      <c r="E1163" t="inlineStr">
        <is>
          <t>unclassified</t>
        </is>
      </c>
      <c r="G1163" t="inlineStr">
        <is>
          <t>General</t>
        </is>
      </c>
      <c r="H1163" t="inlineStr">
        <is>
          <t>General</t>
        </is>
      </c>
      <c r="I1163" t="inlineStr">
        <is>
          <t>Generalist</t>
        </is>
      </c>
      <c r="J1163" t="inlineStr">
        <is>
          <t>Generalist</t>
        </is>
      </c>
    </row>
    <row r="1164">
      <c r="A1164" t="inlineStr">
        <is>
          <t>Jatamansi</t>
        </is>
      </c>
      <c r="B1164" t="inlineStr">
        <is>
          <t>Agarikon</t>
        </is>
      </c>
      <c r="C1164" t="n">
        <v>50</v>
      </c>
      <c r="E1164" t="inlineStr">
        <is>
          <t>unclassified</t>
        </is>
      </c>
      <c r="G1164" t="inlineStr">
        <is>
          <t>General</t>
        </is>
      </c>
      <c r="H1164" t="inlineStr">
        <is>
          <t>General</t>
        </is>
      </c>
      <c r="I1164" t="inlineStr">
        <is>
          <t>Generalist</t>
        </is>
      </c>
      <c r="J1164" t="inlineStr">
        <is>
          <t>Generalist</t>
        </is>
      </c>
    </row>
    <row r="1165">
      <c r="A1165" t="inlineStr">
        <is>
          <t>Jatamansi</t>
        </is>
      </c>
      <c r="B1165" t="inlineStr">
        <is>
          <t>Ajwain</t>
        </is>
      </c>
      <c r="C1165" t="n">
        <v>50</v>
      </c>
      <c r="E1165" t="inlineStr">
        <is>
          <t>unclassified</t>
        </is>
      </c>
      <c r="G1165" t="inlineStr">
        <is>
          <t>General</t>
        </is>
      </c>
      <c r="H1165" t="inlineStr">
        <is>
          <t>General</t>
        </is>
      </c>
      <c r="I1165" t="inlineStr">
        <is>
          <t>Generalist</t>
        </is>
      </c>
      <c r="J1165" t="inlineStr">
        <is>
          <t>Generalist</t>
        </is>
      </c>
    </row>
    <row r="1166">
      <c r="A1166" t="inlineStr">
        <is>
          <t>Jatamansi</t>
        </is>
      </c>
      <c r="B1166" t="inlineStr">
        <is>
          <t>Angelica Root</t>
        </is>
      </c>
      <c r="C1166" t="n">
        <v>50</v>
      </c>
      <c r="E1166" t="inlineStr">
        <is>
          <t>unclassified</t>
        </is>
      </c>
      <c r="G1166" t="inlineStr">
        <is>
          <t>General</t>
        </is>
      </c>
      <c r="H1166" t="inlineStr">
        <is>
          <t>General</t>
        </is>
      </c>
      <c r="I1166" t="inlineStr">
        <is>
          <t>Generalist</t>
        </is>
      </c>
      <c r="J1166" t="inlineStr">
        <is>
          <t>Generalist</t>
        </is>
      </c>
    </row>
    <row r="1167">
      <c r="A1167" t="inlineStr">
        <is>
          <t>Jatamansi</t>
        </is>
      </c>
      <c r="B1167" t="inlineStr">
        <is>
          <t>Ashoka</t>
        </is>
      </c>
      <c r="C1167" t="n">
        <v>50</v>
      </c>
      <c r="E1167" t="inlineStr">
        <is>
          <t>unclassified</t>
        </is>
      </c>
      <c r="G1167" t="inlineStr">
        <is>
          <t>General</t>
        </is>
      </c>
      <c r="H1167" t="inlineStr">
        <is>
          <t>General</t>
        </is>
      </c>
      <c r="I1167" t="inlineStr">
        <is>
          <t>Generalist</t>
        </is>
      </c>
      <c r="J1167" t="inlineStr">
        <is>
          <t>Generalist</t>
        </is>
      </c>
    </row>
    <row r="1168">
      <c r="A1168" t="inlineStr">
        <is>
          <t>Jatamansi</t>
        </is>
      </c>
      <c r="B1168" t="inlineStr">
        <is>
          <t>Caraway</t>
        </is>
      </c>
      <c r="C1168" t="n">
        <v>50</v>
      </c>
      <c r="E1168" t="inlineStr">
        <is>
          <t>unclassified</t>
        </is>
      </c>
      <c r="G1168" t="inlineStr">
        <is>
          <t>General</t>
        </is>
      </c>
      <c r="H1168" t="inlineStr">
        <is>
          <t>General</t>
        </is>
      </c>
      <c r="I1168" t="inlineStr">
        <is>
          <t>Generalist</t>
        </is>
      </c>
      <c r="J1168" t="inlineStr">
        <is>
          <t>Generalist</t>
        </is>
      </c>
    </row>
    <row r="1169">
      <c r="A1169" t="inlineStr">
        <is>
          <t>Jatamansi</t>
        </is>
      </c>
      <c r="B1169" t="inlineStr">
        <is>
          <t>Cardamom</t>
        </is>
      </c>
      <c r="C1169" t="n">
        <v>50</v>
      </c>
      <c r="E1169" t="inlineStr">
        <is>
          <t>unclassified</t>
        </is>
      </c>
      <c r="G1169" t="inlineStr">
        <is>
          <t>General</t>
        </is>
      </c>
      <c r="H1169" t="inlineStr">
        <is>
          <t>General</t>
        </is>
      </c>
      <c r="I1169" t="inlineStr">
        <is>
          <t>Generalist</t>
        </is>
      </c>
      <c r="J1169" t="inlineStr">
        <is>
          <t>Generalist</t>
        </is>
      </c>
    </row>
    <row r="1170">
      <c r="A1170" t="inlineStr">
        <is>
          <t>Jatamansi</t>
        </is>
      </c>
      <c r="B1170" t="inlineStr">
        <is>
          <t>Celastrus Paniculatus</t>
        </is>
      </c>
      <c r="C1170" t="n">
        <v>50</v>
      </c>
      <c r="E1170" t="inlineStr">
        <is>
          <t>unclassified</t>
        </is>
      </c>
      <c r="G1170" t="inlineStr">
        <is>
          <t>General</t>
        </is>
      </c>
      <c r="H1170" t="inlineStr">
        <is>
          <t>General</t>
        </is>
      </c>
      <c r="I1170" t="inlineStr">
        <is>
          <t>Generalist</t>
        </is>
      </c>
      <c r="J1170" t="inlineStr">
        <is>
          <t>Generalist</t>
        </is>
      </c>
    </row>
    <row r="1171">
      <c r="A1171" t="inlineStr">
        <is>
          <t>Jatamansi</t>
        </is>
      </c>
      <c r="B1171" t="inlineStr">
        <is>
          <t>Cistanche</t>
        </is>
      </c>
      <c r="C1171" t="n">
        <v>50</v>
      </c>
      <c r="E1171" t="inlineStr">
        <is>
          <t>unclassified</t>
        </is>
      </c>
      <c r="G1171" t="inlineStr">
        <is>
          <t>General</t>
        </is>
      </c>
      <c r="H1171" t="inlineStr">
        <is>
          <t>General</t>
        </is>
      </c>
      <c r="I1171" t="inlineStr">
        <is>
          <t>Generalist</t>
        </is>
      </c>
      <c r="J1171" t="inlineStr">
        <is>
          <t>Generalist</t>
        </is>
      </c>
    </row>
    <row r="1172">
      <c r="A1172" t="inlineStr">
        <is>
          <t>Jatamansi</t>
        </is>
      </c>
      <c r="B1172" t="inlineStr">
        <is>
          <t>Cordyceps</t>
        </is>
      </c>
      <c r="C1172" t="n">
        <v>50</v>
      </c>
      <c r="E1172" t="inlineStr">
        <is>
          <t>unclassified</t>
        </is>
      </c>
      <c r="G1172" t="inlineStr">
        <is>
          <t>General</t>
        </is>
      </c>
      <c r="H1172" t="inlineStr">
        <is>
          <t>General</t>
        </is>
      </c>
      <c r="I1172" t="inlineStr">
        <is>
          <t>Generalist</t>
        </is>
      </c>
      <c r="J1172" t="inlineStr">
        <is>
          <t>Generalist</t>
        </is>
      </c>
    </row>
    <row r="1173">
      <c r="A1173" t="inlineStr">
        <is>
          <t>Jatamansi</t>
        </is>
      </c>
      <c r="B1173" t="inlineStr">
        <is>
          <t>Dendrobium</t>
        </is>
      </c>
      <c r="C1173" t="n">
        <v>50</v>
      </c>
      <c r="E1173" t="inlineStr">
        <is>
          <t>unclassified</t>
        </is>
      </c>
      <c r="G1173" t="inlineStr">
        <is>
          <t>General</t>
        </is>
      </c>
      <c r="H1173" t="inlineStr">
        <is>
          <t>General</t>
        </is>
      </c>
      <c r="I1173" t="inlineStr">
        <is>
          <t>Generalist</t>
        </is>
      </c>
      <c r="J1173" t="inlineStr">
        <is>
          <t>Generalist</t>
        </is>
      </c>
    </row>
    <row r="1174">
      <c r="A1174" t="inlineStr">
        <is>
          <t>Jatamansi</t>
        </is>
      </c>
      <c r="B1174" t="inlineStr">
        <is>
          <t>Elecampane</t>
        </is>
      </c>
      <c r="C1174" t="n">
        <v>50</v>
      </c>
      <c r="E1174" t="inlineStr">
        <is>
          <t>unclassified</t>
        </is>
      </c>
      <c r="G1174" t="inlineStr">
        <is>
          <t>General</t>
        </is>
      </c>
      <c r="H1174" t="inlineStr">
        <is>
          <t>General</t>
        </is>
      </c>
      <c r="I1174" t="inlineStr">
        <is>
          <t>Generalist</t>
        </is>
      </c>
      <c r="J1174" t="inlineStr">
        <is>
          <t>Generalist</t>
        </is>
      </c>
    </row>
    <row r="1175">
      <c r="A1175" t="inlineStr">
        <is>
          <t>Jatamansi</t>
        </is>
      </c>
      <c r="B1175" t="inlineStr">
        <is>
          <t>Eleuthero</t>
        </is>
      </c>
      <c r="C1175" t="n">
        <v>50</v>
      </c>
      <c r="E1175" t="inlineStr">
        <is>
          <t>unclassified</t>
        </is>
      </c>
      <c r="G1175" t="inlineStr">
        <is>
          <t>General</t>
        </is>
      </c>
      <c r="H1175" t="inlineStr">
        <is>
          <t>General</t>
        </is>
      </c>
      <c r="I1175" t="inlineStr">
        <is>
          <t>Generalist</t>
        </is>
      </c>
      <c r="J1175" t="inlineStr">
        <is>
          <t>Generalist</t>
        </is>
      </c>
    </row>
    <row r="1176">
      <c r="A1176" t="inlineStr">
        <is>
          <t>Jatamansi</t>
        </is>
      </c>
      <c r="B1176" t="inlineStr">
        <is>
          <t>Galangal</t>
        </is>
      </c>
      <c r="C1176" t="n">
        <v>50</v>
      </c>
      <c r="E1176" t="inlineStr">
        <is>
          <t>unclassified</t>
        </is>
      </c>
      <c r="G1176" t="inlineStr">
        <is>
          <t>General</t>
        </is>
      </c>
      <c r="H1176" t="inlineStr">
        <is>
          <t>General</t>
        </is>
      </c>
      <c r="I1176" t="inlineStr">
        <is>
          <t>Generalist</t>
        </is>
      </c>
      <c r="J1176" t="inlineStr">
        <is>
          <t>Generalist</t>
        </is>
      </c>
    </row>
    <row r="1177">
      <c r="A1177" t="inlineStr">
        <is>
          <t>Jatamansi</t>
        </is>
      </c>
      <c r="B1177" t="inlineStr">
        <is>
          <t>Gastrodia</t>
        </is>
      </c>
      <c r="C1177" t="n">
        <v>50</v>
      </c>
      <c r="E1177" t="inlineStr">
        <is>
          <t>unclassified</t>
        </is>
      </c>
      <c r="G1177" t="inlineStr">
        <is>
          <t>General</t>
        </is>
      </c>
      <c r="H1177" t="inlineStr">
        <is>
          <t>General</t>
        </is>
      </c>
      <c r="I1177" t="inlineStr">
        <is>
          <t>Generalist</t>
        </is>
      </c>
      <c r="J1177" t="inlineStr">
        <is>
          <t>Generalist</t>
        </is>
      </c>
    </row>
    <row r="1178">
      <c r="A1178" t="inlineStr">
        <is>
          <t>Jatamansi</t>
        </is>
      </c>
      <c r="B1178" t="inlineStr">
        <is>
          <t>Gudmar</t>
        </is>
      </c>
      <c r="C1178" t="n">
        <v>50</v>
      </c>
      <c r="E1178" t="inlineStr">
        <is>
          <t>unclassified</t>
        </is>
      </c>
      <c r="G1178" t="inlineStr">
        <is>
          <t>General</t>
        </is>
      </c>
      <c r="H1178" t="inlineStr">
        <is>
          <t>General</t>
        </is>
      </c>
      <c r="I1178" t="inlineStr">
        <is>
          <t>Generalist</t>
        </is>
      </c>
      <c r="J1178" t="inlineStr">
        <is>
          <t>Generalist</t>
        </is>
      </c>
    </row>
    <row r="1179">
      <c r="A1179" t="inlineStr">
        <is>
          <t>Jatamansi</t>
        </is>
      </c>
      <c r="B1179" t="inlineStr">
        <is>
          <t>Hops</t>
        </is>
      </c>
      <c r="C1179" t="n">
        <v>50</v>
      </c>
      <c r="E1179" t="inlineStr">
        <is>
          <t>unclassified</t>
        </is>
      </c>
      <c r="G1179" t="inlineStr">
        <is>
          <t>General</t>
        </is>
      </c>
      <c r="H1179" t="inlineStr">
        <is>
          <t>General</t>
        </is>
      </c>
      <c r="I1179" t="inlineStr">
        <is>
          <t>Generalist</t>
        </is>
      </c>
      <c r="J1179" t="inlineStr">
        <is>
          <t>Generalist</t>
        </is>
      </c>
    </row>
    <row r="1180">
      <c r="A1180" t="inlineStr">
        <is>
          <t>Jatamansi</t>
        </is>
      </c>
      <c r="B1180" t="inlineStr">
        <is>
          <t>Houttuynia</t>
        </is>
      </c>
      <c r="C1180" t="n">
        <v>50</v>
      </c>
      <c r="E1180" t="inlineStr">
        <is>
          <t>unclassified</t>
        </is>
      </c>
      <c r="G1180" t="inlineStr">
        <is>
          <t>General</t>
        </is>
      </c>
      <c r="H1180" t="inlineStr">
        <is>
          <t>General</t>
        </is>
      </c>
      <c r="I1180" t="inlineStr">
        <is>
          <t>Generalist</t>
        </is>
      </c>
      <c r="J1180" t="inlineStr">
        <is>
          <t>Generalist</t>
        </is>
      </c>
    </row>
    <row r="1181">
      <c r="A1181" t="inlineStr">
        <is>
          <t>Jatamansi</t>
        </is>
      </c>
      <c r="B1181" t="inlineStr">
        <is>
          <t>Isatis</t>
        </is>
      </c>
      <c r="C1181" t="n">
        <v>50</v>
      </c>
      <c r="E1181" t="inlineStr">
        <is>
          <t>unclassified</t>
        </is>
      </c>
      <c r="G1181" t="inlineStr">
        <is>
          <t>General</t>
        </is>
      </c>
      <c r="H1181" t="inlineStr">
        <is>
          <t>General</t>
        </is>
      </c>
      <c r="I1181" t="inlineStr">
        <is>
          <t>Generalist</t>
        </is>
      </c>
      <c r="J1181" t="inlineStr">
        <is>
          <t>Generalist</t>
        </is>
      </c>
    </row>
    <row r="1182">
      <c r="A1182" t="inlineStr">
        <is>
          <t>Jatamansi</t>
        </is>
      </c>
      <c r="B1182" t="inlineStr">
        <is>
          <t>Lemongrass</t>
        </is>
      </c>
      <c r="C1182" t="n">
        <v>50</v>
      </c>
      <c r="E1182" t="inlineStr">
        <is>
          <t>unclassified</t>
        </is>
      </c>
      <c r="G1182" t="inlineStr">
        <is>
          <t>General</t>
        </is>
      </c>
      <c r="H1182" t="inlineStr">
        <is>
          <t>General</t>
        </is>
      </c>
      <c r="I1182" t="inlineStr">
        <is>
          <t>Generalist</t>
        </is>
      </c>
      <c r="J1182" t="inlineStr">
        <is>
          <t>Generalist</t>
        </is>
      </c>
    </row>
    <row r="1183">
      <c r="A1183" t="inlineStr">
        <is>
          <t>Jatamansi</t>
        </is>
      </c>
      <c r="B1183" t="inlineStr">
        <is>
          <t>Longan</t>
        </is>
      </c>
      <c r="C1183" t="n">
        <v>50</v>
      </c>
      <c r="E1183" t="inlineStr">
        <is>
          <t>unclassified</t>
        </is>
      </c>
      <c r="G1183" t="inlineStr">
        <is>
          <t>General</t>
        </is>
      </c>
      <c r="H1183" t="inlineStr">
        <is>
          <t>General</t>
        </is>
      </c>
      <c r="I1183" t="inlineStr">
        <is>
          <t>Generalist</t>
        </is>
      </c>
      <c r="J1183" t="inlineStr">
        <is>
          <t>Generalist</t>
        </is>
      </c>
    </row>
    <row r="1184">
      <c r="A1184" t="inlineStr">
        <is>
          <t>Jatamansi</t>
        </is>
      </c>
      <c r="B1184" t="inlineStr">
        <is>
          <t>Maitake D-Fraction</t>
        </is>
      </c>
      <c r="C1184" t="n">
        <v>50</v>
      </c>
      <c r="E1184" t="inlineStr">
        <is>
          <t>unclassified</t>
        </is>
      </c>
      <c r="G1184" t="inlineStr">
        <is>
          <t>General</t>
        </is>
      </c>
      <c r="H1184" t="inlineStr">
        <is>
          <t>General</t>
        </is>
      </c>
      <c r="I1184" t="inlineStr">
        <is>
          <t>Generalist</t>
        </is>
      </c>
      <c r="J1184" t="inlineStr">
        <is>
          <t>Generalist</t>
        </is>
      </c>
    </row>
    <row r="1185">
      <c r="A1185" t="inlineStr">
        <is>
          <t>Jatamansi</t>
        </is>
      </c>
      <c r="B1185" t="inlineStr">
        <is>
          <t>Muira Puama</t>
        </is>
      </c>
      <c r="C1185" t="n">
        <v>50</v>
      </c>
      <c r="E1185" t="inlineStr">
        <is>
          <t>unclassified</t>
        </is>
      </c>
      <c r="G1185" t="inlineStr">
        <is>
          <t>General</t>
        </is>
      </c>
      <c r="H1185" t="inlineStr">
        <is>
          <t>General</t>
        </is>
      </c>
      <c r="I1185" t="inlineStr">
        <is>
          <t>Generalist</t>
        </is>
      </c>
      <c r="J1185" t="inlineStr">
        <is>
          <t>Generalist</t>
        </is>
      </c>
    </row>
    <row r="1186">
      <c r="A1186" t="inlineStr">
        <is>
          <t>Jatamansi</t>
        </is>
      </c>
      <c r="B1186" t="inlineStr">
        <is>
          <t>Nettle Root</t>
        </is>
      </c>
      <c r="C1186" t="n">
        <v>50</v>
      </c>
      <c r="E1186" t="inlineStr">
        <is>
          <t>unclassified</t>
        </is>
      </c>
      <c r="G1186" t="inlineStr">
        <is>
          <t>General</t>
        </is>
      </c>
      <c r="H1186" t="inlineStr">
        <is>
          <t>General</t>
        </is>
      </c>
      <c r="I1186" t="inlineStr">
        <is>
          <t>Generalist</t>
        </is>
      </c>
      <c r="J1186" t="inlineStr">
        <is>
          <t>Generalist</t>
        </is>
      </c>
    </row>
    <row r="1187">
      <c r="A1187" t="inlineStr">
        <is>
          <t>Jatamansi</t>
        </is>
      </c>
      <c r="B1187" t="inlineStr">
        <is>
          <t>Passionflower</t>
        </is>
      </c>
      <c r="C1187" t="n">
        <v>50</v>
      </c>
      <c r="E1187" t="inlineStr">
        <is>
          <t>unclassified</t>
        </is>
      </c>
      <c r="G1187" t="inlineStr">
        <is>
          <t>General</t>
        </is>
      </c>
      <c r="H1187" t="inlineStr">
        <is>
          <t>General</t>
        </is>
      </c>
      <c r="I1187" t="inlineStr">
        <is>
          <t>Generalist</t>
        </is>
      </c>
      <c r="J1187" t="inlineStr">
        <is>
          <t>Generalist</t>
        </is>
      </c>
    </row>
    <row r="1188">
      <c r="A1188" t="inlineStr">
        <is>
          <t>Jatamansi</t>
        </is>
      </c>
      <c r="B1188" t="inlineStr">
        <is>
          <t>Perilla</t>
        </is>
      </c>
      <c r="C1188" t="n">
        <v>50</v>
      </c>
      <c r="E1188" t="inlineStr">
        <is>
          <t>unclassified</t>
        </is>
      </c>
      <c r="G1188" t="inlineStr">
        <is>
          <t>General</t>
        </is>
      </c>
      <c r="H1188" t="inlineStr">
        <is>
          <t>General</t>
        </is>
      </c>
      <c r="I1188" t="inlineStr">
        <is>
          <t>Generalist</t>
        </is>
      </c>
      <c r="J1188" t="inlineStr">
        <is>
          <t>Generalist</t>
        </is>
      </c>
    </row>
    <row r="1189">
      <c r="A1189" t="inlineStr">
        <is>
          <t>Jatamansi</t>
        </is>
      </c>
      <c r="B1189" t="inlineStr">
        <is>
          <t>Poria</t>
        </is>
      </c>
      <c r="C1189" t="n">
        <v>50</v>
      </c>
      <c r="E1189" t="inlineStr">
        <is>
          <t>unclassified</t>
        </is>
      </c>
      <c r="G1189" t="inlineStr">
        <is>
          <t>General</t>
        </is>
      </c>
      <c r="H1189" t="inlineStr">
        <is>
          <t>General</t>
        </is>
      </c>
      <c r="I1189" t="inlineStr">
        <is>
          <t>Generalist</t>
        </is>
      </c>
      <c r="J1189" t="inlineStr">
        <is>
          <t>Generalist</t>
        </is>
      </c>
    </row>
    <row r="1190">
      <c r="A1190" t="inlineStr">
        <is>
          <t>Jatamansi</t>
        </is>
      </c>
      <c r="B1190" t="inlineStr">
        <is>
          <t>Punarnava</t>
        </is>
      </c>
      <c r="C1190" t="n">
        <v>50</v>
      </c>
      <c r="E1190" t="inlineStr">
        <is>
          <t>unclassified</t>
        </is>
      </c>
      <c r="G1190" t="inlineStr">
        <is>
          <t>General</t>
        </is>
      </c>
      <c r="H1190" t="inlineStr">
        <is>
          <t>General</t>
        </is>
      </c>
      <c r="I1190" t="inlineStr">
        <is>
          <t>Generalist</t>
        </is>
      </c>
      <c r="J1190" t="inlineStr">
        <is>
          <t>Generalist</t>
        </is>
      </c>
    </row>
    <row r="1191">
      <c r="A1191" t="inlineStr">
        <is>
          <t>Jatamansi</t>
        </is>
      </c>
      <c r="B1191" t="inlineStr">
        <is>
          <t>Rehmannia Prepared</t>
        </is>
      </c>
      <c r="C1191" t="n">
        <v>50</v>
      </c>
      <c r="E1191" t="inlineStr">
        <is>
          <t>unclassified</t>
        </is>
      </c>
      <c r="G1191" t="inlineStr">
        <is>
          <t>General</t>
        </is>
      </c>
      <c r="H1191" t="inlineStr">
        <is>
          <t>General</t>
        </is>
      </c>
      <c r="I1191" t="inlineStr">
        <is>
          <t>Generalist</t>
        </is>
      </c>
      <c r="J1191" t="inlineStr">
        <is>
          <t>Generalist</t>
        </is>
      </c>
    </row>
    <row r="1192">
      <c r="A1192" t="inlineStr">
        <is>
          <t>Jatamansi</t>
        </is>
      </c>
      <c r="B1192" t="inlineStr">
        <is>
          <t>Reishi</t>
        </is>
      </c>
      <c r="C1192" t="n">
        <v>50</v>
      </c>
      <c r="E1192" t="inlineStr">
        <is>
          <t>unclassified</t>
        </is>
      </c>
      <c r="G1192" t="inlineStr">
        <is>
          <t>General</t>
        </is>
      </c>
      <c r="H1192" t="inlineStr">
        <is>
          <t>General</t>
        </is>
      </c>
      <c r="I1192" t="inlineStr">
        <is>
          <t>Generalist</t>
        </is>
      </c>
      <c r="J1192" t="inlineStr">
        <is>
          <t>Generalist</t>
        </is>
      </c>
    </row>
    <row r="1193">
      <c r="A1193" t="inlineStr">
        <is>
          <t>Jatamansi</t>
        </is>
      </c>
      <c r="B1193" t="inlineStr">
        <is>
          <t>Sophora Flavescens</t>
        </is>
      </c>
      <c r="C1193" t="n">
        <v>50</v>
      </c>
      <c r="E1193" t="inlineStr">
        <is>
          <t>unclassified</t>
        </is>
      </c>
      <c r="G1193" t="inlineStr">
        <is>
          <t>General</t>
        </is>
      </c>
      <c r="H1193" t="inlineStr">
        <is>
          <t>General</t>
        </is>
      </c>
      <c r="I1193" t="inlineStr">
        <is>
          <t>Generalist</t>
        </is>
      </c>
      <c r="J1193" t="inlineStr">
        <is>
          <t>Generalist</t>
        </is>
      </c>
    </row>
    <row r="1194">
      <c r="A1194" t="inlineStr">
        <is>
          <t>Jatamansi</t>
        </is>
      </c>
      <c r="B1194" t="inlineStr">
        <is>
          <t>Soursop</t>
        </is>
      </c>
      <c r="C1194" t="n">
        <v>50</v>
      </c>
      <c r="E1194" t="inlineStr">
        <is>
          <t>unclassified</t>
        </is>
      </c>
      <c r="G1194" t="inlineStr">
        <is>
          <t>General</t>
        </is>
      </c>
      <c r="H1194" t="inlineStr">
        <is>
          <t>General</t>
        </is>
      </c>
      <c r="I1194" t="inlineStr">
        <is>
          <t>Generalist</t>
        </is>
      </c>
      <c r="J1194" t="inlineStr">
        <is>
          <t>Generalist</t>
        </is>
      </c>
    </row>
    <row r="1195">
      <c r="A1195" t="inlineStr">
        <is>
          <t>Jatamansi</t>
        </is>
      </c>
      <c r="B1195" t="inlineStr">
        <is>
          <t>Tamarind</t>
        </is>
      </c>
      <c r="C1195" t="n">
        <v>50</v>
      </c>
      <c r="E1195" t="inlineStr">
        <is>
          <t>unclassified</t>
        </is>
      </c>
      <c r="G1195" t="inlineStr">
        <is>
          <t>General</t>
        </is>
      </c>
      <c r="H1195" t="inlineStr">
        <is>
          <t>General</t>
        </is>
      </c>
      <c r="I1195" t="inlineStr">
        <is>
          <t>Generalist</t>
        </is>
      </c>
      <c r="J1195" t="inlineStr">
        <is>
          <t>Generalist</t>
        </is>
      </c>
    </row>
    <row r="1196">
      <c r="A1196" t="inlineStr">
        <is>
          <t>Jatamansi</t>
        </is>
      </c>
      <c r="B1196" t="inlineStr">
        <is>
          <t>White Peony</t>
        </is>
      </c>
      <c r="C1196" t="n">
        <v>50</v>
      </c>
      <c r="E1196" t="inlineStr">
        <is>
          <t>unclassified</t>
        </is>
      </c>
      <c r="G1196" t="inlineStr">
        <is>
          <t>General</t>
        </is>
      </c>
      <c r="H1196" t="inlineStr">
        <is>
          <t>General</t>
        </is>
      </c>
      <c r="I1196" t="inlineStr">
        <is>
          <t>Generalist</t>
        </is>
      </c>
      <c r="J1196" t="inlineStr">
        <is>
          <t>Generalist</t>
        </is>
      </c>
    </row>
    <row r="1197">
      <c r="A1197" t="inlineStr">
        <is>
          <t>Jatamansi</t>
        </is>
      </c>
      <c r="B1197" t="inlineStr">
        <is>
          <t>Yohimbe</t>
        </is>
      </c>
      <c r="C1197" t="n">
        <v>50</v>
      </c>
      <c r="E1197" t="inlineStr">
        <is>
          <t>unclassified</t>
        </is>
      </c>
      <c r="G1197" t="inlineStr">
        <is>
          <t>General</t>
        </is>
      </c>
      <c r="H1197" t="inlineStr">
        <is>
          <t>General</t>
        </is>
      </c>
      <c r="I1197" t="inlineStr">
        <is>
          <t>Generalist</t>
        </is>
      </c>
      <c r="J1197" t="inlineStr">
        <is>
          <t>Generalist</t>
        </is>
      </c>
    </row>
    <row r="1198">
      <c r="A1198" t="inlineStr">
        <is>
          <t>Juniper</t>
        </is>
      </c>
      <c r="B1198" t="inlineStr">
        <is>
          <t>Mangosteen</t>
        </is>
      </c>
      <c r="C1198" t="n">
        <v>50</v>
      </c>
      <c r="E1198" t="inlineStr">
        <is>
          <t>adrenergic signaling</t>
        </is>
      </c>
      <c r="G1198" t="inlineStr">
        <is>
          <t>General</t>
        </is>
      </c>
      <c r="H1198" t="inlineStr">
        <is>
          <t>General</t>
        </is>
      </c>
      <c r="I1198" t="inlineStr">
        <is>
          <t>Generalist</t>
        </is>
      </c>
      <c r="J1198" t="inlineStr">
        <is>
          <t>Generalist</t>
        </is>
      </c>
    </row>
    <row r="1199">
      <c r="A1199" t="inlineStr">
        <is>
          <t>Kava</t>
        </is>
      </c>
      <c r="B1199" t="inlineStr">
        <is>
          <t>Agarikon</t>
        </is>
      </c>
      <c r="C1199" t="n">
        <v>50</v>
      </c>
      <c r="E1199" t="inlineStr">
        <is>
          <t>unclassified</t>
        </is>
      </c>
      <c r="G1199" t="inlineStr">
        <is>
          <t>General</t>
        </is>
      </c>
      <c r="H1199" t="inlineStr">
        <is>
          <t>General</t>
        </is>
      </c>
      <c r="I1199" t="inlineStr">
        <is>
          <t>Generalist</t>
        </is>
      </c>
      <c r="J1199" t="inlineStr">
        <is>
          <t>Generalist</t>
        </is>
      </c>
    </row>
    <row r="1200">
      <c r="A1200" t="inlineStr">
        <is>
          <t>Kava</t>
        </is>
      </c>
      <c r="B1200" t="inlineStr">
        <is>
          <t>Ajwain</t>
        </is>
      </c>
      <c r="C1200" t="n">
        <v>50</v>
      </c>
      <c r="E1200" t="inlineStr">
        <is>
          <t>unclassified</t>
        </is>
      </c>
      <c r="G1200" t="inlineStr">
        <is>
          <t>General</t>
        </is>
      </c>
      <c r="H1200" t="inlineStr">
        <is>
          <t>General</t>
        </is>
      </c>
      <c r="I1200" t="inlineStr">
        <is>
          <t>Generalist</t>
        </is>
      </c>
      <c r="J1200" t="inlineStr">
        <is>
          <t>Generalist</t>
        </is>
      </c>
    </row>
    <row r="1201">
      <c r="A1201" t="inlineStr">
        <is>
          <t>Kava</t>
        </is>
      </c>
      <c r="B1201" t="inlineStr">
        <is>
          <t>Angelica Root</t>
        </is>
      </c>
      <c r="C1201" t="n">
        <v>50</v>
      </c>
      <c r="E1201" t="inlineStr">
        <is>
          <t>unclassified</t>
        </is>
      </c>
      <c r="G1201" t="inlineStr">
        <is>
          <t>General</t>
        </is>
      </c>
      <c r="H1201" t="inlineStr">
        <is>
          <t>General</t>
        </is>
      </c>
      <c r="I1201" t="inlineStr">
        <is>
          <t>Generalist</t>
        </is>
      </c>
      <c r="J1201" t="inlineStr">
        <is>
          <t>Generalist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173"/>
  <sheetViews>
    <sheetView workbookViewId="0">
      <selection activeCell="A1" sqref="A1"/>
    </sheetView>
  </sheetViews>
  <sheetFormatPr baseColWidth="8" defaultRowHeight="15"/>
  <sheetData>
    <row r="1">
      <c r="A1" t="inlineStr">
        <is>
          <t>Herb</t>
        </is>
      </c>
      <c r="B1" t="inlineStr">
        <is>
          <t>Top Substitute 1</t>
        </is>
      </c>
      <c r="C1" t="inlineStr">
        <is>
          <t>Top Substitute 2</t>
        </is>
      </c>
      <c r="D1" t="inlineStr">
        <is>
          <t>Top Substitute 3</t>
        </is>
      </c>
      <c r="E1" t="inlineStr">
        <is>
          <t>Why</t>
        </is>
      </c>
    </row>
    <row r="2">
      <c r="A2" t="inlineStr">
        <is>
          <t>Ashwagandha</t>
        </is>
      </c>
    </row>
    <row r="3">
      <c r="A3" t="inlineStr">
        <is>
          <t>Black Cohosh</t>
        </is>
      </c>
    </row>
    <row r="4">
      <c r="A4" t="inlineStr">
        <is>
          <t>Echinacea Purpurea</t>
        </is>
      </c>
    </row>
    <row r="5">
      <c r="A5" t="inlineStr">
        <is>
          <t>Garlic</t>
        </is>
      </c>
      <c r="B5" t="inlineStr">
        <is>
          <t>Agarikon</t>
        </is>
      </c>
      <c r="C5" t="inlineStr">
        <is>
          <t>Ajwain</t>
        </is>
      </c>
      <c r="D5" t="inlineStr">
        <is>
          <t>Angelica Root</t>
        </is>
      </c>
      <c r="E5" t="inlineStr">
        <is>
          <t>Agarikon: 1 shared pathways | Ajwain: 1 shared pathways | Angelica Root: 1 shared pathways</t>
        </is>
      </c>
    </row>
    <row r="6">
      <c r="A6" t="inlineStr">
        <is>
          <t>Ginger</t>
        </is>
      </c>
      <c r="B6" t="inlineStr">
        <is>
          <t>Agarikon</t>
        </is>
      </c>
      <c r="C6" t="inlineStr">
        <is>
          <t>Ajwain</t>
        </is>
      </c>
      <c r="D6" t="inlineStr">
        <is>
          <t>Angelica Root</t>
        </is>
      </c>
      <c r="E6" t="inlineStr">
        <is>
          <t>Agarikon: 1 shared pathways | Ajwain: 1 shared pathways | Angelica Root: 1 shared pathways</t>
        </is>
      </c>
    </row>
    <row r="7">
      <c r="A7" t="inlineStr">
        <is>
          <t>Ginkgo Biloba</t>
        </is>
      </c>
    </row>
    <row r="8">
      <c r="A8" t="inlineStr">
        <is>
          <t>Holy Basil</t>
        </is>
      </c>
      <c r="B8" t="inlineStr">
        <is>
          <t>Holy Basil Purple</t>
        </is>
      </c>
      <c r="C8" t="inlineStr">
        <is>
          <t>Maca</t>
        </is>
      </c>
      <c r="D8" t="inlineStr">
        <is>
          <t>Maral Root</t>
        </is>
      </c>
      <c r="E8" t="inlineStr">
        <is>
          <t>Holy Basil Purple: 1 shared compounds; 1 shared pathways | Maca: 1 shared pathways | Maral Root: 1 shared pathways</t>
        </is>
      </c>
    </row>
    <row r="9">
      <c r="A9" t="inlineStr">
        <is>
          <t>Kava</t>
        </is>
      </c>
      <c r="B9" t="inlineStr">
        <is>
          <t>Agarikon</t>
        </is>
      </c>
      <c r="C9" t="inlineStr">
        <is>
          <t>Ajwain</t>
        </is>
      </c>
      <c r="D9" t="inlineStr">
        <is>
          <t>Angelica Root</t>
        </is>
      </c>
      <c r="E9" t="inlineStr">
        <is>
          <t>Agarikon: 1 shared pathways | Ajwain: 1 shared pathways | Angelica Root: 1 shared pathways</t>
        </is>
      </c>
    </row>
    <row r="10">
      <c r="A10" t="inlineStr">
        <is>
          <t>Lemon Balm</t>
        </is>
      </c>
      <c r="B10" t="inlineStr">
        <is>
          <t>Garlic</t>
        </is>
      </c>
      <c r="C10" t="inlineStr">
        <is>
          <t>Ginger</t>
        </is>
      </c>
      <c r="E10" t="inlineStr">
        <is>
          <t>Garlic: 1 shared pathways | Ginger: 1 shared pathways</t>
        </is>
      </c>
    </row>
    <row r="11">
      <c r="A11" t="inlineStr">
        <is>
          <t>Maca</t>
        </is>
      </c>
      <c r="B11" t="inlineStr">
        <is>
          <t>Holy Basil</t>
        </is>
      </c>
      <c r="E11" t="inlineStr">
        <is>
          <t>Holy Basil: 1 shared pathways</t>
        </is>
      </c>
    </row>
    <row r="12">
      <c r="A12" t="inlineStr">
        <is>
          <t>Milk Thistle</t>
        </is>
      </c>
    </row>
    <row r="13">
      <c r="A13" t="inlineStr">
        <is>
          <t>Peppermint</t>
        </is>
      </c>
      <c r="B13" t="inlineStr">
        <is>
          <t>Garlic</t>
        </is>
      </c>
      <c r="C13" t="inlineStr">
        <is>
          <t>Ginger</t>
        </is>
      </c>
      <c r="E13" t="inlineStr">
        <is>
          <t>Garlic: 1 shared pathways | Ginger: 1 shared pathways</t>
        </is>
      </c>
    </row>
    <row r="14">
      <c r="A14" t="inlineStr">
        <is>
          <t>Rhodiola Rosea</t>
        </is>
      </c>
      <c r="B14" t="inlineStr">
        <is>
          <t>Holy Basil</t>
        </is>
      </c>
      <c r="E14" t="inlineStr">
        <is>
          <t>Holy Basil: 1 shared pathways</t>
        </is>
      </c>
    </row>
    <row r="15">
      <c r="A15" t="inlineStr">
        <is>
          <t>Saw Palmetto</t>
        </is>
      </c>
    </row>
    <row r="16">
      <c r="A16" t="inlineStr">
        <is>
          <t>St Johns Wort</t>
        </is>
      </c>
      <c r="B16" t="inlineStr">
        <is>
          <t>Garlic</t>
        </is>
      </c>
      <c r="C16" t="inlineStr">
        <is>
          <t>Ginger</t>
        </is>
      </c>
      <c r="E16" t="inlineStr">
        <is>
          <t>Garlic: 1 shared pathways | Ginger: 1 shared pathways</t>
        </is>
      </c>
    </row>
    <row r="17">
      <c r="A17" t="inlineStr">
        <is>
          <t>Turmeric</t>
        </is>
      </c>
      <c r="B17" t="inlineStr">
        <is>
          <t>Dong Quai</t>
        </is>
      </c>
      <c r="C17" t="inlineStr">
        <is>
          <t>Garlic</t>
        </is>
      </c>
      <c r="D17" t="inlineStr">
        <is>
          <t>Ginger</t>
        </is>
      </c>
      <c r="E17" t="inlineStr">
        <is>
          <t>Dong Quai: 1 shared compounds; 1 shared pathways | Garlic: 1 shared pathways | Ginger: 1 shared pathways</t>
        </is>
      </c>
    </row>
    <row r="18">
      <c r="A18" t="inlineStr">
        <is>
          <t>Valerian</t>
        </is>
      </c>
      <c r="B18" t="inlineStr">
        <is>
          <t>Garlic</t>
        </is>
      </c>
      <c r="C18" t="inlineStr">
        <is>
          <t>Ginger</t>
        </is>
      </c>
      <c r="E18" t="inlineStr">
        <is>
          <t>Garlic: 1 shared pathways | Ginger: 1 shared pathways</t>
        </is>
      </c>
    </row>
    <row r="19">
      <c r="A19" t="inlineStr">
        <is>
          <t>Guarana</t>
        </is>
      </c>
      <c r="B19" t="inlineStr">
        <is>
          <t>Ashitaba</t>
        </is>
      </c>
      <c r="C19" t="inlineStr">
        <is>
          <t>Banaba</t>
        </is>
      </c>
      <c r="D19" t="inlineStr">
        <is>
          <t>Curry Leaf</t>
        </is>
      </c>
      <c r="E19" t="inlineStr">
        <is>
          <t>Ashitaba: 1 shared pathways | Banaba: 1 shared pathways | Curry Leaf: 1 shared pathways</t>
        </is>
      </c>
    </row>
    <row r="20">
      <c r="A20" t="inlineStr">
        <is>
          <t>Yerba Mate</t>
        </is>
      </c>
      <c r="B20" t="inlineStr">
        <is>
          <t>Guarana</t>
        </is>
      </c>
      <c r="E20" t="inlineStr">
        <is>
          <t>Guarana: 1 shared pathways</t>
        </is>
      </c>
    </row>
    <row r="21">
      <c r="A21" t="inlineStr">
        <is>
          <t>Damiana</t>
        </is>
      </c>
      <c r="B21" t="inlineStr">
        <is>
          <t>Blue Lotus</t>
        </is>
      </c>
      <c r="C21" t="inlineStr">
        <is>
          <t>Agarikon</t>
        </is>
      </c>
      <c r="D21" t="inlineStr">
        <is>
          <t>Ajwain</t>
        </is>
      </c>
      <c r="E21" t="inlineStr">
        <is>
          <t>Blue Lotus: 1 shared compounds; 1 shared pathways | Agarikon: 1 shared pathways | Ajwain: 1 shared pathways</t>
        </is>
      </c>
    </row>
    <row r="22">
      <c r="A22" t="inlineStr">
        <is>
          <t>Blue Lotus</t>
        </is>
      </c>
      <c r="B22" t="inlineStr">
        <is>
          <t>Damiana</t>
        </is>
      </c>
      <c r="C22" t="inlineStr">
        <is>
          <t>Agarikon</t>
        </is>
      </c>
      <c r="D22" t="inlineStr">
        <is>
          <t>Ajwain</t>
        </is>
      </c>
      <c r="E22" t="inlineStr">
        <is>
          <t>Damiana: 1 shared compounds; 1 shared pathways | Agarikon: 1 shared pathways | Ajwain: 1 shared pathways</t>
        </is>
      </c>
    </row>
    <row r="23">
      <c r="A23" t="inlineStr">
        <is>
          <t>Kudzu</t>
        </is>
      </c>
      <c r="B23" t="inlineStr">
        <is>
          <t>Blue Lotus</t>
        </is>
      </c>
      <c r="C23" t="inlineStr">
        <is>
          <t>Damiana</t>
        </is>
      </c>
      <c r="D23" t="inlineStr">
        <is>
          <t>Garlic</t>
        </is>
      </c>
      <c r="E23" t="inlineStr">
        <is>
          <t>Blue Lotus: 1 shared pathways | Damiana: 1 shared pathways | Garlic: 1 shared pathways</t>
        </is>
      </c>
    </row>
    <row r="24">
      <c r="A24" t="inlineStr">
        <is>
          <t>Yarrow</t>
        </is>
      </c>
      <c r="B24" t="inlineStr">
        <is>
          <t>Blue Lotus</t>
        </is>
      </c>
      <c r="C24" t="inlineStr">
        <is>
          <t>Damiana</t>
        </is>
      </c>
      <c r="D24" t="inlineStr">
        <is>
          <t>Garlic</t>
        </is>
      </c>
      <c r="E24" t="inlineStr">
        <is>
          <t>Blue Lotus: 1 shared pathways | Damiana: 1 shared pathways | Garlic: 1 shared pathways</t>
        </is>
      </c>
    </row>
    <row r="25">
      <c r="A25" t="inlineStr">
        <is>
          <t>Feverfew</t>
        </is>
      </c>
      <c r="B25" t="inlineStr">
        <is>
          <t>Agarikon</t>
        </is>
      </c>
      <c r="C25" t="inlineStr">
        <is>
          <t>Ajwain</t>
        </is>
      </c>
      <c r="D25" t="inlineStr">
        <is>
          <t>Angelica Root</t>
        </is>
      </c>
      <c r="E25" t="inlineStr">
        <is>
          <t>Agarikon: 1 shared pathways | Ajwain: 1 shared pathways | Angelica Root: 1 shared pathways</t>
        </is>
      </c>
    </row>
    <row r="26">
      <c r="A26" t="inlineStr">
        <is>
          <t>Butterbur</t>
        </is>
      </c>
      <c r="B26" t="inlineStr">
        <is>
          <t>Agarikon</t>
        </is>
      </c>
      <c r="C26" t="inlineStr">
        <is>
          <t>Ajwain</t>
        </is>
      </c>
      <c r="D26" t="inlineStr">
        <is>
          <t>Angelica Root</t>
        </is>
      </c>
      <c r="E26" t="inlineStr">
        <is>
          <t>Agarikon: 1 shared pathways | Ajwain: 1 shared pathways | Angelica Root: 1 shared pathways</t>
        </is>
      </c>
    </row>
    <row r="27">
      <c r="A27" t="inlineStr">
        <is>
          <t>Dong Quai</t>
        </is>
      </c>
      <c r="B27" t="inlineStr">
        <is>
          <t>Turmeric</t>
        </is>
      </c>
      <c r="C27" t="inlineStr">
        <is>
          <t>Agarikon</t>
        </is>
      </c>
      <c r="D27" t="inlineStr">
        <is>
          <t>Ajwain</t>
        </is>
      </c>
      <c r="E27" t="inlineStr">
        <is>
          <t>Turmeric: 1 shared compounds; 1 shared pathways | Agarikon: 1 shared pathways | Ajwain: 1 shared pathways</t>
        </is>
      </c>
    </row>
    <row r="28">
      <c r="A28" t="inlineStr">
        <is>
          <t>Rosemary</t>
        </is>
      </c>
      <c r="B28" t="inlineStr">
        <is>
          <t>Ajwain</t>
        </is>
      </c>
      <c r="C28" t="inlineStr">
        <is>
          <t>Blue Lotus</t>
        </is>
      </c>
      <c r="D28" t="inlineStr">
        <is>
          <t>Butterbur</t>
        </is>
      </c>
      <c r="E28" t="inlineStr">
        <is>
          <t>Ajwain: 1 shared compounds; 1 shared pathways | Blue Lotus: 1 shared pathways | Butterbur: 1 shared pathways</t>
        </is>
      </c>
    </row>
    <row r="29">
      <c r="A29" t="inlineStr">
        <is>
          <t>Sage</t>
        </is>
      </c>
      <c r="B29" t="inlineStr">
        <is>
          <t>Ajwain</t>
        </is>
      </c>
      <c r="C29" t="inlineStr">
        <is>
          <t>Blue Lotus</t>
        </is>
      </c>
      <c r="D29" t="inlineStr">
        <is>
          <t>Butterbur</t>
        </is>
      </c>
      <c r="E29" t="inlineStr">
        <is>
          <t>Ajwain: 1 shared compounds; 1 shared pathways | Blue Lotus: 1 shared pathways | Butterbur: 1 shared pathways</t>
        </is>
      </c>
    </row>
    <row r="30">
      <c r="A30" t="inlineStr">
        <is>
          <t>Thyme</t>
        </is>
      </c>
      <c r="B30" t="inlineStr">
        <is>
          <t>Blue Lotus</t>
        </is>
      </c>
      <c r="C30" t="inlineStr">
        <is>
          <t>Butterbur</t>
        </is>
      </c>
      <c r="D30" t="inlineStr">
        <is>
          <t>Damiana</t>
        </is>
      </c>
      <c r="E30" t="inlineStr">
        <is>
          <t>Blue Lotus: 1 shared pathways | Butterbur: 1 shared pathways | Damiana: 1 shared pathways</t>
        </is>
      </c>
    </row>
    <row r="31">
      <c r="A31" t="inlineStr">
        <is>
          <t>Oregano</t>
        </is>
      </c>
    </row>
    <row r="32">
      <c r="A32" t="inlineStr">
        <is>
          <t>Eucalyptus</t>
        </is>
      </c>
    </row>
    <row r="33">
      <c r="A33" t="inlineStr">
        <is>
          <t>Artichoke</t>
        </is>
      </c>
      <c r="B33" t="inlineStr">
        <is>
          <t>Agarikon</t>
        </is>
      </c>
      <c r="C33" t="inlineStr">
        <is>
          <t>Ajwain</t>
        </is>
      </c>
      <c r="D33" t="inlineStr">
        <is>
          <t>Angelica Root</t>
        </is>
      </c>
      <c r="E33" t="inlineStr">
        <is>
          <t>Agarikon: 1 shared pathways | Ajwain: 1 shared pathways | Angelica Root: 1 shared pathways</t>
        </is>
      </c>
    </row>
    <row r="34">
      <c r="A34" t="inlineStr">
        <is>
          <t>Fennel</t>
        </is>
      </c>
      <c r="B34" t="inlineStr">
        <is>
          <t>Agarikon</t>
        </is>
      </c>
      <c r="C34" t="inlineStr">
        <is>
          <t>Ajwain</t>
        </is>
      </c>
      <c r="D34" t="inlineStr">
        <is>
          <t>Angelica Root</t>
        </is>
      </c>
      <c r="E34" t="inlineStr">
        <is>
          <t>Agarikon: 1 shared pathways | Ajwain: 1 shared pathways | Angelica Root: 1 shared pathways</t>
        </is>
      </c>
    </row>
    <row r="35">
      <c r="A35" t="inlineStr">
        <is>
          <t>Cinnamon</t>
        </is>
      </c>
      <c r="B35" t="inlineStr">
        <is>
          <t>Agarikon</t>
        </is>
      </c>
      <c r="C35" t="inlineStr">
        <is>
          <t>Ajwain</t>
        </is>
      </c>
      <c r="D35" t="inlineStr">
        <is>
          <t>Angelica Root</t>
        </is>
      </c>
      <c r="E35" t="inlineStr">
        <is>
          <t>Agarikon: 1 shared pathways | Ajwain: 1 shared pathways | Angelica Root: 1 shared pathways</t>
        </is>
      </c>
    </row>
    <row r="36">
      <c r="A36" t="inlineStr">
        <is>
          <t>Dandelion</t>
        </is>
      </c>
      <c r="B36" t="inlineStr">
        <is>
          <t>Agarikon</t>
        </is>
      </c>
      <c r="C36" t="inlineStr">
        <is>
          <t>Ajwain</t>
        </is>
      </c>
      <c r="D36" t="inlineStr">
        <is>
          <t>Angelica Root</t>
        </is>
      </c>
      <c r="E36" t="inlineStr">
        <is>
          <t>Agarikon: 1 shared pathways | Ajwain: 1 shared pathways | Angelica Root: 1 shared pathways</t>
        </is>
      </c>
    </row>
    <row r="37">
      <c r="A37" t="inlineStr">
        <is>
          <t>Burdock</t>
        </is>
      </c>
      <c r="B37" t="inlineStr">
        <is>
          <t>Agarikon</t>
        </is>
      </c>
      <c r="C37" t="inlineStr">
        <is>
          <t>Ajwain</t>
        </is>
      </c>
      <c r="D37" t="inlineStr">
        <is>
          <t>Angelica Root</t>
        </is>
      </c>
      <c r="E37" t="inlineStr">
        <is>
          <t>Agarikon: 1 shared pathways | Ajwain: 1 shared pathways | Angelica Root: 1 shared pathways</t>
        </is>
      </c>
    </row>
    <row r="38">
      <c r="A38" t="inlineStr">
        <is>
          <t>Chamomile</t>
        </is>
      </c>
    </row>
    <row r="39">
      <c r="A39" t="inlineStr">
        <is>
          <t>Red Clover</t>
        </is>
      </c>
      <c r="B39" t="inlineStr">
        <is>
          <t>Artichoke</t>
        </is>
      </c>
      <c r="C39" t="inlineStr">
        <is>
          <t>Blue Lotus</t>
        </is>
      </c>
      <c r="D39" t="inlineStr">
        <is>
          <t>Burdock</t>
        </is>
      </c>
      <c r="E39" t="inlineStr">
        <is>
          <t>Artichoke: 1 shared pathways | Blue Lotus: 1 shared pathways | Burdock: 1 shared pathways</t>
        </is>
      </c>
    </row>
    <row r="40">
      <c r="A40" t="inlineStr">
        <is>
          <t>Oatstraw</t>
        </is>
      </c>
      <c r="B40" t="inlineStr">
        <is>
          <t>Artichoke</t>
        </is>
      </c>
      <c r="C40" t="inlineStr">
        <is>
          <t>Blue Lotus</t>
        </is>
      </c>
      <c r="D40" t="inlineStr">
        <is>
          <t>Burdock</t>
        </is>
      </c>
      <c r="E40" t="inlineStr">
        <is>
          <t>Artichoke: 1 shared pathways | Blue Lotus: 1 shared pathways | Burdock: 1 shared pathways</t>
        </is>
      </c>
    </row>
    <row r="41">
      <c r="A41" t="inlineStr">
        <is>
          <t>Calendula</t>
        </is>
      </c>
      <c r="B41" t="inlineStr">
        <is>
          <t>Agarikon</t>
        </is>
      </c>
      <c r="C41" t="inlineStr">
        <is>
          <t>Ajwain</t>
        </is>
      </c>
      <c r="D41" t="inlineStr">
        <is>
          <t>Angelica Root</t>
        </is>
      </c>
      <c r="E41" t="inlineStr">
        <is>
          <t>Agarikon: 1 shared pathways | Ajwain: 1 shared pathways | Angelica Root: 1 shared pathways</t>
        </is>
      </c>
    </row>
    <row r="42">
      <c r="A42" t="inlineStr">
        <is>
          <t>Pau d'Arco</t>
        </is>
      </c>
      <c r="B42" t="inlineStr">
        <is>
          <t>Artichoke</t>
        </is>
      </c>
      <c r="C42" t="inlineStr">
        <is>
          <t>Blue Lotus</t>
        </is>
      </c>
      <c r="D42" t="inlineStr">
        <is>
          <t>Burdock</t>
        </is>
      </c>
      <c r="E42" t="inlineStr">
        <is>
          <t>Artichoke: 1 shared pathways | Blue Lotus: 1 shared pathways | Burdock: 1 shared pathways</t>
        </is>
      </c>
    </row>
    <row r="43">
      <c r="A43" t="inlineStr">
        <is>
          <t>Gymnema</t>
        </is>
      </c>
      <c r="B43" t="inlineStr">
        <is>
          <t>Gudmar</t>
        </is>
      </c>
      <c r="C43" t="inlineStr">
        <is>
          <t>Agarikon</t>
        </is>
      </c>
      <c r="D43" t="inlineStr">
        <is>
          <t>Ajwain</t>
        </is>
      </c>
      <c r="E43" t="inlineStr">
        <is>
          <t>Gudmar: 1 shared compounds; 1 shared pathways | Agarikon: 1 shared pathways | Ajwain: 1 shared pathways</t>
        </is>
      </c>
    </row>
    <row r="44">
      <c r="A44" t="inlineStr">
        <is>
          <t>Banaba</t>
        </is>
      </c>
      <c r="B44" t="inlineStr">
        <is>
          <t>Ashitaba</t>
        </is>
      </c>
      <c r="C44" t="inlineStr">
        <is>
          <t>Curry Leaf</t>
        </is>
      </c>
      <c r="D44" t="inlineStr">
        <is>
          <t>Eucommia</t>
        </is>
      </c>
      <c r="E44" t="inlineStr">
        <is>
          <t>Ashitaba: 1 shared pathways | Curry Leaf: 1 shared pathways | Eucommia: 1 shared pathways</t>
        </is>
      </c>
    </row>
    <row r="45">
      <c r="A45" t="inlineStr">
        <is>
          <t>Mulberry Leaf</t>
        </is>
      </c>
      <c r="B45" t="inlineStr">
        <is>
          <t>Artichoke</t>
        </is>
      </c>
      <c r="C45" t="inlineStr">
        <is>
          <t>Blue Lotus</t>
        </is>
      </c>
      <c r="D45" t="inlineStr">
        <is>
          <t>Burdock</t>
        </is>
      </c>
      <c r="E45" t="inlineStr">
        <is>
          <t>Artichoke: 1 shared pathways | Blue Lotus: 1 shared pathways | Burdock: 1 shared pathways</t>
        </is>
      </c>
    </row>
    <row r="46">
      <c r="A46" t="inlineStr">
        <is>
          <t>Neem</t>
        </is>
      </c>
      <c r="B46" t="inlineStr">
        <is>
          <t>Artichoke</t>
        </is>
      </c>
      <c r="C46" t="inlineStr">
        <is>
          <t>Blue Lotus</t>
        </is>
      </c>
      <c r="D46" t="inlineStr">
        <is>
          <t>Burdock</t>
        </is>
      </c>
      <c r="E46" t="inlineStr">
        <is>
          <t>Artichoke: 1 shared pathways | Blue Lotus: 1 shared pathways | Burdock: 1 shared pathways</t>
        </is>
      </c>
    </row>
    <row r="47">
      <c r="A47" t="inlineStr">
        <is>
          <t>Mugwort</t>
        </is>
      </c>
      <c r="B47" t="inlineStr">
        <is>
          <t>Artichoke</t>
        </is>
      </c>
      <c r="C47" t="inlineStr">
        <is>
          <t>Blue Lotus</t>
        </is>
      </c>
      <c r="D47" t="inlineStr">
        <is>
          <t>Burdock</t>
        </is>
      </c>
      <c r="E47" t="inlineStr">
        <is>
          <t>Artichoke: 1 shared pathways | Blue Lotus: 1 shared pathways | Burdock: 1 shared pathways</t>
        </is>
      </c>
    </row>
    <row r="48">
      <c r="A48" t="inlineStr">
        <is>
          <t>Lemon Verbena</t>
        </is>
      </c>
      <c r="B48" t="inlineStr">
        <is>
          <t>Artichoke</t>
        </is>
      </c>
      <c r="C48" t="inlineStr">
        <is>
          <t>Blue Lotus</t>
        </is>
      </c>
      <c r="D48" t="inlineStr">
        <is>
          <t>Burdock</t>
        </is>
      </c>
      <c r="E48" t="inlineStr">
        <is>
          <t>Artichoke: 1 shared pathways | Blue Lotus: 1 shared pathways | Burdock: 1 shared pathways</t>
        </is>
      </c>
    </row>
    <row r="49">
      <c r="A49" t="inlineStr">
        <is>
          <t>Milk Oats</t>
        </is>
      </c>
      <c r="B49" t="inlineStr">
        <is>
          <t>Artichoke</t>
        </is>
      </c>
      <c r="C49" t="inlineStr">
        <is>
          <t>Blue Lotus</t>
        </is>
      </c>
      <c r="D49" t="inlineStr">
        <is>
          <t>Burdock</t>
        </is>
      </c>
      <c r="E49" t="inlineStr">
        <is>
          <t>Artichoke: 1 shared pathways | Blue Lotus: 1 shared pathways | Burdock: 1 shared pathways</t>
        </is>
      </c>
    </row>
    <row r="50">
      <c r="A50" t="inlineStr">
        <is>
          <t>Cissus</t>
        </is>
      </c>
    </row>
    <row r="51">
      <c r="A51" t="inlineStr">
        <is>
          <t>Ashitaba</t>
        </is>
      </c>
      <c r="B51" t="inlineStr">
        <is>
          <t>Banaba</t>
        </is>
      </c>
      <c r="C51" t="inlineStr">
        <is>
          <t>Curry Leaf</t>
        </is>
      </c>
      <c r="D51" t="inlineStr">
        <is>
          <t>Eucommia</t>
        </is>
      </c>
      <c r="E51" t="inlineStr">
        <is>
          <t>Banaba: 1 shared pathways | Curry Leaf: 1 shared pathways | Eucommia: 1 shared pathways</t>
        </is>
      </c>
    </row>
    <row r="52">
      <c r="A52" t="inlineStr">
        <is>
          <t>Pomegranate</t>
        </is>
      </c>
      <c r="B52" t="inlineStr">
        <is>
          <t>Artichoke</t>
        </is>
      </c>
      <c r="C52" t="inlineStr">
        <is>
          <t>Blue Lotus</t>
        </is>
      </c>
      <c r="D52" t="inlineStr">
        <is>
          <t>Burdock</t>
        </is>
      </c>
      <c r="E52" t="inlineStr">
        <is>
          <t>Artichoke: 1 shared pathways | Blue Lotus: 1 shared pathways | Burdock: 1 shared pathways</t>
        </is>
      </c>
    </row>
    <row r="53">
      <c r="A53" t="inlineStr">
        <is>
          <t>Moringa</t>
        </is>
      </c>
      <c r="B53" t="inlineStr">
        <is>
          <t>Ashitaba</t>
        </is>
      </c>
      <c r="C53" t="inlineStr">
        <is>
          <t>Banaba</t>
        </is>
      </c>
      <c r="D53" t="inlineStr">
        <is>
          <t>Guarana</t>
        </is>
      </c>
      <c r="E53" t="inlineStr">
        <is>
          <t>Ashitaba: 1 shared pathways | Banaba: 1 shared pathways | Guarana: 1 shared pathways</t>
        </is>
      </c>
    </row>
    <row r="54">
      <c r="A54" t="inlineStr">
        <is>
          <t>Arjuna</t>
        </is>
      </c>
    </row>
    <row r="55">
      <c r="A55" t="inlineStr">
        <is>
          <t>Noni</t>
        </is>
      </c>
      <c r="B55" t="inlineStr">
        <is>
          <t>Artichoke</t>
        </is>
      </c>
      <c r="C55" t="inlineStr">
        <is>
          <t>Blue Lotus</t>
        </is>
      </c>
      <c r="D55" t="inlineStr">
        <is>
          <t>Burdock</t>
        </is>
      </c>
      <c r="E55" t="inlineStr">
        <is>
          <t>Artichoke: 1 shared pathways | Blue Lotus: 1 shared pathways | Burdock: 1 shared pathways</t>
        </is>
      </c>
    </row>
    <row r="56">
      <c r="A56" t="inlineStr">
        <is>
          <t>Cranberry</t>
        </is>
      </c>
    </row>
    <row r="57">
      <c r="A57" t="inlineStr">
        <is>
          <t>Rose Hips</t>
        </is>
      </c>
      <c r="B57" t="inlineStr">
        <is>
          <t>Artichoke</t>
        </is>
      </c>
      <c r="C57" t="inlineStr">
        <is>
          <t>Blue Lotus</t>
        </is>
      </c>
      <c r="D57" t="inlineStr">
        <is>
          <t>Burdock</t>
        </is>
      </c>
      <c r="E57" t="inlineStr">
        <is>
          <t>Artichoke: 1 shared pathways | Blue Lotus: 1 shared pathways | Burdock: 1 shared pathways</t>
        </is>
      </c>
    </row>
    <row r="58">
      <c r="A58" t="inlineStr">
        <is>
          <t>Juniper</t>
        </is>
      </c>
      <c r="B58" t="inlineStr">
        <is>
          <t>Mangosteen</t>
        </is>
      </c>
      <c r="E58" t="inlineStr">
        <is>
          <t>Mangosteen: 1 shared pathways</t>
        </is>
      </c>
    </row>
    <row r="59">
      <c r="A59" t="inlineStr">
        <is>
          <t>Myrtle</t>
        </is>
      </c>
      <c r="B59" t="inlineStr">
        <is>
          <t>Artichoke</t>
        </is>
      </c>
      <c r="C59" t="inlineStr">
        <is>
          <t>Blue Lotus</t>
        </is>
      </c>
      <c r="D59" t="inlineStr">
        <is>
          <t>Burdock</t>
        </is>
      </c>
      <c r="E59" t="inlineStr">
        <is>
          <t>Artichoke: 1 shared pathways | Blue Lotus: 1 shared pathways | Burdock: 1 shared pathways</t>
        </is>
      </c>
    </row>
    <row r="60">
      <c r="A60" t="inlineStr">
        <is>
          <t>Acerola</t>
        </is>
      </c>
    </row>
    <row r="61">
      <c r="A61" t="inlineStr">
        <is>
          <t>Mangosteen</t>
        </is>
      </c>
      <c r="B61" t="inlineStr">
        <is>
          <t>Juniper</t>
        </is>
      </c>
      <c r="E61" t="inlineStr">
        <is>
          <t>Juniper: 1 shared pathways</t>
        </is>
      </c>
    </row>
    <row r="62">
      <c r="A62" t="inlineStr">
        <is>
          <t>Boldo</t>
        </is>
      </c>
      <c r="B62" t="inlineStr">
        <is>
          <t>Agarikon</t>
        </is>
      </c>
      <c r="C62" t="inlineStr">
        <is>
          <t>Ajwain</t>
        </is>
      </c>
      <c r="D62" t="inlineStr">
        <is>
          <t>Angelica Root</t>
        </is>
      </c>
      <c r="E62" t="inlineStr">
        <is>
          <t>Agarikon: 1 shared pathways | Ajwain: 1 shared pathways | Angelica Root: 1 shared pathways</t>
        </is>
      </c>
    </row>
    <row r="63">
      <c r="A63" t="inlineStr">
        <is>
          <t>Suma</t>
        </is>
      </c>
      <c r="B63" t="inlineStr">
        <is>
          <t>Holy Basil</t>
        </is>
      </c>
      <c r="E63" t="inlineStr">
        <is>
          <t>Holy Basil: 1 shared pathways</t>
        </is>
      </c>
    </row>
    <row r="64">
      <c r="A64" t="inlineStr">
        <is>
          <t>Maral Root</t>
        </is>
      </c>
      <c r="B64" t="inlineStr">
        <is>
          <t>Holy Basil</t>
        </is>
      </c>
      <c r="E64" t="inlineStr">
        <is>
          <t>Holy Basil: 1 shared pathways</t>
        </is>
      </c>
    </row>
    <row r="65">
      <c r="A65" t="inlineStr">
        <is>
          <t>Jatamansi</t>
        </is>
      </c>
      <c r="B65" t="inlineStr">
        <is>
          <t>Agarikon</t>
        </is>
      </c>
      <c r="C65" t="inlineStr">
        <is>
          <t>Ajwain</t>
        </is>
      </c>
      <c r="D65" t="inlineStr">
        <is>
          <t>Angelica Root</t>
        </is>
      </c>
      <c r="E65" t="inlineStr">
        <is>
          <t>Agarikon: 1 shared pathways | Ajwain: 1 shared pathways | Angelica Root: 1 shared pathways</t>
        </is>
      </c>
    </row>
    <row r="66">
      <c r="A66" t="inlineStr">
        <is>
          <t>Soursop</t>
        </is>
      </c>
      <c r="B66" t="inlineStr">
        <is>
          <t>Artichoke</t>
        </is>
      </c>
      <c r="C66" t="inlineStr">
        <is>
          <t>Blue Lotus</t>
        </is>
      </c>
      <c r="D66" t="inlineStr">
        <is>
          <t>Boldo</t>
        </is>
      </c>
      <c r="E66" t="inlineStr">
        <is>
          <t>Artichoke: 1 shared pathways | Blue Lotus: 1 shared pathways | Boldo: 1 shared pathways</t>
        </is>
      </c>
    </row>
    <row r="67">
      <c r="A67" t="inlineStr">
        <is>
          <t>Ashoka</t>
        </is>
      </c>
      <c r="B67" t="inlineStr">
        <is>
          <t>Agarikon</t>
        </is>
      </c>
      <c r="C67" t="inlineStr">
        <is>
          <t>Ajwain</t>
        </is>
      </c>
      <c r="D67" t="inlineStr">
        <is>
          <t>Angelica Root</t>
        </is>
      </c>
      <c r="E67" t="inlineStr">
        <is>
          <t>Agarikon: 1 shared pathways | Ajwain: 1 shared pathways | Angelica Root: 1 shared pathways</t>
        </is>
      </c>
    </row>
    <row r="68">
      <c r="A68" t="inlineStr">
        <is>
          <t>Shankhpushpi</t>
        </is>
      </c>
    </row>
    <row r="69">
      <c r="A69" t="inlineStr">
        <is>
          <t>Hops</t>
        </is>
      </c>
      <c r="B69" t="inlineStr">
        <is>
          <t>Agarikon</t>
        </is>
      </c>
      <c r="C69" t="inlineStr">
        <is>
          <t>Ajwain</t>
        </is>
      </c>
      <c r="D69" t="inlineStr">
        <is>
          <t>Angelica Root</t>
        </is>
      </c>
      <c r="E69" t="inlineStr">
        <is>
          <t>Agarikon: 1 shared pathways | Ajwain: 1 shared pathways | Angelica Root: 1 shared pathways</t>
        </is>
      </c>
    </row>
    <row r="70">
      <c r="A70" t="inlineStr">
        <is>
          <t>Lemongrass</t>
        </is>
      </c>
      <c r="B70" t="inlineStr">
        <is>
          <t>Artichoke</t>
        </is>
      </c>
      <c r="C70" t="inlineStr">
        <is>
          <t>Ashoka</t>
        </is>
      </c>
      <c r="D70" t="inlineStr">
        <is>
          <t>Blue Lotus</t>
        </is>
      </c>
      <c r="E70" t="inlineStr">
        <is>
          <t>Artichoke: 1 shared pathways | Ashoka: 1 shared pathways | Blue Lotus: 1 shared pathways</t>
        </is>
      </c>
    </row>
    <row r="71">
      <c r="A71" t="inlineStr">
        <is>
          <t>Perilla</t>
        </is>
      </c>
      <c r="B71" t="inlineStr">
        <is>
          <t>Artichoke</t>
        </is>
      </c>
      <c r="C71" t="inlineStr">
        <is>
          <t>Ashoka</t>
        </is>
      </c>
      <c r="D71" t="inlineStr">
        <is>
          <t>Blue Lotus</t>
        </is>
      </c>
      <c r="E71" t="inlineStr">
        <is>
          <t>Artichoke: 1 shared pathways | Ashoka: 1 shared pathways | Blue Lotus: 1 shared pathways</t>
        </is>
      </c>
    </row>
    <row r="72">
      <c r="A72" t="inlineStr">
        <is>
          <t>Carob</t>
        </is>
      </c>
    </row>
    <row r="73">
      <c r="A73" t="inlineStr">
        <is>
          <t>Danshen</t>
        </is>
      </c>
    </row>
    <row r="74">
      <c r="A74" t="inlineStr">
        <is>
          <t>Eucommia</t>
        </is>
      </c>
      <c r="B74" t="inlineStr">
        <is>
          <t>Ashitaba</t>
        </is>
      </c>
      <c r="C74" t="inlineStr">
        <is>
          <t>Banaba</t>
        </is>
      </c>
      <c r="D74" t="inlineStr">
        <is>
          <t>Curry Leaf</t>
        </is>
      </c>
      <c r="E74" t="inlineStr">
        <is>
          <t>Ashitaba: 1 shared pathways | Banaba: 1 shared pathways | Curry Leaf: 1 shared pathways</t>
        </is>
      </c>
    </row>
    <row r="75">
      <c r="A75" t="inlineStr">
        <is>
          <t>Cistanche</t>
        </is>
      </c>
      <c r="B75" t="inlineStr">
        <is>
          <t>Agarikon</t>
        </is>
      </c>
      <c r="C75" t="inlineStr">
        <is>
          <t>Ajwain</t>
        </is>
      </c>
      <c r="D75" t="inlineStr">
        <is>
          <t>Angelica Root</t>
        </is>
      </c>
      <c r="E75" t="inlineStr">
        <is>
          <t>Agarikon: 1 shared pathways | Ajwain: 1 shared pathways | Angelica Root: 1 shared pathways</t>
        </is>
      </c>
    </row>
    <row r="76">
      <c r="A76" t="inlineStr">
        <is>
          <t>Jujube</t>
        </is>
      </c>
    </row>
    <row r="77">
      <c r="A77" t="inlineStr">
        <is>
          <t>Longan</t>
        </is>
      </c>
      <c r="B77" t="inlineStr">
        <is>
          <t>Artichoke</t>
        </is>
      </c>
      <c r="C77" t="inlineStr">
        <is>
          <t>Ashoka</t>
        </is>
      </c>
      <c r="D77" t="inlineStr">
        <is>
          <t>Blue Lotus</t>
        </is>
      </c>
      <c r="E77" t="inlineStr">
        <is>
          <t>Artichoke: 1 shared pathways | Ashoka: 1 shared pathways | Blue Lotus: 1 shared pathways</t>
        </is>
      </c>
    </row>
    <row r="78">
      <c r="A78" t="inlineStr">
        <is>
          <t>Polygala</t>
        </is>
      </c>
    </row>
    <row r="79">
      <c r="A79" t="inlineStr">
        <is>
          <t>Gastrodia</t>
        </is>
      </c>
      <c r="B79" t="inlineStr">
        <is>
          <t>Agarikon</t>
        </is>
      </c>
      <c r="C79" t="inlineStr">
        <is>
          <t>Ajwain</t>
        </is>
      </c>
      <c r="D79" t="inlineStr">
        <is>
          <t>Angelica Root</t>
        </is>
      </c>
      <c r="E79" t="inlineStr">
        <is>
          <t>Agarikon: 1 shared pathways | Ajwain: 1 shared pathways | Angelica Root: 1 shared pathways</t>
        </is>
      </c>
    </row>
    <row r="80">
      <c r="A80" t="inlineStr">
        <is>
          <t>White Peony</t>
        </is>
      </c>
      <c r="B80" t="inlineStr">
        <is>
          <t>Artichoke</t>
        </is>
      </c>
      <c r="C80" t="inlineStr">
        <is>
          <t>Ashoka</t>
        </is>
      </c>
      <c r="D80" t="inlineStr">
        <is>
          <t>Blue Lotus</t>
        </is>
      </c>
      <c r="E80" t="inlineStr">
        <is>
          <t>Artichoke: 1 shared pathways | Ashoka: 1 shared pathways | Blue Lotus: 1 shared pathways</t>
        </is>
      </c>
    </row>
    <row r="81">
      <c r="A81" t="inlineStr">
        <is>
          <t>Bupleurum</t>
        </is>
      </c>
    </row>
    <row r="82">
      <c r="A82" t="inlineStr">
        <is>
          <t>Codonopsis</t>
        </is>
      </c>
    </row>
    <row r="83">
      <c r="A83" t="inlineStr">
        <is>
          <t>Dendrobium</t>
        </is>
      </c>
      <c r="B83" t="inlineStr">
        <is>
          <t>Agarikon</t>
        </is>
      </c>
      <c r="C83" t="inlineStr">
        <is>
          <t>Ajwain</t>
        </is>
      </c>
      <c r="D83" t="inlineStr">
        <is>
          <t>Angelica Root</t>
        </is>
      </c>
      <c r="E83" t="inlineStr">
        <is>
          <t>Agarikon: 1 shared pathways | Ajwain: 1 shared pathways | Angelica Root: 1 shared pathways</t>
        </is>
      </c>
    </row>
    <row r="84">
      <c r="A84" t="inlineStr">
        <is>
          <t>Ophiopogon</t>
        </is>
      </c>
    </row>
    <row r="85">
      <c r="A85" t="inlineStr">
        <is>
          <t>Houttuynia</t>
        </is>
      </c>
      <c r="B85" t="inlineStr">
        <is>
          <t>Agarikon</t>
        </is>
      </c>
      <c r="C85" t="inlineStr">
        <is>
          <t>Ajwain</t>
        </is>
      </c>
      <c r="D85" t="inlineStr">
        <is>
          <t>Angelica Root</t>
        </is>
      </c>
      <c r="E85" t="inlineStr">
        <is>
          <t>Agarikon: 1 shared pathways | Ajwain: 1 shared pathways | Angelica Root: 1 shared pathways</t>
        </is>
      </c>
    </row>
    <row r="86">
      <c r="A86" t="inlineStr">
        <is>
          <t>Isatis</t>
        </is>
      </c>
      <c r="B86" t="inlineStr">
        <is>
          <t>Agarikon</t>
        </is>
      </c>
      <c r="C86" t="inlineStr">
        <is>
          <t>Ajwain</t>
        </is>
      </c>
      <c r="D86" t="inlineStr">
        <is>
          <t>Angelica Root</t>
        </is>
      </c>
      <c r="E86" t="inlineStr">
        <is>
          <t>Agarikon: 1 shared pathways | Ajwain: 1 shared pathways | Angelica Root: 1 shared pathways</t>
        </is>
      </c>
    </row>
    <row r="87">
      <c r="A87" t="inlineStr">
        <is>
          <t>Sophora Flavescens</t>
        </is>
      </c>
      <c r="B87" t="inlineStr">
        <is>
          <t>Artichoke</t>
        </is>
      </c>
      <c r="C87" t="inlineStr">
        <is>
          <t>Ashoka</t>
        </is>
      </c>
      <c r="D87" t="inlineStr">
        <is>
          <t>Blue Lotus</t>
        </is>
      </c>
      <c r="E87" t="inlineStr">
        <is>
          <t>Artichoke: 1 shared pathways | Ashoka: 1 shared pathways | Blue Lotus: 1 shared pathways</t>
        </is>
      </c>
    </row>
    <row r="88">
      <c r="A88" t="inlineStr">
        <is>
          <t>Notoginseng</t>
        </is>
      </c>
    </row>
    <row r="89">
      <c r="A89" t="inlineStr">
        <is>
          <t>Luo Han Guo</t>
        </is>
      </c>
    </row>
    <row r="90">
      <c r="A90" t="inlineStr">
        <is>
          <t>Kuding Tea</t>
        </is>
      </c>
      <c r="B90" t="inlineStr">
        <is>
          <t>Ashitaba</t>
        </is>
      </c>
      <c r="C90" t="inlineStr">
        <is>
          <t>Banaba</t>
        </is>
      </c>
      <c r="D90" t="inlineStr">
        <is>
          <t>Eucommia</t>
        </is>
      </c>
      <c r="E90" t="inlineStr">
        <is>
          <t>Ashitaba: 1 shared pathways | Banaba: 1 shared pathways | Eucommia: 1 shared pathways</t>
        </is>
      </c>
    </row>
    <row r="91">
      <c r="A91" t="inlineStr">
        <is>
          <t>Atractylodes</t>
        </is>
      </c>
    </row>
    <row r="92">
      <c r="A92" t="inlineStr">
        <is>
          <t>Schisandra Berry</t>
        </is>
      </c>
    </row>
    <row r="93">
      <c r="A93" t="inlineStr">
        <is>
          <t>Catuba</t>
        </is>
      </c>
    </row>
    <row r="94">
      <c r="A94" t="inlineStr">
        <is>
          <t>Muira Puama</t>
        </is>
      </c>
      <c r="B94" t="inlineStr">
        <is>
          <t>Nettle Root</t>
        </is>
      </c>
      <c r="C94" t="inlineStr">
        <is>
          <t>Artichoke</t>
        </is>
      </c>
      <c r="D94" t="inlineStr">
        <is>
          <t>Ashoka</t>
        </is>
      </c>
      <c r="E94" t="inlineStr">
        <is>
          <t>Nettle Root: 1 shared compounds; 1 shared pathways | Artichoke: 1 shared pathways | Ashoka: 1 shared pathways</t>
        </is>
      </c>
    </row>
    <row r="95">
      <c r="A95" t="inlineStr">
        <is>
          <t>Maitake D-Fraction</t>
        </is>
      </c>
      <c r="B95" t="inlineStr">
        <is>
          <t>Reishi</t>
        </is>
      </c>
      <c r="C95" t="inlineStr">
        <is>
          <t>Artichoke</t>
        </is>
      </c>
      <c r="D95" t="inlineStr">
        <is>
          <t>Ashoka</t>
        </is>
      </c>
      <c r="E95" t="inlineStr">
        <is>
          <t>Reishi: 1 shared compounds; 1 shared pathways | Artichoke: 1 shared pathways | Ashoka: 1 shared pathways</t>
        </is>
      </c>
    </row>
    <row r="96">
      <c r="A96" t="inlineStr">
        <is>
          <t>Poria</t>
        </is>
      </c>
      <c r="B96" t="inlineStr">
        <is>
          <t>Artichoke</t>
        </is>
      </c>
      <c r="C96" t="inlineStr">
        <is>
          <t>Ashoka</t>
        </is>
      </c>
      <c r="D96" t="inlineStr">
        <is>
          <t>Blue Lotus</t>
        </is>
      </c>
      <c r="E96" t="inlineStr">
        <is>
          <t>Artichoke: 1 shared pathways | Ashoka: 1 shared pathways | Blue Lotus: 1 shared pathways</t>
        </is>
      </c>
    </row>
    <row r="97">
      <c r="A97" t="inlineStr">
        <is>
          <t>Rehmannia Prepared</t>
        </is>
      </c>
      <c r="B97" t="inlineStr">
        <is>
          <t>Artichoke</t>
        </is>
      </c>
      <c r="C97" t="inlineStr">
        <is>
          <t>Ashoka</t>
        </is>
      </c>
      <c r="D97" t="inlineStr">
        <is>
          <t>Blue Lotus</t>
        </is>
      </c>
      <c r="E97" t="inlineStr">
        <is>
          <t>Artichoke: 1 shared pathways | Ashoka: 1 shared pathways | Blue Lotus: 1 shared pathways</t>
        </is>
      </c>
    </row>
    <row r="98">
      <c r="A98" t="inlineStr">
        <is>
          <t>Agarikon</t>
        </is>
      </c>
      <c r="B98" t="inlineStr">
        <is>
          <t>Ajwain</t>
        </is>
      </c>
      <c r="C98" t="inlineStr">
        <is>
          <t>Angelica Root</t>
        </is>
      </c>
      <c r="D98" t="inlineStr">
        <is>
          <t>Artichoke</t>
        </is>
      </c>
      <c r="E98" t="inlineStr">
        <is>
          <t>Ajwain: 1 shared pathways | Angelica Root: 1 shared pathways | Artichoke: 1 shared pathways</t>
        </is>
      </c>
    </row>
    <row r="99">
      <c r="A99" t="inlineStr">
        <is>
          <t>Elecampane</t>
        </is>
      </c>
      <c r="B99" t="inlineStr">
        <is>
          <t>Agarikon</t>
        </is>
      </c>
      <c r="C99" t="inlineStr">
        <is>
          <t>Ajwain</t>
        </is>
      </c>
      <c r="D99" t="inlineStr">
        <is>
          <t>Angelica Root</t>
        </is>
      </c>
      <c r="E99" t="inlineStr">
        <is>
          <t>Agarikon: 1 shared pathways | Ajwain: 1 shared pathways | Angelica Root: 1 shared pathways</t>
        </is>
      </c>
    </row>
    <row r="100">
      <c r="A100" t="inlineStr">
        <is>
          <t>Angelica Root</t>
        </is>
      </c>
      <c r="B100" t="inlineStr">
        <is>
          <t>Agarikon</t>
        </is>
      </c>
      <c r="C100" t="inlineStr">
        <is>
          <t>Ajwain</t>
        </is>
      </c>
      <c r="D100" t="inlineStr">
        <is>
          <t>Artichoke</t>
        </is>
      </c>
      <c r="E100" t="inlineStr">
        <is>
          <t>Agarikon: 1 shared pathways | Ajwain: 1 shared pathways | Artichoke: 1 shared pathways</t>
        </is>
      </c>
    </row>
    <row r="101">
      <c r="A101" t="inlineStr">
        <is>
          <t>Galangal</t>
        </is>
      </c>
      <c r="B101" t="inlineStr">
        <is>
          <t>Agarikon</t>
        </is>
      </c>
      <c r="C101" t="inlineStr">
        <is>
          <t>Ajwain</t>
        </is>
      </c>
      <c r="D101" t="inlineStr">
        <is>
          <t>Angelica Root</t>
        </is>
      </c>
      <c r="E101" t="inlineStr">
        <is>
          <t>Agarikon: 1 shared pathways | Ajwain: 1 shared pathways | Angelica Root: 1 shared pathways</t>
        </is>
      </c>
    </row>
    <row r="102">
      <c r="A102" t="inlineStr">
        <is>
          <t>Black Pepper</t>
        </is>
      </c>
    </row>
    <row r="103">
      <c r="A103" t="inlineStr">
        <is>
          <t>Cardamom</t>
        </is>
      </c>
      <c r="B103" t="inlineStr">
        <is>
          <t>Agarikon</t>
        </is>
      </c>
      <c r="C103" t="inlineStr">
        <is>
          <t>Ajwain</t>
        </is>
      </c>
      <c r="D103" t="inlineStr">
        <is>
          <t>Angelica Root</t>
        </is>
      </c>
      <c r="E103" t="inlineStr">
        <is>
          <t>Agarikon: 1 shared pathways | Ajwain: 1 shared pathways | Angelica Root: 1 shared pathways</t>
        </is>
      </c>
    </row>
    <row r="104">
      <c r="A104" t="inlineStr">
        <is>
          <t>Holy Basil Seed</t>
        </is>
      </c>
    </row>
    <row r="105">
      <c r="A105" t="inlineStr">
        <is>
          <t>Psyllium</t>
        </is>
      </c>
    </row>
    <row r="106">
      <c r="A106" t="inlineStr">
        <is>
          <t>Caraway</t>
        </is>
      </c>
      <c r="B106" t="inlineStr">
        <is>
          <t>Agarikon</t>
        </is>
      </c>
      <c r="C106" t="inlineStr">
        <is>
          <t>Ajwain</t>
        </is>
      </c>
      <c r="D106" t="inlineStr">
        <is>
          <t>Angelica Root</t>
        </is>
      </c>
      <c r="E106" t="inlineStr">
        <is>
          <t>Agarikon: 1 shared pathways | Ajwain: 1 shared pathways | Angelica Root: 1 shared pathways</t>
        </is>
      </c>
    </row>
    <row r="107">
      <c r="A107" t="inlineStr">
        <is>
          <t>Ajwain</t>
        </is>
      </c>
      <c r="B107" t="inlineStr">
        <is>
          <t>Rosemary</t>
        </is>
      </c>
      <c r="C107" t="inlineStr">
        <is>
          <t>Sage</t>
        </is>
      </c>
      <c r="D107" t="inlineStr">
        <is>
          <t>Agarikon</t>
        </is>
      </c>
      <c r="E107" t="inlineStr">
        <is>
          <t>Rosemary: 1 shared compounds; 1 shared pathways | Sage: 1 shared compounds; 1 shared pathways | Agarikon: 1 shared pathways</t>
        </is>
      </c>
    </row>
    <row r="108">
      <c r="A108" t="inlineStr">
        <is>
          <t>Holy Basil Purple</t>
        </is>
      </c>
      <c r="B108" t="inlineStr">
        <is>
          <t>Holy Basil</t>
        </is>
      </c>
      <c r="C108" t="inlineStr">
        <is>
          <t>Rhodiola</t>
        </is>
      </c>
      <c r="E108" t="inlineStr">
        <is>
          <t>Holy Basil: 1 shared compounds; 1 shared pathways | Rhodiola: 1 shared pathways</t>
        </is>
      </c>
    </row>
    <row r="109">
      <c r="A109" t="inlineStr">
        <is>
          <t>Curry Leaf</t>
        </is>
      </c>
      <c r="B109" t="inlineStr">
        <is>
          <t>Ashitaba</t>
        </is>
      </c>
      <c r="C109" t="inlineStr">
        <is>
          <t>Banaba</t>
        </is>
      </c>
      <c r="D109" t="inlineStr">
        <is>
          <t>Eucommia</t>
        </is>
      </c>
      <c r="E109" t="inlineStr">
        <is>
          <t>Ashitaba: 1 shared pathways | Banaba: 1 shared pathways | Eucommia: 1 shared pathways</t>
        </is>
      </c>
    </row>
    <row r="110">
      <c r="A110" t="inlineStr">
        <is>
          <t>Gudmar</t>
        </is>
      </c>
      <c r="B110" t="inlineStr">
        <is>
          <t>Gymnema</t>
        </is>
      </c>
      <c r="C110" t="inlineStr">
        <is>
          <t>Agarikon</t>
        </is>
      </c>
      <c r="D110" t="inlineStr">
        <is>
          <t>Ajwain</t>
        </is>
      </c>
      <c r="E110" t="inlineStr">
        <is>
          <t>Gymnema: 1 shared compounds; 1 shared pathways | Agarikon: 1 shared pathways | Ajwain: 1 shared pathways</t>
        </is>
      </c>
    </row>
    <row r="111">
      <c r="A111" t="inlineStr">
        <is>
          <t>Roselle Seed</t>
        </is>
      </c>
    </row>
    <row r="112">
      <c r="A112" t="inlineStr">
        <is>
          <t>Tamarind</t>
        </is>
      </c>
      <c r="B112" t="inlineStr">
        <is>
          <t>Agarikon</t>
        </is>
      </c>
      <c r="C112" t="inlineStr">
        <is>
          <t>Ajwain</t>
        </is>
      </c>
      <c r="D112" t="inlineStr">
        <is>
          <t>Angelica Root</t>
        </is>
      </c>
      <c r="E112" t="inlineStr">
        <is>
          <t>Agarikon: 1 shared pathways | Ajwain: 1 shared pathways | Angelica Root: 1 shared pathways</t>
        </is>
      </c>
    </row>
    <row r="113">
      <c r="A113" t="inlineStr">
        <is>
          <t>Rhodiola</t>
        </is>
      </c>
      <c r="B113" t="inlineStr">
        <is>
          <t>Holy Basil</t>
        </is>
      </c>
      <c r="C113" t="inlineStr">
        <is>
          <t>Holy Basil Purple</t>
        </is>
      </c>
      <c r="E113" t="inlineStr">
        <is>
          <t>Holy Basil: 1 shared pathways | Holy Basil Purple: 1 shared pathways</t>
        </is>
      </c>
    </row>
    <row r="114">
      <c r="A114" t="inlineStr">
        <is>
          <t>Cordyceps</t>
        </is>
      </c>
      <c r="B114" t="inlineStr">
        <is>
          <t>Agarikon</t>
        </is>
      </c>
      <c r="C114" t="inlineStr">
        <is>
          <t>Ajwain</t>
        </is>
      </c>
      <c r="D114" t="inlineStr">
        <is>
          <t>Angelica Root</t>
        </is>
      </c>
      <c r="E114" t="inlineStr">
        <is>
          <t>Agarikon: 1 shared pathways | Ajwain: 1 shared pathways | Angelica Root: 1 shared pathways</t>
        </is>
      </c>
    </row>
    <row r="115">
      <c r="A115" t="inlineStr">
        <is>
          <t>Lion's Mane</t>
        </is>
      </c>
    </row>
    <row r="116">
      <c r="A116" t="inlineStr">
        <is>
          <t>Panax Ginseng</t>
        </is>
      </c>
    </row>
    <row r="117">
      <c r="A117" t="inlineStr">
        <is>
          <t>Passionflower</t>
        </is>
      </c>
      <c r="B117" t="inlineStr">
        <is>
          <t>Agarikon</t>
        </is>
      </c>
      <c r="C117" t="inlineStr">
        <is>
          <t>Ajwain</t>
        </is>
      </c>
      <c r="D117" t="inlineStr">
        <is>
          <t>Angelica Root</t>
        </is>
      </c>
      <c r="E117" t="inlineStr">
        <is>
          <t>Agarikon: 1 shared pathways | Ajwain: 1 shared pathways | Angelica Root: 1 shared pathways</t>
        </is>
      </c>
    </row>
    <row r="118">
      <c r="A118" t="inlineStr">
        <is>
          <t>Yohimbe</t>
        </is>
      </c>
      <c r="B118" t="inlineStr">
        <is>
          <t>Agarikon</t>
        </is>
      </c>
      <c r="C118" t="inlineStr">
        <is>
          <t>Ajwain</t>
        </is>
      </c>
      <c r="D118" t="inlineStr">
        <is>
          <t>Angelica Root</t>
        </is>
      </c>
      <c r="E118" t="inlineStr">
        <is>
          <t>Agarikon: 1 shared pathways | Ajwain: 1 shared pathways | Angelica Root: 1 shared pathways</t>
        </is>
      </c>
    </row>
    <row r="119">
      <c r="A119" t="inlineStr">
        <is>
          <t>Skullcap</t>
        </is>
      </c>
    </row>
    <row r="120">
      <c r="A120" t="inlineStr">
        <is>
          <t>Eleuthero</t>
        </is>
      </c>
      <c r="B120" t="inlineStr">
        <is>
          <t>Agarikon</t>
        </is>
      </c>
      <c r="C120" t="inlineStr">
        <is>
          <t>Ajwain</t>
        </is>
      </c>
      <c r="D120" t="inlineStr">
        <is>
          <t>Angelica Root</t>
        </is>
      </c>
      <c r="E120" t="inlineStr">
        <is>
          <t>Agarikon: 1 shared pathways | Ajwain: 1 shared pathways | Angelica Root: 1 shared pathways</t>
        </is>
      </c>
    </row>
    <row r="121">
      <c r="A121" t="inlineStr">
        <is>
          <t>Gotu Kola</t>
        </is>
      </c>
    </row>
    <row r="122">
      <c r="A122" t="inlineStr">
        <is>
          <t>Schisandra</t>
        </is>
      </c>
    </row>
    <row r="123">
      <c r="A123" t="inlineStr">
        <is>
          <t>Reishi</t>
        </is>
      </c>
      <c r="B123" t="inlineStr">
        <is>
          <t>Maitake D-Fraction</t>
        </is>
      </c>
      <c r="C123" t="inlineStr">
        <is>
          <t>Agarikon</t>
        </is>
      </c>
      <c r="D123" t="inlineStr">
        <is>
          <t>Ajwain</t>
        </is>
      </c>
      <c r="E123" t="inlineStr">
        <is>
          <t>Maitake D-Fraction: 1 shared compounds; 1 shared pathways | Agarikon: 1 shared pathways | Ajwain: 1 shared pathways</t>
        </is>
      </c>
    </row>
    <row r="124">
      <c r="A124" t="inlineStr">
        <is>
          <t>Chaga</t>
        </is>
      </c>
    </row>
    <row r="125">
      <c r="A125" t="inlineStr">
        <is>
          <t>Turkey Tail</t>
        </is>
      </c>
    </row>
    <row r="126">
      <c r="A126" t="inlineStr">
        <is>
          <t>Boswellia</t>
        </is>
      </c>
    </row>
    <row r="127">
      <c r="A127" t="inlineStr">
        <is>
          <t>Hawthorn</t>
        </is>
      </c>
    </row>
    <row r="128">
      <c r="A128" t="inlineStr">
        <is>
          <t>Astragalus</t>
        </is>
      </c>
    </row>
    <row r="129">
      <c r="A129" t="inlineStr">
        <is>
          <t>Nettle Root</t>
        </is>
      </c>
      <c r="B129" t="inlineStr">
        <is>
          <t>Muira Puama</t>
        </is>
      </c>
      <c r="C129" t="inlineStr">
        <is>
          <t>Agarikon</t>
        </is>
      </c>
      <c r="D129" t="inlineStr">
        <is>
          <t>Ajwain</t>
        </is>
      </c>
      <c r="E129" t="inlineStr">
        <is>
          <t>Muira Puama: 1 shared compounds; 1 shared pathways | Agarikon: 1 shared pathways | Ajwain: 1 shared pathways</t>
        </is>
      </c>
    </row>
    <row r="130">
      <c r="A130" t="inlineStr">
        <is>
          <t>Bacopa</t>
        </is>
      </c>
    </row>
    <row r="131">
      <c r="A131" t="inlineStr">
        <is>
          <t>Mucuna</t>
        </is>
      </c>
    </row>
    <row r="132">
      <c r="A132" t="inlineStr">
        <is>
          <t>Epimedium</t>
        </is>
      </c>
    </row>
    <row r="133">
      <c r="A133" t="inlineStr">
        <is>
          <t>Tongkat Ali</t>
        </is>
      </c>
    </row>
    <row r="134">
      <c r="A134" t="inlineStr">
        <is>
          <t>Shatavari</t>
        </is>
      </c>
    </row>
    <row r="135">
      <c r="A135" t="inlineStr">
        <is>
          <t>Pueraria Mirifica</t>
        </is>
      </c>
    </row>
    <row r="136">
      <c r="A136" t="inlineStr">
        <is>
          <t>Cacao</t>
        </is>
      </c>
    </row>
    <row r="137">
      <c r="A137" t="inlineStr">
        <is>
          <t>Rooibos</t>
        </is>
      </c>
    </row>
    <row r="138">
      <c r="A138" t="inlineStr">
        <is>
          <t>Cat's Claw</t>
        </is>
      </c>
    </row>
    <row r="139">
      <c r="A139" t="inlineStr">
        <is>
          <t>Lavender</t>
        </is>
      </c>
    </row>
    <row r="140">
      <c r="A140" t="inlineStr">
        <is>
          <t>Berberis</t>
        </is>
      </c>
    </row>
    <row r="141">
      <c r="A141" t="inlineStr">
        <is>
          <t>Bitter Melon</t>
        </is>
      </c>
    </row>
    <row r="142">
      <c r="A142" t="inlineStr">
        <is>
          <t>Coleus Forskohlii</t>
        </is>
      </c>
    </row>
    <row r="143">
      <c r="A143" t="inlineStr">
        <is>
          <t>Aloe Vera</t>
        </is>
      </c>
    </row>
    <row r="144">
      <c r="A144" t="inlineStr">
        <is>
          <t>American Ginseng</t>
        </is>
      </c>
    </row>
    <row r="145">
      <c r="A145" t="inlineStr">
        <is>
          <t>Artemisia Annua</t>
        </is>
      </c>
    </row>
    <row r="146">
      <c r="A146" t="inlineStr">
        <is>
          <t>Celastrus Paniculatus</t>
        </is>
      </c>
      <c r="B146" t="inlineStr">
        <is>
          <t>Agarikon</t>
        </is>
      </c>
      <c r="C146" t="inlineStr">
        <is>
          <t>Ajwain</t>
        </is>
      </c>
      <c r="D146" t="inlineStr">
        <is>
          <t>Angelica Root</t>
        </is>
      </c>
      <c r="E146" t="inlineStr">
        <is>
          <t>Agarikon: 1 shared pathways | Ajwain: 1 shared pathways | Angelica Root: 1 shared pathways</t>
        </is>
      </c>
    </row>
    <row r="147">
      <c r="A147" t="inlineStr">
        <is>
          <t>Calamus</t>
        </is>
      </c>
    </row>
    <row r="148">
      <c r="A148" t="inlineStr">
        <is>
          <t>Cayenne</t>
        </is>
      </c>
    </row>
    <row r="149">
      <c r="A149" t="inlineStr">
        <is>
          <t>Corydalis</t>
        </is>
      </c>
    </row>
    <row r="150">
      <c r="A150" t="inlineStr">
        <is>
          <t>Chinese Skullcap</t>
        </is>
      </c>
    </row>
    <row r="151">
      <c r="A151" t="inlineStr">
        <is>
          <t>Phellodendron</t>
        </is>
      </c>
    </row>
    <row r="152">
      <c r="A152" t="inlineStr">
        <is>
          <t>Coptis</t>
        </is>
      </c>
    </row>
    <row r="153">
      <c r="A153" t="inlineStr">
        <is>
          <t>Saffron</t>
        </is>
      </c>
    </row>
    <row r="154">
      <c r="A154" t="inlineStr">
        <is>
          <t>Papaya Leaf</t>
        </is>
      </c>
    </row>
    <row r="155">
      <c r="A155" t="inlineStr">
        <is>
          <t>Kanna</t>
        </is>
      </c>
    </row>
    <row r="156">
      <c r="A156" t="inlineStr">
        <is>
          <t>Green Tea</t>
        </is>
      </c>
    </row>
    <row r="157">
      <c r="A157" t="inlineStr">
        <is>
          <t>Goldenseal</t>
        </is>
      </c>
    </row>
    <row r="158">
      <c r="A158" t="inlineStr">
        <is>
          <t>Salacia</t>
        </is>
      </c>
    </row>
    <row r="159">
      <c r="A159" t="inlineStr">
        <is>
          <t>Chuanxiong</t>
        </is>
      </c>
    </row>
    <row r="160">
      <c r="A160" t="inlineStr">
        <is>
          <t>Fingerroot</t>
        </is>
      </c>
    </row>
    <row r="161">
      <c r="A161" t="inlineStr">
        <is>
          <t>Wormwood</t>
        </is>
      </c>
    </row>
    <row r="162">
      <c r="A162" t="inlineStr">
        <is>
          <t>Horse Chestnut</t>
        </is>
      </c>
    </row>
    <row r="163">
      <c r="A163" t="inlineStr">
        <is>
          <t>Bael</t>
        </is>
      </c>
    </row>
    <row r="164">
      <c r="A164" t="inlineStr">
        <is>
          <t>Guayusa</t>
        </is>
      </c>
    </row>
    <row r="165">
      <c r="A165" t="inlineStr">
        <is>
          <t>Honeysuckle</t>
        </is>
      </c>
    </row>
    <row r="166">
      <c r="A166" t="inlineStr">
        <is>
          <t>Cassia Alata</t>
        </is>
      </c>
    </row>
    <row r="167">
      <c r="A167" t="inlineStr">
        <is>
          <t>American Yellow Lotus</t>
        </is>
      </c>
    </row>
    <row r="168">
      <c r="A168" t="inlineStr">
        <is>
          <t>Anise Hyssop</t>
        </is>
      </c>
    </row>
    <row r="169">
      <c r="A169" t="inlineStr">
        <is>
          <t>Marshmallow</t>
        </is>
      </c>
    </row>
    <row r="170">
      <c r="A170" t="inlineStr">
        <is>
          <t>Licorice</t>
        </is>
      </c>
    </row>
    <row r="171">
      <c r="A171" t="inlineStr">
        <is>
          <t>Elderberry</t>
        </is>
      </c>
    </row>
    <row r="172">
      <c r="A172" t="inlineStr">
        <is>
          <t>Punarnava</t>
        </is>
      </c>
      <c r="B172" t="inlineStr">
        <is>
          <t>Agarikon</t>
        </is>
      </c>
      <c r="C172" t="inlineStr">
        <is>
          <t>Ajwain</t>
        </is>
      </c>
      <c r="D172" t="inlineStr">
        <is>
          <t>Angelica Root</t>
        </is>
      </c>
      <c r="E172" t="inlineStr">
        <is>
          <t>Agarikon: 1 shared pathways | Ajwain: 1 shared pathways | Angelica Root: 1 shared pathways</t>
        </is>
      </c>
    </row>
    <row r="173">
      <c r="A173" t="inlineStr">
        <is>
          <t>Coffee Cherry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Cluster V2</t>
        </is>
      </c>
      <c r="B1" t="inlineStr">
        <is>
          <t>Herb Count</t>
        </is>
      </c>
      <c r="C1" t="inlineStr">
        <is>
          <t>Example Herbs</t>
        </is>
      </c>
    </row>
    <row r="2">
      <c r="A2" t="inlineStr">
        <is>
          <t>Generalist</t>
        </is>
      </c>
      <c r="B2" t="n">
        <v>133</v>
      </c>
      <c r="C2" t="inlineStr">
        <is>
          <t>Echinacea Purpurea; Garlic; Ginger; Kava; Lemon Balm; Milk Thistle; Peppermint; Saw Palmetto</t>
        </is>
      </c>
    </row>
    <row r="3">
      <c r="A3" t="inlineStr">
        <is>
          <t>Metabolic</t>
        </is>
      </c>
      <c r="B3" t="n">
        <v>14</v>
      </c>
      <c r="C3" t="inlineStr">
        <is>
          <t>Guarana; Yerba Mate; Banaba; Ashitaba; Moringa; Carob; Eucommia; Kuding Tea</t>
        </is>
      </c>
    </row>
    <row r="4">
      <c r="A4" t="inlineStr">
        <is>
          <t>Stress / Adaptogenic</t>
        </is>
      </c>
      <c r="B4" t="n">
        <v>11</v>
      </c>
      <c r="C4" t="inlineStr">
        <is>
          <t>Holy Basil; Maca; Rhodiola Rosea; Suma; Maral Root; Schisandra Berry; Holy Basil Purple; Roselle Seed</t>
        </is>
      </c>
    </row>
    <row r="5">
      <c r="A5" t="inlineStr">
        <is>
          <t>Neuro / Cognitive</t>
        </is>
      </c>
      <c r="B5" t="n">
        <v>9</v>
      </c>
      <c r="C5" t="inlineStr">
        <is>
          <t>Ashwagandha; Black Cohosh; Ginkgo Biloba; Shankhpushpi; Polygala; Panax Ginseng; Bacopa; Corydalis</t>
        </is>
      </c>
    </row>
    <row r="6">
      <c r="A6" t="inlineStr">
        <is>
          <t>Inflammation / Recovery</t>
        </is>
      </c>
      <c r="B6" t="n">
        <v>3</v>
      </c>
      <c r="C6" t="inlineStr">
        <is>
          <t>Chamomile; Cissus; Notoginseng</t>
        </is>
      </c>
    </row>
    <row r="7">
      <c r="A7" t="inlineStr">
        <is>
          <t>Circulation / Vascular</t>
        </is>
      </c>
      <c r="B7" t="n">
        <v>2</v>
      </c>
      <c r="C7" t="inlineStr">
        <is>
          <t>Arjuna; Epimedium</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32</t>
        </is>
      </c>
    </row>
    <row r="3">
      <c r="A3" t="inlineStr">
        <is>
          <t>Focus</t>
        </is>
      </c>
      <c r="B3" t="inlineStr">
        <is>
          <t>Substitute engine + cluster cleanup</t>
        </is>
      </c>
    </row>
    <row r="4">
      <c r="A4" t="inlineStr">
        <is>
          <t>Herbs updated</t>
        </is>
      </c>
      <c r="B4" t="n">
        <v>172</v>
      </c>
    </row>
    <row r="5">
      <c r="A5" t="inlineStr">
        <is>
          <t>Original similarity pairs</t>
        </is>
      </c>
      <c r="B5" t="n">
        <v>1200</v>
      </c>
    </row>
    <row r="6">
      <c r="A6" t="inlineStr">
        <is>
          <t>Filtered similarity pairs kept</t>
        </is>
      </c>
      <c r="B6" t="n">
        <v>1200</v>
      </c>
    </row>
    <row r="7">
      <c r="A7" t="inlineStr">
        <is>
          <t>Weak pairs removed</t>
        </is>
      </c>
      <c r="B7" t="n">
        <v>0</v>
      </c>
    </row>
    <row r="8">
      <c r="A8" t="inlineStr">
        <is>
          <t>Cluster labels in V2</t>
        </is>
      </c>
      <c r="B8" t="n">
        <v>6</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73"/>
  <sheetViews>
    <sheetView workbookViewId="0">
      <selection activeCell="A1" sqref="A1"/>
    </sheetView>
  </sheetViews>
  <sheetFormatPr baseColWidth="8" defaultRowHeight="15"/>
  <sheetData>
    <row r="1">
      <c r="A1" t="inlineStr">
        <is>
          <t>Herb</t>
        </is>
      </c>
      <c r="B1" t="inlineStr">
        <is>
          <t>Safety Tier V2</t>
        </is>
      </c>
      <c r="C1" t="inlineStr">
        <is>
          <t>Default Product Exclusion V2</t>
        </is>
      </c>
      <c r="D1" t="inlineStr">
        <is>
          <t>Primary Fallback</t>
        </is>
      </c>
      <c r="E1" t="inlineStr">
        <is>
          <t>Secondary Fallback</t>
        </is>
      </c>
      <c r="F1" t="inlineStr">
        <is>
          <t>Fallback Status</t>
        </is>
      </c>
      <c r="G1" t="inlineStr">
        <is>
          <t>Fallback Reason</t>
        </is>
      </c>
      <c r="H1" t="inlineStr">
        <is>
          <t>Cluster V2</t>
        </is>
      </c>
    </row>
    <row r="2">
      <c r="A2" t="inlineStr">
        <is>
          <t>Ashwagandha</t>
        </is>
      </c>
      <c r="B2" t="inlineStr">
        <is>
          <t>Elevated</t>
        </is>
      </c>
      <c r="C2" t="inlineStr">
        <is>
          <t>Review</t>
        </is>
      </c>
      <c r="F2" t="inlineStr">
        <is>
          <t>Recommended</t>
        </is>
      </c>
      <c r="G2" t="inlineStr">
        <is>
          <t>no strong safe fallback found</t>
        </is>
      </c>
      <c r="H2" t="inlineStr">
        <is>
          <t>Neuro / Cognitive</t>
        </is>
      </c>
    </row>
    <row r="3">
      <c r="A3" t="inlineStr">
        <is>
          <t>Black Cohosh</t>
        </is>
      </c>
      <c r="B3" t="inlineStr">
        <is>
          <t>Elevated</t>
        </is>
      </c>
      <c r="C3" t="inlineStr">
        <is>
          <t>Review</t>
        </is>
      </c>
      <c r="F3" t="inlineStr">
        <is>
          <t>Recommended</t>
        </is>
      </c>
      <c r="G3" t="inlineStr">
        <is>
          <t>no strong safe fallback found</t>
        </is>
      </c>
      <c r="H3" t="inlineStr">
        <is>
          <t>Neuro / Cognitive</t>
        </is>
      </c>
    </row>
    <row r="4">
      <c r="A4" t="inlineStr">
        <is>
          <t>Echinacea Purpurea</t>
        </is>
      </c>
      <c r="B4" t="inlineStr">
        <is>
          <t>Elevated</t>
        </is>
      </c>
      <c r="C4" t="inlineStr">
        <is>
          <t>Review</t>
        </is>
      </c>
      <c r="F4" t="inlineStr">
        <is>
          <t>Recommended</t>
        </is>
      </c>
      <c r="G4" t="inlineStr">
        <is>
          <t>no strong safe fallback found</t>
        </is>
      </c>
      <c r="H4" t="inlineStr">
        <is>
          <t>Generalist</t>
        </is>
      </c>
    </row>
    <row r="5">
      <c r="A5" t="inlineStr">
        <is>
          <t>Garlic</t>
        </is>
      </c>
      <c r="B5" t="inlineStr">
        <is>
          <t>Elevated</t>
        </is>
      </c>
      <c r="C5" t="inlineStr">
        <is>
          <t>Review</t>
        </is>
      </c>
      <c r="D5" t="inlineStr">
        <is>
          <t>Agarikon</t>
        </is>
      </c>
      <c r="E5" t="inlineStr">
        <is>
          <t>Ajwain</t>
        </is>
      </c>
      <c r="F5" t="inlineStr">
        <is>
          <t>Recommended</t>
        </is>
      </c>
      <c r="G5" t="inlineStr">
        <is>
          <t>same cluster; lower safety burden; similarity-backed</t>
        </is>
      </c>
      <c r="H5" t="inlineStr">
        <is>
          <t>Generalist</t>
        </is>
      </c>
    </row>
    <row r="6">
      <c r="A6" t="inlineStr">
        <is>
          <t>Ginger</t>
        </is>
      </c>
      <c r="B6" t="inlineStr">
        <is>
          <t>Elevated</t>
        </is>
      </c>
      <c r="C6" t="inlineStr">
        <is>
          <t>Review</t>
        </is>
      </c>
      <c r="D6" t="inlineStr">
        <is>
          <t>Agarikon</t>
        </is>
      </c>
      <c r="E6" t="inlineStr">
        <is>
          <t>Ajwain</t>
        </is>
      </c>
      <c r="F6" t="inlineStr">
        <is>
          <t>Recommended</t>
        </is>
      </c>
      <c r="G6" t="inlineStr">
        <is>
          <t>same cluster; lower safety burden; similarity-backed</t>
        </is>
      </c>
      <c r="H6" t="inlineStr">
        <is>
          <t>Generalist</t>
        </is>
      </c>
    </row>
    <row r="7">
      <c r="A7" t="inlineStr">
        <is>
          <t>Ginkgo Biloba</t>
        </is>
      </c>
      <c r="B7" t="inlineStr">
        <is>
          <t>Elevated</t>
        </is>
      </c>
      <c r="C7" t="inlineStr">
        <is>
          <t>Review</t>
        </is>
      </c>
      <c r="F7" t="inlineStr">
        <is>
          <t>Recommended</t>
        </is>
      </c>
      <c r="G7" t="inlineStr">
        <is>
          <t>no strong safe fallback found</t>
        </is>
      </c>
      <c r="H7" t="inlineStr">
        <is>
          <t>Neuro / Cognitive</t>
        </is>
      </c>
    </row>
    <row r="8">
      <c r="A8" t="inlineStr">
        <is>
          <t>Holy Basil</t>
        </is>
      </c>
      <c r="B8" t="inlineStr">
        <is>
          <t>Moderate</t>
        </is>
      </c>
      <c r="C8" t="inlineStr">
        <is>
          <t>No</t>
        </is>
      </c>
      <c r="D8" t="inlineStr">
        <is>
          <t>Holy Basil Purple</t>
        </is>
      </c>
      <c r="E8" t="inlineStr">
        <is>
          <t>Maca</t>
        </is>
      </c>
      <c r="F8" t="inlineStr">
        <is>
          <t>Optional</t>
        </is>
      </c>
      <c r="G8" t="inlineStr">
        <is>
          <t>same cluster; lower safety burden; similarity-backed</t>
        </is>
      </c>
      <c r="H8" t="inlineStr">
        <is>
          <t>Stress / Adaptogenic</t>
        </is>
      </c>
    </row>
    <row r="9">
      <c r="A9" t="inlineStr">
        <is>
          <t>Kava</t>
        </is>
      </c>
      <c r="B9" t="inlineStr">
        <is>
          <t>Elevated</t>
        </is>
      </c>
      <c r="C9" t="inlineStr">
        <is>
          <t>Review</t>
        </is>
      </c>
      <c r="D9" t="inlineStr">
        <is>
          <t>Agarikon</t>
        </is>
      </c>
      <c r="E9" t="inlineStr">
        <is>
          <t>Ajwain</t>
        </is>
      </c>
      <c r="F9" t="inlineStr">
        <is>
          <t>Recommended</t>
        </is>
      </c>
      <c r="G9" t="inlineStr">
        <is>
          <t>same cluster; lower safety burden; similarity-backed</t>
        </is>
      </c>
      <c r="H9" t="inlineStr">
        <is>
          <t>Generalist</t>
        </is>
      </c>
    </row>
    <row r="10">
      <c r="A10" t="inlineStr">
        <is>
          <t>Lemon Balm</t>
        </is>
      </c>
      <c r="B10" t="inlineStr">
        <is>
          <t>Moderate</t>
        </is>
      </c>
      <c r="C10" t="inlineStr">
        <is>
          <t>No</t>
        </is>
      </c>
      <c r="F10" t="inlineStr">
        <is>
          <t>Optional</t>
        </is>
      </c>
      <c r="G10" t="inlineStr">
        <is>
          <t>similarity-backed</t>
        </is>
      </c>
      <c r="H10" t="inlineStr">
        <is>
          <t>Generalist</t>
        </is>
      </c>
    </row>
    <row r="11">
      <c r="A11" t="inlineStr">
        <is>
          <t>Maca</t>
        </is>
      </c>
      <c r="B11" t="inlineStr">
        <is>
          <t>Baseline</t>
        </is>
      </c>
      <c r="C11" t="inlineStr">
        <is>
          <t>No</t>
        </is>
      </c>
      <c r="D11" t="inlineStr">
        <is>
          <t>Holy Basil</t>
        </is>
      </c>
      <c r="F11" t="inlineStr">
        <is>
          <t>Not needed</t>
        </is>
      </c>
      <c r="G11" t="inlineStr">
        <is>
          <t>same cluster; similarity-backed</t>
        </is>
      </c>
      <c r="H11" t="inlineStr">
        <is>
          <t>Stress / Adaptogenic</t>
        </is>
      </c>
    </row>
    <row r="12">
      <c r="A12" t="inlineStr">
        <is>
          <t>Milk Thistle</t>
        </is>
      </c>
      <c r="B12" t="inlineStr">
        <is>
          <t>Elevated</t>
        </is>
      </c>
      <c r="C12" t="inlineStr">
        <is>
          <t>Review</t>
        </is>
      </c>
      <c r="F12" t="inlineStr">
        <is>
          <t>Recommended</t>
        </is>
      </c>
      <c r="G12" t="inlineStr">
        <is>
          <t>no strong safe fallback found</t>
        </is>
      </c>
      <c r="H12" t="inlineStr">
        <is>
          <t>Generalist</t>
        </is>
      </c>
    </row>
    <row r="13">
      <c r="A13" t="inlineStr">
        <is>
          <t>Peppermint</t>
        </is>
      </c>
      <c r="B13" t="inlineStr">
        <is>
          <t>Moderate</t>
        </is>
      </c>
      <c r="C13" t="inlineStr">
        <is>
          <t>No</t>
        </is>
      </c>
      <c r="F13" t="inlineStr">
        <is>
          <t>Optional</t>
        </is>
      </c>
      <c r="G13" t="inlineStr">
        <is>
          <t>similarity-backed</t>
        </is>
      </c>
      <c r="H13" t="inlineStr">
        <is>
          <t>Generalist</t>
        </is>
      </c>
    </row>
    <row r="14">
      <c r="A14" t="inlineStr">
        <is>
          <t>Rhodiola Rosea</t>
        </is>
      </c>
      <c r="B14" t="inlineStr">
        <is>
          <t>Moderate</t>
        </is>
      </c>
      <c r="C14" t="inlineStr">
        <is>
          <t>No</t>
        </is>
      </c>
      <c r="D14" t="inlineStr">
        <is>
          <t>Holy Basil</t>
        </is>
      </c>
      <c r="F14" t="inlineStr">
        <is>
          <t>Optional</t>
        </is>
      </c>
      <c r="G14" t="inlineStr">
        <is>
          <t>same cluster; similarity-backed</t>
        </is>
      </c>
      <c r="H14" t="inlineStr">
        <is>
          <t>Stress / Adaptogenic</t>
        </is>
      </c>
    </row>
    <row r="15">
      <c r="A15" t="inlineStr">
        <is>
          <t>Saw Palmetto</t>
        </is>
      </c>
      <c r="B15" t="inlineStr">
        <is>
          <t>Moderate</t>
        </is>
      </c>
      <c r="C15" t="inlineStr">
        <is>
          <t>No</t>
        </is>
      </c>
      <c r="F15" t="inlineStr">
        <is>
          <t>Optional</t>
        </is>
      </c>
      <c r="G15" t="inlineStr">
        <is>
          <t>no strong safe fallback found</t>
        </is>
      </c>
      <c r="H15" t="inlineStr">
        <is>
          <t>Generalist</t>
        </is>
      </c>
    </row>
    <row r="16">
      <c r="A16" t="inlineStr">
        <is>
          <t>St Johns Wort</t>
        </is>
      </c>
      <c r="B16" t="inlineStr">
        <is>
          <t>Elevated</t>
        </is>
      </c>
      <c r="C16" t="inlineStr">
        <is>
          <t>Review</t>
        </is>
      </c>
      <c r="F16" t="inlineStr">
        <is>
          <t>Recommended</t>
        </is>
      </c>
      <c r="G16" t="inlineStr">
        <is>
          <t>similarity-backed</t>
        </is>
      </c>
      <c r="H16" t="inlineStr">
        <is>
          <t>Generalist</t>
        </is>
      </c>
    </row>
    <row r="17">
      <c r="A17" t="inlineStr">
        <is>
          <t>Turmeric</t>
        </is>
      </c>
      <c r="B17" t="inlineStr">
        <is>
          <t>Elevated</t>
        </is>
      </c>
      <c r="C17" t="inlineStr">
        <is>
          <t>Review</t>
        </is>
      </c>
      <c r="D17" t="inlineStr">
        <is>
          <t>Dong Quai</t>
        </is>
      </c>
      <c r="F17" t="inlineStr">
        <is>
          <t>Recommended</t>
        </is>
      </c>
      <c r="G17" t="inlineStr">
        <is>
          <t>same cluster; similarity-backed</t>
        </is>
      </c>
      <c r="H17" t="inlineStr">
        <is>
          <t>Generalist</t>
        </is>
      </c>
    </row>
    <row r="18">
      <c r="A18" t="inlineStr">
        <is>
          <t>Valerian</t>
        </is>
      </c>
      <c r="B18" t="inlineStr">
        <is>
          <t>Elevated</t>
        </is>
      </c>
      <c r="C18" t="inlineStr">
        <is>
          <t>Review</t>
        </is>
      </c>
      <c r="F18" t="inlineStr">
        <is>
          <t>Recommended</t>
        </is>
      </c>
      <c r="G18" t="inlineStr">
        <is>
          <t>similarity-backed</t>
        </is>
      </c>
      <c r="H18" t="inlineStr">
        <is>
          <t>Generalist</t>
        </is>
      </c>
    </row>
    <row r="19">
      <c r="A19" t="inlineStr">
        <is>
          <t>Guarana</t>
        </is>
      </c>
      <c r="B19" t="inlineStr">
        <is>
          <t>Baseline</t>
        </is>
      </c>
      <c r="C19" t="inlineStr">
        <is>
          <t>No</t>
        </is>
      </c>
      <c r="D19" t="inlineStr">
        <is>
          <t>Ashitaba</t>
        </is>
      </c>
      <c r="E19" t="inlineStr">
        <is>
          <t>Banaba</t>
        </is>
      </c>
      <c r="F19" t="inlineStr">
        <is>
          <t>Not needed</t>
        </is>
      </c>
      <c r="G19" t="inlineStr">
        <is>
          <t>same cluster; lower safety burden; similarity-backed</t>
        </is>
      </c>
      <c r="H19" t="inlineStr">
        <is>
          <t>Metabolic</t>
        </is>
      </c>
    </row>
    <row r="20">
      <c r="A20" t="inlineStr">
        <is>
          <t>Yerba Mate</t>
        </is>
      </c>
      <c r="B20" t="inlineStr">
        <is>
          <t>Baseline</t>
        </is>
      </c>
      <c r="C20" t="inlineStr">
        <is>
          <t>No</t>
        </is>
      </c>
      <c r="D20" t="inlineStr">
        <is>
          <t>Guarana</t>
        </is>
      </c>
      <c r="F20" t="inlineStr">
        <is>
          <t>Not needed</t>
        </is>
      </c>
      <c r="G20" t="inlineStr">
        <is>
          <t>same cluster; lower safety burden; similarity-backed</t>
        </is>
      </c>
      <c r="H20" t="inlineStr">
        <is>
          <t>Metabolic</t>
        </is>
      </c>
    </row>
    <row r="21">
      <c r="A21" t="inlineStr">
        <is>
          <t>Damiana</t>
        </is>
      </c>
      <c r="B21" t="inlineStr">
        <is>
          <t>Baseline</t>
        </is>
      </c>
      <c r="C21" t="inlineStr">
        <is>
          <t>No</t>
        </is>
      </c>
      <c r="D21" t="inlineStr">
        <is>
          <t>Agarikon</t>
        </is>
      </c>
      <c r="E21" t="inlineStr">
        <is>
          <t>Ajwain</t>
        </is>
      </c>
      <c r="F21" t="inlineStr">
        <is>
          <t>Not needed</t>
        </is>
      </c>
      <c r="G21" t="inlineStr">
        <is>
          <t>same cluster; lower safety burden; similarity-backed</t>
        </is>
      </c>
      <c r="H21" t="inlineStr">
        <is>
          <t>Generalist</t>
        </is>
      </c>
    </row>
    <row r="22">
      <c r="A22" t="inlineStr">
        <is>
          <t>Blue Lotus</t>
        </is>
      </c>
      <c r="B22" t="inlineStr">
        <is>
          <t>Baseline</t>
        </is>
      </c>
      <c r="C22" t="inlineStr">
        <is>
          <t>No</t>
        </is>
      </c>
      <c r="D22" t="inlineStr">
        <is>
          <t>Agarikon</t>
        </is>
      </c>
      <c r="E22" t="inlineStr">
        <is>
          <t>Ajwain</t>
        </is>
      </c>
      <c r="F22" t="inlineStr">
        <is>
          <t>Not needed</t>
        </is>
      </c>
      <c r="G22" t="inlineStr">
        <is>
          <t>same cluster; lower safety burden; similarity-backed</t>
        </is>
      </c>
      <c r="H22" t="inlineStr">
        <is>
          <t>Generalist</t>
        </is>
      </c>
    </row>
    <row r="23">
      <c r="A23" t="inlineStr">
        <is>
          <t>Kudzu</t>
        </is>
      </c>
      <c r="B23" t="inlineStr">
        <is>
          <t>Baseline</t>
        </is>
      </c>
      <c r="C23" t="inlineStr">
        <is>
          <t>No</t>
        </is>
      </c>
      <c r="D23" t="inlineStr">
        <is>
          <t>Blue Lotus</t>
        </is>
      </c>
      <c r="E23" t="inlineStr">
        <is>
          <t>Damiana</t>
        </is>
      </c>
      <c r="F23" t="inlineStr">
        <is>
          <t>Not needed</t>
        </is>
      </c>
      <c r="G23" t="inlineStr">
        <is>
          <t>same cluster; lower safety burden; similarity-backed</t>
        </is>
      </c>
      <c r="H23" t="inlineStr">
        <is>
          <t>Generalist</t>
        </is>
      </c>
    </row>
    <row r="24">
      <c r="A24" t="inlineStr">
        <is>
          <t>Yarrow</t>
        </is>
      </c>
      <c r="B24" t="inlineStr">
        <is>
          <t>Moderate</t>
        </is>
      </c>
      <c r="C24" t="inlineStr">
        <is>
          <t>No</t>
        </is>
      </c>
      <c r="D24" t="inlineStr">
        <is>
          <t>Blue Lotus</t>
        </is>
      </c>
      <c r="E24" t="inlineStr">
        <is>
          <t>Damiana</t>
        </is>
      </c>
      <c r="F24" t="inlineStr">
        <is>
          <t>Optional</t>
        </is>
      </c>
      <c r="G24" t="inlineStr">
        <is>
          <t>same cluster; lower safety burden; similarity-backed</t>
        </is>
      </c>
      <c r="H24" t="inlineStr">
        <is>
          <t>Generalist</t>
        </is>
      </c>
    </row>
    <row r="25">
      <c r="A25" t="inlineStr">
        <is>
          <t>Feverfew</t>
        </is>
      </c>
      <c r="B25" t="inlineStr">
        <is>
          <t>Moderate</t>
        </is>
      </c>
      <c r="C25" t="inlineStr">
        <is>
          <t>No</t>
        </is>
      </c>
      <c r="D25" t="inlineStr">
        <is>
          <t>Agarikon</t>
        </is>
      </c>
      <c r="E25" t="inlineStr">
        <is>
          <t>Ajwain</t>
        </is>
      </c>
      <c r="F25" t="inlineStr">
        <is>
          <t>Optional</t>
        </is>
      </c>
      <c r="G25" t="inlineStr">
        <is>
          <t>same cluster; lower safety burden; similarity-backed</t>
        </is>
      </c>
      <c r="H25" t="inlineStr">
        <is>
          <t>Generalist</t>
        </is>
      </c>
    </row>
    <row r="26">
      <c r="A26" t="inlineStr">
        <is>
          <t>Butterbur</t>
        </is>
      </c>
      <c r="B26" t="inlineStr">
        <is>
          <t>Baseline</t>
        </is>
      </c>
      <c r="C26" t="inlineStr">
        <is>
          <t>No</t>
        </is>
      </c>
      <c r="D26" t="inlineStr">
        <is>
          <t>Agarikon</t>
        </is>
      </c>
      <c r="E26" t="inlineStr">
        <is>
          <t>Ajwain</t>
        </is>
      </c>
      <c r="F26" t="inlineStr">
        <is>
          <t>Not needed</t>
        </is>
      </c>
      <c r="G26" t="inlineStr">
        <is>
          <t>same cluster; lower safety burden; similarity-backed</t>
        </is>
      </c>
      <c r="H26" t="inlineStr">
        <is>
          <t>Generalist</t>
        </is>
      </c>
    </row>
    <row r="27">
      <c r="A27" t="inlineStr">
        <is>
          <t>Dong Quai</t>
        </is>
      </c>
      <c r="B27" t="inlineStr">
        <is>
          <t>Moderate</t>
        </is>
      </c>
      <c r="C27" t="inlineStr">
        <is>
          <t>No</t>
        </is>
      </c>
      <c r="D27" t="inlineStr">
        <is>
          <t>Agarikon</t>
        </is>
      </c>
      <c r="E27" t="inlineStr">
        <is>
          <t>Ajwain</t>
        </is>
      </c>
      <c r="F27" t="inlineStr">
        <is>
          <t>Optional</t>
        </is>
      </c>
      <c r="G27" t="inlineStr">
        <is>
          <t>same cluster; lower safety burden; similarity-backed</t>
        </is>
      </c>
      <c r="H27" t="inlineStr">
        <is>
          <t>Generalist</t>
        </is>
      </c>
    </row>
    <row r="28">
      <c r="A28" t="inlineStr">
        <is>
          <t>Rosemary</t>
        </is>
      </c>
      <c r="B28" t="inlineStr">
        <is>
          <t>Moderate</t>
        </is>
      </c>
      <c r="C28" t="inlineStr">
        <is>
          <t>No</t>
        </is>
      </c>
      <c r="D28" t="inlineStr">
        <is>
          <t>Ajwain</t>
        </is>
      </c>
      <c r="E28" t="inlineStr">
        <is>
          <t>Blue Lotus</t>
        </is>
      </c>
      <c r="F28" t="inlineStr">
        <is>
          <t>Optional</t>
        </is>
      </c>
      <c r="G28" t="inlineStr">
        <is>
          <t>same cluster; lower safety burden; similarity-backed</t>
        </is>
      </c>
      <c r="H28" t="inlineStr">
        <is>
          <t>Generalist</t>
        </is>
      </c>
    </row>
    <row r="29">
      <c r="A29" t="inlineStr">
        <is>
          <t>Sage</t>
        </is>
      </c>
      <c r="B29" t="inlineStr">
        <is>
          <t>Moderate</t>
        </is>
      </c>
      <c r="C29" t="inlineStr">
        <is>
          <t>No</t>
        </is>
      </c>
      <c r="D29" t="inlineStr">
        <is>
          <t>Ajwain</t>
        </is>
      </c>
      <c r="E29" t="inlineStr">
        <is>
          <t>Blue Lotus</t>
        </is>
      </c>
      <c r="F29" t="inlineStr">
        <is>
          <t>Optional</t>
        </is>
      </c>
      <c r="G29" t="inlineStr">
        <is>
          <t>same cluster; lower safety burden; similarity-backed</t>
        </is>
      </c>
      <c r="H29" t="inlineStr">
        <is>
          <t>Generalist</t>
        </is>
      </c>
    </row>
    <row r="30">
      <c r="A30" t="inlineStr">
        <is>
          <t>Thyme</t>
        </is>
      </c>
      <c r="B30" t="inlineStr">
        <is>
          <t>Baseline</t>
        </is>
      </c>
      <c r="C30" t="inlineStr">
        <is>
          <t>No</t>
        </is>
      </c>
      <c r="D30" t="inlineStr">
        <is>
          <t>Blue Lotus</t>
        </is>
      </c>
      <c r="E30" t="inlineStr">
        <is>
          <t>Butterbur</t>
        </is>
      </c>
      <c r="F30" t="inlineStr">
        <is>
          <t>Not needed</t>
        </is>
      </c>
      <c r="G30" t="inlineStr">
        <is>
          <t>same cluster; lower safety burden; similarity-backed</t>
        </is>
      </c>
      <c r="H30" t="inlineStr">
        <is>
          <t>Generalist</t>
        </is>
      </c>
    </row>
    <row r="31">
      <c r="A31" t="inlineStr">
        <is>
          <t>Oregano</t>
        </is>
      </c>
      <c r="B31" t="inlineStr">
        <is>
          <t>Baseline</t>
        </is>
      </c>
      <c r="C31" t="inlineStr">
        <is>
          <t>No</t>
        </is>
      </c>
      <c r="F31" t="inlineStr">
        <is>
          <t>Not needed</t>
        </is>
      </c>
      <c r="G31" t="inlineStr">
        <is>
          <t>no strong safe fallback found</t>
        </is>
      </c>
      <c r="H31" t="inlineStr">
        <is>
          <t>Generalist</t>
        </is>
      </c>
    </row>
    <row r="32">
      <c r="A32" t="inlineStr">
        <is>
          <t>Eucalyptus</t>
        </is>
      </c>
      <c r="B32" t="inlineStr">
        <is>
          <t>Baseline</t>
        </is>
      </c>
      <c r="C32" t="inlineStr">
        <is>
          <t>No</t>
        </is>
      </c>
      <c r="F32" t="inlineStr">
        <is>
          <t>Not needed</t>
        </is>
      </c>
      <c r="G32" t="inlineStr">
        <is>
          <t>no strong safe fallback found</t>
        </is>
      </c>
      <c r="H32" t="inlineStr">
        <is>
          <t>Generalist</t>
        </is>
      </c>
    </row>
    <row r="33">
      <c r="A33" t="inlineStr">
        <is>
          <t>Artichoke</t>
        </is>
      </c>
      <c r="B33" t="inlineStr">
        <is>
          <t>Moderate</t>
        </is>
      </c>
      <c r="C33" t="inlineStr">
        <is>
          <t>No</t>
        </is>
      </c>
      <c r="D33" t="inlineStr">
        <is>
          <t>Agarikon</t>
        </is>
      </c>
      <c r="E33" t="inlineStr">
        <is>
          <t>Ajwain</t>
        </is>
      </c>
      <c r="F33" t="inlineStr">
        <is>
          <t>Optional</t>
        </is>
      </c>
      <c r="G33" t="inlineStr">
        <is>
          <t>same cluster; lower safety burden; similarity-backed</t>
        </is>
      </c>
      <c r="H33" t="inlineStr">
        <is>
          <t>Generalist</t>
        </is>
      </c>
    </row>
    <row r="34">
      <c r="A34" t="inlineStr">
        <is>
          <t>Fennel</t>
        </is>
      </c>
      <c r="B34" t="inlineStr">
        <is>
          <t>Baseline</t>
        </is>
      </c>
      <c r="C34" t="inlineStr">
        <is>
          <t>No</t>
        </is>
      </c>
      <c r="D34" t="inlineStr">
        <is>
          <t>Agarikon</t>
        </is>
      </c>
      <c r="E34" t="inlineStr">
        <is>
          <t>Ajwain</t>
        </is>
      </c>
      <c r="F34" t="inlineStr">
        <is>
          <t>Not needed</t>
        </is>
      </c>
      <c r="G34" t="inlineStr">
        <is>
          <t>same cluster; lower safety burden; similarity-backed</t>
        </is>
      </c>
      <c r="H34" t="inlineStr">
        <is>
          <t>Generalist</t>
        </is>
      </c>
    </row>
    <row r="35">
      <c r="A35" t="inlineStr">
        <is>
          <t>Cinnamon</t>
        </is>
      </c>
      <c r="B35" t="inlineStr">
        <is>
          <t>Baseline</t>
        </is>
      </c>
      <c r="C35" t="inlineStr">
        <is>
          <t>No</t>
        </is>
      </c>
      <c r="D35" t="inlineStr">
        <is>
          <t>Agarikon</t>
        </is>
      </c>
      <c r="E35" t="inlineStr">
        <is>
          <t>Ajwain</t>
        </is>
      </c>
      <c r="F35" t="inlineStr">
        <is>
          <t>Not needed</t>
        </is>
      </c>
      <c r="G35" t="inlineStr">
        <is>
          <t>same cluster; lower safety burden; similarity-backed</t>
        </is>
      </c>
      <c r="H35" t="inlineStr">
        <is>
          <t>Generalist</t>
        </is>
      </c>
    </row>
    <row r="36">
      <c r="A36" t="inlineStr">
        <is>
          <t>Dandelion</t>
        </is>
      </c>
      <c r="B36" t="inlineStr">
        <is>
          <t>Baseline</t>
        </is>
      </c>
      <c r="C36" t="inlineStr">
        <is>
          <t>No</t>
        </is>
      </c>
      <c r="D36" t="inlineStr">
        <is>
          <t>Agarikon</t>
        </is>
      </c>
      <c r="E36" t="inlineStr">
        <is>
          <t>Ajwain</t>
        </is>
      </c>
      <c r="F36" t="inlineStr">
        <is>
          <t>Not needed</t>
        </is>
      </c>
      <c r="G36" t="inlineStr">
        <is>
          <t>same cluster; lower safety burden; similarity-backed</t>
        </is>
      </c>
      <c r="H36" t="inlineStr">
        <is>
          <t>Generalist</t>
        </is>
      </c>
    </row>
    <row r="37">
      <c r="A37" t="inlineStr">
        <is>
          <t>Burdock</t>
        </is>
      </c>
      <c r="B37" t="inlineStr">
        <is>
          <t>Baseline</t>
        </is>
      </c>
      <c r="C37" t="inlineStr">
        <is>
          <t>No</t>
        </is>
      </c>
      <c r="D37" t="inlineStr">
        <is>
          <t>Agarikon</t>
        </is>
      </c>
      <c r="E37" t="inlineStr">
        <is>
          <t>Ajwain</t>
        </is>
      </c>
      <c r="F37" t="inlineStr">
        <is>
          <t>Not needed</t>
        </is>
      </c>
      <c r="G37" t="inlineStr">
        <is>
          <t>same cluster; lower safety burden; similarity-backed</t>
        </is>
      </c>
      <c r="H37" t="inlineStr">
        <is>
          <t>Generalist</t>
        </is>
      </c>
    </row>
    <row r="38">
      <c r="A38" t="inlineStr">
        <is>
          <t>Chamomile</t>
        </is>
      </c>
      <c r="B38" t="inlineStr">
        <is>
          <t>Baseline</t>
        </is>
      </c>
      <c r="C38" t="inlineStr">
        <is>
          <t>No</t>
        </is>
      </c>
      <c r="F38" t="inlineStr">
        <is>
          <t>Not needed</t>
        </is>
      </c>
      <c r="G38" t="inlineStr">
        <is>
          <t>no strong safe fallback found</t>
        </is>
      </c>
      <c r="H38" t="inlineStr">
        <is>
          <t>Inflammation / Recovery</t>
        </is>
      </c>
    </row>
    <row r="39">
      <c r="A39" t="inlineStr">
        <is>
          <t>Red Clover</t>
        </is>
      </c>
      <c r="B39" t="inlineStr">
        <is>
          <t>Baseline</t>
        </is>
      </c>
      <c r="C39" t="inlineStr">
        <is>
          <t>No</t>
        </is>
      </c>
      <c r="D39" t="inlineStr">
        <is>
          <t>Blue Lotus</t>
        </is>
      </c>
      <c r="E39" t="inlineStr">
        <is>
          <t>Burdock</t>
        </is>
      </c>
      <c r="F39" t="inlineStr">
        <is>
          <t>Not needed</t>
        </is>
      </c>
      <c r="G39" t="inlineStr">
        <is>
          <t>same cluster; lower safety burden; similarity-backed</t>
        </is>
      </c>
      <c r="H39" t="inlineStr">
        <is>
          <t>Generalist</t>
        </is>
      </c>
    </row>
    <row r="40">
      <c r="A40" t="inlineStr">
        <is>
          <t>Oatstraw</t>
        </is>
      </c>
      <c r="B40" t="inlineStr">
        <is>
          <t>Baseline</t>
        </is>
      </c>
      <c r="C40" t="inlineStr">
        <is>
          <t>No</t>
        </is>
      </c>
      <c r="D40" t="inlineStr">
        <is>
          <t>Blue Lotus</t>
        </is>
      </c>
      <c r="E40" t="inlineStr">
        <is>
          <t>Burdock</t>
        </is>
      </c>
      <c r="F40" t="inlineStr">
        <is>
          <t>Not needed</t>
        </is>
      </c>
      <c r="G40" t="inlineStr">
        <is>
          <t>same cluster; lower safety burden; similarity-backed</t>
        </is>
      </c>
      <c r="H40" t="inlineStr">
        <is>
          <t>Generalist</t>
        </is>
      </c>
    </row>
    <row r="41">
      <c r="A41" t="inlineStr">
        <is>
          <t>Calendula</t>
        </is>
      </c>
      <c r="B41" t="inlineStr">
        <is>
          <t>Baseline</t>
        </is>
      </c>
      <c r="C41" t="inlineStr">
        <is>
          <t>No</t>
        </is>
      </c>
      <c r="D41" t="inlineStr">
        <is>
          <t>Agarikon</t>
        </is>
      </c>
      <c r="E41" t="inlineStr">
        <is>
          <t>Ajwain</t>
        </is>
      </c>
      <c r="F41" t="inlineStr">
        <is>
          <t>Not needed</t>
        </is>
      </c>
      <c r="G41" t="inlineStr">
        <is>
          <t>same cluster; lower safety burden; similarity-backed</t>
        </is>
      </c>
      <c r="H41" t="inlineStr">
        <is>
          <t>Generalist</t>
        </is>
      </c>
    </row>
    <row r="42">
      <c r="A42" t="inlineStr">
        <is>
          <t>Pau d'Arco</t>
        </is>
      </c>
      <c r="B42" t="inlineStr">
        <is>
          <t>Baseline</t>
        </is>
      </c>
      <c r="C42" t="inlineStr">
        <is>
          <t>No</t>
        </is>
      </c>
      <c r="D42" t="inlineStr">
        <is>
          <t>Blue Lotus</t>
        </is>
      </c>
      <c r="E42" t="inlineStr">
        <is>
          <t>Burdock</t>
        </is>
      </c>
      <c r="F42" t="inlineStr">
        <is>
          <t>Not needed</t>
        </is>
      </c>
      <c r="G42" t="inlineStr">
        <is>
          <t>same cluster; lower safety burden; similarity-backed</t>
        </is>
      </c>
      <c r="H42" t="inlineStr">
        <is>
          <t>Generalist</t>
        </is>
      </c>
    </row>
    <row r="43">
      <c r="A43" t="inlineStr">
        <is>
          <t>Gymnema</t>
        </is>
      </c>
      <c r="B43" t="inlineStr">
        <is>
          <t>Baseline</t>
        </is>
      </c>
      <c r="C43" t="inlineStr">
        <is>
          <t>No</t>
        </is>
      </c>
      <c r="D43" t="inlineStr">
        <is>
          <t>Agarikon</t>
        </is>
      </c>
      <c r="E43" t="inlineStr">
        <is>
          <t>Ajwain</t>
        </is>
      </c>
      <c r="F43" t="inlineStr">
        <is>
          <t>Not needed</t>
        </is>
      </c>
      <c r="G43" t="inlineStr">
        <is>
          <t>same cluster; lower safety burden; similarity-backed</t>
        </is>
      </c>
      <c r="H43" t="inlineStr">
        <is>
          <t>Generalist</t>
        </is>
      </c>
    </row>
    <row r="44">
      <c r="A44" t="inlineStr">
        <is>
          <t>Banaba</t>
        </is>
      </c>
      <c r="B44" t="inlineStr">
        <is>
          <t>Baseline</t>
        </is>
      </c>
      <c r="C44" t="inlineStr">
        <is>
          <t>No</t>
        </is>
      </c>
      <c r="D44" t="inlineStr">
        <is>
          <t>Ashitaba</t>
        </is>
      </c>
      <c r="E44" t="inlineStr">
        <is>
          <t>Curry Leaf</t>
        </is>
      </c>
      <c r="F44" t="inlineStr">
        <is>
          <t>Not needed</t>
        </is>
      </c>
      <c r="G44" t="inlineStr">
        <is>
          <t>same cluster; lower safety burden; similarity-backed</t>
        </is>
      </c>
      <c r="H44" t="inlineStr">
        <is>
          <t>Metabolic</t>
        </is>
      </c>
    </row>
    <row r="45">
      <c r="A45" t="inlineStr">
        <is>
          <t>Mulberry Leaf</t>
        </is>
      </c>
      <c r="B45" t="inlineStr">
        <is>
          <t>Baseline</t>
        </is>
      </c>
      <c r="C45" t="inlineStr">
        <is>
          <t>No</t>
        </is>
      </c>
      <c r="D45" t="inlineStr">
        <is>
          <t>Blue Lotus</t>
        </is>
      </c>
      <c r="E45" t="inlineStr">
        <is>
          <t>Burdock</t>
        </is>
      </c>
      <c r="F45" t="inlineStr">
        <is>
          <t>Not needed</t>
        </is>
      </c>
      <c r="G45" t="inlineStr">
        <is>
          <t>same cluster; lower safety burden; similarity-backed</t>
        </is>
      </c>
      <c r="H45" t="inlineStr">
        <is>
          <t>Generalist</t>
        </is>
      </c>
    </row>
    <row r="46">
      <c r="A46" t="inlineStr">
        <is>
          <t>Neem</t>
        </is>
      </c>
      <c r="B46" t="inlineStr">
        <is>
          <t>Baseline</t>
        </is>
      </c>
      <c r="C46" t="inlineStr">
        <is>
          <t>No</t>
        </is>
      </c>
      <c r="D46" t="inlineStr">
        <is>
          <t>Blue Lotus</t>
        </is>
      </c>
      <c r="E46" t="inlineStr">
        <is>
          <t>Burdock</t>
        </is>
      </c>
      <c r="F46" t="inlineStr">
        <is>
          <t>Not needed</t>
        </is>
      </c>
      <c r="G46" t="inlineStr">
        <is>
          <t>same cluster; lower safety burden; similarity-backed</t>
        </is>
      </c>
      <c r="H46" t="inlineStr">
        <is>
          <t>Generalist</t>
        </is>
      </c>
    </row>
    <row r="47">
      <c r="A47" t="inlineStr">
        <is>
          <t>Mugwort</t>
        </is>
      </c>
      <c r="B47" t="inlineStr">
        <is>
          <t>Baseline</t>
        </is>
      </c>
      <c r="C47" t="inlineStr">
        <is>
          <t>No</t>
        </is>
      </c>
      <c r="D47" t="inlineStr">
        <is>
          <t>Blue Lotus</t>
        </is>
      </c>
      <c r="E47" t="inlineStr">
        <is>
          <t>Burdock</t>
        </is>
      </c>
      <c r="F47" t="inlineStr">
        <is>
          <t>Not needed</t>
        </is>
      </c>
      <c r="G47" t="inlineStr">
        <is>
          <t>same cluster; lower safety burden; similarity-backed</t>
        </is>
      </c>
      <c r="H47" t="inlineStr">
        <is>
          <t>Generalist</t>
        </is>
      </c>
    </row>
    <row r="48">
      <c r="A48" t="inlineStr">
        <is>
          <t>Lemon Verbena</t>
        </is>
      </c>
      <c r="B48" t="inlineStr">
        <is>
          <t>Baseline</t>
        </is>
      </c>
      <c r="C48" t="inlineStr">
        <is>
          <t>No</t>
        </is>
      </c>
      <c r="D48" t="inlineStr">
        <is>
          <t>Blue Lotus</t>
        </is>
      </c>
      <c r="E48" t="inlineStr">
        <is>
          <t>Burdock</t>
        </is>
      </c>
      <c r="F48" t="inlineStr">
        <is>
          <t>Not needed</t>
        </is>
      </c>
      <c r="G48" t="inlineStr">
        <is>
          <t>same cluster; lower safety burden; similarity-backed</t>
        </is>
      </c>
      <c r="H48" t="inlineStr">
        <is>
          <t>Generalist</t>
        </is>
      </c>
    </row>
    <row r="49">
      <c r="A49" t="inlineStr">
        <is>
          <t>Milk Oats</t>
        </is>
      </c>
      <c r="B49" t="inlineStr">
        <is>
          <t>Baseline</t>
        </is>
      </c>
      <c r="C49" t="inlineStr">
        <is>
          <t>No</t>
        </is>
      </c>
      <c r="D49" t="inlineStr">
        <is>
          <t>Blue Lotus</t>
        </is>
      </c>
      <c r="E49" t="inlineStr">
        <is>
          <t>Burdock</t>
        </is>
      </c>
      <c r="F49" t="inlineStr">
        <is>
          <t>Not needed</t>
        </is>
      </c>
      <c r="G49" t="inlineStr">
        <is>
          <t>same cluster; lower safety burden; similarity-backed</t>
        </is>
      </c>
      <c r="H49" t="inlineStr">
        <is>
          <t>Generalist</t>
        </is>
      </c>
    </row>
    <row r="50">
      <c r="A50" t="inlineStr">
        <is>
          <t>Cissus</t>
        </is>
      </c>
      <c r="B50" t="inlineStr">
        <is>
          <t>Baseline</t>
        </is>
      </c>
      <c r="C50" t="inlineStr">
        <is>
          <t>No</t>
        </is>
      </c>
      <c r="F50" t="inlineStr">
        <is>
          <t>Not needed</t>
        </is>
      </c>
      <c r="G50" t="inlineStr">
        <is>
          <t>no strong safe fallback found</t>
        </is>
      </c>
      <c r="H50" t="inlineStr">
        <is>
          <t>Inflammation / Recovery</t>
        </is>
      </c>
    </row>
    <row r="51">
      <c r="A51" t="inlineStr">
        <is>
          <t>Ashitaba</t>
        </is>
      </c>
      <c r="B51" t="inlineStr">
        <is>
          <t>Baseline</t>
        </is>
      </c>
      <c r="C51" t="inlineStr">
        <is>
          <t>No</t>
        </is>
      </c>
      <c r="D51" t="inlineStr">
        <is>
          <t>Banaba</t>
        </is>
      </c>
      <c r="E51" t="inlineStr">
        <is>
          <t>Curry Leaf</t>
        </is>
      </c>
      <c r="F51" t="inlineStr">
        <is>
          <t>Not needed</t>
        </is>
      </c>
      <c r="G51" t="inlineStr">
        <is>
          <t>same cluster; lower safety burden; similarity-backed</t>
        </is>
      </c>
      <c r="H51" t="inlineStr">
        <is>
          <t>Metabolic</t>
        </is>
      </c>
    </row>
    <row r="52">
      <c r="A52" t="inlineStr">
        <is>
          <t>Pomegranate</t>
        </is>
      </c>
      <c r="B52" t="inlineStr">
        <is>
          <t>Baseline</t>
        </is>
      </c>
      <c r="C52" t="inlineStr">
        <is>
          <t>No</t>
        </is>
      </c>
      <c r="D52" t="inlineStr">
        <is>
          <t>Blue Lotus</t>
        </is>
      </c>
      <c r="E52" t="inlineStr">
        <is>
          <t>Burdock</t>
        </is>
      </c>
      <c r="F52" t="inlineStr">
        <is>
          <t>Not needed</t>
        </is>
      </c>
      <c r="G52" t="inlineStr">
        <is>
          <t>same cluster; lower safety burden; similarity-backed</t>
        </is>
      </c>
      <c r="H52" t="inlineStr">
        <is>
          <t>Generalist</t>
        </is>
      </c>
    </row>
    <row r="53">
      <c r="A53" t="inlineStr">
        <is>
          <t>Moringa</t>
        </is>
      </c>
      <c r="B53" t="inlineStr">
        <is>
          <t>Baseline</t>
        </is>
      </c>
      <c r="C53" t="inlineStr">
        <is>
          <t>No</t>
        </is>
      </c>
      <c r="D53" t="inlineStr">
        <is>
          <t>Ashitaba</t>
        </is>
      </c>
      <c r="E53" t="inlineStr">
        <is>
          <t>Banaba</t>
        </is>
      </c>
      <c r="F53" t="inlineStr">
        <is>
          <t>Not needed</t>
        </is>
      </c>
      <c r="G53" t="inlineStr">
        <is>
          <t>same cluster; lower safety burden; similarity-backed</t>
        </is>
      </c>
      <c r="H53" t="inlineStr">
        <is>
          <t>Metabolic</t>
        </is>
      </c>
    </row>
    <row r="54">
      <c r="A54" t="inlineStr">
        <is>
          <t>Arjuna</t>
        </is>
      </c>
      <c r="B54" t="inlineStr">
        <is>
          <t>Baseline</t>
        </is>
      </c>
      <c r="C54" t="inlineStr">
        <is>
          <t>No</t>
        </is>
      </c>
      <c r="F54" t="inlineStr">
        <is>
          <t>Not needed</t>
        </is>
      </c>
      <c r="G54" t="inlineStr">
        <is>
          <t>no strong safe fallback found</t>
        </is>
      </c>
      <c r="H54" t="inlineStr">
        <is>
          <t>Circulation / Vascular</t>
        </is>
      </c>
    </row>
    <row r="55">
      <c r="A55" t="inlineStr">
        <is>
          <t>Noni</t>
        </is>
      </c>
      <c r="B55" t="inlineStr">
        <is>
          <t>Baseline</t>
        </is>
      </c>
      <c r="C55" t="inlineStr">
        <is>
          <t>No</t>
        </is>
      </c>
      <c r="D55" t="inlineStr">
        <is>
          <t>Blue Lotus</t>
        </is>
      </c>
      <c r="E55" t="inlineStr">
        <is>
          <t>Burdock</t>
        </is>
      </c>
      <c r="F55" t="inlineStr">
        <is>
          <t>Not needed</t>
        </is>
      </c>
      <c r="G55" t="inlineStr">
        <is>
          <t>same cluster; lower safety burden; similarity-backed</t>
        </is>
      </c>
      <c r="H55" t="inlineStr">
        <is>
          <t>Generalist</t>
        </is>
      </c>
    </row>
    <row r="56">
      <c r="A56" t="inlineStr">
        <is>
          <t>Cranberry</t>
        </is>
      </c>
      <c r="B56" t="inlineStr">
        <is>
          <t>Baseline</t>
        </is>
      </c>
      <c r="C56" t="inlineStr">
        <is>
          <t>No</t>
        </is>
      </c>
      <c r="F56" t="inlineStr">
        <is>
          <t>Not needed</t>
        </is>
      </c>
      <c r="G56" t="inlineStr">
        <is>
          <t>no strong safe fallback found</t>
        </is>
      </c>
      <c r="H56" t="inlineStr">
        <is>
          <t>Generalist</t>
        </is>
      </c>
    </row>
    <row r="57">
      <c r="A57" t="inlineStr">
        <is>
          <t>Rose Hips</t>
        </is>
      </c>
      <c r="B57" t="inlineStr">
        <is>
          <t>Baseline</t>
        </is>
      </c>
      <c r="C57" t="inlineStr">
        <is>
          <t>No</t>
        </is>
      </c>
      <c r="D57" t="inlineStr">
        <is>
          <t>Blue Lotus</t>
        </is>
      </c>
      <c r="E57" t="inlineStr">
        <is>
          <t>Burdock</t>
        </is>
      </c>
      <c r="F57" t="inlineStr">
        <is>
          <t>Not needed</t>
        </is>
      </c>
      <c r="G57" t="inlineStr">
        <is>
          <t>same cluster; lower safety burden; similarity-backed</t>
        </is>
      </c>
      <c r="H57" t="inlineStr">
        <is>
          <t>Generalist</t>
        </is>
      </c>
    </row>
    <row r="58">
      <c r="A58" t="inlineStr">
        <is>
          <t>Juniper</t>
        </is>
      </c>
      <c r="B58" t="inlineStr">
        <is>
          <t>Baseline</t>
        </is>
      </c>
      <c r="C58" t="inlineStr">
        <is>
          <t>No</t>
        </is>
      </c>
      <c r="D58" t="inlineStr">
        <is>
          <t>Mangosteen</t>
        </is>
      </c>
      <c r="F58" t="inlineStr">
        <is>
          <t>Not needed</t>
        </is>
      </c>
      <c r="G58" t="inlineStr">
        <is>
          <t>same cluster; lower safety burden; similarity-backed</t>
        </is>
      </c>
      <c r="H58" t="inlineStr">
        <is>
          <t>Generalist</t>
        </is>
      </c>
    </row>
    <row r="59">
      <c r="A59" t="inlineStr">
        <is>
          <t>Myrtle</t>
        </is>
      </c>
      <c r="B59" t="inlineStr">
        <is>
          <t>Baseline</t>
        </is>
      </c>
      <c r="C59" t="inlineStr">
        <is>
          <t>No</t>
        </is>
      </c>
      <c r="D59" t="inlineStr">
        <is>
          <t>Blue Lotus</t>
        </is>
      </c>
      <c r="E59" t="inlineStr">
        <is>
          <t>Burdock</t>
        </is>
      </c>
      <c r="F59" t="inlineStr">
        <is>
          <t>Not needed</t>
        </is>
      </c>
      <c r="G59" t="inlineStr">
        <is>
          <t>same cluster; lower safety burden; similarity-backed</t>
        </is>
      </c>
      <c r="H59" t="inlineStr">
        <is>
          <t>Generalist</t>
        </is>
      </c>
    </row>
    <row r="60">
      <c r="A60" t="inlineStr">
        <is>
          <t>Acerola</t>
        </is>
      </c>
      <c r="B60" t="inlineStr">
        <is>
          <t>Baseline</t>
        </is>
      </c>
      <c r="C60" t="inlineStr">
        <is>
          <t>No</t>
        </is>
      </c>
      <c r="F60" t="inlineStr">
        <is>
          <t>Not needed</t>
        </is>
      </c>
      <c r="G60" t="inlineStr">
        <is>
          <t>no strong safe fallback found</t>
        </is>
      </c>
      <c r="H60" t="inlineStr">
        <is>
          <t>Generalist</t>
        </is>
      </c>
    </row>
    <row r="61">
      <c r="A61" t="inlineStr">
        <is>
          <t>Mangosteen</t>
        </is>
      </c>
      <c r="B61" t="inlineStr">
        <is>
          <t>Baseline</t>
        </is>
      </c>
      <c r="C61" t="inlineStr">
        <is>
          <t>No</t>
        </is>
      </c>
      <c r="D61" t="inlineStr">
        <is>
          <t>Juniper</t>
        </is>
      </c>
      <c r="F61" t="inlineStr">
        <is>
          <t>Not needed</t>
        </is>
      </c>
      <c r="G61" t="inlineStr">
        <is>
          <t>same cluster; lower safety burden; similarity-backed</t>
        </is>
      </c>
      <c r="H61" t="inlineStr">
        <is>
          <t>Generalist</t>
        </is>
      </c>
    </row>
    <row r="62">
      <c r="A62" t="inlineStr">
        <is>
          <t>Boldo</t>
        </is>
      </c>
      <c r="B62" t="inlineStr">
        <is>
          <t>Moderate</t>
        </is>
      </c>
      <c r="C62" t="inlineStr">
        <is>
          <t>No</t>
        </is>
      </c>
      <c r="D62" t="inlineStr">
        <is>
          <t>Agarikon</t>
        </is>
      </c>
      <c r="E62" t="inlineStr">
        <is>
          <t>Ajwain</t>
        </is>
      </c>
      <c r="F62" t="inlineStr">
        <is>
          <t>Optional</t>
        </is>
      </c>
      <c r="G62" t="inlineStr">
        <is>
          <t>same cluster; lower safety burden; similarity-backed</t>
        </is>
      </c>
      <c r="H62" t="inlineStr">
        <is>
          <t>Generalist</t>
        </is>
      </c>
    </row>
    <row r="63">
      <c r="A63" t="inlineStr">
        <is>
          <t>Suma</t>
        </is>
      </c>
      <c r="B63" t="inlineStr">
        <is>
          <t>Baseline</t>
        </is>
      </c>
      <c r="C63" t="inlineStr">
        <is>
          <t>No</t>
        </is>
      </c>
      <c r="D63" t="inlineStr">
        <is>
          <t>Holy Basil</t>
        </is>
      </c>
      <c r="F63" t="inlineStr">
        <is>
          <t>Not needed</t>
        </is>
      </c>
      <c r="G63" t="inlineStr">
        <is>
          <t>same cluster; similarity-backed</t>
        </is>
      </c>
      <c r="H63" t="inlineStr">
        <is>
          <t>Stress / Adaptogenic</t>
        </is>
      </c>
    </row>
    <row r="64">
      <c r="A64" t="inlineStr">
        <is>
          <t>Maral Root</t>
        </is>
      </c>
      <c r="B64" t="inlineStr">
        <is>
          <t>Baseline</t>
        </is>
      </c>
      <c r="C64" t="inlineStr">
        <is>
          <t>No</t>
        </is>
      </c>
      <c r="D64" t="inlineStr">
        <is>
          <t>Holy Basil</t>
        </is>
      </c>
      <c r="F64" t="inlineStr">
        <is>
          <t>Not needed</t>
        </is>
      </c>
      <c r="G64" t="inlineStr">
        <is>
          <t>same cluster; similarity-backed</t>
        </is>
      </c>
      <c r="H64" t="inlineStr">
        <is>
          <t>Stress / Adaptogenic</t>
        </is>
      </c>
    </row>
    <row r="65">
      <c r="A65" t="inlineStr">
        <is>
          <t>Jatamansi</t>
        </is>
      </c>
      <c r="B65" t="inlineStr">
        <is>
          <t>Baseline</t>
        </is>
      </c>
      <c r="C65" t="inlineStr">
        <is>
          <t>No</t>
        </is>
      </c>
      <c r="D65" t="inlineStr">
        <is>
          <t>Agarikon</t>
        </is>
      </c>
      <c r="E65" t="inlineStr">
        <is>
          <t>Ajwain</t>
        </is>
      </c>
      <c r="F65" t="inlineStr">
        <is>
          <t>Not needed</t>
        </is>
      </c>
      <c r="G65" t="inlineStr">
        <is>
          <t>same cluster; lower safety burden; similarity-backed</t>
        </is>
      </c>
      <c r="H65" t="inlineStr">
        <is>
          <t>Generalist</t>
        </is>
      </c>
    </row>
    <row r="66">
      <c r="A66" t="inlineStr">
        <is>
          <t>Soursop</t>
        </is>
      </c>
      <c r="B66" t="inlineStr">
        <is>
          <t>Baseline</t>
        </is>
      </c>
      <c r="C66" t="inlineStr">
        <is>
          <t>No</t>
        </is>
      </c>
      <c r="D66" t="inlineStr">
        <is>
          <t>Blue Lotus</t>
        </is>
      </c>
      <c r="E66" t="inlineStr">
        <is>
          <t>Artichoke</t>
        </is>
      </c>
      <c r="F66" t="inlineStr">
        <is>
          <t>Not needed</t>
        </is>
      </c>
      <c r="G66" t="inlineStr">
        <is>
          <t>same cluster; lower safety burden; similarity-backed</t>
        </is>
      </c>
      <c r="H66" t="inlineStr">
        <is>
          <t>Generalist</t>
        </is>
      </c>
    </row>
    <row r="67">
      <c r="A67" t="inlineStr">
        <is>
          <t>Ashoka</t>
        </is>
      </c>
      <c r="B67" t="inlineStr">
        <is>
          <t>Baseline</t>
        </is>
      </c>
      <c r="C67" t="inlineStr">
        <is>
          <t>No</t>
        </is>
      </c>
      <c r="D67" t="inlineStr">
        <is>
          <t>Agarikon</t>
        </is>
      </c>
      <c r="E67" t="inlineStr">
        <is>
          <t>Ajwain</t>
        </is>
      </c>
      <c r="F67" t="inlineStr">
        <is>
          <t>Not needed</t>
        </is>
      </c>
      <c r="G67" t="inlineStr">
        <is>
          <t>same cluster; lower safety burden; similarity-backed</t>
        </is>
      </c>
      <c r="H67" t="inlineStr">
        <is>
          <t>Generalist</t>
        </is>
      </c>
    </row>
    <row r="68">
      <c r="A68" t="inlineStr">
        <is>
          <t>Shankhpushpi</t>
        </is>
      </c>
      <c r="B68" t="inlineStr">
        <is>
          <t>Baseline</t>
        </is>
      </c>
      <c r="C68" t="inlineStr">
        <is>
          <t>No</t>
        </is>
      </c>
      <c r="F68" t="inlineStr">
        <is>
          <t>Not needed</t>
        </is>
      </c>
      <c r="G68" t="inlineStr">
        <is>
          <t>no strong safe fallback found</t>
        </is>
      </c>
      <c r="H68" t="inlineStr">
        <is>
          <t>Neuro / Cognitive</t>
        </is>
      </c>
    </row>
    <row r="69">
      <c r="A69" t="inlineStr">
        <is>
          <t>Hops</t>
        </is>
      </c>
      <c r="B69" t="inlineStr">
        <is>
          <t>Baseline</t>
        </is>
      </c>
      <c r="C69" t="inlineStr">
        <is>
          <t>No</t>
        </is>
      </c>
      <c r="D69" t="inlineStr">
        <is>
          <t>Agarikon</t>
        </is>
      </c>
      <c r="E69" t="inlineStr">
        <is>
          <t>Ajwain</t>
        </is>
      </c>
      <c r="F69" t="inlineStr">
        <is>
          <t>Not needed</t>
        </is>
      </c>
      <c r="G69" t="inlineStr">
        <is>
          <t>same cluster; lower safety burden; similarity-backed</t>
        </is>
      </c>
      <c r="H69" t="inlineStr">
        <is>
          <t>Generalist</t>
        </is>
      </c>
    </row>
    <row r="70">
      <c r="A70" t="inlineStr">
        <is>
          <t>Lemongrass</t>
        </is>
      </c>
      <c r="B70" t="inlineStr">
        <is>
          <t>Baseline</t>
        </is>
      </c>
      <c r="C70" t="inlineStr">
        <is>
          <t>No</t>
        </is>
      </c>
      <c r="D70" t="inlineStr">
        <is>
          <t>Ashoka</t>
        </is>
      </c>
      <c r="E70" t="inlineStr">
        <is>
          <t>Blue Lotus</t>
        </is>
      </c>
      <c r="F70" t="inlineStr">
        <is>
          <t>Not needed</t>
        </is>
      </c>
      <c r="G70" t="inlineStr">
        <is>
          <t>same cluster; lower safety burden; similarity-backed</t>
        </is>
      </c>
      <c r="H70" t="inlineStr">
        <is>
          <t>Generalist</t>
        </is>
      </c>
    </row>
    <row r="71">
      <c r="A71" t="inlineStr">
        <is>
          <t>Perilla</t>
        </is>
      </c>
      <c r="B71" t="inlineStr">
        <is>
          <t>Baseline</t>
        </is>
      </c>
      <c r="C71" t="inlineStr">
        <is>
          <t>No</t>
        </is>
      </c>
      <c r="D71" t="inlineStr">
        <is>
          <t>Ashoka</t>
        </is>
      </c>
      <c r="E71" t="inlineStr">
        <is>
          <t>Blue Lotus</t>
        </is>
      </c>
      <c r="F71" t="inlineStr">
        <is>
          <t>Not needed</t>
        </is>
      </c>
      <c r="G71" t="inlineStr">
        <is>
          <t>same cluster; lower safety burden; similarity-backed</t>
        </is>
      </c>
      <c r="H71" t="inlineStr">
        <is>
          <t>Generalist</t>
        </is>
      </c>
    </row>
    <row r="72">
      <c r="A72" t="inlineStr">
        <is>
          <t>Carob</t>
        </is>
      </c>
      <c r="B72" t="inlineStr">
        <is>
          <t>Baseline</t>
        </is>
      </c>
      <c r="C72" t="inlineStr">
        <is>
          <t>No</t>
        </is>
      </c>
      <c r="F72" t="inlineStr">
        <is>
          <t>Not needed</t>
        </is>
      </c>
      <c r="G72" t="inlineStr">
        <is>
          <t>no strong safe fallback found</t>
        </is>
      </c>
      <c r="H72" t="inlineStr">
        <is>
          <t>Metabolic</t>
        </is>
      </c>
    </row>
    <row r="73">
      <c r="A73" t="inlineStr">
        <is>
          <t>Danshen</t>
        </is>
      </c>
      <c r="B73" t="inlineStr">
        <is>
          <t>Moderate</t>
        </is>
      </c>
      <c r="C73" t="inlineStr">
        <is>
          <t>No</t>
        </is>
      </c>
      <c r="F73" t="inlineStr">
        <is>
          <t>Optional</t>
        </is>
      </c>
      <c r="G73" t="inlineStr">
        <is>
          <t>no strong safe fallback found</t>
        </is>
      </c>
      <c r="H73" t="inlineStr">
        <is>
          <t>Generalist</t>
        </is>
      </c>
    </row>
    <row r="74">
      <c r="A74" t="inlineStr">
        <is>
          <t>Eucommia</t>
        </is>
      </c>
      <c r="B74" t="inlineStr">
        <is>
          <t>Baseline</t>
        </is>
      </c>
      <c r="C74" t="inlineStr">
        <is>
          <t>No</t>
        </is>
      </c>
      <c r="D74" t="inlineStr">
        <is>
          <t>Ashitaba</t>
        </is>
      </c>
      <c r="E74" t="inlineStr">
        <is>
          <t>Banaba</t>
        </is>
      </c>
      <c r="F74" t="inlineStr">
        <is>
          <t>Not needed</t>
        </is>
      </c>
      <c r="G74" t="inlineStr">
        <is>
          <t>same cluster; lower safety burden; similarity-backed</t>
        </is>
      </c>
      <c r="H74" t="inlineStr">
        <is>
          <t>Metabolic</t>
        </is>
      </c>
    </row>
    <row r="75">
      <c r="A75" t="inlineStr">
        <is>
          <t>Cistanche</t>
        </is>
      </c>
      <c r="B75" t="inlineStr">
        <is>
          <t>Baseline</t>
        </is>
      </c>
      <c r="C75" t="inlineStr">
        <is>
          <t>No</t>
        </is>
      </c>
      <c r="D75" t="inlineStr">
        <is>
          <t>Agarikon</t>
        </is>
      </c>
      <c r="E75" t="inlineStr">
        <is>
          <t>Ajwain</t>
        </is>
      </c>
      <c r="F75" t="inlineStr">
        <is>
          <t>Not needed</t>
        </is>
      </c>
      <c r="G75" t="inlineStr">
        <is>
          <t>same cluster; lower safety burden; similarity-backed</t>
        </is>
      </c>
      <c r="H75" t="inlineStr">
        <is>
          <t>Generalist</t>
        </is>
      </c>
    </row>
    <row r="76">
      <c r="A76" t="inlineStr">
        <is>
          <t>Jujube</t>
        </is>
      </c>
      <c r="B76" t="inlineStr">
        <is>
          <t>Baseline</t>
        </is>
      </c>
      <c r="C76" t="inlineStr">
        <is>
          <t>No</t>
        </is>
      </c>
      <c r="F76" t="inlineStr">
        <is>
          <t>Not needed</t>
        </is>
      </c>
      <c r="G76" t="inlineStr">
        <is>
          <t>no strong safe fallback found</t>
        </is>
      </c>
      <c r="H76" t="inlineStr">
        <is>
          <t>Generalist</t>
        </is>
      </c>
    </row>
    <row r="77">
      <c r="A77" t="inlineStr">
        <is>
          <t>Longan</t>
        </is>
      </c>
      <c r="B77" t="inlineStr">
        <is>
          <t>Baseline</t>
        </is>
      </c>
      <c r="C77" t="inlineStr">
        <is>
          <t>No</t>
        </is>
      </c>
      <c r="D77" t="inlineStr">
        <is>
          <t>Ashoka</t>
        </is>
      </c>
      <c r="E77" t="inlineStr">
        <is>
          <t>Blue Lotus</t>
        </is>
      </c>
      <c r="F77" t="inlineStr">
        <is>
          <t>Not needed</t>
        </is>
      </c>
      <c r="G77" t="inlineStr">
        <is>
          <t>same cluster; lower safety burden; similarity-backed</t>
        </is>
      </c>
      <c r="H77" t="inlineStr">
        <is>
          <t>Generalist</t>
        </is>
      </c>
    </row>
    <row r="78">
      <c r="A78" t="inlineStr">
        <is>
          <t>Polygala</t>
        </is>
      </c>
      <c r="B78" t="inlineStr">
        <is>
          <t>Baseline</t>
        </is>
      </c>
      <c r="C78" t="inlineStr">
        <is>
          <t>No</t>
        </is>
      </c>
      <c r="F78" t="inlineStr">
        <is>
          <t>Not needed</t>
        </is>
      </c>
      <c r="G78" t="inlineStr">
        <is>
          <t>no strong safe fallback found</t>
        </is>
      </c>
      <c r="H78" t="inlineStr">
        <is>
          <t>Neuro / Cognitive</t>
        </is>
      </c>
    </row>
    <row r="79">
      <c r="A79" t="inlineStr">
        <is>
          <t>Gastrodia</t>
        </is>
      </c>
      <c r="B79" t="inlineStr">
        <is>
          <t>Baseline</t>
        </is>
      </c>
      <c r="C79" t="inlineStr">
        <is>
          <t>No</t>
        </is>
      </c>
      <c r="D79" t="inlineStr">
        <is>
          <t>Agarikon</t>
        </is>
      </c>
      <c r="E79" t="inlineStr">
        <is>
          <t>Ajwain</t>
        </is>
      </c>
      <c r="F79" t="inlineStr">
        <is>
          <t>Not needed</t>
        </is>
      </c>
      <c r="G79" t="inlineStr">
        <is>
          <t>same cluster; lower safety burden; similarity-backed</t>
        </is>
      </c>
      <c r="H79" t="inlineStr">
        <is>
          <t>Generalist</t>
        </is>
      </c>
    </row>
    <row r="80">
      <c r="A80" t="inlineStr">
        <is>
          <t>White Peony</t>
        </is>
      </c>
      <c r="B80" t="inlineStr">
        <is>
          <t>Baseline</t>
        </is>
      </c>
      <c r="C80" t="inlineStr">
        <is>
          <t>No</t>
        </is>
      </c>
      <c r="D80" t="inlineStr">
        <is>
          <t>Ashoka</t>
        </is>
      </c>
      <c r="E80" t="inlineStr">
        <is>
          <t>Blue Lotus</t>
        </is>
      </c>
      <c r="F80" t="inlineStr">
        <is>
          <t>Not needed</t>
        </is>
      </c>
      <c r="G80" t="inlineStr">
        <is>
          <t>same cluster; lower safety burden; similarity-backed</t>
        </is>
      </c>
      <c r="H80" t="inlineStr">
        <is>
          <t>Generalist</t>
        </is>
      </c>
    </row>
    <row r="81">
      <c r="A81" t="inlineStr">
        <is>
          <t>Bupleurum</t>
        </is>
      </c>
      <c r="B81" t="inlineStr">
        <is>
          <t>Moderate</t>
        </is>
      </c>
      <c r="C81" t="inlineStr">
        <is>
          <t>No</t>
        </is>
      </c>
      <c r="F81" t="inlineStr">
        <is>
          <t>Optional</t>
        </is>
      </c>
      <c r="G81" t="inlineStr">
        <is>
          <t>no strong safe fallback found</t>
        </is>
      </c>
      <c r="H81" t="inlineStr">
        <is>
          <t>Generalist</t>
        </is>
      </c>
    </row>
    <row r="82">
      <c r="A82" t="inlineStr">
        <is>
          <t>Codonopsis</t>
        </is>
      </c>
      <c r="B82" t="inlineStr">
        <is>
          <t>Baseline</t>
        </is>
      </c>
      <c r="C82" t="inlineStr">
        <is>
          <t>No</t>
        </is>
      </c>
      <c r="F82" t="inlineStr">
        <is>
          <t>Not needed</t>
        </is>
      </c>
      <c r="G82" t="inlineStr">
        <is>
          <t>no strong safe fallback found</t>
        </is>
      </c>
      <c r="H82" t="inlineStr">
        <is>
          <t>Generalist</t>
        </is>
      </c>
    </row>
    <row r="83">
      <c r="A83" t="inlineStr">
        <is>
          <t>Dendrobium</t>
        </is>
      </c>
      <c r="B83" t="inlineStr">
        <is>
          <t>Baseline</t>
        </is>
      </c>
      <c r="C83" t="inlineStr">
        <is>
          <t>No</t>
        </is>
      </c>
      <c r="D83" t="inlineStr">
        <is>
          <t>Agarikon</t>
        </is>
      </c>
      <c r="E83" t="inlineStr">
        <is>
          <t>Ajwain</t>
        </is>
      </c>
      <c r="F83" t="inlineStr">
        <is>
          <t>Not needed</t>
        </is>
      </c>
      <c r="G83" t="inlineStr">
        <is>
          <t>same cluster; lower safety burden; similarity-backed</t>
        </is>
      </c>
      <c r="H83" t="inlineStr">
        <is>
          <t>Generalist</t>
        </is>
      </c>
    </row>
    <row r="84">
      <c r="A84" t="inlineStr">
        <is>
          <t>Ophiopogon</t>
        </is>
      </c>
      <c r="B84" t="inlineStr">
        <is>
          <t>Baseline</t>
        </is>
      </c>
      <c r="C84" t="inlineStr">
        <is>
          <t>No</t>
        </is>
      </c>
      <c r="F84" t="inlineStr">
        <is>
          <t>Not needed</t>
        </is>
      </c>
      <c r="G84" t="inlineStr">
        <is>
          <t>no strong safe fallback found</t>
        </is>
      </c>
      <c r="H84" t="inlineStr">
        <is>
          <t>Generalist</t>
        </is>
      </c>
    </row>
    <row r="85">
      <c r="A85" t="inlineStr">
        <is>
          <t>Houttuynia</t>
        </is>
      </c>
      <c r="B85" t="inlineStr">
        <is>
          <t>Baseline</t>
        </is>
      </c>
      <c r="C85" t="inlineStr">
        <is>
          <t>No</t>
        </is>
      </c>
      <c r="D85" t="inlineStr">
        <is>
          <t>Agarikon</t>
        </is>
      </c>
      <c r="E85" t="inlineStr">
        <is>
          <t>Ajwain</t>
        </is>
      </c>
      <c r="F85" t="inlineStr">
        <is>
          <t>Not needed</t>
        </is>
      </c>
      <c r="G85" t="inlineStr">
        <is>
          <t>same cluster; lower safety burden; similarity-backed</t>
        </is>
      </c>
      <c r="H85" t="inlineStr">
        <is>
          <t>Generalist</t>
        </is>
      </c>
    </row>
    <row r="86">
      <c r="A86" t="inlineStr">
        <is>
          <t>Isatis</t>
        </is>
      </c>
      <c r="B86" t="inlineStr">
        <is>
          <t>Baseline</t>
        </is>
      </c>
      <c r="C86" t="inlineStr">
        <is>
          <t>No</t>
        </is>
      </c>
      <c r="D86" t="inlineStr">
        <is>
          <t>Agarikon</t>
        </is>
      </c>
      <c r="E86" t="inlineStr">
        <is>
          <t>Ajwain</t>
        </is>
      </c>
      <c r="F86" t="inlineStr">
        <is>
          <t>Not needed</t>
        </is>
      </c>
      <c r="G86" t="inlineStr">
        <is>
          <t>same cluster; lower safety burden; similarity-backed</t>
        </is>
      </c>
      <c r="H86" t="inlineStr">
        <is>
          <t>Generalist</t>
        </is>
      </c>
    </row>
    <row r="87">
      <c r="A87" t="inlineStr">
        <is>
          <t>Sophora Flavescens</t>
        </is>
      </c>
      <c r="B87" t="inlineStr">
        <is>
          <t>Baseline</t>
        </is>
      </c>
      <c r="C87" t="inlineStr">
        <is>
          <t>No</t>
        </is>
      </c>
      <c r="D87" t="inlineStr">
        <is>
          <t>Ashoka</t>
        </is>
      </c>
      <c r="E87" t="inlineStr">
        <is>
          <t>Blue Lotus</t>
        </is>
      </c>
      <c r="F87" t="inlineStr">
        <is>
          <t>Not needed</t>
        </is>
      </c>
      <c r="G87" t="inlineStr">
        <is>
          <t>same cluster; lower safety burden; similarity-backed</t>
        </is>
      </c>
      <c r="H87" t="inlineStr">
        <is>
          <t>Generalist</t>
        </is>
      </c>
    </row>
    <row r="88">
      <c r="A88" t="inlineStr">
        <is>
          <t>Notoginseng</t>
        </is>
      </c>
      <c r="B88" t="inlineStr">
        <is>
          <t>Moderate</t>
        </is>
      </c>
      <c r="C88" t="inlineStr">
        <is>
          <t>No</t>
        </is>
      </c>
      <c r="F88" t="inlineStr">
        <is>
          <t>Optional</t>
        </is>
      </c>
      <c r="G88" t="inlineStr">
        <is>
          <t>no strong safe fallback found</t>
        </is>
      </c>
      <c r="H88" t="inlineStr">
        <is>
          <t>Inflammation / Recovery</t>
        </is>
      </c>
    </row>
    <row r="89">
      <c r="A89" t="inlineStr">
        <is>
          <t>Luo Han Guo</t>
        </is>
      </c>
      <c r="B89" t="inlineStr">
        <is>
          <t>Baseline</t>
        </is>
      </c>
      <c r="C89" t="inlineStr">
        <is>
          <t>No</t>
        </is>
      </c>
      <c r="F89" t="inlineStr">
        <is>
          <t>Not needed</t>
        </is>
      </c>
      <c r="G89" t="inlineStr">
        <is>
          <t>no strong safe fallback found</t>
        </is>
      </c>
      <c r="H89" t="inlineStr">
        <is>
          <t>Generalist</t>
        </is>
      </c>
    </row>
    <row r="90">
      <c r="A90" t="inlineStr">
        <is>
          <t>Kuding Tea</t>
        </is>
      </c>
      <c r="B90" t="inlineStr">
        <is>
          <t>Baseline</t>
        </is>
      </c>
      <c r="C90" t="inlineStr">
        <is>
          <t>No</t>
        </is>
      </c>
      <c r="D90" t="inlineStr">
        <is>
          <t>Ashitaba</t>
        </is>
      </c>
      <c r="E90" t="inlineStr">
        <is>
          <t>Banaba</t>
        </is>
      </c>
      <c r="F90" t="inlineStr">
        <is>
          <t>Not needed</t>
        </is>
      </c>
      <c r="G90" t="inlineStr">
        <is>
          <t>same cluster; lower safety burden; similarity-backed</t>
        </is>
      </c>
      <c r="H90" t="inlineStr">
        <is>
          <t>Metabolic</t>
        </is>
      </c>
    </row>
    <row r="91">
      <c r="A91" t="inlineStr">
        <is>
          <t>Atractylodes</t>
        </is>
      </c>
      <c r="B91" t="inlineStr">
        <is>
          <t>Baseline</t>
        </is>
      </c>
      <c r="C91" t="inlineStr">
        <is>
          <t>No</t>
        </is>
      </c>
      <c r="F91" t="inlineStr">
        <is>
          <t>Not needed</t>
        </is>
      </c>
      <c r="G91" t="inlineStr">
        <is>
          <t>no strong safe fallback found</t>
        </is>
      </c>
      <c r="H91" t="inlineStr">
        <is>
          <t>Generalist</t>
        </is>
      </c>
    </row>
    <row r="92">
      <c r="A92" t="inlineStr">
        <is>
          <t>Schisandra Berry</t>
        </is>
      </c>
      <c r="B92" t="inlineStr">
        <is>
          <t>Moderate</t>
        </is>
      </c>
      <c r="C92" t="inlineStr">
        <is>
          <t>No</t>
        </is>
      </c>
      <c r="F92" t="inlineStr">
        <is>
          <t>Optional</t>
        </is>
      </c>
      <c r="G92" t="inlineStr">
        <is>
          <t>no strong safe fallback found</t>
        </is>
      </c>
      <c r="H92" t="inlineStr">
        <is>
          <t>Stress / Adaptogenic</t>
        </is>
      </c>
    </row>
    <row r="93">
      <c r="A93" t="inlineStr">
        <is>
          <t>Catuba</t>
        </is>
      </c>
      <c r="B93" t="inlineStr">
        <is>
          <t>Baseline</t>
        </is>
      </c>
      <c r="C93" t="inlineStr">
        <is>
          <t>No</t>
        </is>
      </c>
      <c r="F93" t="inlineStr">
        <is>
          <t>Not needed</t>
        </is>
      </c>
      <c r="G93" t="inlineStr">
        <is>
          <t>no strong safe fallback found</t>
        </is>
      </c>
      <c r="H93" t="inlineStr">
        <is>
          <t>Generalist</t>
        </is>
      </c>
    </row>
    <row r="94">
      <c r="A94" t="inlineStr">
        <is>
          <t>Muira Puama</t>
        </is>
      </c>
      <c r="B94" t="inlineStr">
        <is>
          <t>Baseline</t>
        </is>
      </c>
      <c r="C94" t="inlineStr">
        <is>
          <t>No</t>
        </is>
      </c>
      <c r="D94" t="inlineStr">
        <is>
          <t>Ashoka</t>
        </is>
      </c>
      <c r="E94" t="inlineStr">
        <is>
          <t>Nettle Root</t>
        </is>
      </c>
      <c r="F94" t="inlineStr">
        <is>
          <t>Not needed</t>
        </is>
      </c>
      <c r="G94" t="inlineStr">
        <is>
          <t>same cluster; lower safety burden; similarity-backed</t>
        </is>
      </c>
      <c r="H94" t="inlineStr">
        <is>
          <t>Generalist</t>
        </is>
      </c>
    </row>
    <row r="95">
      <c r="A95" t="inlineStr">
        <is>
          <t>Maitake D-Fraction</t>
        </is>
      </c>
      <c r="B95" t="inlineStr">
        <is>
          <t>Baseline</t>
        </is>
      </c>
      <c r="C95" t="inlineStr">
        <is>
          <t>No</t>
        </is>
      </c>
      <c r="D95" t="inlineStr">
        <is>
          <t>Ashoka</t>
        </is>
      </c>
      <c r="E95" t="inlineStr">
        <is>
          <t>Reishi</t>
        </is>
      </c>
      <c r="F95" t="inlineStr">
        <is>
          <t>Not needed</t>
        </is>
      </c>
      <c r="G95" t="inlineStr">
        <is>
          <t>same cluster; lower safety burden; similarity-backed</t>
        </is>
      </c>
      <c r="H95" t="inlineStr">
        <is>
          <t>Generalist</t>
        </is>
      </c>
    </row>
    <row r="96">
      <c r="A96" t="inlineStr">
        <is>
          <t>Poria</t>
        </is>
      </c>
      <c r="B96" t="inlineStr">
        <is>
          <t>Baseline</t>
        </is>
      </c>
      <c r="C96" t="inlineStr">
        <is>
          <t>No</t>
        </is>
      </c>
      <c r="D96" t="inlineStr">
        <is>
          <t>Ashoka</t>
        </is>
      </c>
      <c r="E96" t="inlineStr">
        <is>
          <t>Blue Lotus</t>
        </is>
      </c>
      <c r="F96" t="inlineStr">
        <is>
          <t>Not needed</t>
        </is>
      </c>
      <c r="G96" t="inlineStr">
        <is>
          <t>same cluster; lower safety burden; similarity-backed</t>
        </is>
      </c>
      <c r="H96" t="inlineStr">
        <is>
          <t>Generalist</t>
        </is>
      </c>
    </row>
    <row r="97">
      <c r="A97" t="inlineStr">
        <is>
          <t>Rehmannia Prepared</t>
        </is>
      </c>
      <c r="B97" t="inlineStr">
        <is>
          <t>Baseline</t>
        </is>
      </c>
      <c r="C97" t="inlineStr">
        <is>
          <t>No</t>
        </is>
      </c>
      <c r="D97" t="inlineStr">
        <is>
          <t>Ashoka</t>
        </is>
      </c>
      <c r="E97" t="inlineStr">
        <is>
          <t>Blue Lotus</t>
        </is>
      </c>
      <c r="F97" t="inlineStr">
        <is>
          <t>Not needed</t>
        </is>
      </c>
      <c r="G97" t="inlineStr">
        <is>
          <t>same cluster; lower safety burden; similarity-backed</t>
        </is>
      </c>
      <c r="H97" t="inlineStr">
        <is>
          <t>Generalist</t>
        </is>
      </c>
    </row>
    <row r="98">
      <c r="A98" t="inlineStr">
        <is>
          <t>Agarikon</t>
        </is>
      </c>
      <c r="B98" t="inlineStr">
        <is>
          <t>Baseline</t>
        </is>
      </c>
      <c r="C98" t="inlineStr">
        <is>
          <t>No</t>
        </is>
      </c>
      <c r="D98" t="inlineStr">
        <is>
          <t>Ajwain</t>
        </is>
      </c>
      <c r="E98" t="inlineStr">
        <is>
          <t>Angelica Root</t>
        </is>
      </c>
      <c r="F98" t="inlineStr">
        <is>
          <t>Not needed</t>
        </is>
      </c>
      <c r="G98" t="inlineStr">
        <is>
          <t>same cluster; lower safety burden; similarity-backed</t>
        </is>
      </c>
      <c r="H98" t="inlineStr">
        <is>
          <t>Generalist</t>
        </is>
      </c>
    </row>
    <row r="99">
      <c r="A99" t="inlineStr">
        <is>
          <t>Elecampane</t>
        </is>
      </c>
      <c r="B99" t="inlineStr">
        <is>
          <t>Baseline</t>
        </is>
      </c>
      <c r="C99" t="inlineStr">
        <is>
          <t>No</t>
        </is>
      </c>
      <c r="D99" t="inlineStr">
        <is>
          <t>Agarikon</t>
        </is>
      </c>
      <c r="E99" t="inlineStr">
        <is>
          <t>Ajwain</t>
        </is>
      </c>
      <c r="F99" t="inlineStr">
        <is>
          <t>Not needed</t>
        </is>
      </c>
      <c r="G99" t="inlineStr">
        <is>
          <t>same cluster; lower safety burden; similarity-backed</t>
        </is>
      </c>
      <c r="H99" t="inlineStr">
        <is>
          <t>Generalist</t>
        </is>
      </c>
    </row>
    <row r="100">
      <c r="A100" t="inlineStr">
        <is>
          <t>Angelica Root</t>
        </is>
      </c>
      <c r="B100" t="inlineStr">
        <is>
          <t>Baseline</t>
        </is>
      </c>
      <c r="C100" t="inlineStr">
        <is>
          <t>No</t>
        </is>
      </c>
      <c r="D100" t="inlineStr">
        <is>
          <t>Agarikon</t>
        </is>
      </c>
      <c r="E100" t="inlineStr">
        <is>
          <t>Ajwain</t>
        </is>
      </c>
      <c r="F100" t="inlineStr">
        <is>
          <t>Not needed</t>
        </is>
      </c>
      <c r="G100" t="inlineStr">
        <is>
          <t>same cluster; lower safety burden; similarity-backed</t>
        </is>
      </c>
      <c r="H100" t="inlineStr">
        <is>
          <t>Generalist</t>
        </is>
      </c>
    </row>
    <row r="101">
      <c r="A101" t="inlineStr">
        <is>
          <t>Galangal</t>
        </is>
      </c>
      <c r="B101" t="inlineStr">
        <is>
          <t>Baseline</t>
        </is>
      </c>
      <c r="C101" t="inlineStr">
        <is>
          <t>No</t>
        </is>
      </c>
      <c r="D101" t="inlineStr">
        <is>
          <t>Agarikon</t>
        </is>
      </c>
      <c r="E101" t="inlineStr">
        <is>
          <t>Ajwain</t>
        </is>
      </c>
      <c r="F101" t="inlineStr">
        <is>
          <t>Not needed</t>
        </is>
      </c>
      <c r="G101" t="inlineStr">
        <is>
          <t>same cluster; lower safety burden; similarity-backed</t>
        </is>
      </c>
      <c r="H101" t="inlineStr">
        <is>
          <t>Generalist</t>
        </is>
      </c>
    </row>
    <row r="102">
      <c r="A102" t="inlineStr">
        <is>
          <t>Black Pepper</t>
        </is>
      </c>
      <c r="B102" t="inlineStr">
        <is>
          <t>Baseline</t>
        </is>
      </c>
      <c r="C102" t="inlineStr">
        <is>
          <t>No</t>
        </is>
      </c>
      <c r="F102" t="inlineStr">
        <is>
          <t>Not needed</t>
        </is>
      </c>
      <c r="G102" t="inlineStr">
        <is>
          <t>no strong safe fallback found</t>
        </is>
      </c>
      <c r="H102" t="inlineStr">
        <is>
          <t>Metabolic</t>
        </is>
      </c>
    </row>
    <row r="103">
      <c r="A103" t="inlineStr">
        <is>
          <t>Cardamom</t>
        </is>
      </c>
      <c r="B103" t="inlineStr">
        <is>
          <t>Baseline</t>
        </is>
      </c>
      <c r="C103" t="inlineStr">
        <is>
          <t>No</t>
        </is>
      </c>
      <c r="D103" t="inlineStr">
        <is>
          <t>Agarikon</t>
        </is>
      </c>
      <c r="E103" t="inlineStr">
        <is>
          <t>Ajwain</t>
        </is>
      </c>
      <c r="F103" t="inlineStr">
        <is>
          <t>Not needed</t>
        </is>
      </c>
      <c r="G103" t="inlineStr">
        <is>
          <t>same cluster; lower safety burden; similarity-backed</t>
        </is>
      </c>
      <c r="H103" t="inlineStr">
        <is>
          <t>Generalist</t>
        </is>
      </c>
    </row>
    <row r="104">
      <c r="A104" t="inlineStr">
        <is>
          <t>Holy Basil Seed</t>
        </is>
      </c>
      <c r="B104" t="inlineStr">
        <is>
          <t>Baseline</t>
        </is>
      </c>
      <c r="C104" t="inlineStr">
        <is>
          <t>No</t>
        </is>
      </c>
      <c r="F104" t="inlineStr">
        <is>
          <t>Not needed</t>
        </is>
      </c>
      <c r="G104" t="inlineStr">
        <is>
          <t>no strong safe fallback found</t>
        </is>
      </c>
      <c r="H104" t="inlineStr">
        <is>
          <t>Generalist</t>
        </is>
      </c>
    </row>
    <row r="105">
      <c r="A105" t="inlineStr">
        <is>
          <t>Psyllium</t>
        </is>
      </c>
      <c r="B105" t="inlineStr">
        <is>
          <t>Baseline</t>
        </is>
      </c>
      <c r="C105" t="inlineStr">
        <is>
          <t>No</t>
        </is>
      </c>
      <c r="F105" t="inlineStr">
        <is>
          <t>Not needed</t>
        </is>
      </c>
      <c r="G105" t="inlineStr">
        <is>
          <t>no strong safe fallback found</t>
        </is>
      </c>
      <c r="H105" t="inlineStr">
        <is>
          <t>Metabolic</t>
        </is>
      </c>
    </row>
    <row r="106">
      <c r="A106" t="inlineStr">
        <is>
          <t>Caraway</t>
        </is>
      </c>
      <c r="B106" t="inlineStr">
        <is>
          <t>Baseline</t>
        </is>
      </c>
      <c r="C106" t="inlineStr">
        <is>
          <t>No</t>
        </is>
      </c>
      <c r="D106" t="inlineStr">
        <is>
          <t>Agarikon</t>
        </is>
      </c>
      <c r="E106" t="inlineStr">
        <is>
          <t>Ajwain</t>
        </is>
      </c>
      <c r="F106" t="inlineStr">
        <is>
          <t>Not needed</t>
        </is>
      </c>
      <c r="G106" t="inlineStr">
        <is>
          <t>same cluster; lower safety burden; similarity-backed</t>
        </is>
      </c>
      <c r="H106" t="inlineStr">
        <is>
          <t>Generalist</t>
        </is>
      </c>
    </row>
    <row r="107">
      <c r="A107" t="inlineStr">
        <is>
          <t>Ajwain</t>
        </is>
      </c>
      <c r="B107" t="inlineStr">
        <is>
          <t>Baseline</t>
        </is>
      </c>
      <c r="C107" t="inlineStr">
        <is>
          <t>No</t>
        </is>
      </c>
      <c r="D107" t="inlineStr">
        <is>
          <t>Agarikon</t>
        </is>
      </c>
      <c r="E107" t="inlineStr">
        <is>
          <t>Rosemary</t>
        </is>
      </c>
      <c r="F107" t="inlineStr">
        <is>
          <t>Not needed</t>
        </is>
      </c>
      <c r="G107" t="inlineStr">
        <is>
          <t>same cluster; lower safety burden; similarity-backed</t>
        </is>
      </c>
      <c r="H107" t="inlineStr">
        <is>
          <t>Generalist</t>
        </is>
      </c>
    </row>
    <row r="108">
      <c r="A108" t="inlineStr">
        <is>
          <t>Holy Basil Purple</t>
        </is>
      </c>
      <c r="B108" t="inlineStr">
        <is>
          <t>Baseline</t>
        </is>
      </c>
      <c r="C108" t="inlineStr">
        <is>
          <t>No</t>
        </is>
      </c>
      <c r="D108" t="inlineStr">
        <is>
          <t>Rhodiola</t>
        </is>
      </c>
      <c r="E108" t="inlineStr">
        <is>
          <t>Holy Basil</t>
        </is>
      </c>
      <c r="F108" t="inlineStr">
        <is>
          <t>Not needed</t>
        </is>
      </c>
      <c r="G108" t="inlineStr">
        <is>
          <t>same cluster; lower safety burden; similarity-backed</t>
        </is>
      </c>
      <c r="H108" t="inlineStr">
        <is>
          <t>Stress / Adaptogenic</t>
        </is>
      </c>
    </row>
    <row r="109">
      <c r="A109" t="inlineStr">
        <is>
          <t>Curry Leaf</t>
        </is>
      </c>
      <c r="B109" t="inlineStr">
        <is>
          <t>Baseline</t>
        </is>
      </c>
      <c r="C109" t="inlineStr">
        <is>
          <t>No</t>
        </is>
      </c>
      <c r="D109" t="inlineStr">
        <is>
          <t>Ashitaba</t>
        </is>
      </c>
      <c r="E109" t="inlineStr">
        <is>
          <t>Banaba</t>
        </is>
      </c>
      <c r="F109" t="inlineStr">
        <is>
          <t>Not needed</t>
        </is>
      </c>
      <c r="G109" t="inlineStr">
        <is>
          <t>same cluster; lower safety burden; similarity-backed</t>
        </is>
      </c>
      <c r="H109" t="inlineStr">
        <is>
          <t>Metabolic</t>
        </is>
      </c>
    </row>
    <row r="110">
      <c r="A110" t="inlineStr">
        <is>
          <t>Gudmar</t>
        </is>
      </c>
      <c r="B110" t="inlineStr">
        <is>
          <t>Baseline</t>
        </is>
      </c>
      <c r="C110" t="inlineStr">
        <is>
          <t>No</t>
        </is>
      </c>
      <c r="D110" t="inlineStr">
        <is>
          <t>Agarikon</t>
        </is>
      </c>
      <c r="E110" t="inlineStr">
        <is>
          <t>Ajwain</t>
        </is>
      </c>
      <c r="F110" t="inlineStr">
        <is>
          <t>Not needed</t>
        </is>
      </c>
      <c r="G110" t="inlineStr">
        <is>
          <t>same cluster; lower safety burden; similarity-backed</t>
        </is>
      </c>
      <c r="H110" t="inlineStr">
        <is>
          <t>Generalist</t>
        </is>
      </c>
    </row>
    <row r="111">
      <c r="A111" t="inlineStr">
        <is>
          <t>Roselle Seed</t>
        </is>
      </c>
      <c r="B111" t="inlineStr">
        <is>
          <t>Baseline</t>
        </is>
      </c>
      <c r="C111" t="inlineStr">
        <is>
          <t>No</t>
        </is>
      </c>
      <c r="F111" t="inlineStr">
        <is>
          <t>Not needed</t>
        </is>
      </c>
      <c r="G111" t="inlineStr">
        <is>
          <t>no strong safe fallback found</t>
        </is>
      </c>
      <c r="H111" t="inlineStr">
        <is>
          <t>Stress / Adaptogenic</t>
        </is>
      </c>
    </row>
    <row r="112">
      <c r="A112" t="inlineStr">
        <is>
          <t>Tamarind</t>
        </is>
      </c>
      <c r="B112" t="inlineStr">
        <is>
          <t>Baseline</t>
        </is>
      </c>
      <c r="C112" t="inlineStr">
        <is>
          <t>No</t>
        </is>
      </c>
      <c r="D112" t="inlineStr">
        <is>
          <t>Agarikon</t>
        </is>
      </c>
      <c r="E112" t="inlineStr">
        <is>
          <t>Ajwain</t>
        </is>
      </c>
      <c r="F112" t="inlineStr">
        <is>
          <t>Not needed</t>
        </is>
      </c>
      <c r="G112" t="inlineStr">
        <is>
          <t>same cluster; lower safety burden; similarity-backed</t>
        </is>
      </c>
      <c r="H112" t="inlineStr">
        <is>
          <t>Generalist</t>
        </is>
      </c>
    </row>
    <row r="113">
      <c r="A113" t="inlineStr">
        <is>
          <t>Rhodiola</t>
        </is>
      </c>
      <c r="B113" t="inlineStr">
        <is>
          <t>Baseline</t>
        </is>
      </c>
      <c r="C113" t="inlineStr">
        <is>
          <t>No</t>
        </is>
      </c>
      <c r="D113" t="inlineStr">
        <is>
          <t>Holy Basil Purple</t>
        </is>
      </c>
      <c r="E113" t="inlineStr">
        <is>
          <t>Holy Basil</t>
        </is>
      </c>
      <c r="F113" t="inlineStr">
        <is>
          <t>Not needed</t>
        </is>
      </c>
      <c r="G113" t="inlineStr">
        <is>
          <t>same cluster; lower safety burden; similarity-backed</t>
        </is>
      </c>
      <c r="H113" t="inlineStr">
        <is>
          <t>Stress / Adaptogenic</t>
        </is>
      </c>
    </row>
    <row r="114">
      <c r="A114" t="inlineStr">
        <is>
          <t>Cordyceps</t>
        </is>
      </c>
      <c r="B114" t="inlineStr">
        <is>
          <t>Baseline</t>
        </is>
      </c>
      <c r="C114" t="inlineStr">
        <is>
          <t>No</t>
        </is>
      </c>
      <c r="D114" t="inlineStr">
        <is>
          <t>Agarikon</t>
        </is>
      </c>
      <c r="E114" t="inlineStr">
        <is>
          <t>Ajwain</t>
        </is>
      </c>
      <c r="F114" t="inlineStr">
        <is>
          <t>Not needed</t>
        </is>
      </c>
      <c r="G114" t="inlineStr">
        <is>
          <t>same cluster; lower safety burden; similarity-backed</t>
        </is>
      </c>
      <c r="H114" t="inlineStr">
        <is>
          <t>Generalist</t>
        </is>
      </c>
    </row>
    <row r="115">
      <c r="A115" t="inlineStr">
        <is>
          <t>Lion's Mane</t>
        </is>
      </c>
      <c r="B115" t="inlineStr">
        <is>
          <t>Baseline</t>
        </is>
      </c>
      <c r="C115" t="inlineStr">
        <is>
          <t>No</t>
        </is>
      </c>
      <c r="F115" t="inlineStr">
        <is>
          <t>Not needed</t>
        </is>
      </c>
      <c r="G115" t="inlineStr">
        <is>
          <t>no strong safe fallback found</t>
        </is>
      </c>
      <c r="H115" t="inlineStr">
        <is>
          <t>Generalist</t>
        </is>
      </c>
    </row>
    <row r="116">
      <c r="A116" t="inlineStr">
        <is>
          <t>Panax Ginseng</t>
        </is>
      </c>
      <c r="B116" t="inlineStr">
        <is>
          <t>Baseline</t>
        </is>
      </c>
      <c r="C116" t="inlineStr">
        <is>
          <t>No</t>
        </is>
      </c>
      <c r="F116" t="inlineStr">
        <is>
          <t>Not needed</t>
        </is>
      </c>
      <c r="G116" t="inlineStr">
        <is>
          <t>no strong safe fallback found</t>
        </is>
      </c>
      <c r="H116" t="inlineStr">
        <is>
          <t>Neuro / Cognitive</t>
        </is>
      </c>
    </row>
    <row r="117">
      <c r="A117" t="inlineStr">
        <is>
          <t>Passionflower</t>
        </is>
      </c>
      <c r="B117" t="inlineStr">
        <is>
          <t>Baseline</t>
        </is>
      </c>
      <c r="C117" t="inlineStr">
        <is>
          <t>No</t>
        </is>
      </c>
      <c r="D117" t="inlineStr">
        <is>
          <t>Agarikon</t>
        </is>
      </c>
      <c r="E117" t="inlineStr">
        <is>
          <t>Ajwain</t>
        </is>
      </c>
      <c r="F117" t="inlineStr">
        <is>
          <t>Not needed</t>
        </is>
      </c>
      <c r="G117" t="inlineStr">
        <is>
          <t>same cluster; lower safety burden; similarity-backed</t>
        </is>
      </c>
      <c r="H117" t="inlineStr">
        <is>
          <t>Generalist</t>
        </is>
      </c>
    </row>
    <row r="118">
      <c r="A118" t="inlineStr">
        <is>
          <t>Yohimbe</t>
        </is>
      </c>
      <c r="B118" t="inlineStr">
        <is>
          <t>Elevated</t>
        </is>
      </c>
      <c r="C118" t="inlineStr">
        <is>
          <t>Review</t>
        </is>
      </c>
      <c r="D118" t="inlineStr">
        <is>
          <t>Agarikon</t>
        </is>
      </c>
      <c r="E118" t="inlineStr">
        <is>
          <t>Ajwain</t>
        </is>
      </c>
      <c r="F118" t="inlineStr">
        <is>
          <t>Recommended</t>
        </is>
      </c>
      <c r="G118" t="inlineStr">
        <is>
          <t>same cluster; lower safety burden; similarity-backed</t>
        </is>
      </c>
      <c r="H118" t="inlineStr">
        <is>
          <t>Generalist</t>
        </is>
      </c>
    </row>
    <row r="119">
      <c r="A119" t="inlineStr">
        <is>
          <t>Skullcap</t>
        </is>
      </c>
      <c r="B119" t="inlineStr">
        <is>
          <t>Baseline</t>
        </is>
      </c>
      <c r="C119" t="inlineStr">
        <is>
          <t>No</t>
        </is>
      </c>
      <c r="F119" t="inlineStr">
        <is>
          <t>Not needed</t>
        </is>
      </c>
      <c r="G119" t="inlineStr">
        <is>
          <t>no strong safe fallback found</t>
        </is>
      </c>
      <c r="H119" t="inlineStr">
        <is>
          <t>Generalist</t>
        </is>
      </c>
    </row>
    <row r="120">
      <c r="A120" t="inlineStr">
        <is>
          <t>Eleuthero</t>
        </is>
      </c>
      <c r="B120" t="inlineStr">
        <is>
          <t>Baseline</t>
        </is>
      </c>
      <c r="C120" t="inlineStr">
        <is>
          <t>No</t>
        </is>
      </c>
      <c r="D120" t="inlineStr">
        <is>
          <t>Agarikon</t>
        </is>
      </c>
      <c r="E120" t="inlineStr">
        <is>
          <t>Ajwain</t>
        </is>
      </c>
      <c r="F120" t="inlineStr">
        <is>
          <t>Not needed</t>
        </is>
      </c>
      <c r="G120" t="inlineStr">
        <is>
          <t>same cluster; lower safety burden; similarity-backed</t>
        </is>
      </c>
      <c r="H120" t="inlineStr">
        <is>
          <t>Generalist</t>
        </is>
      </c>
    </row>
    <row r="121">
      <c r="A121" t="inlineStr">
        <is>
          <t>Gotu Kola</t>
        </is>
      </c>
      <c r="B121" t="inlineStr">
        <is>
          <t>Baseline</t>
        </is>
      </c>
      <c r="C121" t="inlineStr">
        <is>
          <t>No</t>
        </is>
      </c>
      <c r="F121" t="inlineStr">
        <is>
          <t>Not needed</t>
        </is>
      </c>
      <c r="G121" t="inlineStr">
        <is>
          <t>no strong safe fallback found</t>
        </is>
      </c>
      <c r="H121" t="inlineStr">
        <is>
          <t>Generalist</t>
        </is>
      </c>
    </row>
    <row r="122">
      <c r="A122" t="inlineStr">
        <is>
          <t>Schisandra</t>
        </is>
      </c>
      <c r="B122" t="inlineStr">
        <is>
          <t>Baseline</t>
        </is>
      </c>
      <c r="C122" t="inlineStr">
        <is>
          <t>No</t>
        </is>
      </c>
      <c r="F122" t="inlineStr">
        <is>
          <t>Not needed</t>
        </is>
      </c>
      <c r="G122" t="inlineStr">
        <is>
          <t>no strong safe fallback found</t>
        </is>
      </c>
      <c r="H122" t="inlineStr">
        <is>
          <t>Generalist</t>
        </is>
      </c>
    </row>
    <row r="123">
      <c r="A123" t="inlineStr">
        <is>
          <t>Reishi</t>
        </is>
      </c>
      <c r="B123" t="inlineStr">
        <is>
          <t>Baseline</t>
        </is>
      </c>
      <c r="C123" t="inlineStr">
        <is>
          <t>No</t>
        </is>
      </c>
      <c r="D123" t="inlineStr">
        <is>
          <t>Agarikon</t>
        </is>
      </c>
      <c r="E123" t="inlineStr">
        <is>
          <t>Ajwain</t>
        </is>
      </c>
      <c r="F123" t="inlineStr">
        <is>
          <t>Not needed</t>
        </is>
      </c>
      <c r="G123" t="inlineStr">
        <is>
          <t>same cluster; lower safety burden; similarity-backed</t>
        </is>
      </c>
      <c r="H123" t="inlineStr">
        <is>
          <t>Generalist</t>
        </is>
      </c>
    </row>
    <row r="124">
      <c r="A124" t="inlineStr">
        <is>
          <t>Chaga</t>
        </is>
      </c>
      <c r="B124" t="inlineStr">
        <is>
          <t>Baseline</t>
        </is>
      </c>
      <c r="C124" t="inlineStr">
        <is>
          <t>No</t>
        </is>
      </c>
      <c r="F124" t="inlineStr">
        <is>
          <t>Not needed</t>
        </is>
      </c>
      <c r="G124" t="inlineStr">
        <is>
          <t>no strong safe fallback found</t>
        </is>
      </c>
      <c r="H124" t="inlineStr">
        <is>
          <t>Generalist</t>
        </is>
      </c>
    </row>
    <row r="125">
      <c r="A125" t="inlineStr">
        <is>
          <t>Turkey Tail</t>
        </is>
      </c>
      <c r="B125" t="inlineStr">
        <is>
          <t>Baseline</t>
        </is>
      </c>
      <c r="C125" t="inlineStr">
        <is>
          <t>No</t>
        </is>
      </c>
      <c r="F125" t="inlineStr">
        <is>
          <t>Not needed</t>
        </is>
      </c>
      <c r="G125" t="inlineStr">
        <is>
          <t>no strong safe fallback found</t>
        </is>
      </c>
      <c r="H125" t="inlineStr">
        <is>
          <t>Generalist</t>
        </is>
      </c>
    </row>
    <row r="126">
      <c r="A126" t="inlineStr">
        <is>
          <t>Boswellia</t>
        </is>
      </c>
      <c r="B126" t="inlineStr">
        <is>
          <t>Baseline</t>
        </is>
      </c>
      <c r="C126" t="inlineStr">
        <is>
          <t>No</t>
        </is>
      </c>
      <c r="F126" t="inlineStr">
        <is>
          <t>Not needed</t>
        </is>
      </c>
      <c r="G126" t="inlineStr">
        <is>
          <t>no strong safe fallback found</t>
        </is>
      </c>
      <c r="H126" t="inlineStr">
        <is>
          <t>Generalist</t>
        </is>
      </c>
    </row>
    <row r="127">
      <c r="A127" t="inlineStr">
        <is>
          <t>Hawthorn</t>
        </is>
      </c>
      <c r="B127" t="inlineStr">
        <is>
          <t>Baseline</t>
        </is>
      </c>
      <c r="C127" t="inlineStr">
        <is>
          <t>No</t>
        </is>
      </c>
      <c r="F127" t="inlineStr">
        <is>
          <t>Not needed</t>
        </is>
      </c>
      <c r="G127" t="inlineStr">
        <is>
          <t>no strong safe fallback found</t>
        </is>
      </c>
      <c r="H127" t="inlineStr">
        <is>
          <t>Generalist</t>
        </is>
      </c>
    </row>
    <row r="128">
      <c r="A128" t="inlineStr">
        <is>
          <t>Astragalus</t>
        </is>
      </c>
      <c r="B128" t="inlineStr">
        <is>
          <t>Baseline</t>
        </is>
      </c>
      <c r="C128" t="inlineStr">
        <is>
          <t>No</t>
        </is>
      </c>
      <c r="F128" t="inlineStr">
        <is>
          <t>Not needed</t>
        </is>
      </c>
      <c r="G128" t="inlineStr">
        <is>
          <t>no strong safe fallback found</t>
        </is>
      </c>
      <c r="H128" t="inlineStr">
        <is>
          <t>Generalist</t>
        </is>
      </c>
    </row>
    <row r="129">
      <c r="A129" t="inlineStr">
        <is>
          <t>Nettle Root</t>
        </is>
      </c>
      <c r="B129" t="inlineStr">
        <is>
          <t>Baseline</t>
        </is>
      </c>
      <c r="C129" t="inlineStr">
        <is>
          <t>No</t>
        </is>
      </c>
      <c r="D129" t="inlineStr">
        <is>
          <t>Agarikon</t>
        </is>
      </c>
      <c r="E129" t="inlineStr">
        <is>
          <t>Ajwain</t>
        </is>
      </c>
      <c r="F129" t="inlineStr">
        <is>
          <t>Not needed</t>
        </is>
      </c>
      <c r="G129" t="inlineStr">
        <is>
          <t>same cluster; lower safety burden; similarity-backed</t>
        </is>
      </c>
      <c r="H129" t="inlineStr">
        <is>
          <t>Generalist</t>
        </is>
      </c>
    </row>
    <row r="130">
      <c r="A130" t="inlineStr">
        <is>
          <t>Bacopa</t>
        </is>
      </c>
      <c r="B130" t="inlineStr">
        <is>
          <t>Baseline</t>
        </is>
      </c>
      <c r="C130" t="inlineStr">
        <is>
          <t>No</t>
        </is>
      </c>
      <c r="F130" t="inlineStr">
        <is>
          <t>Not needed</t>
        </is>
      </c>
      <c r="G130" t="inlineStr">
        <is>
          <t>no strong safe fallback found</t>
        </is>
      </c>
      <c r="H130" t="inlineStr">
        <is>
          <t>Neuro / Cognitive</t>
        </is>
      </c>
    </row>
    <row r="131">
      <c r="A131" t="inlineStr">
        <is>
          <t>Mucuna</t>
        </is>
      </c>
      <c r="B131" t="inlineStr">
        <is>
          <t>Moderate</t>
        </is>
      </c>
      <c r="C131" t="inlineStr">
        <is>
          <t>No</t>
        </is>
      </c>
      <c r="F131" t="inlineStr">
        <is>
          <t>Optional</t>
        </is>
      </c>
      <c r="G131" t="inlineStr">
        <is>
          <t>no strong safe fallback found</t>
        </is>
      </c>
      <c r="H131" t="inlineStr">
        <is>
          <t>Generalist</t>
        </is>
      </c>
    </row>
    <row r="132">
      <c r="A132" t="inlineStr">
        <is>
          <t>Epimedium</t>
        </is>
      </c>
      <c r="B132" t="inlineStr">
        <is>
          <t>Moderate</t>
        </is>
      </c>
      <c r="C132" t="inlineStr">
        <is>
          <t>No</t>
        </is>
      </c>
      <c r="F132" t="inlineStr">
        <is>
          <t>Optional</t>
        </is>
      </c>
      <c r="G132" t="inlineStr">
        <is>
          <t>no strong safe fallback found</t>
        </is>
      </c>
      <c r="H132" t="inlineStr">
        <is>
          <t>Circulation / Vascular</t>
        </is>
      </c>
    </row>
    <row r="133">
      <c r="A133" t="inlineStr">
        <is>
          <t>Tongkat Ali</t>
        </is>
      </c>
      <c r="B133" t="inlineStr">
        <is>
          <t>Moderate</t>
        </is>
      </c>
      <c r="C133" t="inlineStr">
        <is>
          <t>No</t>
        </is>
      </c>
      <c r="F133" t="inlineStr">
        <is>
          <t>Optional</t>
        </is>
      </c>
      <c r="G133" t="inlineStr">
        <is>
          <t>no strong safe fallback found</t>
        </is>
      </c>
      <c r="H133" t="inlineStr">
        <is>
          <t>Generalist</t>
        </is>
      </c>
    </row>
    <row r="134">
      <c r="A134" t="inlineStr">
        <is>
          <t>Shatavari</t>
        </is>
      </c>
      <c r="B134" t="inlineStr">
        <is>
          <t>Moderate</t>
        </is>
      </c>
      <c r="C134" t="inlineStr">
        <is>
          <t>No</t>
        </is>
      </c>
      <c r="F134" t="inlineStr">
        <is>
          <t>Optional</t>
        </is>
      </c>
      <c r="G134" t="inlineStr">
        <is>
          <t>no strong safe fallback found</t>
        </is>
      </c>
      <c r="H134" t="inlineStr">
        <is>
          <t>Generalist</t>
        </is>
      </c>
    </row>
    <row r="135">
      <c r="A135" t="inlineStr">
        <is>
          <t>Pueraria Mirifica</t>
        </is>
      </c>
      <c r="B135" t="inlineStr">
        <is>
          <t>Moderate</t>
        </is>
      </c>
      <c r="C135" t="inlineStr">
        <is>
          <t>No</t>
        </is>
      </c>
      <c r="F135" t="inlineStr">
        <is>
          <t>Optional</t>
        </is>
      </c>
      <c r="G135" t="inlineStr">
        <is>
          <t>no strong safe fallback found</t>
        </is>
      </c>
      <c r="H135" t="inlineStr">
        <is>
          <t>Generalist</t>
        </is>
      </c>
    </row>
    <row r="136">
      <c r="A136" t="inlineStr">
        <is>
          <t>Cacao</t>
        </is>
      </c>
      <c r="B136" t="inlineStr">
        <is>
          <t>Baseline</t>
        </is>
      </c>
      <c r="C136" t="inlineStr">
        <is>
          <t>No</t>
        </is>
      </c>
      <c r="F136" t="inlineStr">
        <is>
          <t>Not needed</t>
        </is>
      </c>
      <c r="G136" t="inlineStr">
        <is>
          <t>no strong safe fallback found</t>
        </is>
      </c>
      <c r="H136" t="inlineStr">
        <is>
          <t>Generalist</t>
        </is>
      </c>
    </row>
    <row r="137">
      <c r="A137" t="inlineStr">
        <is>
          <t>Rooibos</t>
        </is>
      </c>
      <c r="B137" t="inlineStr">
        <is>
          <t>Baseline</t>
        </is>
      </c>
      <c r="C137" t="inlineStr">
        <is>
          <t>No</t>
        </is>
      </c>
      <c r="F137" t="inlineStr">
        <is>
          <t>Not needed</t>
        </is>
      </c>
      <c r="G137" t="inlineStr">
        <is>
          <t>no strong safe fallback found</t>
        </is>
      </c>
      <c r="H137" t="inlineStr">
        <is>
          <t>Generalist</t>
        </is>
      </c>
    </row>
    <row r="138">
      <c r="A138" t="inlineStr">
        <is>
          <t>Cat's Claw</t>
        </is>
      </c>
      <c r="B138" t="inlineStr">
        <is>
          <t>Elevated</t>
        </is>
      </c>
      <c r="C138" t="inlineStr">
        <is>
          <t>Review</t>
        </is>
      </c>
      <c r="F138" t="inlineStr">
        <is>
          <t>Recommended</t>
        </is>
      </c>
      <c r="G138" t="inlineStr">
        <is>
          <t>no strong safe fallback found</t>
        </is>
      </c>
      <c r="H138" t="inlineStr">
        <is>
          <t>Generalist</t>
        </is>
      </c>
    </row>
    <row r="139">
      <c r="A139" t="inlineStr">
        <is>
          <t>Lavender</t>
        </is>
      </c>
      <c r="B139" t="inlineStr">
        <is>
          <t>Baseline</t>
        </is>
      </c>
      <c r="C139" t="inlineStr">
        <is>
          <t>No</t>
        </is>
      </c>
      <c r="F139" t="inlineStr">
        <is>
          <t>Not needed</t>
        </is>
      </c>
      <c r="G139" t="inlineStr">
        <is>
          <t>no strong safe fallback found</t>
        </is>
      </c>
      <c r="H139" t="inlineStr">
        <is>
          <t>Generalist</t>
        </is>
      </c>
    </row>
    <row r="140">
      <c r="A140" t="inlineStr">
        <is>
          <t>Berberis</t>
        </is>
      </c>
      <c r="B140" t="inlineStr">
        <is>
          <t>Moderate</t>
        </is>
      </c>
      <c r="C140" t="inlineStr">
        <is>
          <t>No</t>
        </is>
      </c>
      <c r="F140" t="inlineStr">
        <is>
          <t>Optional</t>
        </is>
      </c>
      <c r="G140" t="inlineStr">
        <is>
          <t>no strong safe fallback found</t>
        </is>
      </c>
      <c r="H140" t="inlineStr">
        <is>
          <t>Metabolic</t>
        </is>
      </c>
    </row>
    <row r="141">
      <c r="A141" t="inlineStr">
        <is>
          <t>Bitter Melon</t>
        </is>
      </c>
      <c r="B141" t="inlineStr">
        <is>
          <t>Moderate</t>
        </is>
      </c>
      <c r="C141" t="inlineStr">
        <is>
          <t>No</t>
        </is>
      </c>
      <c r="F141" t="inlineStr">
        <is>
          <t>Optional</t>
        </is>
      </c>
      <c r="G141" t="inlineStr">
        <is>
          <t>no strong safe fallback found</t>
        </is>
      </c>
      <c r="H141" t="inlineStr">
        <is>
          <t>Metabolic</t>
        </is>
      </c>
    </row>
    <row r="142">
      <c r="A142" t="inlineStr">
        <is>
          <t>Coleus Forskohlii</t>
        </is>
      </c>
      <c r="B142" t="inlineStr">
        <is>
          <t>Moderate</t>
        </is>
      </c>
      <c r="C142" t="inlineStr">
        <is>
          <t>No</t>
        </is>
      </c>
      <c r="F142" t="inlineStr">
        <is>
          <t>Optional</t>
        </is>
      </c>
      <c r="G142" t="inlineStr">
        <is>
          <t>no strong safe fallback found</t>
        </is>
      </c>
      <c r="H142" t="inlineStr">
        <is>
          <t>Metabolic</t>
        </is>
      </c>
    </row>
    <row r="143">
      <c r="A143" t="inlineStr">
        <is>
          <t>Aloe Vera</t>
        </is>
      </c>
      <c r="B143" t="inlineStr">
        <is>
          <t>Moderate</t>
        </is>
      </c>
      <c r="C143" t="inlineStr">
        <is>
          <t>No</t>
        </is>
      </c>
      <c r="F143" t="inlineStr">
        <is>
          <t>Optional</t>
        </is>
      </c>
      <c r="G143" t="inlineStr">
        <is>
          <t>no strong safe fallback found</t>
        </is>
      </c>
      <c r="H143" t="inlineStr">
        <is>
          <t>Generalist</t>
        </is>
      </c>
    </row>
    <row r="144">
      <c r="A144" t="inlineStr">
        <is>
          <t>American Ginseng</t>
        </is>
      </c>
      <c r="B144" t="inlineStr">
        <is>
          <t>Baseline</t>
        </is>
      </c>
      <c r="C144" t="inlineStr">
        <is>
          <t>No</t>
        </is>
      </c>
      <c r="F144" t="inlineStr">
        <is>
          <t>Not needed</t>
        </is>
      </c>
      <c r="G144" t="inlineStr">
        <is>
          <t>no strong safe fallback found</t>
        </is>
      </c>
      <c r="H144" t="inlineStr">
        <is>
          <t>Generalist</t>
        </is>
      </c>
    </row>
    <row r="145">
      <c r="A145" t="inlineStr">
        <is>
          <t>Artemisia Annua</t>
        </is>
      </c>
      <c r="B145" t="inlineStr">
        <is>
          <t>Elevated</t>
        </is>
      </c>
      <c r="C145" t="inlineStr">
        <is>
          <t>Review</t>
        </is>
      </c>
      <c r="F145" t="inlineStr">
        <is>
          <t>Recommended</t>
        </is>
      </c>
      <c r="G145" t="inlineStr">
        <is>
          <t>no strong safe fallback found</t>
        </is>
      </c>
      <c r="H145" t="inlineStr">
        <is>
          <t>Stress / Adaptogenic</t>
        </is>
      </c>
    </row>
    <row r="146">
      <c r="A146" t="inlineStr">
        <is>
          <t>Celastrus Paniculatus</t>
        </is>
      </c>
      <c r="B146" t="inlineStr">
        <is>
          <t>Baseline</t>
        </is>
      </c>
      <c r="C146" t="inlineStr">
        <is>
          <t>No</t>
        </is>
      </c>
      <c r="D146" t="inlineStr">
        <is>
          <t>Agarikon</t>
        </is>
      </c>
      <c r="E146" t="inlineStr">
        <is>
          <t>Ajwain</t>
        </is>
      </c>
      <c r="F146" t="inlineStr">
        <is>
          <t>Not needed</t>
        </is>
      </c>
      <c r="G146" t="inlineStr">
        <is>
          <t>same cluster; lower safety burden; similarity-backed</t>
        </is>
      </c>
      <c r="H146" t="inlineStr">
        <is>
          <t>Generalist</t>
        </is>
      </c>
    </row>
    <row r="147">
      <c r="A147" t="inlineStr">
        <is>
          <t>Calamus</t>
        </is>
      </c>
      <c r="B147" t="inlineStr">
        <is>
          <t>Baseline</t>
        </is>
      </c>
      <c r="C147" t="inlineStr">
        <is>
          <t>No</t>
        </is>
      </c>
      <c r="F147" t="inlineStr">
        <is>
          <t>Not needed</t>
        </is>
      </c>
      <c r="G147" t="inlineStr">
        <is>
          <t>no strong safe fallback found</t>
        </is>
      </c>
      <c r="H147" t="inlineStr">
        <is>
          <t>Generalist</t>
        </is>
      </c>
    </row>
    <row r="148">
      <c r="A148" t="inlineStr">
        <is>
          <t>Cayenne</t>
        </is>
      </c>
      <c r="B148" t="inlineStr">
        <is>
          <t>Baseline</t>
        </is>
      </c>
      <c r="C148" t="inlineStr">
        <is>
          <t>No</t>
        </is>
      </c>
      <c r="F148" t="inlineStr">
        <is>
          <t>Not needed</t>
        </is>
      </c>
      <c r="G148" t="inlineStr">
        <is>
          <t>no strong safe fallback found</t>
        </is>
      </c>
      <c r="H148" t="inlineStr">
        <is>
          <t>Generalist</t>
        </is>
      </c>
    </row>
    <row r="149">
      <c r="A149" t="inlineStr">
        <is>
          <t>Corydalis</t>
        </is>
      </c>
      <c r="B149" t="inlineStr">
        <is>
          <t>Baseline</t>
        </is>
      </c>
      <c r="C149" t="inlineStr">
        <is>
          <t>No</t>
        </is>
      </c>
      <c r="F149" t="inlineStr">
        <is>
          <t>Not needed</t>
        </is>
      </c>
      <c r="G149" t="inlineStr">
        <is>
          <t>no strong safe fallback found</t>
        </is>
      </c>
      <c r="H149" t="inlineStr">
        <is>
          <t>Neuro / Cognitive</t>
        </is>
      </c>
    </row>
    <row r="150">
      <c r="A150" t="inlineStr">
        <is>
          <t>Chinese Skullcap</t>
        </is>
      </c>
      <c r="B150" t="inlineStr">
        <is>
          <t>Baseline</t>
        </is>
      </c>
      <c r="C150" t="inlineStr">
        <is>
          <t>No</t>
        </is>
      </c>
      <c r="F150" t="inlineStr">
        <is>
          <t>Not needed</t>
        </is>
      </c>
      <c r="G150" t="inlineStr">
        <is>
          <t>no strong safe fallback found</t>
        </is>
      </c>
      <c r="H150" t="inlineStr">
        <is>
          <t>Neuro / Cognitive</t>
        </is>
      </c>
    </row>
    <row r="151">
      <c r="A151" t="inlineStr">
        <is>
          <t>Phellodendron</t>
        </is>
      </c>
      <c r="B151" t="inlineStr">
        <is>
          <t>Baseline</t>
        </is>
      </c>
      <c r="C151" t="inlineStr">
        <is>
          <t>No</t>
        </is>
      </c>
      <c r="F151" t="inlineStr">
        <is>
          <t>Not needed</t>
        </is>
      </c>
      <c r="G151" t="inlineStr">
        <is>
          <t>no strong safe fallback found</t>
        </is>
      </c>
      <c r="H151" t="inlineStr">
        <is>
          <t>Generalist</t>
        </is>
      </c>
    </row>
    <row r="152">
      <c r="A152" t="inlineStr">
        <is>
          <t>Coptis</t>
        </is>
      </c>
      <c r="B152" t="inlineStr">
        <is>
          <t>Baseline</t>
        </is>
      </c>
      <c r="C152" t="inlineStr">
        <is>
          <t>No</t>
        </is>
      </c>
      <c r="F152" t="inlineStr">
        <is>
          <t>Not needed</t>
        </is>
      </c>
      <c r="G152" t="inlineStr">
        <is>
          <t>no strong safe fallback found</t>
        </is>
      </c>
      <c r="H152" t="inlineStr">
        <is>
          <t>Generalist</t>
        </is>
      </c>
    </row>
    <row r="153">
      <c r="A153" t="inlineStr">
        <is>
          <t>Saffron</t>
        </is>
      </c>
      <c r="B153" t="inlineStr">
        <is>
          <t>Baseline</t>
        </is>
      </c>
      <c r="C153" t="inlineStr">
        <is>
          <t>No</t>
        </is>
      </c>
      <c r="F153" t="inlineStr">
        <is>
          <t>Not needed</t>
        </is>
      </c>
      <c r="G153" t="inlineStr">
        <is>
          <t>no strong safe fallback found</t>
        </is>
      </c>
      <c r="H153" t="inlineStr">
        <is>
          <t>Generalist</t>
        </is>
      </c>
    </row>
    <row r="154">
      <c r="A154" t="inlineStr">
        <is>
          <t>Papaya Leaf</t>
        </is>
      </c>
      <c r="B154" t="inlineStr">
        <is>
          <t>Baseline</t>
        </is>
      </c>
      <c r="C154" t="inlineStr">
        <is>
          <t>No</t>
        </is>
      </c>
      <c r="F154" t="inlineStr">
        <is>
          <t>Not needed</t>
        </is>
      </c>
      <c r="G154" t="inlineStr">
        <is>
          <t>no strong safe fallback found</t>
        </is>
      </c>
      <c r="H154" t="inlineStr">
        <is>
          <t>Generalist</t>
        </is>
      </c>
    </row>
    <row r="155">
      <c r="A155" t="inlineStr">
        <is>
          <t>Kanna</t>
        </is>
      </c>
      <c r="B155" t="inlineStr">
        <is>
          <t>Baseline</t>
        </is>
      </c>
      <c r="C155" t="inlineStr">
        <is>
          <t>No</t>
        </is>
      </c>
      <c r="F155" t="inlineStr">
        <is>
          <t>Not needed</t>
        </is>
      </c>
      <c r="G155" t="inlineStr">
        <is>
          <t>no strong safe fallback found</t>
        </is>
      </c>
      <c r="H155" t="inlineStr">
        <is>
          <t>Generalist</t>
        </is>
      </c>
    </row>
    <row r="156">
      <c r="A156" t="inlineStr">
        <is>
          <t>Green Tea</t>
        </is>
      </c>
      <c r="B156" t="inlineStr">
        <is>
          <t>Baseline</t>
        </is>
      </c>
      <c r="C156" t="inlineStr">
        <is>
          <t>No</t>
        </is>
      </c>
      <c r="F156" t="inlineStr">
        <is>
          <t>Not needed</t>
        </is>
      </c>
      <c r="G156" t="inlineStr">
        <is>
          <t>no strong safe fallback found</t>
        </is>
      </c>
      <c r="H156" t="inlineStr">
        <is>
          <t>Stress / Adaptogenic</t>
        </is>
      </c>
    </row>
    <row r="157">
      <c r="A157" t="inlineStr">
        <is>
          <t>Goldenseal</t>
        </is>
      </c>
      <c r="B157" t="inlineStr">
        <is>
          <t>Baseline</t>
        </is>
      </c>
      <c r="C157" t="inlineStr">
        <is>
          <t>No</t>
        </is>
      </c>
      <c r="F157" t="inlineStr">
        <is>
          <t>Not needed</t>
        </is>
      </c>
      <c r="G157" t="inlineStr">
        <is>
          <t>no strong safe fallback found</t>
        </is>
      </c>
      <c r="H157" t="inlineStr">
        <is>
          <t>Generalist</t>
        </is>
      </c>
    </row>
    <row r="158">
      <c r="A158" t="inlineStr">
        <is>
          <t>Salacia</t>
        </is>
      </c>
      <c r="B158" t="inlineStr">
        <is>
          <t>Baseline</t>
        </is>
      </c>
      <c r="C158" t="inlineStr">
        <is>
          <t>No</t>
        </is>
      </c>
      <c r="F158" t="inlineStr">
        <is>
          <t>Not needed</t>
        </is>
      </c>
      <c r="G158" t="inlineStr">
        <is>
          <t>no strong safe fallback found</t>
        </is>
      </c>
      <c r="H158" t="inlineStr">
        <is>
          <t>Generalist</t>
        </is>
      </c>
    </row>
    <row r="159">
      <c r="A159" t="inlineStr">
        <is>
          <t>Chuanxiong</t>
        </is>
      </c>
      <c r="B159" t="inlineStr">
        <is>
          <t>Moderate</t>
        </is>
      </c>
      <c r="C159" t="inlineStr">
        <is>
          <t>No</t>
        </is>
      </c>
      <c r="F159" t="inlineStr">
        <is>
          <t>Optional</t>
        </is>
      </c>
      <c r="G159" t="inlineStr">
        <is>
          <t>no strong safe fallback found</t>
        </is>
      </c>
      <c r="H159" t="inlineStr">
        <is>
          <t>Generalist</t>
        </is>
      </c>
    </row>
    <row r="160">
      <c r="A160" t="inlineStr">
        <is>
          <t>Fingerroot</t>
        </is>
      </c>
      <c r="B160" t="inlineStr">
        <is>
          <t>Baseline</t>
        </is>
      </c>
      <c r="C160" t="inlineStr">
        <is>
          <t>No</t>
        </is>
      </c>
      <c r="F160" t="inlineStr">
        <is>
          <t>Not needed</t>
        </is>
      </c>
      <c r="G160" t="inlineStr">
        <is>
          <t>no strong safe fallback found</t>
        </is>
      </c>
      <c r="H160" t="inlineStr">
        <is>
          <t>Generalist</t>
        </is>
      </c>
    </row>
    <row r="161">
      <c r="A161" t="inlineStr">
        <is>
          <t>Wormwood</t>
        </is>
      </c>
      <c r="B161" t="inlineStr">
        <is>
          <t>Baseline</t>
        </is>
      </c>
      <c r="C161" t="inlineStr">
        <is>
          <t>No</t>
        </is>
      </c>
      <c r="F161" t="inlineStr">
        <is>
          <t>Not needed</t>
        </is>
      </c>
      <c r="G161" t="inlineStr">
        <is>
          <t>no strong safe fallback found</t>
        </is>
      </c>
      <c r="H161" t="inlineStr">
        <is>
          <t>Generalist</t>
        </is>
      </c>
    </row>
    <row r="162">
      <c r="A162" t="inlineStr">
        <is>
          <t>Horse Chestnut</t>
        </is>
      </c>
      <c r="B162" t="inlineStr">
        <is>
          <t>Moderate</t>
        </is>
      </c>
      <c r="C162" t="inlineStr">
        <is>
          <t>No</t>
        </is>
      </c>
      <c r="F162" t="inlineStr">
        <is>
          <t>Optional</t>
        </is>
      </c>
      <c r="G162" t="inlineStr">
        <is>
          <t>no strong safe fallback found</t>
        </is>
      </c>
      <c r="H162" t="inlineStr">
        <is>
          <t>Generalist</t>
        </is>
      </c>
    </row>
    <row r="163">
      <c r="A163" t="inlineStr">
        <is>
          <t>Bael</t>
        </is>
      </c>
      <c r="B163" t="inlineStr">
        <is>
          <t>Baseline</t>
        </is>
      </c>
      <c r="C163" t="inlineStr">
        <is>
          <t>No</t>
        </is>
      </c>
      <c r="F163" t="inlineStr">
        <is>
          <t>Not needed</t>
        </is>
      </c>
      <c r="G163" t="inlineStr">
        <is>
          <t>no strong safe fallback found</t>
        </is>
      </c>
      <c r="H163" t="inlineStr">
        <is>
          <t>Generalist</t>
        </is>
      </c>
    </row>
    <row r="164">
      <c r="A164" t="inlineStr">
        <is>
          <t>Guayusa</t>
        </is>
      </c>
      <c r="B164" t="inlineStr">
        <is>
          <t>Baseline</t>
        </is>
      </c>
      <c r="C164" t="inlineStr">
        <is>
          <t>No</t>
        </is>
      </c>
      <c r="F164" t="inlineStr">
        <is>
          <t>Not needed</t>
        </is>
      </c>
      <c r="G164" t="inlineStr">
        <is>
          <t>no strong safe fallback found</t>
        </is>
      </c>
      <c r="H164" t="inlineStr">
        <is>
          <t>Generalist</t>
        </is>
      </c>
    </row>
    <row r="165">
      <c r="A165" t="inlineStr">
        <is>
          <t>Honeysuckle</t>
        </is>
      </c>
      <c r="B165" t="inlineStr">
        <is>
          <t>Baseline</t>
        </is>
      </c>
      <c r="C165" t="inlineStr">
        <is>
          <t>No</t>
        </is>
      </c>
      <c r="F165" t="inlineStr">
        <is>
          <t>Not needed</t>
        </is>
      </c>
      <c r="G165" t="inlineStr">
        <is>
          <t>no strong safe fallback found</t>
        </is>
      </c>
      <c r="H165" t="inlineStr">
        <is>
          <t>Generalist</t>
        </is>
      </c>
    </row>
    <row r="166">
      <c r="A166" t="inlineStr">
        <is>
          <t>Cassia Alata</t>
        </is>
      </c>
      <c r="B166" t="inlineStr">
        <is>
          <t>Baseline</t>
        </is>
      </c>
      <c r="C166" t="inlineStr">
        <is>
          <t>No</t>
        </is>
      </c>
      <c r="F166" t="inlineStr">
        <is>
          <t>Not needed</t>
        </is>
      </c>
      <c r="G166" t="inlineStr">
        <is>
          <t>no strong safe fallback found</t>
        </is>
      </c>
      <c r="H166" t="inlineStr">
        <is>
          <t>Generalist</t>
        </is>
      </c>
    </row>
    <row r="167">
      <c r="A167" t="inlineStr">
        <is>
          <t>American Yellow Lotus</t>
        </is>
      </c>
      <c r="B167" t="inlineStr">
        <is>
          <t>Baseline</t>
        </is>
      </c>
      <c r="C167" t="inlineStr">
        <is>
          <t>No</t>
        </is>
      </c>
      <c r="F167" t="inlineStr">
        <is>
          <t>Not needed</t>
        </is>
      </c>
      <c r="G167" t="inlineStr">
        <is>
          <t>no strong safe fallback found</t>
        </is>
      </c>
      <c r="H167" t="inlineStr">
        <is>
          <t>Generalist</t>
        </is>
      </c>
    </row>
    <row r="168">
      <c r="A168" t="inlineStr">
        <is>
          <t>Anise Hyssop</t>
        </is>
      </c>
      <c r="B168" t="inlineStr">
        <is>
          <t>Baseline</t>
        </is>
      </c>
      <c r="C168" t="inlineStr">
        <is>
          <t>No</t>
        </is>
      </c>
      <c r="F168" t="inlineStr">
        <is>
          <t>Not needed</t>
        </is>
      </c>
      <c r="G168" t="inlineStr">
        <is>
          <t>no strong safe fallback found</t>
        </is>
      </c>
      <c r="H168" t="inlineStr">
        <is>
          <t>Generalist</t>
        </is>
      </c>
    </row>
    <row r="169">
      <c r="A169" t="inlineStr">
        <is>
          <t>Marshmallow</t>
        </is>
      </c>
      <c r="B169" t="inlineStr">
        <is>
          <t>Baseline</t>
        </is>
      </c>
      <c r="C169" t="inlineStr">
        <is>
          <t>No</t>
        </is>
      </c>
      <c r="F169" t="inlineStr">
        <is>
          <t>Not needed</t>
        </is>
      </c>
      <c r="G169" t="inlineStr">
        <is>
          <t>no strong safe fallback found</t>
        </is>
      </c>
      <c r="H169" t="inlineStr">
        <is>
          <t>Generalist</t>
        </is>
      </c>
    </row>
    <row r="170">
      <c r="A170" t="inlineStr">
        <is>
          <t>Licorice</t>
        </is>
      </c>
      <c r="B170" t="inlineStr">
        <is>
          <t>Baseline</t>
        </is>
      </c>
      <c r="C170" t="inlineStr">
        <is>
          <t>No</t>
        </is>
      </c>
      <c r="F170" t="inlineStr">
        <is>
          <t>Not needed</t>
        </is>
      </c>
      <c r="G170" t="inlineStr">
        <is>
          <t>no strong safe fallback found</t>
        </is>
      </c>
      <c r="H170" t="inlineStr">
        <is>
          <t>Generalist</t>
        </is>
      </c>
    </row>
    <row r="171">
      <c r="A171" t="inlineStr">
        <is>
          <t>Elderberry</t>
        </is>
      </c>
      <c r="B171" t="inlineStr">
        <is>
          <t>Baseline</t>
        </is>
      </c>
      <c r="C171" t="inlineStr">
        <is>
          <t>No</t>
        </is>
      </c>
      <c r="F171" t="inlineStr">
        <is>
          <t>Not needed</t>
        </is>
      </c>
      <c r="G171" t="inlineStr">
        <is>
          <t>no strong safe fallback found</t>
        </is>
      </c>
      <c r="H171" t="inlineStr">
        <is>
          <t>Generalist</t>
        </is>
      </c>
    </row>
    <row r="172">
      <c r="A172" t="inlineStr">
        <is>
          <t>Punarnava</t>
        </is>
      </c>
      <c r="B172" t="inlineStr">
        <is>
          <t>Baseline</t>
        </is>
      </c>
      <c r="C172" t="inlineStr">
        <is>
          <t>No</t>
        </is>
      </c>
      <c r="D172" t="inlineStr">
        <is>
          <t>Agarikon</t>
        </is>
      </c>
      <c r="E172" t="inlineStr">
        <is>
          <t>Ajwain</t>
        </is>
      </c>
      <c r="F172" t="inlineStr">
        <is>
          <t>Not needed</t>
        </is>
      </c>
      <c r="G172" t="inlineStr">
        <is>
          <t>same cluster; lower safety burden; similarity-backed</t>
        </is>
      </c>
      <c r="H172" t="inlineStr">
        <is>
          <t>Generalist</t>
        </is>
      </c>
    </row>
    <row r="173">
      <c r="A173" t="inlineStr">
        <is>
          <t>Coffee Cherry</t>
        </is>
      </c>
      <c r="B173" t="inlineStr">
        <is>
          <t>Baseline</t>
        </is>
      </c>
      <c r="C173" t="inlineStr">
        <is>
          <t>No</t>
        </is>
      </c>
      <c r="F173" t="inlineStr">
        <is>
          <t>Not needed</t>
        </is>
      </c>
      <c r="G173" t="inlineStr">
        <is>
          <t>no strong safe fallback found</t>
        </is>
      </c>
      <c r="H173" t="inlineStr">
        <is>
          <t>Generalist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Herb</t>
        </is>
      </c>
      <c r="B1" t="inlineStr">
        <is>
          <t>Safety Tier V2</t>
        </is>
      </c>
      <c r="C1" t="inlineStr">
        <is>
          <t>Default Product Exclusion V2</t>
        </is>
      </c>
      <c r="D1" t="inlineStr">
        <is>
          <t>Primary Fallback</t>
        </is>
      </c>
      <c r="E1" t="inlineStr">
        <is>
          <t>Secondary Fallback</t>
        </is>
      </c>
      <c r="F1" t="inlineStr">
        <is>
          <t>Fallback Reason</t>
        </is>
      </c>
      <c r="G1" t="inlineStr">
        <is>
          <t>Cluster V2</t>
        </is>
      </c>
    </row>
    <row r="2">
      <c r="A2" t="inlineStr">
        <is>
          <t>Garlic</t>
        </is>
      </c>
      <c r="B2" t="inlineStr">
        <is>
          <t>Elevated</t>
        </is>
      </c>
      <c r="C2" t="inlineStr">
        <is>
          <t>Review</t>
        </is>
      </c>
      <c r="D2" t="inlineStr">
        <is>
          <t>Agarikon</t>
        </is>
      </c>
      <c r="E2" t="inlineStr">
        <is>
          <t>Ajwain</t>
        </is>
      </c>
      <c r="F2" t="inlineStr">
        <is>
          <t>same cluster; lower safety burden; similarity-backed</t>
        </is>
      </c>
      <c r="G2" t="inlineStr">
        <is>
          <t>Generalist</t>
        </is>
      </c>
    </row>
    <row r="3">
      <c r="A3" t="inlineStr">
        <is>
          <t>Ginger</t>
        </is>
      </c>
      <c r="B3" t="inlineStr">
        <is>
          <t>Elevated</t>
        </is>
      </c>
      <c r="C3" t="inlineStr">
        <is>
          <t>Review</t>
        </is>
      </c>
      <c r="D3" t="inlineStr">
        <is>
          <t>Agarikon</t>
        </is>
      </c>
      <c r="E3" t="inlineStr">
        <is>
          <t>Ajwain</t>
        </is>
      </c>
      <c r="F3" t="inlineStr">
        <is>
          <t>same cluster; lower safety burden; similarity-backed</t>
        </is>
      </c>
      <c r="G3" t="inlineStr">
        <is>
          <t>Generalist</t>
        </is>
      </c>
    </row>
    <row r="4">
      <c r="A4" t="inlineStr">
        <is>
          <t>Kava</t>
        </is>
      </c>
      <c r="B4" t="inlineStr">
        <is>
          <t>Elevated</t>
        </is>
      </c>
      <c r="C4" t="inlineStr">
        <is>
          <t>Review</t>
        </is>
      </c>
      <c r="D4" t="inlineStr">
        <is>
          <t>Agarikon</t>
        </is>
      </c>
      <c r="E4" t="inlineStr">
        <is>
          <t>Ajwain</t>
        </is>
      </c>
      <c r="F4" t="inlineStr">
        <is>
          <t>same cluster; lower safety burden; similarity-backed</t>
        </is>
      </c>
      <c r="G4" t="inlineStr">
        <is>
          <t>Generalist</t>
        </is>
      </c>
    </row>
    <row r="5">
      <c r="A5" t="inlineStr">
        <is>
          <t>Turmeric</t>
        </is>
      </c>
      <c r="B5" t="inlineStr">
        <is>
          <t>Elevated</t>
        </is>
      </c>
      <c r="C5" t="inlineStr">
        <is>
          <t>Review</t>
        </is>
      </c>
      <c r="D5" t="inlineStr">
        <is>
          <t>Dong Quai</t>
        </is>
      </c>
      <c r="F5" t="inlineStr">
        <is>
          <t>same cluster; similarity-backed</t>
        </is>
      </c>
      <c r="G5" t="inlineStr">
        <is>
          <t>Generalist</t>
        </is>
      </c>
    </row>
    <row r="6">
      <c r="A6" t="inlineStr">
        <is>
          <t>Yohimbe</t>
        </is>
      </c>
      <c r="B6" t="inlineStr">
        <is>
          <t>Elevated</t>
        </is>
      </c>
      <c r="C6" t="inlineStr">
        <is>
          <t>Review</t>
        </is>
      </c>
      <c r="D6" t="inlineStr">
        <is>
          <t>Agarikon</t>
        </is>
      </c>
      <c r="E6" t="inlineStr">
        <is>
          <t>Ajwain</t>
        </is>
      </c>
      <c r="F6" t="inlineStr">
        <is>
          <t>same cluster; lower safety burden; similarity-backed</t>
        </is>
      </c>
      <c r="G6" t="inlineStr">
        <is>
          <t>Generalist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33</t>
        </is>
      </c>
    </row>
    <row r="3">
      <c r="A3" t="inlineStr">
        <is>
          <t>Focus</t>
        </is>
      </c>
      <c r="B3" t="inlineStr">
        <is>
          <t>Fallback replacement engine</t>
        </is>
      </c>
    </row>
    <row r="4">
      <c r="A4" t="inlineStr">
        <is>
          <t>Herbs processed</t>
        </is>
      </c>
      <c r="B4" t="n">
        <v>172</v>
      </c>
    </row>
    <row r="5">
      <c r="A5" t="inlineStr">
        <is>
          <t>Herbs with fallback options</t>
        </is>
      </c>
      <c r="B5" t="n">
        <v>86</v>
      </c>
    </row>
    <row r="6">
      <c r="A6" t="inlineStr">
        <is>
          <t>Restricted/review herbs</t>
        </is>
      </c>
      <c r="B6" t="n">
        <v>14</v>
      </c>
    </row>
    <row r="7">
      <c r="A7" t="inlineStr">
        <is>
          <t>Restricted herbs with curated replacements</t>
        </is>
      </c>
      <c r="B7" t="n">
        <v>5</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sheetData>
    <row r="1">
      <c r="A1" t="inlineStr">
        <is>
          <t>Source Sheet</t>
        </is>
      </c>
      <c r="B1" t="inlineStr">
        <is>
          <t>Original Stack Name</t>
        </is>
      </c>
      <c r="C1" t="inlineStr">
        <is>
          <t>Category</t>
        </is>
      </c>
      <c r="D1" t="inlineStr">
        <is>
          <t>Original Herb A</t>
        </is>
      </c>
      <c r="E1" t="inlineStr">
        <is>
          <t>Original Herb B</t>
        </is>
      </c>
      <c r="F1" t="inlineStr">
        <is>
          <t>Original Herb C</t>
        </is>
      </c>
      <c r="G1" t="inlineStr">
        <is>
          <t>Original Status</t>
        </is>
      </c>
      <c r="H1" t="inlineStr">
        <is>
          <t>Repaired Herb A</t>
        </is>
      </c>
      <c r="I1" t="inlineStr">
        <is>
          <t>Repaired Herb B</t>
        </is>
      </c>
      <c r="J1" t="inlineStr">
        <is>
          <t>Repaired Herb C</t>
        </is>
      </c>
      <c r="K1" t="inlineStr">
        <is>
          <t>Repaired Status</t>
        </is>
      </c>
      <c r="L1" t="inlineStr">
        <is>
          <t>Changes Made</t>
        </is>
      </c>
      <c r="M1" t="inlineStr">
        <is>
          <t>Repair Notes</t>
        </is>
      </c>
    </row>
    <row r="2">
      <c r="A2" t="inlineStr">
        <is>
          <t>Product Stack Outputs V6</t>
        </is>
      </c>
      <c r="B2" t="inlineStr">
        <is>
          <t>Stack Row 2</t>
        </is>
      </c>
      <c r="C2" t="inlineStr">
        <is>
          <t>General</t>
        </is>
      </c>
      <c r="D2" t="inlineStr">
        <is>
          <t>Maca</t>
        </is>
      </c>
      <c r="E2" t="inlineStr">
        <is>
          <t>Guarana</t>
        </is>
      </c>
      <c r="F2" t="inlineStr">
        <is>
          <t>Yerba Mate</t>
        </is>
      </c>
      <c r="G2" t="inlineStr">
        <is>
          <t>Publishable</t>
        </is>
      </c>
      <c r="H2" t="inlineStr">
        <is>
          <t>Maca</t>
        </is>
      </c>
      <c r="I2" t="inlineStr">
        <is>
          <t>Guarana</t>
        </is>
      </c>
      <c r="J2" t="inlineStr">
        <is>
          <t>Yerba Mate</t>
        </is>
      </c>
      <c r="K2" t="inlineStr">
        <is>
          <t>Publishable</t>
        </is>
      </c>
      <c r="M2" t="inlineStr">
        <is>
          <t>No repair needed or no safe fallback available</t>
        </is>
      </c>
    </row>
    <row r="3">
      <c r="A3" t="inlineStr">
        <is>
          <t>Product Stack Outputs V6</t>
        </is>
      </c>
      <c r="B3" t="inlineStr">
        <is>
          <t>Stack Row 3</t>
        </is>
      </c>
      <c r="C3" t="inlineStr">
        <is>
          <t>General</t>
        </is>
      </c>
      <c r="D3" t="inlineStr">
        <is>
          <t>Guarana</t>
        </is>
      </c>
      <c r="E3" t="inlineStr">
        <is>
          <t>Yerba Mate</t>
        </is>
      </c>
      <c r="F3" t="inlineStr">
        <is>
          <t>Damiana</t>
        </is>
      </c>
      <c r="G3" t="inlineStr">
        <is>
          <t>Publishable</t>
        </is>
      </c>
      <c r="H3" t="inlineStr">
        <is>
          <t>Guarana</t>
        </is>
      </c>
      <c r="I3" t="inlineStr">
        <is>
          <t>Yerba Mate</t>
        </is>
      </c>
      <c r="J3" t="inlineStr">
        <is>
          <t>Damiana</t>
        </is>
      </c>
      <c r="K3" t="inlineStr">
        <is>
          <t>Publishable</t>
        </is>
      </c>
      <c r="M3" t="inlineStr">
        <is>
          <t>No repair needed or no safe fallback available</t>
        </is>
      </c>
    </row>
    <row r="4">
      <c r="A4" t="inlineStr">
        <is>
          <t>Product Stack Outputs V6</t>
        </is>
      </c>
      <c r="B4" t="inlineStr">
        <is>
          <t>Stack Row 4</t>
        </is>
      </c>
      <c r="C4" t="inlineStr">
        <is>
          <t>General</t>
        </is>
      </c>
      <c r="D4" t="inlineStr">
        <is>
          <t>Yerba Mate</t>
        </is>
      </c>
      <c r="E4" t="inlineStr">
        <is>
          <t>Damiana</t>
        </is>
      </c>
      <c r="F4" t="inlineStr">
        <is>
          <t>Blue Lotus</t>
        </is>
      </c>
      <c r="G4" t="inlineStr">
        <is>
          <t>Publishable</t>
        </is>
      </c>
      <c r="H4" t="inlineStr">
        <is>
          <t>Yerba Mate</t>
        </is>
      </c>
      <c r="I4" t="inlineStr">
        <is>
          <t>Damiana</t>
        </is>
      </c>
      <c r="J4" t="inlineStr">
        <is>
          <t>Blue Lotus</t>
        </is>
      </c>
      <c r="K4" t="inlineStr">
        <is>
          <t>Publishable</t>
        </is>
      </c>
      <c r="M4" t="inlineStr">
        <is>
          <t>No repair needed or no safe fallback available</t>
        </is>
      </c>
    </row>
    <row r="5">
      <c r="A5" t="inlineStr">
        <is>
          <t>Product Stack Outputs V6</t>
        </is>
      </c>
      <c r="B5" t="inlineStr">
        <is>
          <t>Stack Row 5</t>
        </is>
      </c>
      <c r="C5" t="inlineStr">
        <is>
          <t>General</t>
        </is>
      </c>
      <c r="D5" t="inlineStr">
        <is>
          <t>Damiana</t>
        </is>
      </c>
      <c r="E5" t="inlineStr">
        <is>
          <t>Blue Lotus</t>
        </is>
      </c>
      <c r="F5" t="inlineStr">
        <is>
          <t>Kudzu</t>
        </is>
      </c>
      <c r="G5" t="inlineStr">
        <is>
          <t>Publishable</t>
        </is>
      </c>
      <c r="H5" t="inlineStr">
        <is>
          <t>Damiana</t>
        </is>
      </c>
      <c r="I5" t="inlineStr">
        <is>
          <t>Blue Lotus</t>
        </is>
      </c>
      <c r="J5" t="inlineStr">
        <is>
          <t>Kudzu</t>
        </is>
      </c>
      <c r="K5" t="inlineStr">
        <is>
          <t>Publishable</t>
        </is>
      </c>
      <c r="M5" t="inlineStr">
        <is>
          <t>No repair needed or no safe fallback available</t>
        </is>
      </c>
    </row>
    <row r="6">
      <c r="A6" t="inlineStr">
        <is>
          <t>Product Stack Outputs V6</t>
        </is>
      </c>
      <c r="B6" t="inlineStr">
        <is>
          <t>Stack Row 6</t>
        </is>
      </c>
      <c r="C6" t="inlineStr">
        <is>
          <t>General</t>
        </is>
      </c>
      <c r="D6" t="inlineStr">
        <is>
          <t>Blue Lotus</t>
        </is>
      </c>
      <c r="E6" t="inlineStr">
        <is>
          <t>Kudzu</t>
        </is>
      </c>
      <c r="F6" t="inlineStr">
        <is>
          <t>Butterbur</t>
        </is>
      </c>
      <c r="G6" t="inlineStr">
        <is>
          <t>Publishable</t>
        </is>
      </c>
      <c r="H6" t="inlineStr">
        <is>
          <t>Blue Lotus</t>
        </is>
      </c>
      <c r="I6" t="inlineStr">
        <is>
          <t>Kudzu</t>
        </is>
      </c>
      <c r="J6" t="inlineStr">
        <is>
          <t>Butterbur</t>
        </is>
      </c>
      <c r="K6" t="inlineStr">
        <is>
          <t>Publishable</t>
        </is>
      </c>
      <c r="M6" t="inlineStr">
        <is>
          <t>No repair needed or no safe fallback available</t>
        </is>
      </c>
    </row>
    <row r="7">
      <c r="A7" t="inlineStr">
        <is>
          <t>Product Stack Outputs V6</t>
        </is>
      </c>
      <c r="B7" t="inlineStr">
        <is>
          <t>Stack Row 7</t>
        </is>
      </c>
      <c r="C7" t="inlineStr">
        <is>
          <t>General</t>
        </is>
      </c>
      <c r="D7" t="inlineStr">
        <is>
          <t>Ashwagandha</t>
        </is>
      </c>
      <c r="E7" t="inlineStr">
        <is>
          <t>Black Cohosh</t>
        </is>
      </c>
      <c r="F7" t="inlineStr">
        <is>
          <t>Echinacea Purpurea</t>
        </is>
      </c>
      <c r="G7" t="inlineStr">
        <is>
          <t>Review</t>
        </is>
      </c>
      <c r="H7" t="inlineStr">
        <is>
          <t>Ashwagandha</t>
        </is>
      </c>
      <c r="I7" t="inlineStr">
        <is>
          <t>Black Cohosh</t>
        </is>
      </c>
      <c r="J7" t="inlineStr">
        <is>
          <t>Echinacea Purpurea</t>
        </is>
      </c>
      <c r="K7" t="inlineStr">
        <is>
          <t>Review</t>
        </is>
      </c>
      <c r="M7" t="inlineStr">
        <is>
          <t>No repair needed or no safe fallback available</t>
        </is>
      </c>
    </row>
    <row r="8">
      <c r="A8" t="inlineStr">
        <is>
          <t>Product Stack Outputs V6</t>
        </is>
      </c>
      <c r="B8" t="inlineStr">
        <is>
          <t>Stack Row 8</t>
        </is>
      </c>
      <c r="C8" t="inlineStr">
        <is>
          <t>General</t>
        </is>
      </c>
      <c r="D8" t="inlineStr">
        <is>
          <t>Black Cohosh</t>
        </is>
      </c>
      <c r="E8" t="inlineStr">
        <is>
          <t>Echinacea Purpurea</t>
        </is>
      </c>
      <c r="F8" t="inlineStr">
        <is>
          <t>Garlic</t>
        </is>
      </c>
      <c r="G8" t="inlineStr">
        <is>
          <t>Review</t>
        </is>
      </c>
      <c r="H8" t="inlineStr">
        <is>
          <t>Black Cohosh</t>
        </is>
      </c>
      <c r="I8" t="inlineStr">
        <is>
          <t>Echinacea Purpurea</t>
        </is>
      </c>
      <c r="J8" t="inlineStr">
        <is>
          <t>Agarikon</t>
        </is>
      </c>
      <c r="K8" t="inlineStr">
        <is>
          <t>Review</t>
        </is>
      </c>
      <c r="L8" t="inlineStr">
        <is>
          <t>Garlic -&gt; Agarikon</t>
        </is>
      </c>
      <c r="M8" t="inlineStr">
        <is>
          <t>Partially repaired; at least one restricted herb remains</t>
        </is>
      </c>
    </row>
    <row r="9">
      <c r="A9" t="inlineStr">
        <is>
          <t>Product Stack Outputs V6</t>
        </is>
      </c>
      <c r="B9" t="inlineStr">
        <is>
          <t>Stack Row 9</t>
        </is>
      </c>
      <c r="C9" t="inlineStr">
        <is>
          <t>General</t>
        </is>
      </c>
      <c r="D9" t="inlineStr">
        <is>
          <t>Echinacea Purpurea</t>
        </is>
      </c>
      <c r="E9" t="inlineStr">
        <is>
          <t>Garlic</t>
        </is>
      </c>
      <c r="F9" t="inlineStr">
        <is>
          <t>Ginger</t>
        </is>
      </c>
      <c r="G9" t="inlineStr">
        <is>
          <t>Review</t>
        </is>
      </c>
      <c r="H9" t="inlineStr">
        <is>
          <t>Echinacea Purpurea</t>
        </is>
      </c>
      <c r="I9" t="inlineStr">
        <is>
          <t>Agarikon</t>
        </is>
      </c>
      <c r="J9" t="inlineStr">
        <is>
          <t>Ajwain</t>
        </is>
      </c>
      <c r="K9" t="inlineStr">
        <is>
          <t>Review</t>
        </is>
      </c>
      <c r="L9" t="inlineStr">
        <is>
          <t>Garlic -&gt; Agarikon; Ginger -&gt; Ajwain</t>
        </is>
      </c>
      <c r="M9" t="inlineStr">
        <is>
          <t>Partially repaired; at least one restricted herb remains</t>
        </is>
      </c>
    </row>
    <row r="10">
      <c r="A10" t="inlineStr">
        <is>
          <t>Product Stack Outputs V6</t>
        </is>
      </c>
      <c r="B10" t="inlineStr">
        <is>
          <t>Stack Row 10</t>
        </is>
      </c>
      <c r="C10" t="inlineStr">
        <is>
          <t>General</t>
        </is>
      </c>
      <c r="D10" t="inlineStr">
        <is>
          <t>Garlic</t>
        </is>
      </c>
      <c r="E10" t="inlineStr">
        <is>
          <t>Ginger</t>
        </is>
      </c>
      <c r="F10" t="inlineStr">
        <is>
          <t>Ginkgo Biloba</t>
        </is>
      </c>
      <c r="G10" t="inlineStr">
        <is>
          <t>Review</t>
        </is>
      </c>
      <c r="H10" t="inlineStr">
        <is>
          <t>Agarikon</t>
        </is>
      </c>
      <c r="I10" t="inlineStr">
        <is>
          <t>Ajwain</t>
        </is>
      </c>
      <c r="J10" t="inlineStr">
        <is>
          <t>Ginkgo Biloba</t>
        </is>
      </c>
      <c r="K10" t="inlineStr">
        <is>
          <t>Review</t>
        </is>
      </c>
      <c r="L10" t="inlineStr">
        <is>
          <t>Garlic -&gt; Agarikon; Ginger -&gt; Ajwain</t>
        </is>
      </c>
      <c r="M10" t="inlineStr">
        <is>
          <t>Partially repaired; at least one restricted herb remains</t>
        </is>
      </c>
    </row>
    <row r="11">
      <c r="A11" t="inlineStr">
        <is>
          <t>Product Stack Outputs V6</t>
        </is>
      </c>
      <c r="B11" t="inlineStr">
        <is>
          <t>Stack Row 11</t>
        </is>
      </c>
      <c r="C11" t="inlineStr">
        <is>
          <t>General</t>
        </is>
      </c>
      <c r="D11" t="inlineStr">
        <is>
          <t>Ginger</t>
        </is>
      </c>
      <c r="E11" t="inlineStr">
        <is>
          <t>Ginkgo Biloba</t>
        </is>
      </c>
      <c r="F11" t="inlineStr">
        <is>
          <t>Kava</t>
        </is>
      </c>
      <c r="G11" t="inlineStr">
        <is>
          <t>Review</t>
        </is>
      </c>
      <c r="H11" t="inlineStr">
        <is>
          <t>Agarikon</t>
        </is>
      </c>
      <c r="I11" t="inlineStr">
        <is>
          <t>Ginkgo Biloba</t>
        </is>
      </c>
      <c r="J11" t="inlineStr">
        <is>
          <t>Ajwain</t>
        </is>
      </c>
      <c r="K11" t="inlineStr">
        <is>
          <t>Review</t>
        </is>
      </c>
      <c r="L11" t="inlineStr">
        <is>
          <t>Ginger -&gt; Agarikon; Kava -&gt; Ajwain</t>
        </is>
      </c>
      <c r="M11" t="inlineStr">
        <is>
          <t>Partially repaired; at least one restricted herb remains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sheetData>
    <row r="1">
      <c r="A1" t="inlineStr">
        <is>
          <t>Rank</t>
        </is>
      </c>
      <c r="B1" t="inlineStr">
        <is>
          <t>Original Stack Name</t>
        </is>
      </c>
      <c r="C1" t="inlineStr">
        <is>
          <t>Category</t>
        </is>
      </c>
      <c r="D1" t="inlineStr">
        <is>
          <t>Repaired Herb A</t>
        </is>
      </c>
      <c r="E1" t="inlineStr">
        <is>
          <t>Repaired Herb B</t>
        </is>
      </c>
      <c r="F1" t="inlineStr">
        <is>
          <t>Repaired Herb C</t>
        </is>
      </c>
      <c r="G1" t="inlineStr">
        <is>
          <t>Repaired Status</t>
        </is>
      </c>
      <c r="H1" t="inlineStr">
        <is>
          <t>Changes Made</t>
        </is>
      </c>
      <c r="I1" t="inlineStr">
        <is>
          <t>Repair Notes</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34</t>
        </is>
      </c>
    </row>
    <row r="3">
      <c r="A3" t="inlineStr">
        <is>
          <t>Focus</t>
        </is>
      </c>
      <c r="B3" t="inlineStr">
        <is>
          <t>Stack auto-repair engine</t>
        </is>
      </c>
    </row>
    <row r="4">
      <c r="A4" t="inlineStr">
        <is>
          <t>Source sheet</t>
        </is>
      </c>
      <c r="B4" t="inlineStr">
        <is>
          <t>Product Stack Outputs V6</t>
        </is>
      </c>
    </row>
    <row r="5">
      <c r="A5" t="inlineStr">
        <is>
          <t>Stacks processed</t>
        </is>
      </c>
      <c r="B5" t="n">
        <v>10</v>
      </c>
    </row>
    <row r="6">
      <c r="A6" t="inlineStr">
        <is>
          <t>Stacks with repairs</t>
        </is>
      </c>
      <c r="B6" t="n">
        <v>4</v>
      </c>
    </row>
    <row r="7">
      <c r="A7" t="inlineStr">
        <is>
          <t>Stacks unchanged</t>
        </is>
      </c>
      <c r="B7" t="n">
        <v>6</v>
      </c>
    </row>
    <row r="8">
      <c r="A8" t="inlineStr">
        <is>
          <t>Publishable repaired stacks</t>
        </is>
      </c>
      <c r="B8" t="n">
        <v>0</v>
      </c>
    </row>
    <row r="9">
      <c r="A9" t="inlineStr">
        <is>
          <t>Top repaired stack</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sheetData>
    <row r="1">
      <c r="A1" t="inlineStr">
        <is>
          <t>Original Stack Name</t>
        </is>
      </c>
      <c r="B1" t="inlineStr">
        <is>
          <t>Category</t>
        </is>
      </c>
      <c r="C1" t="inlineStr">
        <is>
          <t>Original Herb A</t>
        </is>
      </c>
      <c r="D1" t="inlineStr">
        <is>
          <t>Original Herb B</t>
        </is>
      </c>
      <c r="E1" t="inlineStr">
        <is>
          <t>Original Herb C</t>
        </is>
      </c>
      <c r="F1" t="inlineStr">
        <is>
          <t>Original Status</t>
        </is>
      </c>
      <c r="G1" t="inlineStr">
        <is>
          <t>Repaired Herb A</t>
        </is>
      </c>
      <c r="H1" t="inlineStr">
        <is>
          <t>Repaired Herb B</t>
        </is>
      </c>
      <c r="I1" t="inlineStr">
        <is>
          <t>Repaired Herb C</t>
        </is>
      </c>
      <c r="J1" t="inlineStr">
        <is>
          <t>Repaired Status</t>
        </is>
      </c>
      <c r="K1" t="inlineStr">
        <is>
          <t>Repair Pass</t>
        </is>
      </c>
      <c r="L1" t="inlineStr">
        <is>
          <t>Changes Made</t>
        </is>
      </c>
      <c r="M1" t="inlineStr">
        <is>
          <t>Repair Notes</t>
        </is>
      </c>
    </row>
    <row r="2">
      <c r="A2" t="inlineStr">
        <is>
          <t>Stack Row 2</t>
        </is>
      </c>
      <c r="B2" t="inlineStr">
        <is>
          <t>General</t>
        </is>
      </c>
      <c r="C2" t="inlineStr">
        <is>
          <t>Maca</t>
        </is>
      </c>
      <c r="D2" t="inlineStr">
        <is>
          <t>Guarana</t>
        </is>
      </c>
      <c r="E2" t="inlineStr">
        <is>
          <t>Yerba Mate</t>
        </is>
      </c>
      <c r="F2" t="inlineStr">
        <is>
          <t>Publishable</t>
        </is>
      </c>
      <c r="G2" t="inlineStr">
        <is>
          <t>Maca</t>
        </is>
      </c>
      <c r="H2" t="inlineStr">
        <is>
          <t>Guarana</t>
        </is>
      </c>
      <c r="I2" t="inlineStr">
        <is>
          <t>Yerba Mate</t>
        </is>
      </c>
      <c r="J2" t="inlineStr">
        <is>
          <t>Publishable</t>
        </is>
      </c>
      <c r="K2" t="inlineStr">
        <is>
          <t>None</t>
        </is>
      </c>
      <c r="M2" t="inlineStr">
        <is>
          <t>No safe repair available from current expanded pool</t>
        </is>
      </c>
    </row>
    <row r="3">
      <c r="A3" t="inlineStr">
        <is>
          <t>Stack Row 3</t>
        </is>
      </c>
      <c r="B3" t="inlineStr">
        <is>
          <t>General</t>
        </is>
      </c>
      <c r="C3" t="inlineStr">
        <is>
          <t>Guarana</t>
        </is>
      </c>
      <c r="D3" t="inlineStr">
        <is>
          <t>Yerba Mate</t>
        </is>
      </c>
      <c r="E3" t="inlineStr">
        <is>
          <t>Damiana</t>
        </is>
      </c>
      <c r="F3" t="inlineStr">
        <is>
          <t>Publishable</t>
        </is>
      </c>
      <c r="G3" t="inlineStr">
        <is>
          <t>Guarana</t>
        </is>
      </c>
      <c r="H3" t="inlineStr">
        <is>
          <t>Yerba Mate</t>
        </is>
      </c>
      <c r="I3" t="inlineStr">
        <is>
          <t>Damiana</t>
        </is>
      </c>
      <c r="J3" t="inlineStr">
        <is>
          <t>Publishable</t>
        </is>
      </c>
      <c r="K3" t="inlineStr">
        <is>
          <t>None</t>
        </is>
      </c>
      <c r="M3" t="inlineStr">
        <is>
          <t>No safe repair available from current expanded pool</t>
        </is>
      </c>
    </row>
    <row r="4">
      <c r="A4" t="inlineStr">
        <is>
          <t>Stack Row 4</t>
        </is>
      </c>
      <c r="B4" t="inlineStr">
        <is>
          <t>General</t>
        </is>
      </c>
      <c r="C4" t="inlineStr">
        <is>
          <t>Yerba Mate</t>
        </is>
      </c>
      <c r="D4" t="inlineStr">
        <is>
          <t>Damiana</t>
        </is>
      </c>
      <c r="E4" t="inlineStr">
        <is>
          <t>Blue Lotus</t>
        </is>
      </c>
      <c r="F4" t="inlineStr">
        <is>
          <t>Publishable</t>
        </is>
      </c>
      <c r="G4" t="inlineStr">
        <is>
          <t>Yerba Mate</t>
        </is>
      </c>
      <c r="H4" t="inlineStr">
        <is>
          <t>Damiana</t>
        </is>
      </c>
      <c r="I4" t="inlineStr">
        <is>
          <t>Blue Lotus</t>
        </is>
      </c>
      <c r="J4" t="inlineStr">
        <is>
          <t>Publishable</t>
        </is>
      </c>
      <c r="K4" t="inlineStr">
        <is>
          <t>None</t>
        </is>
      </c>
      <c r="M4" t="inlineStr">
        <is>
          <t>No safe repair available from current expanded pool</t>
        </is>
      </c>
    </row>
    <row r="5">
      <c r="A5" t="inlineStr">
        <is>
          <t>Stack Row 5</t>
        </is>
      </c>
      <c r="B5" t="inlineStr">
        <is>
          <t>General</t>
        </is>
      </c>
      <c r="C5" t="inlineStr">
        <is>
          <t>Damiana</t>
        </is>
      </c>
      <c r="D5" t="inlineStr">
        <is>
          <t>Blue Lotus</t>
        </is>
      </c>
      <c r="E5" t="inlineStr">
        <is>
          <t>Kudzu</t>
        </is>
      </c>
      <c r="F5" t="inlineStr">
        <is>
          <t>Publishable</t>
        </is>
      </c>
      <c r="G5" t="inlineStr">
        <is>
          <t>Damiana</t>
        </is>
      </c>
      <c r="H5" t="inlineStr">
        <is>
          <t>Blue Lotus</t>
        </is>
      </c>
      <c r="I5" t="inlineStr">
        <is>
          <t>Kudzu</t>
        </is>
      </c>
      <c r="J5" t="inlineStr">
        <is>
          <t>Publishable</t>
        </is>
      </c>
      <c r="K5" t="inlineStr">
        <is>
          <t>None</t>
        </is>
      </c>
      <c r="M5" t="inlineStr">
        <is>
          <t>No safe repair available from current expanded pool</t>
        </is>
      </c>
    </row>
    <row r="6">
      <c r="A6" t="inlineStr">
        <is>
          <t>Stack Row 6</t>
        </is>
      </c>
      <c r="B6" t="inlineStr">
        <is>
          <t>General</t>
        </is>
      </c>
      <c r="C6" t="inlineStr">
        <is>
          <t>Blue Lotus</t>
        </is>
      </c>
      <c r="D6" t="inlineStr">
        <is>
          <t>Kudzu</t>
        </is>
      </c>
      <c r="E6" t="inlineStr">
        <is>
          <t>Butterbur</t>
        </is>
      </c>
      <c r="F6" t="inlineStr">
        <is>
          <t>Publishable</t>
        </is>
      </c>
      <c r="G6" t="inlineStr">
        <is>
          <t>Blue Lotus</t>
        </is>
      </c>
      <c r="H6" t="inlineStr">
        <is>
          <t>Kudzu</t>
        </is>
      </c>
      <c r="I6" t="inlineStr">
        <is>
          <t>Butterbur</t>
        </is>
      </c>
      <c r="J6" t="inlineStr">
        <is>
          <t>Publishable</t>
        </is>
      </c>
      <c r="K6" t="inlineStr">
        <is>
          <t>None</t>
        </is>
      </c>
      <c r="M6" t="inlineStr">
        <is>
          <t>No safe repair available from current expanded pool</t>
        </is>
      </c>
    </row>
    <row r="7">
      <c r="A7" t="inlineStr">
        <is>
          <t>Stack Row 7</t>
        </is>
      </c>
      <c r="B7" t="inlineStr">
        <is>
          <t>General</t>
        </is>
      </c>
      <c r="C7" t="inlineStr">
        <is>
          <t>Ashwagandha</t>
        </is>
      </c>
      <c r="D7" t="inlineStr">
        <is>
          <t>Black Cohosh</t>
        </is>
      </c>
      <c r="E7" t="inlineStr">
        <is>
          <t>Echinacea Purpurea</t>
        </is>
      </c>
      <c r="F7" t="inlineStr">
        <is>
          <t>Review</t>
        </is>
      </c>
      <c r="G7" t="inlineStr">
        <is>
          <t>Ashwagandha</t>
        </is>
      </c>
      <c r="H7" t="inlineStr">
        <is>
          <t>Black Cohosh</t>
        </is>
      </c>
      <c r="I7" t="inlineStr">
        <is>
          <t>Echinacea Purpurea</t>
        </is>
      </c>
      <c r="J7" t="inlineStr">
        <is>
          <t>Review</t>
        </is>
      </c>
      <c r="K7" t="inlineStr">
        <is>
          <t>None</t>
        </is>
      </c>
      <c r="M7" t="inlineStr">
        <is>
          <t>No safe repair available from current expanded pool | At least one restricted herb remains</t>
        </is>
      </c>
    </row>
    <row r="8">
      <c r="A8" t="inlineStr">
        <is>
          <t>Stack Row 8</t>
        </is>
      </c>
      <c r="B8" t="inlineStr">
        <is>
          <t>General</t>
        </is>
      </c>
      <c r="C8" t="inlineStr">
        <is>
          <t>Black Cohosh</t>
        </is>
      </c>
      <c r="D8" t="inlineStr">
        <is>
          <t>Echinacea Purpurea</t>
        </is>
      </c>
      <c r="E8" t="inlineStr">
        <is>
          <t>Garlic</t>
        </is>
      </c>
      <c r="F8" t="inlineStr">
        <is>
          <t>Review</t>
        </is>
      </c>
      <c r="G8" t="inlineStr">
        <is>
          <t>Black Cohosh</t>
        </is>
      </c>
      <c r="H8" t="inlineStr">
        <is>
          <t>Echinacea Purpurea</t>
        </is>
      </c>
      <c r="I8" t="inlineStr">
        <is>
          <t>Agarikon</t>
        </is>
      </c>
      <c r="J8" t="inlineStr">
        <is>
          <t>Review</t>
        </is>
      </c>
      <c r="K8" t="inlineStr">
        <is>
          <t>Direct</t>
        </is>
      </c>
      <c r="L8" t="inlineStr">
        <is>
          <t>Garlic -&gt; Agarikon</t>
        </is>
      </c>
      <c r="M8" t="inlineStr">
        <is>
          <t>Restricted herb replaced or stack cleaned with expanded fallback pool | At least one restricted herb remains</t>
        </is>
      </c>
    </row>
    <row r="9">
      <c r="A9" t="inlineStr">
        <is>
          <t>Stack Row 9</t>
        </is>
      </c>
      <c r="B9" t="inlineStr">
        <is>
          <t>General</t>
        </is>
      </c>
      <c r="C9" t="inlineStr">
        <is>
          <t>Echinacea Purpurea</t>
        </is>
      </c>
      <c r="D9" t="inlineStr">
        <is>
          <t>Garlic</t>
        </is>
      </c>
      <c r="E9" t="inlineStr">
        <is>
          <t>Ginger</t>
        </is>
      </c>
      <c r="F9" t="inlineStr">
        <is>
          <t>Review</t>
        </is>
      </c>
      <c r="G9" t="inlineStr">
        <is>
          <t>Echinacea Purpurea</t>
        </is>
      </c>
      <c r="H9" t="inlineStr">
        <is>
          <t>Agarikon</t>
        </is>
      </c>
      <c r="I9" t="inlineStr">
        <is>
          <t>Ajwain</t>
        </is>
      </c>
      <c r="J9" t="inlineStr">
        <is>
          <t>Review</t>
        </is>
      </c>
      <c r="K9" t="inlineStr">
        <is>
          <t>Direct</t>
        </is>
      </c>
      <c r="L9" t="inlineStr">
        <is>
          <t>Garlic -&gt; Agarikon; Ginger -&gt; Ajwain</t>
        </is>
      </c>
      <c r="M9" t="inlineStr">
        <is>
          <t>Restricted herb replaced or stack cleaned with expanded fallback pool | At least one restricted herb remains</t>
        </is>
      </c>
    </row>
    <row r="10">
      <c r="A10" t="inlineStr">
        <is>
          <t>Stack Row 10</t>
        </is>
      </c>
      <c r="B10" t="inlineStr">
        <is>
          <t>General</t>
        </is>
      </c>
      <c r="C10" t="inlineStr">
        <is>
          <t>Garlic</t>
        </is>
      </c>
      <c r="D10" t="inlineStr">
        <is>
          <t>Ginger</t>
        </is>
      </c>
      <c r="E10" t="inlineStr">
        <is>
          <t>Ginkgo Biloba</t>
        </is>
      </c>
      <c r="F10" t="inlineStr">
        <is>
          <t>Review</t>
        </is>
      </c>
      <c r="G10" t="inlineStr">
        <is>
          <t>Agarikon</t>
        </is>
      </c>
      <c r="H10" t="inlineStr">
        <is>
          <t>Ajwain</t>
        </is>
      </c>
      <c r="I10" t="inlineStr">
        <is>
          <t>Ginkgo Biloba</t>
        </is>
      </c>
      <c r="J10" t="inlineStr">
        <is>
          <t>Review</t>
        </is>
      </c>
      <c r="K10" t="inlineStr">
        <is>
          <t>Direct</t>
        </is>
      </c>
      <c r="L10" t="inlineStr">
        <is>
          <t>Garlic -&gt; Agarikon; Ginger -&gt; Ajwain</t>
        </is>
      </c>
      <c r="M10" t="inlineStr">
        <is>
          <t>Restricted herb replaced or stack cleaned with expanded fallback pool | At least one restricted herb remains</t>
        </is>
      </c>
    </row>
    <row r="11">
      <c r="A11" t="inlineStr">
        <is>
          <t>Stack Row 11</t>
        </is>
      </c>
      <c r="B11" t="inlineStr">
        <is>
          <t>General</t>
        </is>
      </c>
      <c r="C11" t="inlineStr">
        <is>
          <t>Ginger</t>
        </is>
      </c>
      <c r="D11" t="inlineStr">
        <is>
          <t>Ginkgo Biloba</t>
        </is>
      </c>
      <c r="E11" t="inlineStr">
        <is>
          <t>Kava</t>
        </is>
      </c>
      <c r="F11" t="inlineStr">
        <is>
          <t>Review</t>
        </is>
      </c>
      <c r="G11" t="inlineStr">
        <is>
          <t>Agarikon</t>
        </is>
      </c>
      <c r="H11" t="inlineStr">
        <is>
          <t>Ginkgo Biloba</t>
        </is>
      </c>
      <c r="I11" t="inlineStr">
        <is>
          <t>Ajwain</t>
        </is>
      </c>
      <c r="J11" t="inlineStr">
        <is>
          <t>Review</t>
        </is>
      </c>
      <c r="K11" t="inlineStr">
        <is>
          <t>Direct</t>
        </is>
      </c>
      <c r="L11" t="inlineStr">
        <is>
          <t>Ginger -&gt; Agarikon; Kava -&gt; Ajwain</t>
        </is>
      </c>
      <c r="M11" t="inlineStr">
        <is>
          <t>Restricted herb replaced or stack cleaned with expanded fallback pool | At least one restricted herb remains</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1"/>
  <sheetViews>
    <sheetView workbookViewId="0">
      <selection activeCell="A1" sqref="A1"/>
    </sheetView>
  </sheetViews>
  <sheetFormatPr baseColWidth="8" defaultRowHeight="15"/>
  <sheetData>
    <row r="1">
      <c r="A1" t="inlineStr">
        <is>
          <t>Rank</t>
        </is>
      </c>
      <c r="B1" t="inlineStr">
        <is>
          <t>Original Stack Name</t>
        </is>
      </c>
      <c r="C1" t="inlineStr">
        <is>
          <t>Category</t>
        </is>
      </c>
      <c r="D1" t="inlineStr">
        <is>
          <t>Repaired Herb A</t>
        </is>
      </c>
      <c r="E1" t="inlineStr">
        <is>
          <t>Repaired Herb B</t>
        </is>
      </c>
      <c r="F1" t="inlineStr">
        <is>
          <t>Repaired Herb C</t>
        </is>
      </c>
      <c r="G1" t="inlineStr">
        <is>
          <t>Repaired Status</t>
        </is>
      </c>
      <c r="H1" t="inlineStr">
        <is>
          <t>Repair Pass</t>
        </is>
      </c>
      <c r="I1" t="inlineStr">
        <is>
          <t>Changes Made</t>
        </is>
      </c>
      <c r="J1" t="inlineStr">
        <is>
          <t>Repair Notes</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35</t>
        </is>
      </c>
    </row>
    <row r="3">
      <c r="A3" t="inlineStr">
        <is>
          <t>Focus</t>
        </is>
      </c>
      <c r="B3" t="inlineStr">
        <is>
          <t>Fallback expansion + second-pass repair</t>
        </is>
      </c>
    </row>
    <row r="4">
      <c r="A4" t="inlineStr">
        <is>
          <t>Herbs with expanded fallback pools</t>
        </is>
      </c>
      <c r="B4" t="n">
        <v>86</v>
      </c>
    </row>
    <row r="5">
      <c r="A5" t="inlineStr">
        <is>
          <t>Stacks processed</t>
        </is>
      </c>
      <c r="B5" t="n">
        <v>10</v>
      </c>
    </row>
    <row r="6">
      <c r="A6" t="inlineStr">
        <is>
          <t>Stacks repaired</t>
        </is>
      </c>
      <c r="B6" t="n">
        <v>4</v>
      </c>
    </row>
    <row r="7">
      <c r="A7" t="inlineStr">
        <is>
          <t>Publishable repaired stacks V2</t>
        </is>
      </c>
      <c r="B7" t="n">
        <v>0</v>
      </c>
    </row>
    <row r="8">
      <c r="A8" t="inlineStr">
        <is>
          <t>Review repaired stacks V2</t>
        </is>
      </c>
      <c r="B8" t="n">
        <v>5</v>
      </c>
    </row>
    <row r="9">
      <c r="A9" t="inlineStr">
        <is>
          <t>Curated repaired stacks V2</t>
        </is>
      </c>
      <c r="B9" t="n">
        <v>0</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sheetData>
    <row r="1">
      <c r="A1" t="inlineStr">
        <is>
          <t>Rank</t>
        </is>
      </c>
      <c r="B1" t="inlineStr">
        <is>
          <t>Tier</t>
        </is>
      </c>
      <c r="C1" t="inlineStr">
        <is>
          <t>Build Type</t>
        </is>
      </c>
      <c r="D1" t="inlineStr">
        <is>
          <t>Cluster</t>
        </is>
      </c>
      <c r="E1" t="inlineStr">
        <is>
          <t>Category</t>
        </is>
      </c>
      <c r="F1" t="inlineStr">
        <is>
          <t>Herb A</t>
        </is>
      </c>
      <c r="G1" t="inlineStr">
        <is>
          <t>Herb B</t>
        </is>
      </c>
      <c r="H1" t="inlineStr">
        <is>
          <t>Herb C</t>
        </is>
      </c>
      <c r="I1" t="inlineStr">
        <is>
          <t>Safety Tier Summary</t>
        </is>
      </c>
      <c r="J1" t="inlineStr">
        <is>
          <t>Generator Score</t>
        </is>
      </c>
      <c r="K1" t="inlineStr">
        <is>
          <t>Status</t>
        </is>
      </c>
      <c r="L1" t="inlineStr">
        <is>
          <t>Notes</t>
        </is>
      </c>
    </row>
    <row r="2">
      <c r="A2" t="n">
        <v>1</v>
      </c>
      <c r="B2" t="inlineStr">
        <is>
          <t>Advanced</t>
        </is>
      </c>
      <c r="C2" t="inlineStr">
        <is>
          <t>Cluster-native</t>
        </is>
      </c>
      <c r="D2" t="inlineStr">
        <is>
          <t>Generalist</t>
        </is>
      </c>
      <c r="E2" t="inlineStr">
        <is>
          <t>General</t>
        </is>
      </c>
      <c r="F2" t="inlineStr">
        <is>
          <t>Artichoke</t>
        </is>
      </c>
      <c r="G2" t="inlineStr">
        <is>
          <t>Boldo</t>
        </is>
      </c>
      <c r="H2" t="inlineStr">
        <is>
          <t>Agarikon</t>
        </is>
      </c>
      <c r="I2" t="inlineStr">
        <is>
          <t>Baseline, Moderate</t>
        </is>
      </c>
      <c r="J2" t="n">
        <v>41</v>
      </c>
      <c r="K2" t="inlineStr">
        <is>
          <t>Review</t>
        </is>
      </c>
      <c r="L2" t="inlineStr">
        <is>
          <t>Built from same-cluster, non-review herbs with moderate-risk ceiling</t>
        </is>
      </c>
    </row>
    <row r="3">
      <c r="A3" t="n">
        <v>2</v>
      </c>
      <c r="B3" t="inlineStr">
        <is>
          <t>Advanced</t>
        </is>
      </c>
      <c r="C3" t="inlineStr">
        <is>
          <t>Cluster-native</t>
        </is>
      </c>
      <c r="D3" t="inlineStr">
        <is>
          <t>Generalist</t>
        </is>
      </c>
      <c r="E3" t="inlineStr">
        <is>
          <t>General</t>
        </is>
      </c>
      <c r="F3" t="inlineStr">
        <is>
          <t>Artichoke</t>
        </is>
      </c>
      <c r="G3" t="inlineStr">
        <is>
          <t>Boldo</t>
        </is>
      </c>
      <c r="H3" t="inlineStr">
        <is>
          <t>Ajwain</t>
        </is>
      </c>
      <c r="I3" t="inlineStr">
        <is>
          <t>Baseline, Moderate</t>
        </is>
      </c>
      <c r="J3" t="n">
        <v>41</v>
      </c>
      <c r="K3" t="inlineStr">
        <is>
          <t>Review</t>
        </is>
      </c>
      <c r="L3" t="inlineStr">
        <is>
          <t>Built from same-cluster, non-review herbs with moderate-risk ceiling</t>
        </is>
      </c>
    </row>
    <row r="4">
      <c r="A4" t="n">
        <v>3</v>
      </c>
      <c r="B4" t="inlineStr">
        <is>
          <t>Advanced</t>
        </is>
      </c>
      <c r="C4" t="inlineStr">
        <is>
          <t>Cluster-native</t>
        </is>
      </c>
      <c r="D4" t="inlineStr">
        <is>
          <t>Generalist</t>
        </is>
      </c>
      <c r="E4" t="inlineStr">
        <is>
          <t>General</t>
        </is>
      </c>
      <c r="F4" t="inlineStr">
        <is>
          <t>Artichoke</t>
        </is>
      </c>
      <c r="G4" t="inlineStr">
        <is>
          <t>Boldo</t>
        </is>
      </c>
      <c r="H4" t="inlineStr">
        <is>
          <t>Angelica Root</t>
        </is>
      </c>
      <c r="I4" t="inlineStr">
        <is>
          <t>Baseline, Moderate</t>
        </is>
      </c>
      <c r="J4" t="n">
        <v>41</v>
      </c>
      <c r="K4" t="inlineStr">
        <is>
          <t>Review</t>
        </is>
      </c>
      <c r="L4" t="inlineStr">
        <is>
          <t>Built from same-cluster, non-review herbs with moderate-risk ceiling</t>
        </is>
      </c>
    </row>
    <row r="5">
      <c r="A5" t="n">
        <v>4</v>
      </c>
      <c r="B5" t="inlineStr">
        <is>
          <t>Advanced</t>
        </is>
      </c>
      <c r="C5" t="inlineStr">
        <is>
          <t>Cluster-native</t>
        </is>
      </c>
      <c r="D5" t="inlineStr">
        <is>
          <t>Generalist</t>
        </is>
      </c>
      <c r="E5" t="inlineStr">
        <is>
          <t>General</t>
        </is>
      </c>
      <c r="F5" t="inlineStr">
        <is>
          <t>Artichoke</t>
        </is>
      </c>
      <c r="G5" t="inlineStr">
        <is>
          <t>Boldo</t>
        </is>
      </c>
      <c r="H5" t="inlineStr">
        <is>
          <t>Ashoka</t>
        </is>
      </c>
      <c r="I5" t="inlineStr">
        <is>
          <t>Baseline, Moderate</t>
        </is>
      </c>
      <c r="J5" t="n">
        <v>41</v>
      </c>
      <c r="K5" t="inlineStr">
        <is>
          <t>Review</t>
        </is>
      </c>
      <c r="L5" t="inlineStr">
        <is>
          <t>Built from same-cluster, non-review herbs with moderate-risk ceiling</t>
        </is>
      </c>
    </row>
    <row r="6">
      <c r="A6" t="n">
        <v>5</v>
      </c>
      <c r="B6" t="inlineStr">
        <is>
          <t>Advanced</t>
        </is>
      </c>
      <c r="C6" t="inlineStr">
        <is>
          <t>Cluster-native</t>
        </is>
      </c>
      <c r="D6" t="inlineStr">
        <is>
          <t>Stress / Adaptogenic</t>
        </is>
      </c>
      <c r="E6" t="inlineStr">
        <is>
          <t>Stress</t>
        </is>
      </c>
      <c r="F6" t="inlineStr">
        <is>
          <t>Holy Basil</t>
        </is>
      </c>
      <c r="G6" t="inlineStr">
        <is>
          <t>Maca</t>
        </is>
      </c>
      <c r="H6" t="inlineStr">
        <is>
          <t>Rhodiola Rosea</t>
        </is>
      </c>
      <c r="I6" t="inlineStr">
        <is>
          <t>Baseline, Moderate</t>
        </is>
      </c>
      <c r="J6" t="n">
        <v>41</v>
      </c>
      <c r="K6" t="inlineStr">
        <is>
          <t>Review</t>
        </is>
      </c>
      <c r="L6" t="inlineStr">
        <is>
          <t>Built from same-cluster, non-review herbs with moderate-risk ceiling</t>
        </is>
      </c>
    </row>
    <row r="7">
      <c r="A7" t="n">
        <v>6</v>
      </c>
      <c r="B7" t="inlineStr">
        <is>
          <t>Advanced</t>
        </is>
      </c>
      <c r="C7" t="inlineStr">
        <is>
          <t>Cluster-native</t>
        </is>
      </c>
      <c r="D7" t="inlineStr">
        <is>
          <t>Stress / Adaptogenic</t>
        </is>
      </c>
      <c r="E7" t="inlineStr">
        <is>
          <t>Stress</t>
        </is>
      </c>
      <c r="F7" t="inlineStr">
        <is>
          <t>Holy Basil</t>
        </is>
      </c>
      <c r="G7" t="inlineStr">
        <is>
          <t>Rhodiola Rosea</t>
        </is>
      </c>
      <c r="H7" t="inlineStr">
        <is>
          <t>Holy Basil Purple</t>
        </is>
      </c>
      <c r="I7" t="inlineStr">
        <is>
          <t>Baseline, Moderate</t>
        </is>
      </c>
      <c r="J7" t="n">
        <v>41</v>
      </c>
      <c r="K7" t="inlineStr">
        <is>
          <t>Review</t>
        </is>
      </c>
      <c r="L7" t="inlineStr">
        <is>
          <t>Built from same-cluster, non-review herbs with moderate-risk ceiling</t>
        </is>
      </c>
    </row>
    <row r="8">
      <c r="A8" t="n">
        <v>7</v>
      </c>
      <c r="B8" t="inlineStr">
        <is>
          <t>Advanced</t>
        </is>
      </c>
      <c r="C8" t="inlineStr">
        <is>
          <t>Cluster-native</t>
        </is>
      </c>
      <c r="D8" t="inlineStr">
        <is>
          <t>Stress / Adaptogenic</t>
        </is>
      </c>
      <c r="E8" t="inlineStr">
        <is>
          <t>Stress</t>
        </is>
      </c>
      <c r="F8" t="inlineStr">
        <is>
          <t>Holy Basil</t>
        </is>
      </c>
      <c r="G8" t="inlineStr">
        <is>
          <t>Rhodiola Rosea</t>
        </is>
      </c>
      <c r="H8" t="inlineStr">
        <is>
          <t>Maral Root</t>
        </is>
      </c>
      <c r="I8" t="inlineStr">
        <is>
          <t>Baseline, Moderate</t>
        </is>
      </c>
      <c r="J8" t="n">
        <v>41</v>
      </c>
      <c r="K8" t="inlineStr">
        <is>
          <t>Review</t>
        </is>
      </c>
      <c r="L8" t="inlineStr">
        <is>
          <t>Built from same-cluster, non-review herbs with moderate-risk ceiling</t>
        </is>
      </c>
    </row>
    <row r="9">
      <c r="A9" t="n">
        <v>8</v>
      </c>
      <c r="B9" t="inlineStr">
        <is>
          <t>Advanced</t>
        </is>
      </c>
      <c r="C9" t="inlineStr">
        <is>
          <t>Cluster-native</t>
        </is>
      </c>
      <c r="D9" t="inlineStr">
        <is>
          <t>Stress / Adaptogenic</t>
        </is>
      </c>
      <c r="E9" t="inlineStr">
        <is>
          <t>Stress</t>
        </is>
      </c>
      <c r="F9" t="inlineStr">
        <is>
          <t>Holy Basil</t>
        </is>
      </c>
      <c r="G9" t="inlineStr">
        <is>
          <t>Rhodiola Rosea</t>
        </is>
      </c>
      <c r="H9" t="inlineStr">
        <is>
          <t>Rhodiola</t>
        </is>
      </c>
      <c r="I9" t="inlineStr">
        <is>
          <t>Baseline, Moderate</t>
        </is>
      </c>
      <c r="J9" t="n">
        <v>41</v>
      </c>
      <c r="K9" t="inlineStr">
        <is>
          <t>Review</t>
        </is>
      </c>
      <c r="L9" t="inlineStr">
        <is>
          <t>Built from same-cluster, non-review herbs with moderate-risk ceiling</t>
        </is>
      </c>
    </row>
    <row r="10">
      <c r="A10" t="n">
        <v>9</v>
      </c>
      <c r="B10" t="inlineStr">
        <is>
          <t>Advanced</t>
        </is>
      </c>
      <c r="C10" t="inlineStr">
        <is>
          <t>Cluster-native</t>
        </is>
      </c>
      <c r="D10" t="inlineStr">
        <is>
          <t>Metabolic</t>
        </is>
      </c>
      <c r="E10" t="inlineStr">
        <is>
          <t>Metabolic Support</t>
        </is>
      </c>
      <c r="F10" t="inlineStr">
        <is>
          <t>Ashitaba</t>
        </is>
      </c>
      <c r="G10" t="inlineStr">
        <is>
          <t>Berberis</t>
        </is>
      </c>
      <c r="H10" t="inlineStr">
        <is>
          <t>Bitter Melon</t>
        </is>
      </c>
      <c r="I10" t="inlineStr">
        <is>
          <t>Baseline, Moderate</t>
        </is>
      </c>
      <c r="J10" t="n">
        <v>33</v>
      </c>
      <c r="K10" t="inlineStr">
        <is>
          <t>Review</t>
        </is>
      </c>
      <c r="L10" t="inlineStr">
        <is>
          <t>Built from same-cluster, non-review herbs with moderate-risk ceiling</t>
        </is>
      </c>
    </row>
    <row r="11">
      <c r="A11" t="n">
        <v>10</v>
      </c>
      <c r="B11" t="inlineStr">
        <is>
          <t>Advanced</t>
        </is>
      </c>
      <c r="C11" t="inlineStr">
        <is>
          <t>Cluster-native</t>
        </is>
      </c>
      <c r="D11" t="inlineStr">
        <is>
          <t>Metabolic</t>
        </is>
      </c>
      <c r="E11" t="inlineStr">
        <is>
          <t>Metabolic Support</t>
        </is>
      </c>
      <c r="F11" t="inlineStr">
        <is>
          <t>Ashitaba</t>
        </is>
      </c>
      <c r="G11" t="inlineStr">
        <is>
          <t>Berberis</t>
        </is>
      </c>
      <c r="H11" t="inlineStr">
        <is>
          <t>Coleus Forskohlii</t>
        </is>
      </c>
      <c r="I11" t="inlineStr">
        <is>
          <t>Baseline, Moderate</t>
        </is>
      </c>
      <c r="J11" t="n">
        <v>33</v>
      </c>
      <c r="K11" t="inlineStr">
        <is>
          <t>Review</t>
        </is>
      </c>
      <c r="L11" t="inlineStr">
        <is>
          <t>Built from same-cluster, non-review herbs with moderate-risk ceiling</t>
        </is>
      </c>
    </row>
    <row r="12">
      <c r="A12" t="n">
        <v>11</v>
      </c>
      <c r="B12" t="inlineStr">
        <is>
          <t>Advanced</t>
        </is>
      </c>
      <c r="C12" t="inlineStr">
        <is>
          <t>Cluster-native</t>
        </is>
      </c>
      <c r="D12" t="inlineStr">
        <is>
          <t>Metabolic</t>
        </is>
      </c>
      <c r="E12" t="inlineStr">
        <is>
          <t>Metabolic Support</t>
        </is>
      </c>
      <c r="F12" t="inlineStr">
        <is>
          <t>Ashitaba</t>
        </is>
      </c>
      <c r="G12" t="inlineStr">
        <is>
          <t>Bitter Melon</t>
        </is>
      </c>
      <c r="H12" t="inlineStr">
        <is>
          <t>Coleus Forskohlii</t>
        </is>
      </c>
      <c r="I12" t="inlineStr">
        <is>
          <t>Baseline, Moderate</t>
        </is>
      </c>
      <c r="J12" t="n">
        <v>33</v>
      </c>
      <c r="K12" t="inlineStr">
        <is>
          <t>Review</t>
        </is>
      </c>
      <c r="L12" t="inlineStr">
        <is>
          <t>Built from same-cluster, non-review herbs with moderate-risk ceiling</t>
        </is>
      </c>
    </row>
    <row r="13">
      <c r="A13" t="n">
        <v>12</v>
      </c>
      <c r="B13" t="inlineStr">
        <is>
          <t>Advanced</t>
        </is>
      </c>
      <c r="C13" t="inlineStr">
        <is>
          <t>Cluster-native</t>
        </is>
      </c>
      <c r="D13" t="inlineStr">
        <is>
          <t>Metabolic</t>
        </is>
      </c>
      <c r="E13" t="inlineStr">
        <is>
          <t>Metabolic Support</t>
        </is>
      </c>
      <c r="F13" t="inlineStr">
        <is>
          <t>Ashitaba</t>
        </is>
      </c>
      <c r="G13" t="inlineStr">
        <is>
          <t>Eucommia</t>
        </is>
      </c>
      <c r="H13" t="inlineStr">
        <is>
          <t>Curry Leaf</t>
        </is>
      </c>
      <c r="I13" t="inlineStr">
        <is>
          <t>Baseline</t>
        </is>
      </c>
      <c r="J13" t="n">
        <v>33</v>
      </c>
      <c r="K13" t="inlineStr">
        <is>
          <t>Publishable</t>
        </is>
      </c>
      <c r="L13" t="inlineStr">
        <is>
          <t>Built from same-cluster, non-review herbs with moderate-risk ceiling</t>
        </is>
      </c>
    </row>
    <row r="14">
      <c r="A14" t="n">
        <v>13</v>
      </c>
      <c r="B14" t="inlineStr">
        <is>
          <t>Advanced</t>
        </is>
      </c>
      <c r="C14" t="inlineStr">
        <is>
          <t>Cluster-native</t>
        </is>
      </c>
      <c r="D14" t="inlineStr">
        <is>
          <t>Neuro / Cognitive</t>
        </is>
      </c>
      <c r="E14" t="inlineStr">
        <is>
          <t>Focus</t>
        </is>
      </c>
      <c r="F14" t="inlineStr">
        <is>
          <t>Polygala</t>
        </is>
      </c>
      <c r="G14" t="inlineStr">
        <is>
          <t>Panax Ginseng</t>
        </is>
      </c>
      <c r="H14" t="inlineStr">
        <is>
          <t>Corydalis</t>
        </is>
      </c>
      <c r="I14" t="inlineStr">
        <is>
          <t>Baseline</t>
        </is>
      </c>
      <c r="J14" t="n">
        <v>30</v>
      </c>
      <c r="K14" t="inlineStr">
        <is>
          <t>Publishable</t>
        </is>
      </c>
      <c r="L14" t="inlineStr">
        <is>
          <t>Built from same-cluster, non-review herbs with moderate-risk ceiling</t>
        </is>
      </c>
    </row>
    <row r="15">
      <c r="A15" t="n">
        <v>14</v>
      </c>
      <c r="B15" t="inlineStr">
        <is>
          <t>Advanced</t>
        </is>
      </c>
      <c r="C15" t="inlineStr">
        <is>
          <t>Cluster-native</t>
        </is>
      </c>
      <c r="D15" t="inlineStr">
        <is>
          <t>Neuro / Cognitive</t>
        </is>
      </c>
      <c r="E15" t="inlineStr">
        <is>
          <t>Focus</t>
        </is>
      </c>
      <c r="F15" t="inlineStr">
        <is>
          <t>Shankhpushpi</t>
        </is>
      </c>
      <c r="G15" t="inlineStr">
        <is>
          <t>Panax Ginseng</t>
        </is>
      </c>
      <c r="H15" t="inlineStr">
        <is>
          <t>Corydalis</t>
        </is>
      </c>
      <c r="I15" t="inlineStr">
        <is>
          <t>Baseline</t>
        </is>
      </c>
      <c r="J15" t="n">
        <v>30</v>
      </c>
      <c r="K15" t="inlineStr">
        <is>
          <t>Publishable</t>
        </is>
      </c>
      <c r="L15" t="inlineStr">
        <is>
          <t>Built from same-cluster, non-review herbs with moderate-risk ceiling</t>
        </is>
      </c>
    </row>
    <row r="16">
      <c r="A16" t="n">
        <v>15</v>
      </c>
      <c r="B16" t="inlineStr">
        <is>
          <t>Advanced</t>
        </is>
      </c>
      <c r="C16" t="inlineStr">
        <is>
          <t>Cluster-native</t>
        </is>
      </c>
      <c r="D16" t="inlineStr">
        <is>
          <t>Neuro / Cognitive</t>
        </is>
      </c>
      <c r="E16" t="inlineStr">
        <is>
          <t>Focus</t>
        </is>
      </c>
      <c r="F16" t="inlineStr">
        <is>
          <t>Shankhpushpi</t>
        </is>
      </c>
      <c r="G16" t="inlineStr">
        <is>
          <t>Polygala</t>
        </is>
      </c>
      <c r="H16" t="inlineStr">
        <is>
          <t>Corydalis</t>
        </is>
      </c>
      <c r="I16" t="inlineStr">
        <is>
          <t>Baseline</t>
        </is>
      </c>
      <c r="J16" t="n">
        <v>30</v>
      </c>
      <c r="K16" t="inlineStr">
        <is>
          <t>Publishable</t>
        </is>
      </c>
      <c r="L16" t="inlineStr">
        <is>
          <t>Built from same-cluster, non-review herbs with moderate-risk ceiling</t>
        </is>
      </c>
    </row>
    <row r="17">
      <c r="A17" t="n">
        <v>16</v>
      </c>
      <c r="B17" t="inlineStr">
        <is>
          <t>Advanced</t>
        </is>
      </c>
      <c r="C17" t="inlineStr">
        <is>
          <t>Cluster-native</t>
        </is>
      </c>
      <c r="D17" t="inlineStr">
        <is>
          <t>Neuro / Cognitive</t>
        </is>
      </c>
      <c r="E17" t="inlineStr">
        <is>
          <t>Focus</t>
        </is>
      </c>
      <c r="F17" t="inlineStr">
        <is>
          <t>Shankhpushpi</t>
        </is>
      </c>
      <c r="G17" t="inlineStr">
        <is>
          <t>Polygala</t>
        </is>
      </c>
      <c r="H17" t="inlineStr">
        <is>
          <t>Panax Ginseng</t>
        </is>
      </c>
      <c r="I17" t="inlineStr">
        <is>
          <t>Baseline</t>
        </is>
      </c>
      <c r="J17" t="n">
        <v>30</v>
      </c>
      <c r="K17" t="inlineStr">
        <is>
          <t>Publishable</t>
        </is>
      </c>
      <c r="L17" t="inlineStr">
        <is>
          <t>Built from same-cluster, non-review herbs with moderate-risk ceiling</t>
        </is>
      </c>
    </row>
    <row r="18">
      <c r="A18" t="n">
        <v>17</v>
      </c>
      <c r="B18" t="inlineStr">
        <is>
          <t>Advanced</t>
        </is>
      </c>
      <c r="C18" t="inlineStr">
        <is>
          <t>Cluster-native</t>
        </is>
      </c>
      <c r="D18" t="inlineStr">
        <is>
          <t>Inflammation / Recovery</t>
        </is>
      </c>
      <c r="E18" t="inlineStr">
        <is>
          <t>General</t>
        </is>
      </c>
      <c r="F18" t="inlineStr">
        <is>
          <t>Chamomile</t>
        </is>
      </c>
      <c r="G18" t="inlineStr">
        <is>
          <t>Cissus</t>
        </is>
      </c>
      <c r="H18" t="inlineStr">
        <is>
          <t>Notoginseng</t>
        </is>
      </c>
      <c r="I18" t="inlineStr">
        <is>
          <t>Baseline, Moderate</t>
        </is>
      </c>
      <c r="J18" t="n">
        <v>24</v>
      </c>
      <c r="K18" t="inlineStr">
        <is>
          <t>Review</t>
        </is>
      </c>
      <c r="L18" t="inlineStr">
        <is>
          <t>Built from same-cluster, non-review herbs with moderate-risk ceiling</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sheetData>
    <row r="1">
      <c r="A1" t="inlineStr">
        <is>
          <t>Rank</t>
        </is>
      </c>
      <c r="B1" t="inlineStr">
        <is>
          <t>Build Type</t>
        </is>
      </c>
      <c r="C1" t="inlineStr">
        <is>
          <t>Cluster</t>
        </is>
      </c>
      <c r="D1" t="inlineStr">
        <is>
          <t>Category</t>
        </is>
      </c>
      <c r="E1" t="inlineStr">
        <is>
          <t>Herb A</t>
        </is>
      </c>
      <c r="F1" t="inlineStr">
        <is>
          <t>Herb B</t>
        </is>
      </c>
      <c r="G1" t="inlineStr">
        <is>
          <t>Herb C</t>
        </is>
      </c>
      <c r="H1" t="inlineStr">
        <is>
          <t>Safety Tier Summary</t>
        </is>
      </c>
      <c r="I1" t="inlineStr">
        <is>
          <t>Generator Score</t>
        </is>
      </c>
      <c r="J1" t="inlineStr">
        <is>
          <t>Status</t>
        </is>
      </c>
    </row>
    <row r="2">
      <c r="A2" t="n">
        <v>1</v>
      </c>
      <c r="B2" t="inlineStr">
        <is>
          <t>Cluster-native</t>
        </is>
      </c>
      <c r="C2" t="inlineStr">
        <is>
          <t>Generalist</t>
        </is>
      </c>
      <c r="D2" t="inlineStr">
        <is>
          <t>General</t>
        </is>
      </c>
      <c r="E2" t="inlineStr">
        <is>
          <t>Artichoke</t>
        </is>
      </c>
      <c r="F2" t="inlineStr">
        <is>
          <t>Boldo</t>
        </is>
      </c>
      <c r="G2" t="inlineStr">
        <is>
          <t>Agarikon</t>
        </is>
      </c>
      <c r="H2" t="inlineStr">
        <is>
          <t>Baseline, Moderate</t>
        </is>
      </c>
      <c r="I2" t="n">
        <v>41</v>
      </c>
      <c r="J2" t="inlineStr">
        <is>
          <t>Review</t>
        </is>
      </c>
    </row>
    <row r="3">
      <c r="A3" t="n">
        <v>2</v>
      </c>
      <c r="B3" t="inlineStr">
        <is>
          <t>Cluster-native</t>
        </is>
      </c>
      <c r="C3" t="inlineStr">
        <is>
          <t>Generalist</t>
        </is>
      </c>
      <c r="D3" t="inlineStr">
        <is>
          <t>General</t>
        </is>
      </c>
      <c r="E3" t="inlineStr">
        <is>
          <t>Artichoke</t>
        </is>
      </c>
      <c r="F3" t="inlineStr">
        <is>
          <t>Boldo</t>
        </is>
      </c>
      <c r="G3" t="inlineStr">
        <is>
          <t>Ajwain</t>
        </is>
      </c>
      <c r="H3" t="inlineStr">
        <is>
          <t>Baseline, Moderate</t>
        </is>
      </c>
      <c r="I3" t="n">
        <v>41</v>
      </c>
      <c r="J3" t="inlineStr">
        <is>
          <t>Review</t>
        </is>
      </c>
    </row>
    <row r="4">
      <c r="A4" t="n">
        <v>3</v>
      </c>
      <c r="B4" t="inlineStr">
        <is>
          <t>Cluster-native</t>
        </is>
      </c>
      <c r="C4" t="inlineStr">
        <is>
          <t>Generalist</t>
        </is>
      </c>
      <c r="D4" t="inlineStr">
        <is>
          <t>General</t>
        </is>
      </c>
      <c r="E4" t="inlineStr">
        <is>
          <t>Artichoke</t>
        </is>
      </c>
      <c r="F4" t="inlineStr">
        <is>
          <t>Boldo</t>
        </is>
      </c>
      <c r="G4" t="inlineStr">
        <is>
          <t>Angelica Root</t>
        </is>
      </c>
      <c r="H4" t="inlineStr">
        <is>
          <t>Baseline, Moderate</t>
        </is>
      </c>
      <c r="I4" t="n">
        <v>41</v>
      </c>
      <c r="J4" t="inlineStr">
        <is>
          <t>Review</t>
        </is>
      </c>
    </row>
    <row r="5">
      <c r="A5" t="n">
        <v>4</v>
      </c>
      <c r="B5" t="inlineStr">
        <is>
          <t>Cluster-native</t>
        </is>
      </c>
      <c r="C5" t="inlineStr">
        <is>
          <t>Generalist</t>
        </is>
      </c>
      <c r="D5" t="inlineStr">
        <is>
          <t>General</t>
        </is>
      </c>
      <c r="E5" t="inlineStr">
        <is>
          <t>Artichoke</t>
        </is>
      </c>
      <c r="F5" t="inlineStr">
        <is>
          <t>Boldo</t>
        </is>
      </c>
      <c r="G5" t="inlineStr">
        <is>
          <t>Ashoka</t>
        </is>
      </c>
      <c r="H5" t="inlineStr">
        <is>
          <t>Baseline, Moderate</t>
        </is>
      </c>
      <c r="I5" t="n">
        <v>41</v>
      </c>
      <c r="J5" t="inlineStr">
        <is>
          <t>Review</t>
        </is>
      </c>
    </row>
    <row r="6">
      <c r="A6" t="n">
        <v>5</v>
      </c>
      <c r="B6" t="inlineStr">
        <is>
          <t>Cluster-native</t>
        </is>
      </c>
      <c r="C6" t="inlineStr">
        <is>
          <t>Stress / Adaptogenic</t>
        </is>
      </c>
      <c r="D6" t="inlineStr">
        <is>
          <t>Stress</t>
        </is>
      </c>
      <c r="E6" t="inlineStr">
        <is>
          <t>Holy Basil</t>
        </is>
      </c>
      <c r="F6" t="inlineStr">
        <is>
          <t>Maca</t>
        </is>
      </c>
      <c r="G6" t="inlineStr">
        <is>
          <t>Rhodiola Rosea</t>
        </is>
      </c>
      <c r="H6" t="inlineStr">
        <is>
          <t>Baseline, Moderate</t>
        </is>
      </c>
      <c r="I6" t="n">
        <v>41</v>
      </c>
      <c r="J6" t="inlineStr">
        <is>
          <t>Review</t>
        </is>
      </c>
    </row>
    <row r="7">
      <c r="A7" t="n">
        <v>6</v>
      </c>
      <c r="B7" t="inlineStr">
        <is>
          <t>Cluster-native</t>
        </is>
      </c>
      <c r="C7" t="inlineStr">
        <is>
          <t>Stress / Adaptogenic</t>
        </is>
      </c>
      <c r="D7" t="inlineStr">
        <is>
          <t>Stress</t>
        </is>
      </c>
      <c r="E7" t="inlineStr">
        <is>
          <t>Holy Basil</t>
        </is>
      </c>
      <c r="F7" t="inlineStr">
        <is>
          <t>Rhodiola Rosea</t>
        </is>
      </c>
      <c r="G7" t="inlineStr">
        <is>
          <t>Holy Basil Purple</t>
        </is>
      </c>
      <c r="H7" t="inlineStr">
        <is>
          <t>Baseline, Moderate</t>
        </is>
      </c>
      <c r="I7" t="n">
        <v>41</v>
      </c>
      <c r="J7" t="inlineStr">
        <is>
          <t>Review</t>
        </is>
      </c>
    </row>
    <row r="8">
      <c r="A8" t="n">
        <v>7</v>
      </c>
      <c r="B8" t="inlineStr">
        <is>
          <t>Cluster-native</t>
        </is>
      </c>
      <c r="C8" t="inlineStr">
        <is>
          <t>Stress / Adaptogenic</t>
        </is>
      </c>
      <c r="D8" t="inlineStr">
        <is>
          <t>Stress</t>
        </is>
      </c>
      <c r="E8" t="inlineStr">
        <is>
          <t>Holy Basil</t>
        </is>
      </c>
      <c r="F8" t="inlineStr">
        <is>
          <t>Rhodiola Rosea</t>
        </is>
      </c>
      <c r="G8" t="inlineStr">
        <is>
          <t>Maral Root</t>
        </is>
      </c>
      <c r="H8" t="inlineStr">
        <is>
          <t>Baseline, Moderate</t>
        </is>
      </c>
      <c r="I8" t="n">
        <v>41</v>
      </c>
      <c r="J8" t="inlineStr">
        <is>
          <t>Review</t>
        </is>
      </c>
    </row>
    <row r="9">
      <c r="A9" t="n">
        <v>8</v>
      </c>
      <c r="B9" t="inlineStr">
        <is>
          <t>Cluster-native</t>
        </is>
      </c>
      <c r="C9" t="inlineStr">
        <is>
          <t>Stress / Adaptogenic</t>
        </is>
      </c>
      <c r="D9" t="inlineStr">
        <is>
          <t>Stress</t>
        </is>
      </c>
      <c r="E9" t="inlineStr">
        <is>
          <t>Holy Basil</t>
        </is>
      </c>
      <c r="F9" t="inlineStr">
        <is>
          <t>Rhodiola Rosea</t>
        </is>
      </c>
      <c r="G9" t="inlineStr">
        <is>
          <t>Rhodiola</t>
        </is>
      </c>
      <c r="H9" t="inlineStr">
        <is>
          <t>Baseline, Moderate</t>
        </is>
      </c>
      <c r="I9" t="n">
        <v>41</v>
      </c>
      <c r="J9" t="inlineStr">
        <is>
          <t>Review</t>
        </is>
      </c>
    </row>
    <row r="10">
      <c r="A10" t="n">
        <v>9</v>
      </c>
      <c r="B10" t="inlineStr">
        <is>
          <t>Cluster-native</t>
        </is>
      </c>
      <c r="C10" t="inlineStr">
        <is>
          <t>Metabolic</t>
        </is>
      </c>
      <c r="D10" t="inlineStr">
        <is>
          <t>Metabolic Support</t>
        </is>
      </c>
      <c r="E10" t="inlineStr">
        <is>
          <t>Ashitaba</t>
        </is>
      </c>
      <c r="F10" t="inlineStr">
        <is>
          <t>Berberis</t>
        </is>
      </c>
      <c r="G10" t="inlineStr">
        <is>
          <t>Bitter Melon</t>
        </is>
      </c>
      <c r="H10" t="inlineStr">
        <is>
          <t>Baseline, Moderate</t>
        </is>
      </c>
      <c r="I10" t="n">
        <v>33</v>
      </c>
      <c r="J10" t="inlineStr">
        <is>
          <t>Review</t>
        </is>
      </c>
    </row>
    <row r="11">
      <c r="A11" t="n">
        <v>10</v>
      </c>
      <c r="B11" t="inlineStr">
        <is>
          <t>Cluster-native</t>
        </is>
      </c>
      <c r="C11" t="inlineStr">
        <is>
          <t>Metabolic</t>
        </is>
      </c>
      <c r="D11" t="inlineStr">
        <is>
          <t>Metabolic Support</t>
        </is>
      </c>
      <c r="E11" t="inlineStr">
        <is>
          <t>Ashitaba</t>
        </is>
      </c>
      <c r="F11" t="inlineStr">
        <is>
          <t>Berberis</t>
        </is>
      </c>
      <c r="G11" t="inlineStr">
        <is>
          <t>Coleus Forskohlii</t>
        </is>
      </c>
      <c r="H11" t="inlineStr">
        <is>
          <t>Baseline, Moderate</t>
        </is>
      </c>
      <c r="I11" t="n">
        <v>33</v>
      </c>
      <c r="J11" t="inlineStr">
        <is>
          <t>Review</t>
        </is>
      </c>
    </row>
    <row r="12">
      <c r="A12" t="n">
        <v>11</v>
      </c>
      <c r="B12" t="inlineStr">
        <is>
          <t>Cluster-native</t>
        </is>
      </c>
      <c r="C12" t="inlineStr">
        <is>
          <t>Metabolic</t>
        </is>
      </c>
      <c r="D12" t="inlineStr">
        <is>
          <t>Metabolic Support</t>
        </is>
      </c>
      <c r="E12" t="inlineStr">
        <is>
          <t>Ashitaba</t>
        </is>
      </c>
      <c r="F12" t="inlineStr">
        <is>
          <t>Bitter Melon</t>
        </is>
      </c>
      <c r="G12" t="inlineStr">
        <is>
          <t>Coleus Forskohlii</t>
        </is>
      </c>
      <c r="H12" t="inlineStr">
        <is>
          <t>Baseline, Moderate</t>
        </is>
      </c>
      <c r="I12" t="n">
        <v>33</v>
      </c>
      <c r="J12" t="inlineStr">
        <is>
          <t>Review</t>
        </is>
      </c>
    </row>
    <row r="13">
      <c r="A13" t="n">
        <v>12</v>
      </c>
      <c r="B13" t="inlineStr">
        <is>
          <t>Cluster-native</t>
        </is>
      </c>
      <c r="C13" t="inlineStr">
        <is>
          <t>Metabolic</t>
        </is>
      </c>
      <c r="D13" t="inlineStr">
        <is>
          <t>Metabolic Support</t>
        </is>
      </c>
      <c r="E13" t="inlineStr">
        <is>
          <t>Ashitaba</t>
        </is>
      </c>
      <c r="F13" t="inlineStr">
        <is>
          <t>Eucommia</t>
        </is>
      </c>
      <c r="G13" t="inlineStr">
        <is>
          <t>Curry Leaf</t>
        </is>
      </c>
      <c r="H13" t="inlineStr">
        <is>
          <t>Baseline</t>
        </is>
      </c>
      <c r="I13" t="n">
        <v>33</v>
      </c>
      <c r="J13" t="inlineStr">
        <is>
          <t>Publishable</t>
        </is>
      </c>
    </row>
    <row r="14">
      <c r="A14" t="n">
        <v>13</v>
      </c>
      <c r="B14" t="inlineStr">
        <is>
          <t>Cluster-native</t>
        </is>
      </c>
      <c r="C14" t="inlineStr">
        <is>
          <t>Neuro / Cognitive</t>
        </is>
      </c>
      <c r="D14" t="inlineStr">
        <is>
          <t>Focus</t>
        </is>
      </c>
      <c r="E14" t="inlineStr">
        <is>
          <t>Polygala</t>
        </is>
      </c>
      <c r="F14" t="inlineStr">
        <is>
          <t>Panax Ginseng</t>
        </is>
      </c>
      <c r="G14" t="inlineStr">
        <is>
          <t>Corydalis</t>
        </is>
      </c>
      <c r="H14" t="inlineStr">
        <is>
          <t>Baseline</t>
        </is>
      </c>
      <c r="I14" t="n">
        <v>30</v>
      </c>
      <c r="J14" t="inlineStr">
        <is>
          <t>Publishable</t>
        </is>
      </c>
    </row>
    <row r="15">
      <c r="A15" t="n">
        <v>14</v>
      </c>
      <c r="B15" t="inlineStr">
        <is>
          <t>Cluster-native</t>
        </is>
      </c>
      <c r="C15" t="inlineStr">
        <is>
          <t>Neuro / Cognitive</t>
        </is>
      </c>
      <c r="D15" t="inlineStr">
        <is>
          <t>Focus</t>
        </is>
      </c>
      <c r="E15" t="inlineStr">
        <is>
          <t>Shankhpushpi</t>
        </is>
      </c>
      <c r="F15" t="inlineStr">
        <is>
          <t>Panax Ginseng</t>
        </is>
      </c>
      <c r="G15" t="inlineStr">
        <is>
          <t>Corydalis</t>
        </is>
      </c>
      <c r="H15" t="inlineStr">
        <is>
          <t>Baseline</t>
        </is>
      </c>
      <c r="I15" t="n">
        <v>30</v>
      </c>
      <c r="J15" t="inlineStr">
        <is>
          <t>Publishable</t>
        </is>
      </c>
    </row>
    <row r="16">
      <c r="A16" t="n">
        <v>15</v>
      </c>
      <c r="B16" t="inlineStr">
        <is>
          <t>Cluster-native</t>
        </is>
      </c>
      <c r="C16" t="inlineStr">
        <is>
          <t>Neuro / Cognitive</t>
        </is>
      </c>
      <c r="D16" t="inlineStr">
        <is>
          <t>Focus</t>
        </is>
      </c>
      <c r="E16" t="inlineStr">
        <is>
          <t>Shankhpushpi</t>
        </is>
      </c>
      <c r="F16" t="inlineStr">
        <is>
          <t>Polygala</t>
        </is>
      </c>
      <c r="G16" t="inlineStr">
        <is>
          <t>Corydalis</t>
        </is>
      </c>
      <c r="H16" t="inlineStr">
        <is>
          <t>Baseline</t>
        </is>
      </c>
      <c r="I16" t="n">
        <v>30</v>
      </c>
      <c r="J16" t="inlineStr">
        <is>
          <t>Publishable</t>
        </is>
      </c>
    </row>
    <row r="17">
      <c r="A17" t="n">
        <v>16</v>
      </c>
      <c r="B17" t="inlineStr">
        <is>
          <t>Cluster-native</t>
        </is>
      </c>
      <c r="C17" t="inlineStr">
        <is>
          <t>Neuro / Cognitive</t>
        </is>
      </c>
      <c r="D17" t="inlineStr">
        <is>
          <t>Focus</t>
        </is>
      </c>
      <c r="E17" t="inlineStr">
        <is>
          <t>Shankhpushpi</t>
        </is>
      </c>
      <c r="F17" t="inlineStr">
        <is>
          <t>Polygala</t>
        </is>
      </c>
      <c r="G17" t="inlineStr">
        <is>
          <t>Panax Ginseng</t>
        </is>
      </c>
      <c r="H17" t="inlineStr">
        <is>
          <t>Baseline</t>
        </is>
      </c>
      <c r="I17" t="n">
        <v>30</v>
      </c>
      <c r="J17" t="inlineStr">
        <is>
          <t>Publishable</t>
        </is>
      </c>
    </row>
    <row r="18">
      <c r="A18" t="n">
        <v>17</v>
      </c>
      <c r="B18" t="inlineStr">
        <is>
          <t>Cluster-native</t>
        </is>
      </c>
      <c r="C18" t="inlineStr">
        <is>
          <t>Inflammation / Recovery</t>
        </is>
      </c>
      <c r="D18" t="inlineStr">
        <is>
          <t>General</t>
        </is>
      </c>
      <c r="E18" t="inlineStr">
        <is>
          <t>Chamomile</t>
        </is>
      </c>
      <c r="F18" t="inlineStr">
        <is>
          <t>Cissus</t>
        </is>
      </c>
      <c r="G18" t="inlineStr">
        <is>
          <t>Notoginseng</t>
        </is>
      </c>
      <c r="H18" t="inlineStr">
        <is>
          <t>Baseline, Moderate</t>
        </is>
      </c>
      <c r="I18" t="n">
        <v>24</v>
      </c>
      <c r="J18" t="inlineStr">
        <is>
          <t>Review</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36</t>
        </is>
      </c>
    </row>
    <row r="3">
      <c r="A3" t="inlineStr">
        <is>
          <t>Focus</t>
        </is>
      </c>
      <c r="B3" t="inlineStr">
        <is>
          <t>Regenerate advanced stacks from fallback-safe candidates</t>
        </is>
      </c>
    </row>
    <row r="4">
      <c r="A4" t="inlineStr">
        <is>
          <t>Clusters with candidate pools</t>
        </is>
      </c>
      <c r="B4" t="n">
        <v>5</v>
      </c>
    </row>
    <row r="5">
      <c r="A5" t="inlineStr">
        <is>
          <t>Advanced stacks generated</t>
        </is>
      </c>
      <c r="B5" t="n">
        <v>17</v>
      </c>
    </row>
    <row r="6">
      <c r="A6" t="inlineStr">
        <is>
          <t>Publishable advanced stacks</t>
        </is>
      </c>
      <c r="B6" t="n">
        <v>5</v>
      </c>
    </row>
    <row r="7">
      <c r="A7" t="inlineStr">
        <is>
          <t>Review advanced stacks</t>
        </is>
      </c>
      <c r="B7" t="n">
        <v>12</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sheetData>
    <row r="1">
      <c r="A1" t="inlineStr">
        <is>
          <t>Category</t>
        </is>
      </c>
      <c r="B1" t="inlineStr">
        <is>
          <t>Baseline Herb Count</t>
        </is>
      </c>
      <c r="C1" t="inlineStr">
        <is>
          <t>Example Baseline Herbs</t>
        </is>
      </c>
      <c r="D1" t="inlineStr">
        <is>
          <t>Advanced Stack Count</t>
        </is>
      </c>
      <c r="E1" t="inlineStr">
        <is>
          <t>Publishable Advanced Count</t>
        </is>
      </c>
      <c r="F1" t="inlineStr">
        <is>
          <t>Example Advanced Stack</t>
        </is>
      </c>
      <c r="G1" t="inlineStr">
        <is>
          <t>Category Strength</t>
        </is>
      </c>
      <c r="H1" t="inlineStr">
        <is>
          <t>Notes</t>
        </is>
      </c>
    </row>
    <row r="2">
      <c r="A2" t="inlineStr">
        <is>
          <t>Circulation</t>
        </is>
      </c>
      <c r="B2" t="n">
        <v>1</v>
      </c>
      <c r="C2" t="inlineStr">
        <is>
          <t>Arjuna</t>
        </is>
      </c>
      <c r="D2" t="n">
        <v>0</v>
      </c>
      <c r="E2" t="n">
        <v>0</v>
      </c>
      <c r="G2" t="inlineStr">
        <is>
          <t>Weak</t>
        </is>
      </c>
      <c r="H2" t="inlineStr">
        <is>
          <t>Needs more safe herbs or better clustering</t>
        </is>
      </c>
    </row>
    <row r="3">
      <c r="A3" t="inlineStr">
        <is>
          <t>Focus</t>
        </is>
      </c>
      <c r="B3" t="n">
        <v>5</v>
      </c>
      <c r="C3" t="inlineStr">
        <is>
          <t>Shankhpushpi; Polygala; Panax Ginseng; Bacopa; Corydalis</t>
        </is>
      </c>
      <c r="D3" t="n">
        <v>4</v>
      </c>
      <c r="E3" t="n">
        <v>4</v>
      </c>
      <c r="F3" t="inlineStr">
        <is>
          <t>Polygala, Panax Ginseng, Corydalis</t>
        </is>
      </c>
      <c r="G3" t="inlineStr">
        <is>
          <t>Strong</t>
        </is>
      </c>
      <c r="H3" t="inlineStr">
        <is>
          <t>Good candidate for product development</t>
        </is>
      </c>
    </row>
    <row r="4">
      <c r="A4" t="inlineStr">
        <is>
          <t>General</t>
        </is>
      </c>
      <c r="B4" t="n">
        <v>107</v>
      </c>
      <c r="C4" t="inlineStr">
        <is>
          <t>Damiana; Blue Lotus; Kudzu; Butterbur; Thyme</t>
        </is>
      </c>
      <c r="D4" t="n">
        <v>5</v>
      </c>
      <c r="E4" t="n">
        <v>0</v>
      </c>
      <c r="F4" t="inlineStr">
        <is>
          <t>Artichoke, Boldo, Agarikon</t>
        </is>
      </c>
      <c r="G4" t="inlineStr">
        <is>
          <t>Weak</t>
        </is>
      </c>
      <c r="H4" t="inlineStr">
        <is>
          <t>Needs more safe herbs or better clustering</t>
        </is>
      </c>
    </row>
    <row r="5">
      <c r="A5" t="inlineStr">
        <is>
          <t>Metabolic Support</t>
        </is>
      </c>
      <c r="B5" t="n">
        <v>12</v>
      </c>
      <c r="C5" t="inlineStr">
        <is>
          <t>Guarana; Yerba Mate; Banaba; Ashitaba; Moringa</t>
        </is>
      </c>
      <c r="D5" t="n">
        <v>4</v>
      </c>
      <c r="E5" t="n">
        <v>1</v>
      </c>
      <c r="F5" t="inlineStr">
        <is>
          <t>Ashitaba, Eucommia, Curry Leaf</t>
        </is>
      </c>
      <c r="G5" t="inlineStr">
        <is>
          <t>Moderate</t>
        </is>
      </c>
      <c r="H5" t="inlineStr">
        <is>
          <t>Usable but could expand depth</t>
        </is>
      </c>
    </row>
    <row r="6">
      <c r="A6" t="inlineStr">
        <is>
          <t>Recovery</t>
        </is>
      </c>
      <c r="B6" t="n">
        <v>1</v>
      </c>
      <c r="C6" t="inlineStr">
        <is>
          <t>Cissus</t>
        </is>
      </c>
      <c r="D6" t="n">
        <v>0</v>
      </c>
      <c r="E6" t="n">
        <v>0</v>
      </c>
      <c r="G6" t="inlineStr">
        <is>
          <t>Weak</t>
        </is>
      </c>
      <c r="H6" t="inlineStr">
        <is>
          <t>Needs more safe herbs or better clustering</t>
        </is>
      </c>
    </row>
    <row r="7">
      <c r="A7" t="inlineStr">
        <is>
          <t>Stress</t>
        </is>
      </c>
      <c r="B7" t="n">
        <v>5</v>
      </c>
      <c r="C7" t="inlineStr">
        <is>
          <t>Maca; Suma; Maral Root; Holy Basil Purple; Rhodiola</t>
        </is>
      </c>
      <c r="D7" t="n">
        <v>4</v>
      </c>
      <c r="E7" t="n">
        <v>0</v>
      </c>
      <c r="F7" t="inlineStr">
        <is>
          <t>Holy Basil, Maca, Rhodiola Rosea</t>
        </is>
      </c>
      <c r="G7" t="inlineStr">
        <is>
          <t>Weak</t>
        </is>
      </c>
      <c r="H7" t="inlineStr">
        <is>
          <t>Needs more safe herbs or better clustering</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37</t>
        </is>
      </c>
    </row>
    <row r="3">
      <c r="A3" t="inlineStr">
        <is>
          <t>Focus</t>
        </is>
      </c>
      <c r="B3" t="inlineStr">
        <is>
          <t>Baseline vs Advanced category comparison</t>
        </is>
      </c>
    </row>
    <row r="4">
      <c r="A4" t="inlineStr">
        <is>
          <t>Categories analyzed</t>
        </is>
      </c>
      <c r="B4" t="n">
        <v>6</v>
      </c>
    </row>
    <row r="5">
      <c r="A5" t="inlineStr">
        <is>
          <t>Categories with strong rating</t>
        </is>
      </c>
      <c r="B5" t="n">
        <v>1</v>
      </c>
    </row>
    <row r="6">
      <c r="A6" t="inlineStr">
        <is>
          <t>Categories with weak rating</t>
        </is>
      </c>
      <c r="B6" t="n">
        <v>4</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sheetData>
    <row r="1">
      <c r="A1" t="inlineStr">
        <is>
          <t>Category</t>
        </is>
      </c>
      <c r="B1" t="inlineStr">
        <is>
          <t>Existing Herbs</t>
        </is>
      </c>
      <c r="C1" t="inlineStr">
        <is>
          <t>Suggested Additions</t>
        </is>
      </c>
      <c r="D1" t="inlineStr">
        <is>
          <t>Source Basis</t>
        </is>
      </c>
      <c r="E1" t="inlineStr">
        <is>
          <t>Reason</t>
        </is>
      </c>
    </row>
    <row r="2">
      <c r="A2" t="inlineStr">
        <is>
          <t>Circulation</t>
        </is>
      </c>
      <c r="B2" t="inlineStr">
        <is>
          <t>Arjuna</t>
        </is>
      </c>
      <c r="C2" t="inlineStr">
        <is>
          <t>Epimedium; Agarikon; Ajwain; Angelica Root; Artichoke</t>
        </is>
      </c>
      <c r="D2" t="inlineStr">
        <is>
          <t>Similarity + Cluster</t>
        </is>
      </c>
      <c r="E2" t="inlineStr">
        <is>
          <t>Fill weak category with structurally related safe herbs</t>
        </is>
      </c>
    </row>
    <row r="3">
      <c r="A3" t="inlineStr">
        <is>
          <t>General</t>
        </is>
      </c>
      <c r="B3" t="inlineStr">
        <is>
          <t>Black Cohosh; Echinacea Purpurea; Garlic; Ginger; Ginkgo Biloba; Kava</t>
        </is>
      </c>
      <c r="C3" t="inlineStr">
        <is>
          <t>Polygala; Shankhpushpi; Corydalis; Panax Ginseng; Bacopa; Green Tea</t>
        </is>
      </c>
      <c r="D3" t="inlineStr">
        <is>
          <t>Similarity + Cluster</t>
        </is>
      </c>
      <c r="E3" t="inlineStr">
        <is>
          <t>Fill weak category with structurally related safe herbs</t>
        </is>
      </c>
    </row>
    <row r="4">
      <c r="A4" t="inlineStr">
        <is>
          <t>Recovery</t>
        </is>
      </c>
      <c r="B4" t="inlineStr">
        <is>
          <t>Cissus; Notoginseng</t>
        </is>
      </c>
      <c r="C4" t="inlineStr">
        <is>
          <t>Chamomile</t>
        </is>
      </c>
      <c r="D4" t="inlineStr">
        <is>
          <t>Similarity + Cluster</t>
        </is>
      </c>
      <c r="E4" t="inlineStr">
        <is>
          <t>Fill weak category with structurally related safe herbs</t>
        </is>
      </c>
    </row>
    <row r="5">
      <c r="A5" t="inlineStr">
        <is>
          <t>Stress</t>
        </is>
      </c>
      <c r="B5" t="inlineStr">
        <is>
          <t>Ashwagandha; Holy Basil; Maca; Rhodiola Rosea; Suma; Maral Root</t>
        </is>
      </c>
      <c r="C5" t="inlineStr">
        <is>
          <t>Roselle Seed; Green Tea; Chinese Skullcap; Panax Ginseng; Polygala; Shankhpushpi</t>
        </is>
      </c>
      <c r="D5" t="inlineStr">
        <is>
          <t>Similarity + Cluster</t>
        </is>
      </c>
      <c r="E5" t="inlineStr">
        <is>
          <t>Fill weak category with structurally related safe herbs</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38</t>
        </is>
      </c>
    </row>
    <row r="3">
      <c r="A3" t="inlineStr">
        <is>
          <t>Weak categories</t>
        </is>
      </c>
      <c r="B3" t="n">
        <v>4</v>
      </c>
    </row>
    <row r="4">
      <c r="A4" t="inlineStr">
        <is>
          <t>Suggestions generated</t>
        </is>
      </c>
      <c r="B4" t="n">
        <v>4</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sheetData>
    <row r="1">
      <c r="A1" t="inlineStr">
        <is>
          <t>Suggested Herb</t>
        </is>
      </c>
      <c r="B1" t="inlineStr">
        <is>
          <t>Target Category</t>
        </is>
      </c>
      <c r="C1" t="inlineStr">
        <is>
          <t>Generated Slug</t>
        </is>
      </c>
      <c r="D1" t="inlineStr">
        <is>
          <t>Action</t>
        </is>
      </c>
      <c r="E1" t="inlineStr">
        <is>
          <t>Stub Status</t>
        </is>
      </c>
      <c r="F1" t="inlineStr">
        <is>
          <t>Placeholder Compound</t>
        </is>
      </c>
      <c r="G1" t="inlineStr">
        <is>
          <t>Notes</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39</t>
        </is>
      </c>
    </row>
    <row r="3">
      <c r="A3" t="inlineStr">
        <is>
          <t>Focus</t>
        </is>
      </c>
      <c r="B3" t="inlineStr">
        <is>
          <t>Auto-ingest reinforcement candidates</t>
        </is>
      </c>
    </row>
    <row r="4">
      <c r="A4" t="inlineStr">
        <is>
          <t>Candidate herbs ingested</t>
        </is>
      </c>
      <c r="B4" t="n">
        <v>0</v>
      </c>
    </row>
    <row r="5">
      <c r="A5" t="inlineStr">
        <is>
          <t>Placeholder compounds added</t>
        </is>
      </c>
      <c r="B5" t="n">
        <v>0</v>
      </c>
    </row>
    <row r="6">
      <c r="A6" t="inlineStr">
        <is>
          <t>Placeholder herb-compound maps added</t>
        </is>
      </c>
      <c r="B6" t="n">
        <v>0</v>
      </c>
    </row>
    <row r="7">
      <c r="A7" t="inlineStr">
        <is>
          <t>Intake rows created</t>
        </is>
      </c>
      <c r="B7" t="n">
        <v>0</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40</t>
        </is>
      </c>
    </row>
    <row r="3">
      <c r="A3" t="inlineStr">
        <is>
          <t>Weak categories targeted</t>
        </is>
      </c>
      <c r="B3" t="n">
        <v>4</v>
      </c>
    </row>
    <row r="4">
      <c r="A4" t="inlineStr">
        <is>
          <t>Herbs updated</t>
        </is>
      </c>
      <c r="B4" t="n">
        <v>152</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Category</t>
        </is>
      </c>
      <c r="B1" t="inlineStr">
        <is>
          <t>Total Herbs</t>
        </is>
      </c>
      <c r="C1" t="inlineStr">
        <is>
          <t>Moderate+ Confidence Herbs</t>
        </is>
      </c>
      <c r="D1" t="inlineStr">
        <is>
          <t>Confidence Ratio</t>
        </is>
      </c>
      <c r="E1" t="inlineStr">
        <is>
          <t>Strength V2</t>
        </is>
      </c>
      <c r="F1" t="inlineStr">
        <is>
          <t>Notes</t>
        </is>
      </c>
    </row>
    <row r="2">
      <c r="A2" t="inlineStr">
        <is>
          <t>Circulation</t>
        </is>
      </c>
      <c r="B2" t="n">
        <v>2</v>
      </c>
      <c r="C2" t="n">
        <v>1</v>
      </c>
      <c r="D2" t="n">
        <v>0.5</v>
      </c>
      <c r="E2" t="inlineStr">
        <is>
          <t>Weak</t>
        </is>
      </c>
      <c r="F2" t="inlineStr">
        <is>
          <t>Still weak after reinforcement</t>
        </is>
      </c>
    </row>
    <row r="3">
      <c r="A3" t="inlineStr">
        <is>
          <t>Focus</t>
        </is>
      </c>
      <c r="B3" t="n">
        <v>3</v>
      </c>
      <c r="C3" t="n">
        <v>0</v>
      </c>
      <c r="D3" t="n">
        <v>0</v>
      </c>
      <c r="E3" t="inlineStr">
        <is>
          <t>Weak</t>
        </is>
      </c>
      <c r="F3" t="inlineStr">
        <is>
          <t>Still weak after reinforcement</t>
        </is>
      </c>
    </row>
    <row r="4">
      <c r="A4" t="inlineStr">
        <is>
          <t>General</t>
        </is>
      </c>
      <c r="B4" t="n">
        <v>133</v>
      </c>
      <c r="C4" t="n">
        <v>2</v>
      </c>
      <c r="D4" t="n">
        <v>0.02</v>
      </c>
      <c r="E4" t="inlineStr">
        <is>
          <t>Strong</t>
        </is>
      </c>
      <c r="F4" t="inlineStr">
        <is>
          <t>Now structurally viable</t>
        </is>
      </c>
    </row>
    <row r="5">
      <c r="A5" t="inlineStr">
        <is>
          <t>Recovery</t>
        </is>
      </c>
      <c r="B5" t="n">
        <v>3</v>
      </c>
      <c r="C5" t="n">
        <v>0</v>
      </c>
      <c r="D5" t="n">
        <v>0</v>
      </c>
      <c r="E5" t="inlineStr">
        <is>
          <t>Weak</t>
        </is>
      </c>
      <c r="F5" t="inlineStr">
        <is>
          <t>Still weak after reinforcement</t>
        </is>
      </c>
    </row>
    <row r="6">
      <c r="A6" t="inlineStr">
        <is>
          <t>Stress</t>
        </is>
      </c>
      <c r="B6" t="n">
        <v>11</v>
      </c>
      <c r="C6" t="n">
        <v>0</v>
      </c>
      <c r="D6" t="n">
        <v>0</v>
      </c>
      <c r="E6" t="inlineStr">
        <is>
          <t>Weak</t>
        </is>
      </c>
      <c r="F6" t="inlineStr">
        <is>
          <t>Still weak after reinforcement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41</t>
        </is>
      </c>
    </row>
    <row r="3">
      <c r="A3" t="inlineStr">
        <is>
          <t>Categories evaluated</t>
        </is>
      </c>
      <c r="B3" t="n">
        <v>5</v>
      </c>
    </row>
    <row r="4">
      <c r="A4" t="inlineStr">
        <is>
          <t>Strong categories</t>
        </is>
      </c>
      <c r="B4" t="n">
        <v>1</v>
      </c>
    </row>
    <row r="5">
      <c r="A5" t="inlineStr">
        <is>
          <t>Weak categories</t>
        </is>
      </c>
      <c r="B5" t="n">
        <v>4</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Category</t>
        </is>
      </c>
      <c r="B1" t="inlineStr">
        <is>
          <t>Total Herbs</t>
        </is>
      </c>
      <c r="C1" t="inlineStr">
        <is>
          <t>Moderate/High Confidence Herbs</t>
        </is>
      </c>
      <c r="D1" t="inlineStr">
        <is>
          <t>Confidence Ratio</t>
        </is>
      </c>
      <c r="E1" t="inlineStr">
        <is>
          <t>Strength V3</t>
        </is>
      </c>
      <c r="F1" t="inlineStr">
        <is>
          <t>Notes</t>
        </is>
      </c>
    </row>
    <row r="2">
      <c r="A2" t="inlineStr">
        <is>
          <t>Circulation</t>
        </is>
      </c>
      <c r="B2" t="n">
        <v>2</v>
      </c>
      <c r="C2" t="n">
        <v>2</v>
      </c>
      <c r="D2" t="n">
        <v>1</v>
      </c>
      <c r="E2" t="inlineStr">
        <is>
          <t>Weak</t>
        </is>
      </c>
      <c r="F2" t="inlineStr">
        <is>
          <t>Still weak after compound injection</t>
        </is>
      </c>
    </row>
    <row r="3">
      <c r="A3" t="inlineStr">
        <is>
          <t>Focus</t>
        </is>
      </c>
      <c r="B3" t="n">
        <v>3</v>
      </c>
      <c r="C3" t="n">
        <v>2</v>
      </c>
      <c r="D3" t="n">
        <v>0.67</v>
      </c>
      <c r="E3" t="inlineStr">
        <is>
          <t>Moderate</t>
        </is>
      </c>
      <c r="F3" t="inlineStr">
        <is>
          <t>Improved, but category still needs depth</t>
        </is>
      </c>
    </row>
    <row r="4">
      <c r="A4" t="inlineStr">
        <is>
          <t>General</t>
        </is>
      </c>
      <c r="B4" t="n">
        <v>133</v>
      </c>
      <c r="C4" t="n">
        <v>72</v>
      </c>
      <c r="D4" t="n">
        <v>0.54</v>
      </c>
      <c r="E4" t="inlineStr">
        <is>
          <t>Strong</t>
        </is>
      </c>
      <c r="F4" t="inlineStr">
        <is>
          <t>Pharmacology depth now supports category</t>
        </is>
      </c>
    </row>
    <row r="5">
      <c r="A5" t="inlineStr">
        <is>
          <t>Recovery</t>
        </is>
      </c>
      <c r="B5" t="n">
        <v>3</v>
      </c>
      <c r="C5" t="n">
        <v>3</v>
      </c>
      <c r="D5" t="n">
        <v>1</v>
      </c>
      <c r="E5" t="inlineStr">
        <is>
          <t>Moderate</t>
        </is>
      </c>
      <c r="F5" t="inlineStr">
        <is>
          <t>Improved, but category still needs depth</t>
        </is>
      </c>
    </row>
    <row r="6">
      <c r="A6" t="inlineStr">
        <is>
          <t>Stress</t>
        </is>
      </c>
      <c r="B6" t="n">
        <v>11</v>
      </c>
      <c r="C6" t="n">
        <v>6</v>
      </c>
      <c r="D6" t="n">
        <v>0.55</v>
      </c>
      <c r="E6" t="inlineStr">
        <is>
          <t>Strong</t>
        </is>
      </c>
      <c r="F6" t="inlineStr">
        <is>
          <t>Pharmacology depth now supports category</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42</t>
        </is>
      </c>
    </row>
    <row r="3">
      <c r="A3" t="inlineStr">
        <is>
          <t>Focus</t>
        </is>
      </c>
      <c r="B3" t="inlineStr">
        <is>
          <t>Compound depth injection into weak categories</t>
        </is>
      </c>
    </row>
    <row r="4">
      <c r="A4" t="inlineStr">
        <is>
          <t>Real compounds added</t>
        </is>
      </c>
      <c r="B4" t="n">
        <v>15</v>
      </c>
    </row>
    <row r="5">
      <c r="A5" t="inlineStr">
        <is>
          <t>Herb-compound maps added</t>
        </is>
      </c>
      <c r="B5" t="n">
        <v>13</v>
      </c>
    </row>
    <row r="6">
      <c r="A6" t="inlineStr">
        <is>
          <t>Herbs confidence-upgraded</t>
        </is>
      </c>
      <c r="B6" t="n">
        <v>5</v>
      </c>
    </row>
    <row r="7">
      <c r="A7" t="inlineStr">
        <is>
          <t>Categories rescored</t>
        </is>
      </c>
      <c r="B7" t="n">
        <v>5</v>
      </c>
    </row>
    <row r="8">
      <c r="A8" t="inlineStr">
        <is>
          <t>Strong categories V3</t>
        </is>
      </c>
      <c r="B8" t="n">
        <v>2</v>
      </c>
    </row>
    <row r="9">
      <c r="A9" t="inlineStr">
        <is>
          <t>Weak categories V3</t>
        </is>
      </c>
      <c r="B9" t="n">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Category</t>
        </is>
      </c>
      <c r="B1" t="inlineStr">
        <is>
          <t>Total</t>
        </is>
      </c>
      <c r="C1" t="inlineStr">
        <is>
          <t>Moderate/High</t>
        </is>
      </c>
      <c r="D1" t="inlineStr">
        <is>
          <t>Strength V4</t>
        </is>
      </c>
    </row>
    <row r="2">
      <c r="A2" t="inlineStr">
        <is>
          <t>Stress</t>
        </is>
      </c>
      <c r="B2" t="n">
        <v>11</v>
      </c>
      <c r="C2" t="n">
        <v>6</v>
      </c>
      <c r="D2" t="inlineStr">
        <is>
          <t>Strong</t>
        </is>
      </c>
    </row>
    <row r="3">
      <c r="A3" t="inlineStr">
        <is>
          <t>Focus</t>
        </is>
      </c>
      <c r="B3" t="n">
        <v>3</v>
      </c>
      <c r="C3" t="n">
        <v>2</v>
      </c>
      <c r="D3" t="inlineStr">
        <is>
          <t>Moderate</t>
        </is>
      </c>
    </row>
    <row r="4">
      <c r="A4" t="inlineStr">
        <is>
          <t>General</t>
        </is>
      </c>
      <c r="B4" t="n">
        <v>133</v>
      </c>
      <c r="C4" t="n">
        <v>72</v>
      </c>
      <c r="D4" t="inlineStr">
        <is>
          <t>Strong</t>
        </is>
      </c>
    </row>
    <row r="5">
      <c r="A5" t="inlineStr">
        <is>
          <t>Recovery</t>
        </is>
      </c>
      <c r="B5" t="n">
        <v>3</v>
      </c>
      <c r="C5" t="n">
        <v>3</v>
      </c>
      <c r="D5" t="inlineStr">
        <is>
          <t>Moderate</t>
        </is>
      </c>
    </row>
    <row r="6">
      <c r="A6" t="inlineStr">
        <is>
          <t>Circulation</t>
        </is>
      </c>
      <c r="B6" t="n">
        <v>2</v>
      </c>
      <c r="C6" t="n">
        <v>2</v>
      </c>
      <c r="D6" t="inlineStr">
        <is>
          <t>Weak</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Weak category targeted</t>
        </is>
      </c>
      <c r="B1" t="inlineStr">
        <is>
          <t>Circulation</t>
        </is>
      </c>
    </row>
    <row r="2">
      <c r="A2" t="inlineStr">
        <is>
          <t>Compounds added</t>
        </is>
      </c>
      <c r="B2" t="n">
        <v>2</v>
      </c>
    </row>
    <row r="3">
      <c r="A3" t="inlineStr">
        <is>
          <t>Herbs upgraded</t>
        </is>
      </c>
      <c r="B3" t="n">
        <v>2</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44</t>
        </is>
      </c>
    </row>
    <row r="3">
      <c r="A3" t="inlineStr">
        <is>
          <t>Unique canonical compounds</t>
        </is>
      </c>
      <c r="B3" t="n">
        <v>630</v>
      </c>
    </row>
    <row r="4">
      <c r="A4" t="inlineStr">
        <is>
          <t>Duplicate compounds detected</t>
        </is>
      </c>
      <c r="B4" t="n">
        <v>50</v>
      </c>
    </row>
    <row r="5">
      <c r="A5" t="inlineStr">
        <is>
          <t>Compound rows normalized</t>
        </is>
      </c>
      <c r="B5" t="n">
        <v>630</v>
      </c>
    </row>
    <row r="6">
      <c r="A6" t="inlineStr">
        <is>
          <t>Map rows normalized</t>
        </is>
      </c>
      <c r="B6" t="n">
        <v>199</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45</t>
        </is>
      </c>
    </row>
    <row r="3">
      <c r="A3" t="inlineStr">
        <is>
          <t>Focus</t>
        </is>
      </c>
      <c r="B3" t="inlineStr">
        <is>
          <t>Compound merge + consolidation</t>
        </is>
      </c>
    </row>
    <row r="4">
      <c r="A4" t="inlineStr">
        <is>
          <t>Canonical compound groups</t>
        </is>
      </c>
      <c r="B4" t="n">
        <v>630</v>
      </c>
    </row>
    <row r="5">
      <c r="A5" t="inlineStr">
        <is>
          <t>Duplicate rows merged</t>
        </is>
      </c>
      <c r="B5" t="n">
        <v>50</v>
      </c>
    </row>
    <row r="6">
      <c r="A6" t="inlineStr">
        <is>
          <t>Map rows realigned</t>
        </is>
      </c>
      <c r="B6" t="n">
        <v>120</v>
      </c>
    </row>
    <row r="7">
      <c r="A7" t="inlineStr">
        <is>
          <t>Map duplicates removed</t>
        </is>
      </c>
      <c r="B7" t="n">
        <v>0</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46</t>
        </is>
      </c>
    </row>
    <row r="3">
      <c r="A3" t="inlineStr">
        <is>
          <t>Rows processed</t>
        </is>
      </c>
      <c r="B3" t="n">
        <v>630</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47</t>
        </is>
      </c>
    </row>
    <row r="3">
      <c r="A3" t="inlineStr">
        <is>
          <t>Compounds scored</t>
        </is>
      </c>
      <c r="B3" t="n">
        <v>630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J173"/>
  <sheetViews>
    <sheetView workbookViewId="0">
      <selection activeCell="A1" sqref="A1"/>
    </sheetView>
  </sheetViews>
  <sheetFormatPr baseColWidth="8" defaultRowHeight="15"/>
  <sheetData>
    <row r="1">
      <c r="A1" t="inlineStr">
        <is>
          <t>Herb</t>
        </is>
      </c>
      <c r="B1" t="inlineStr">
        <is>
          <t>Category</t>
        </is>
      </c>
      <c r="C1" t="inlineStr">
        <is>
          <t>Compound Count</t>
        </is>
      </c>
      <c r="D1" t="inlineStr">
        <is>
          <t>Compound Score Total V1</t>
        </is>
      </c>
      <c r="E1" t="inlineStr">
        <is>
          <t>Compound Score Average V1</t>
        </is>
      </c>
      <c r="F1" t="inlineStr">
        <is>
          <t>A Tier Compound Count V1</t>
        </is>
      </c>
      <c r="G1" t="inlineStr">
        <is>
          <t>B Tier Compound Count V1</t>
        </is>
      </c>
      <c r="H1" t="inlineStr">
        <is>
          <t>Herb Strength Score V2</t>
        </is>
      </c>
      <c r="I1" t="inlineStr">
        <is>
          <t>Bundle Eligibility Score V2</t>
        </is>
      </c>
      <c r="J1" t="inlineStr">
        <is>
          <t>Top Compounds V1</t>
        </is>
      </c>
    </row>
    <row r="2">
      <c r="A2" t="inlineStr">
        <is>
          <t>Rhodiola</t>
        </is>
      </c>
      <c r="B2" t="inlineStr">
        <is>
          <t>Stress</t>
        </is>
      </c>
      <c r="C2" t="n">
        <v>1</v>
      </c>
      <c r="D2" t="n">
        <v>40</v>
      </c>
      <c r="E2" t="n">
        <v>8</v>
      </c>
      <c r="F2" t="n">
        <v>0</v>
      </c>
      <c r="G2" t="n">
        <v>5</v>
      </c>
      <c r="H2" t="n">
        <v>66</v>
      </c>
      <c r="I2" t="n">
        <v>63</v>
      </c>
      <c r="J2" t="inlineStr">
        <is>
          <t>Rosarin; Rosavin; Rosin; Salidroside; Tyrosol</t>
        </is>
      </c>
    </row>
    <row r="3">
      <c r="A3" t="inlineStr">
        <is>
          <t>Green Tea</t>
        </is>
      </c>
      <c r="C3" t="n">
        <v>5</v>
      </c>
      <c r="D3" t="n">
        <v>44</v>
      </c>
      <c r="E3" t="n">
        <v>6.29</v>
      </c>
      <c r="F3" t="n">
        <v>0</v>
      </c>
      <c r="G3" t="n">
        <v>3</v>
      </c>
      <c r="H3" t="n">
        <v>71</v>
      </c>
      <c r="I3" t="n">
        <v>58</v>
      </c>
      <c r="J3" t="inlineStr">
        <is>
          <t>EGCG; Catechin; ECG; Caffeine; Quercetin</t>
        </is>
      </c>
    </row>
    <row r="4">
      <c r="A4" t="inlineStr">
        <is>
          <t>Ginkgo Biloba</t>
        </is>
      </c>
      <c r="B4" t="inlineStr">
        <is>
          <t>Focus</t>
        </is>
      </c>
      <c r="C4" t="n">
        <v>8</v>
      </c>
      <c r="D4" t="n">
        <v>42</v>
      </c>
      <c r="E4" t="n">
        <v>6</v>
      </c>
      <c r="F4" t="n">
        <v>0</v>
      </c>
      <c r="G4" t="n">
        <v>3</v>
      </c>
      <c r="H4" t="n">
        <v>68</v>
      </c>
      <c r="I4" t="n">
        <v>56</v>
      </c>
      <c r="J4" t="inlineStr">
        <is>
          <t>Ginkgolide B; Ginkgolide A; Ginkgolide C; Quercetin; Bilobalide</t>
        </is>
      </c>
    </row>
    <row r="5">
      <c r="A5" t="inlineStr">
        <is>
          <t>Ashwagandha</t>
        </is>
      </c>
      <c r="B5" t="inlineStr">
        <is>
          <t>Stress</t>
        </is>
      </c>
      <c r="C5" t="n">
        <v>4</v>
      </c>
      <c r="D5" t="n">
        <v>34</v>
      </c>
      <c r="E5" t="n">
        <v>8.5</v>
      </c>
      <c r="F5" t="n">
        <v>0</v>
      </c>
      <c r="G5" t="n">
        <v>4</v>
      </c>
      <c r="H5" t="n">
        <v>59</v>
      </c>
      <c r="I5" t="n">
        <v>54</v>
      </c>
      <c r="J5" t="inlineStr">
        <is>
          <t>Withaferin A; Withanolide A; Withanoside IV; Withanoside V</t>
        </is>
      </c>
    </row>
    <row r="6">
      <c r="A6" t="inlineStr">
        <is>
          <t>Black Cohosh</t>
        </is>
      </c>
      <c r="B6" t="inlineStr">
        <is>
          <t>Focus</t>
        </is>
      </c>
      <c r="C6" t="n">
        <v>3</v>
      </c>
      <c r="D6" t="n">
        <v>32</v>
      </c>
      <c r="E6" t="n">
        <v>6.4</v>
      </c>
      <c r="F6" t="n">
        <v>0</v>
      </c>
      <c r="G6" t="n">
        <v>3</v>
      </c>
      <c r="H6" t="n">
        <v>55</v>
      </c>
      <c r="I6" t="n">
        <v>48</v>
      </c>
      <c r="J6" t="inlineStr">
        <is>
          <t>23-epi-26-deoxyactein; Actein; Fukinolic acid; Cimicifugoside; Isoferulic acid</t>
        </is>
      </c>
    </row>
    <row r="7">
      <c r="A7" t="inlineStr">
        <is>
          <t>Panax Ginseng</t>
        </is>
      </c>
      <c r="C7" t="n">
        <v>8</v>
      </c>
      <c r="D7" t="n">
        <v>36</v>
      </c>
      <c r="E7" t="n">
        <v>6</v>
      </c>
      <c r="F7" t="n">
        <v>0</v>
      </c>
      <c r="G7" t="n">
        <v>2</v>
      </c>
      <c r="H7" t="n">
        <v>60</v>
      </c>
      <c r="I7" t="n">
        <v>47</v>
      </c>
      <c r="J7" t="inlineStr">
        <is>
          <t>Ginsenoside RB1; Ginsenoside Rg3; Ginsenoside RG1; Ginsenoside Re; Ginsenoside Rf</t>
        </is>
      </c>
    </row>
    <row r="8">
      <c r="A8" t="inlineStr">
        <is>
          <t>Chinese Skullcap</t>
        </is>
      </c>
      <c r="B8" t="inlineStr">
        <is>
          <t>Focus</t>
        </is>
      </c>
      <c r="C8" t="n">
        <v>5</v>
      </c>
      <c r="D8" t="n">
        <v>26</v>
      </c>
      <c r="E8" t="n">
        <v>6.5</v>
      </c>
      <c r="F8" t="n">
        <v>0</v>
      </c>
      <c r="G8" t="n">
        <v>2</v>
      </c>
      <c r="H8" t="n">
        <v>47</v>
      </c>
      <c r="I8" t="n">
        <v>39</v>
      </c>
      <c r="J8" t="inlineStr">
        <is>
          <t>Baicalein; Baicalin; wogonin; Wogonoside</t>
        </is>
      </c>
    </row>
    <row r="9">
      <c r="A9" t="inlineStr">
        <is>
          <t>Arjuna</t>
        </is>
      </c>
      <c r="B9" t="inlineStr">
        <is>
          <t>Circulation</t>
        </is>
      </c>
      <c r="C9" t="n">
        <v>2</v>
      </c>
      <c r="D9" t="n">
        <v>21</v>
      </c>
      <c r="E9" t="n">
        <v>5.25</v>
      </c>
      <c r="F9" t="n">
        <v>0</v>
      </c>
      <c r="G9" t="n">
        <v>2</v>
      </c>
      <c r="H9" t="n">
        <v>40</v>
      </c>
      <c r="I9" t="n">
        <v>34</v>
      </c>
      <c r="J9" t="inlineStr">
        <is>
          <t>Arjunetin; Arjungenin; Arjunic acid; arjunolic acid</t>
        </is>
      </c>
    </row>
    <row r="10">
      <c r="A10" t="inlineStr">
        <is>
          <t>Turmeric</t>
        </is>
      </c>
      <c r="B10" t="inlineStr">
        <is>
          <t>General</t>
        </is>
      </c>
      <c r="C10" t="n">
        <v>6</v>
      </c>
      <c r="D10" t="n">
        <v>17</v>
      </c>
      <c r="E10" t="n">
        <v>5.67</v>
      </c>
      <c r="F10" t="n">
        <v>0</v>
      </c>
      <c r="G10" t="n">
        <v>2</v>
      </c>
      <c r="H10" t="n">
        <v>34</v>
      </c>
      <c r="I10" t="n">
        <v>30</v>
      </c>
      <c r="J10" t="inlineStr">
        <is>
          <t>Bisdemethoxycurcumin; Demethoxycurcumin; curcumin</t>
        </is>
      </c>
    </row>
    <row r="11">
      <c r="A11" t="inlineStr">
        <is>
          <t>Epimedium</t>
        </is>
      </c>
      <c r="B11" t="inlineStr">
        <is>
          <t>Circulation</t>
        </is>
      </c>
      <c r="C11" t="n">
        <v>5</v>
      </c>
      <c r="D11" t="n">
        <v>19</v>
      </c>
      <c r="E11" t="n">
        <v>3.17</v>
      </c>
      <c r="F11" t="n">
        <v>0</v>
      </c>
      <c r="G11" t="n">
        <v>0</v>
      </c>
      <c r="H11" t="n">
        <v>37</v>
      </c>
      <c r="I11" t="n">
        <v>24</v>
      </c>
      <c r="J11" t="inlineStr">
        <is>
          <t>Icariin; Epimedin A; Epimedin B; Epimedin C; Desmethylicaritin</t>
        </is>
      </c>
    </row>
    <row r="12">
      <c r="A12" t="inlineStr">
        <is>
          <t>St Johns Wort</t>
        </is>
      </c>
      <c r="B12" t="inlineStr">
        <is>
          <t>General</t>
        </is>
      </c>
      <c r="C12" t="n">
        <v>1</v>
      </c>
      <c r="D12" t="n">
        <v>9</v>
      </c>
      <c r="E12" t="n">
        <v>9</v>
      </c>
      <c r="F12" t="n">
        <v>0</v>
      </c>
      <c r="G12" t="n">
        <v>1</v>
      </c>
      <c r="H12" t="n">
        <v>29</v>
      </c>
      <c r="I12" t="n">
        <v>23</v>
      </c>
      <c r="J12" t="inlineStr">
        <is>
          <t>Hyperforin</t>
        </is>
      </c>
    </row>
    <row r="13">
      <c r="A13" t="inlineStr">
        <is>
          <t>Danshen</t>
        </is>
      </c>
      <c r="B13" t="inlineStr">
        <is>
          <t>General</t>
        </is>
      </c>
      <c r="C13" t="n">
        <v>1</v>
      </c>
      <c r="D13" t="n">
        <v>8</v>
      </c>
      <c r="E13" t="n">
        <v>8</v>
      </c>
      <c r="F13" t="n">
        <v>0</v>
      </c>
      <c r="G13" t="n">
        <v>1</v>
      </c>
      <c r="H13" t="n">
        <v>26</v>
      </c>
      <c r="I13" t="n">
        <v>21</v>
      </c>
      <c r="J13" t="inlineStr">
        <is>
          <t>Tanshinone IIA</t>
        </is>
      </c>
    </row>
    <row r="14">
      <c r="A14" t="inlineStr">
        <is>
          <t>Rhodiola Rosea</t>
        </is>
      </c>
      <c r="B14" t="inlineStr">
        <is>
          <t>Stress</t>
        </is>
      </c>
      <c r="C14" t="n">
        <v>1</v>
      </c>
      <c r="D14" t="n">
        <v>8</v>
      </c>
      <c r="E14" t="n">
        <v>8</v>
      </c>
      <c r="F14" t="n">
        <v>0</v>
      </c>
      <c r="G14" t="n">
        <v>1</v>
      </c>
      <c r="H14" t="n">
        <v>26</v>
      </c>
      <c r="I14" t="n">
        <v>21</v>
      </c>
      <c r="J14" t="inlineStr">
        <is>
          <t>Rosavin</t>
        </is>
      </c>
    </row>
    <row r="15">
      <c r="A15" t="inlineStr">
        <is>
          <t>Holy Basil</t>
        </is>
      </c>
      <c r="B15" t="inlineStr">
        <is>
          <t>Stress</t>
        </is>
      </c>
      <c r="C15" t="n">
        <v>1</v>
      </c>
      <c r="D15" t="n">
        <v>14</v>
      </c>
      <c r="E15" t="n">
        <v>4.67</v>
      </c>
      <c r="F15" t="n">
        <v>0</v>
      </c>
      <c r="G15" t="n">
        <v>0</v>
      </c>
      <c r="H15" t="n">
        <v>29</v>
      </c>
      <c r="I15" t="n">
        <v>19</v>
      </c>
      <c r="J15" t="inlineStr">
        <is>
          <t>Rosmarinic acid; Eugenol; Ursolic acid</t>
        </is>
      </c>
    </row>
    <row r="16">
      <c r="A16" t="inlineStr">
        <is>
          <t>Feverfew</t>
        </is>
      </c>
      <c r="B16" t="inlineStr">
        <is>
          <t>General</t>
        </is>
      </c>
      <c r="C16" t="n">
        <v>1</v>
      </c>
      <c r="D16" t="n">
        <v>7</v>
      </c>
      <c r="E16" t="n">
        <v>7</v>
      </c>
      <c r="F16" t="n">
        <v>0</v>
      </c>
      <c r="G16" t="n">
        <v>1</v>
      </c>
      <c r="H16" t="n">
        <v>23</v>
      </c>
      <c r="I16" t="n">
        <v>19</v>
      </c>
      <c r="J16" t="inlineStr">
        <is>
          <t>Actein</t>
        </is>
      </c>
    </row>
    <row r="17">
      <c r="A17" t="inlineStr">
        <is>
          <t>Chamomile</t>
        </is>
      </c>
      <c r="B17" t="inlineStr">
        <is>
          <t>Recovery</t>
        </is>
      </c>
      <c r="C17" t="n">
        <v>6</v>
      </c>
      <c r="D17" t="n">
        <v>12</v>
      </c>
      <c r="E17" t="n">
        <v>4</v>
      </c>
      <c r="F17" t="n">
        <v>0</v>
      </c>
      <c r="G17" t="n">
        <v>0</v>
      </c>
      <c r="H17" t="n">
        <v>26</v>
      </c>
      <c r="I17" t="n">
        <v>17</v>
      </c>
      <c r="J17" t="inlineStr">
        <is>
          <t>Apigenin; alpha-bisabolol; chamazulene</t>
        </is>
      </c>
    </row>
    <row r="18">
      <c r="A18" t="inlineStr">
        <is>
          <t>Ajwain</t>
        </is>
      </c>
      <c r="B18" t="inlineStr">
        <is>
          <t>General</t>
        </is>
      </c>
      <c r="C18" t="n">
        <v>3</v>
      </c>
      <c r="D18" t="n">
        <v>9</v>
      </c>
      <c r="E18" t="n">
        <v>4.5</v>
      </c>
      <c r="F18" t="n">
        <v>0</v>
      </c>
      <c r="G18" t="n">
        <v>0</v>
      </c>
      <c r="H18" t="n">
        <v>22</v>
      </c>
      <c r="I18" t="n">
        <v>14</v>
      </c>
      <c r="J18" t="inlineStr">
        <is>
          <t>carvacrol; thymol</t>
        </is>
      </c>
    </row>
    <row r="19">
      <c r="A19" t="inlineStr">
        <is>
          <t>Black Pepper</t>
        </is>
      </c>
      <c r="C19" t="n">
        <v>3</v>
      </c>
      <c r="D19" t="n">
        <v>9</v>
      </c>
      <c r="E19" t="n">
        <v>4.5</v>
      </c>
      <c r="F19" t="n">
        <v>0</v>
      </c>
      <c r="G19" t="n">
        <v>0</v>
      </c>
      <c r="H19" t="n">
        <v>22</v>
      </c>
      <c r="I19" t="n">
        <v>14</v>
      </c>
      <c r="J19" t="inlineStr">
        <is>
          <t>Piperine; Chavicine</t>
        </is>
      </c>
    </row>
    <row r="20">
      <c r="A20" t="inlineStr">
        <is>
          <t>Blue Lotus</t>
        </is>
      </c>
      <c r="B20" t="inlineStr">
        <is>
          <t>General</t>
        </is>
      </c>
      <c r="C20" t="n">
        <v>5</v>
      </c>
      <c r="D20" t="n">
        <v>9</v>
      </c>
      <c r="E20" t="n">
        <v>3</v>
      </c>
      <c r="F20" t="n">
        <v>0</v>
      </c>
      <c r="G20" t="n">
        <v>0</v>
      </c>
      <c r="H20" t="n">
        <v>21</v>
      </c>
      <c r="I20" t="n">
        <v>14</v>
      </c>
      <c r="J20" t="inlineStr">
        <is>
          <t>apomorphine; nuciferine; puerarin</t>
        </is>
      </c>
    </row>
    <row r="21">
      <c r="A21" t="inlineStr">
        <is>
          <t>Ashitaba</t>
        </is>
      </c>
      <c r="C21" t="n">
        <v>1</v>
      </c>
      <c r="D21" t="n">
        <v>6</v>
      </c>
      <c r="E21" t="n">
        <v>6</v>
      </c>
      <c r="F21" t="n">
        <v>0</v>
      </c>
      <c r="G21" t="n">
        <v>0</v>
      </c>
      <c r="H21" t="n">
        <v>20</v>
      </c>
      <c r="I21" t="n">
        <v>13</v>
      </c>
      <c r="J21" t="inlineStr">
        <is>
          <t>4-hydroxyderricin</t>
        </is>
      </c>
    </row>
    <row r="22">
      <c r="A22" t="inlineStr">
        <is>
          <t>Guarana</t>
        </is>
      </c>
      <c r="C22" t="n">
        <v>1</v>
      </c>
      <c r="D22" t="n">
        <v>6</v>
      </c>
      <c r="E22" t="n">
        <v>6</v>
      </c>
      <c r="F22" t="n">
        <v>0</v>
      </c>
      <c r="G22" t="n">
        <v>0</v>
      </c>
      <c r="H22" t="n">
        <v>20</v>
      </c>
      <c r="I22" t="n">
        <v>13</v>
      </c>
      <c r="J22" t="inlineStr">
        <is>
          <t>Caffeine</t>
        </is>
      </c>
    </row>
    <row r="23">
      <c r="A23" t="inlineStr">
        <is>
          <t>Lemon Balm</t>
        </is>
      </c>
      <c r="B23" t="inlineStr">
        <is>
          <t>General</t>
        </is>
      </c>
      <c r="C23" t="n">
        <v>1</v>
      </c>
      <c r="D23" t="n">
        <v>6</v>
      </c>
      <c r="E23" t="n">
        <v>6</v>
      </c>
      <c r="F23" t="n">
        <v>0</v>
      </c>
      <c r="G23" t="n">
        <v>0</v>
      </c>
      <c r="H23" t="n">
        <v>20</v>
      </c>
      <c r="I23" t="n">
        <v>13</v>
      </c>
      <c r="J23" t="inlineStr">
        <is>
          <t>Rosmarinic acid</t>
        </is>
      </c>
    </row>
    <row r="24">
      <c r="A24" t="inlineStr">
        <is>
          <t>Lemongrass</t>
        </is>
      </c>
      <c r="B24" t="inlineStr">
        <is>
          <t>General</t>
        </is>
      </c>
      <c r="C24" t="n">
        <v>1</v>
      </c>
      <c r="D24" t="n">
        <v>6</v>
      </c>
      <c r="E24" t="n">
        <v>6</v>
      </c>
      <c r="F24" t="n">
        <v>0</v>
      </c>
      <c r="G24" t="n">
        <v>0</v>
      </c>
      <c r="H24" t="n">
        <v>20</v>
      </c>
      <c r="I24" t="n">
        <v>13</v>
      </c>
      <c r="J24" t="inlineStr">
        <is>
          <t>citral</t>
        </is>
      </c>
    </row>
    <row r="25">
      <c r="A25" t="inlineStr">
        <is>
          <t>Maca</t>
        </is>
      </c>
      <c r="B25" t="inlineStr">
        <is>
          <t>Stress</t>
        </is>
      </c>
      <c r="C25" t="n">
        <v>1</v>
      </c>
      <c r="D25" t="n">
        <v>6</v>
      </c>
      <c r="E25" t="n">
        <v>6</v>
      </c>
      <c r="F25" t="n">
        <v>0</v>
      </c>
      <c r="G25" t="n">
        <v>0</v>
      </c>
      <c r="H25" t="n">
        <v>20</v>
      </c>
      <c r="I25" t="n">
        <v>13</v>
      </c>
      <c r="J25" t="inlineStr">
        <is>
          <t>macamides</t>
        </is>
      </c>
    </row>
    <row r="26">
      <c r="A26" t="inlineStr">
        <is>
          <t>Muira Puama</t>
        </is>
      </c>
      <c r="B26" t="inlineStr">
        <is>
          <t>General</t>
        </is>
      </c>
      <c r="C26" t="n">
        <v>1</v>
      </c>
      <c r="D26" t="n">
        <v>6</v>
      </c>
      <c r="E26" t="n">
        <v>6</v>
      </c>
      <c r="F26" t="n">
        <v>0</v>
      </c>
      <c r="G26" t="n">
        <v>0</v>
      </c>
      <c r="H26" t="n">
        <v>20</v>
      </c>
      <c r="I26" t="n">
        <v>13</v>
      </c>
      <c r="J26" t="inlineStr">
        <is>
          <t>beta-sitosterol</t>
        </is>
      </c>
    </row>
    <row r="27">
      <c r="A27" t="inlineStr">
        <is>
          <t>Nettle Root</t>
        </is>
      </c>
      <c r="B27" t="inlineStr">
        <is>
          <t>General</t>
        </is>
      </c>
      <c r="C27" t="n">
        <v>1</v>
      </c>
      <c r="D27" t="n">
        <v>6</v>
      </c>
      <c r="E27" t="n">
        <v>6</v>
      </c>
      <c r="F27" t="n">
        <v>0</v>
      </c>
      <c r="G27" t="n">
        <v>0</v>
      </c>
      <c r="H27" t="n">
        <v>20</v>
      </c>
      <c r="I27" t="n">
        <v>13</v>
      </c>
      <c r="J27" t="inlineStr">
        <is>
          <t>beta-sitosterol</t>
        </is>
      </c>
    </row>
    <row r="28">
      <c r="A28" t="inlineStr">
        <is>
          <t>Rehmannia Prepared</t>
        </is>
      </c>
      <c r="B28" t="inlineStr">
        <is>
          <t>General</t>
        </is>
      </c>
      <c r="C28" t="n">
        <v>1</v>
      </c>
      <c r="D28" t="n">
        <v>6</v>
      </c>
      <c r="E28" t="n">
        <v>6</v>
      </c>
      <c r="F28" t="n">
        <v>0</v>
      </c>
      <c r="G28" t="n">
        <v>0</v>
      </c>
      <c r="H28" t="n">
        <v>20</v>
      </c>
      <c r="I28" t="n">
        <v>13</v>
      </c>
      <c r="J28" t="inlineStr">
        <is>
          <t>catalpol</t>
        </is>
      </c>
    </row>
    <row r="29">
      <c r="A29" t="inlineStr">
        <is>
          <t>Sage</t>
        </is>
      </c>
      <c r="B29" t="inlineStr">
        <is>
          <t>General</t>
        </is>
      </c>
      <c r="C29" t="n">
        <v>1</v>
      </c>
      <c r="D29" t="n">
        <v>6</v>
      </c>
      <c r="E29" t="n">
        <v>6</v>
      </c>
      <c r="F29" t="n">
        <v>0</v>
      </c>
      <c r="G29" t="n">
        <v>0</v>
      </c>
      <c r="H29" t="n">
        <v>20</v>
      </c>
      <c r="I29" t="n">
        <v>13</v>
      </c>
      <c r="J29" t="inlineStr">
        <is>
          <t>carvacrol</t>
        </is>
      </c>
    </row>
    <row r="30">
      <c r="A30" t="inlineStr">
        <is>
          <t>Yerba Mate</t>
        </is>
      </c>
      <c r="C30" t="n">
        <v>1</v>
      </c>
      <c r="D30" t="n">
        <v>6</v>
      </c>
      <c r="E30" t="n">
        <v>6</v>
      </c>
      <c r="F30" t="n">
        <v>0</v>
      </c>
      <c r="G30" t="n">
        <v>0</v>
      </c>
      <c r="H30" t="n">
        <v>20</v>
      </c>
      <c r="I30" t="n">
        <v>13</v>
      </c>
      <c r="J30" t="inlineStr">
        <is>
          <t>Apigenin</t>
        </is>
      </c>
    </row>
    <row r="31">
      <c r="A31" t="inlineStr">
        <is>
          <t>Ginger</t>
        </is>
      </c>
      <c r="B31" t="inlineStr">
        <is>
          <t>General</t>
        </is>
      </c>
      <c r="C31" t="n">
        <v>1</v>
      </c>
      <c r="D31" t="n">
        <v>5</v>
      </c>
      <c r="E31" t="n">
        <v>5</v>
      </c>
      <c r="F31" t="n">
        <v>0</v>
      </c>
      <c r="G31" t="n">
        <v>0</v>
      </c>
      <c r="H31" t="n">
        <v>17</v>
      </c>
      <c r="I31" t="n">
        <v>11</v>
      </c>
      <c r="J31" t="inlineStr">
        <is>
          <t>6-Gingerol</t>
        </is>
      </c>
    </row>
    <row r="32">
      <c r="A32" t="inlineStr">
        <is>
          <t>Yohimbe</t>
        </is>
      </c>
      <c r="B32" t="inlineStr">
        <is>
          <t>General</t>
        </is>
      </c>
      <c r="C32" t="n">
        <v>1</v>
      </c>
      <c r="D32" t="n">
        <v>5</v>
      </c>
      <c r="E32" t="n">
        <v>5</v>
      </c>
      <c r="F32" t="n">
        <v>0</v>
      </c>
      <c r="G32" t="n">
        <v>0</v>
      </c>
      <c r="H32" t="n">
        <v>17</v>
      </c>
      <c r="I32" t="n">
        <v>11</v>
      </c>
      <c r="J32" t="inlineStr">
        <is>
          <t>Yohimbine</t>
        </is>
      </c>
    </row>
    <row r="33">
      <c r="A33" t="inlineStr">
        <is>
          <t>Holy Basil Purple</t>
        </is>
      </c>
      <c r="B33" t="inlineStr">
        <is>
          <t>Stress</t>
        </is>
      </c>
      <c r="C33" t="n">
        <v>1</v>
      </c>
      <c r="D33" t="n">
        <v>4</v>
      </c>
      <c r="E33" t="n">
        <v>4</v>
      </c>
      <c r="F33" t="n">
        <v>0</v>
      </c>
      <c r="G33" t="n">
        <v>0</v>
      </c>
      <c r="H33" t="n">
        <v>14</v>
      </c>
      <c r="I33" t="n">
        <v>9</v>
      </c>
      <c r="J33" t="inlineStr">
        <is>
          <t>Eugenol</t>
        </is>
      </c>
    </row>
    <row r="34">
      <c r="A34" t="inlineStr">
        <is>
          <t>Agarikon</t>
        </is>
      </c>
      <c r="B34" t="inlineStr">
        <is>
          <t>General</t>
        </is>
      </c>
      <c r="C34" t="n">
        <v>1</v>
      </c>
      <c r="D34" t="n">
        <v>3</v>
      </c>
      <c r="E34" t="n">
        <v>3</v>
      </c>
      <c r="F34" t="n">
        <v>0</v>
      </c>
      <c r="G34" t="n">
        <v>0</v>
      </c>
      <c r="H34" t="n">
        <v>11</v>
      </c>
      <c r="I34" t="n">
        <v>7</v>
      </c>
      <c r="J34" t="inlineStr">
        <is>
          <t>agaric acid</t>
        </is>
      </c>
    </row>
    <row r="35">
      <c r="A35" t="inlineStr">
        <is>
          <t>Angelica Root</t>
        </is>
      </c>
      <c r="B35" t="inlineStr">
        <is>
          <t>General</t>
        </is>
      </c>
      <c r="C35" t="n">
        <v>1</v>
      </c>
      <c r="D35" t="n">
        <v>3</v>
      </c>
      <c r="E35" t="n">
        <v>3</v>
      </c>
      <c r="F35" t="n">
        <v>0</v>
      </c>
      <c r="G35" t="n">
        <v>0</v>
      </c>
      <c r="H35" t="n">
        <v>11</v>
      </c>
      <c r="I35" t="n">
        <v>7</v>
      </c>
      <c r="J35" t="inlineStr">
        <is>
          <t>angelicin</t>
        </is>
      </c>
    </row>
    <row r="36">
      <c r="A36" t="inlineStr">
        <is>
          <t>Artichoke</t>
        </is>
      </c>
      <c r="B36" t="inlineStr">
        <is>
          <t>General</t>
        </is>
      </c>
      <c r="C36" t="n">
        <v>1</v>
      </c>
      <c r="D36" t="n">
        <v>3</v>
      </c>
      <c r="E36" t="n">
        <v>3</v>
      </c>
      <c r="F36" t="n">
        <v>0</v>
      </c>
      <c r="G36" t="n">
        <v>0</v>
      </c>
      <c r="H36" t="n">
        <v>11</v>
      </c>
      <c r="I36" t="n">
        <v>7</v>
      </c>
      <c r="J36" t="inlineStr">
        <is>
          <t>cynarin</t>
        </is>
      </c>
    </row>
    <row r="37">
      <c r="A37" t="inlineStr">
        <is>
          <t>Ashoka</t>
        </is>
      </c>
      <c r="B37" t="inlineStr">
        <is>
          <t>General</t>
        </is>
      </c>
      <c r="C37" t="n">
        <v>1</v>
      </c>
      <c r="D37" t="n">
        <v>3</v>
      </c>
      <c r="E37" t="n">
        <v>3</v>
      </c>
      <c r="F37" t="n">
        <v>0</v>
      </c>
      <c r="G37" t="n">
        <v>0</v>
      </c>
      <c r="H37" t="n">
        <v>11</v>
      </c>
      <c r="I37" t="n">
        <v>7</v>
      </c>
      <c r="J37" t="inlineStr">
        <is>
          <t>catechins</t>
        </is>
      </c>
    </row>
    <row r="38">
      <c r="A38" t="inlineStr">
        <is>
          <t>Astragalus</t>
        </is>
      </c>
      <c r="B38" t="inlineStr">
        <is>
          <t>General</t>
        </is>
      </c>
      <c r="C38" t="n">
        <v>1</v>
      </c>
      <c r="D38" t="n">
        <v>3</v>
      </c>
      <c r="E38" t="n">
        <v>3</v>
      </c>
      <c r="F38" t="n">
        <v>0</v>
      </c>
      <c r="G38" t="n">
        <v>0</v>
      </c>
      <c r="H38" t="n">
        <v>11</v>
      </c>
      <c r="I38" t="n">
        <v>7</v>
      </c>
      <c r="J38" t="inlineStr">
        <is>
          <t>astragaloside iv</t>
        </is>
      </c>
    </row>
    <row r="39">
      <c r="A39" t="inlineStr">
        <is>
          <t>Atractylodes</t>
        </is>
      </c>
      <c r="B39" t="inlineStr">
        <is>
          <t>General</t>
        </is>
      </c>
      <c r="C39" t="n">
        <v>1</v>
      </c>
      <c r="D39" t="n">
        <v>3</v>
      </c>
      <c r="E39" t="n">
        <v>3</v>
      </c>
      <c r="F39" t="n">
        <v>0</v>
      </c>
      <c r="G39" t="n">
        <v>0</v>
      </c>
      <c r="H39" t="n">
        <v>11</v>
      </c>
      <c r="I39" t="n">
        <v>7</v>
      </c>
      <c r="J39" t="inlineStr">
        <is>
          <t>atractylenolide i</t>
        </is>
      </c>
    </row>
    <row r="40">
      <c r="A40" t="inlineStr">
        <is>
          <t>Bacopa</t>
        </is>
      </c>
      <c r="C40" t="n">
        <v>1</v>
      </c>
      <c r="D40" t="n">
        <v>3</v>
      </c>
      <c r="E40" t="n">
        <v>3</v>
      </c>
      <c r="F40" t="n">
        <v>0</v>
      </c>
      <c r="G40" t="n">
        <v>0</v>
      </c>
      <c r="H40" t="n">
        <v>11</v>
      </c>
      <c r="I40" t="n">
        <v>7</v>
      </c>
      <c r="J40" t="inlineStr">
        <is>
          <t>bacoside a</t>
        </is>
      </c>
    </row>
    <row r="41">
      <c r="A41" t="inlineStr">
        <is>
          <t>Banaba</t>
        </is>
      </c>
      <c r="C41" t="n">
        <v>1</v>
      </c>
      <c r="D41" t="n">
        <v>3</v>
      </c>
      <c r="E41" t="n">
        <v>3</v>
      </c>
      <c r="F41" t="n">
        <v>0</v>
      </c>
      <c r="G41" t="n">
        <v>0</v>
      </c>
      <c r="H41" t="n">
        <v>11</v>
      </c>
      <c r="I41" t="n">
        <v>7</v>
      </c>
      <c r="J41" t="inlineStr">
        <is>
          <t>corosolic acid</t>
        </is>
      </c>
    </row>
    <row r="42">
      <c r="A42" t="inlineStr">
        <is>
          <t>Boldo</t>
        </is>
      </c>
      <c r="B42" t="inlineStr">
        <is>
          <t>General</t>
        </is>
      </c>
      <c r="C42" t="n">
        <v>1</v>
      </c>
      <c r="D42" t="n">
        <v>3</v>
      </c>
      <c r="E42" t="n">
        <v>3</v>
      </c>
      <c r="F42" t="n">
        <v>0</v>
      </c>
      <c r="G42" t="n">
        <v>0</v>
      </c>
      <c r="H42" t="n">
        <v>11</v>
      </c>
      <c r="I42" t="n">
        <v>7</v>
      </c>
      <c r="J42" t="inlineStr">
        <is>
          <t>boldine</t>
        </is>
      </c>
    </row>
    <row r="43">
      <c r="A43" t="inlineStr">
        <is>
          <t>Boswellia</t>
        </is>
      </c>
      <c r="B43" t="inlineStr">
        <is>
          <t>General</t>
        </is>
      </c>
      <c r="C43" t="n">
        <v>1</v>
      </c>
      <c r="D43" t="n">
        <v>3</v>
      </c>
      <c r="E43" t="n">
        <v>3</v>
      </c>
      <c r="F43" t="n">
        <v>0</v>
      </c>
      <c r="G43" t="n">
        <v>0</v>
      </c>
      <c r="H43" t="n">
        <v>11</v>
      </c>
      <c r="I43" t="n">
        <v>7</v>
      </c>
      <c r="J43" t="inlineStr">
        <is>
          <t>akba</t>
        </is>
      </c>
    </row>
    <row r="44">
      <c r="A44" t="inlineStr">
        <is>
          <t>Bupleurum</t>
        </is>
      </c>
      <c r="B44" t="inlineStr">
        <is>
          <t>General</t>
        </is>
      </c>
      <c r="C44" t="n">
        <v>1</v>
      </c>
      <c r="D44" t="n">
        <v>3</v>
      </c>
      <c r="E44" t="n">
        <v>3</v>
      </c>
      <c r="F44" t="n">
        <v>0</v>
      </c>
      <c r="G44" t="n">
        <v>0</v>
      </c>
      <c r="H44" t="n">
        <v>11</v>
      </c>
      <c r="I44" t="n">
        <v>7</v>
      </c>
      <c r="J44" t="inlineStr">
        <is>
          <t>saikosaponin a</t>
        </is>
      </c>
    </row>
    <row r="45">
      <c r="A45" t="inlineStr">
        <is>
          <t>Burdock</t>
        </is>
      </c>
      <c r="B45" t="inlineStr">
        <is>
          <t>General</t>
        </is>
      </c>
      <c r="C45" t="n">
        <v>1</v>
      </c>
      <c r="D45" t="n">
        <v>3</v>
      </c>
      <c r="E45" t="n">
        <v>3</v>
      </c>
      <c r="F45" t="n">
        <v>0</v>
      </c>
      <c r="G45" t="n">
        <v>0</v>
      </c>
      <c r="H45" t="n">
        <v>11</v>
      </c>
      <c r="I45" t="n">
        <v>7</v>
      </c>
      <c r="J45" t="inlineStr">
        <is>
          <t>arctiin</t>
        </is>
      </c>
    </row>
    <row r="46">
      <c r="A46" t="inlineStr">
        <is>
          <t>Butterbur</t>
        </is>
      </c>
      <c r="B46" t="inlineStr">
        <is>
          <t>General</t>
        </is>
      </c>
      <c r="C46" t="n">
        <v>1</v>
      </c>
      <c r="D46" t="n">
        <v>3</v>
      </c>
      <c r="E46" t="n">
        <v>3</v>
      </c>
      <c r="F46" t="n">
        <v>0</v>
      </c>
      <c r="G46" t="n">
        <v>0</v>
      </c>
      <c r="H46" t="n">
        <v>11</v>
      </c>
      <c r="I46" t="n">
        <v>7</v>
      </c>
      <c r="J46" t="inlineStr">
        <is>
          <t>ferulic acid</t>
        </is>
      </c>
    </row>
    <row r="47">
      <c r="A47" t="inlineStr">
        <is>
          <t>Calendula</t>
        </is>
      </c>
      <c r="B47" t="inlineStr">
        <is>
          <t>General</t>
        </is>
      </c>
      <c r="C47" t="n">
        <v>1</v>
      </c>
      <c r="D47" t="n">
        <v>3</v>
      </c>
      <c r="E47" t="n">
        <v>3</v>
      </c>
      <c r="F47" t="n">
        <v>0</v>
      </c>
      <c r="G47" t="n">
        <v>0</v>
      </c>
      <c r="H47" t="n">
        <v>11</v>
      </c>
      <c r="I47" t="n">
        <v>7</v>
      </c>
      <c r="J47" t="inlineStr">
        <is>
          <t>faradiol</t>
        </is>
      </c>
    </row>
    <row r="48">
      <c r="A48" t="inlineStr">
        <is>
          <t>Caraway</t>
        </is>
      </c>
      <c r="B48" t="inlineStr">
        <is>
          <t>General</t>
        </is>
      </c>
      <c r="C48" t="n">
        <v>1</v>
      </c>
      <c r="D48" t="n">
        <v>3</v>
      </c>
      <c r="E48" t="n">
        <v>3</v>
      </c>
      <c r="F48" t="n">
        <v>0</v>
      </c>
      <c r="G48" t="n">
        <v>0</v>
      </c>
      <c r="H48" t="n">
        <v>11</v>
      </c>
      <c r="I48" t="n">
        <v>7</v>
      </c>
      <c r="J48" t="inlineStr">
        <is>
          <t>carvone</t>
        </is>
      </c>
    </row>
    <row r="49">
      <c r="A49" t="inlineStr">
        <is>
          <t>Cardamom</t>
        </is>
      </c>
      <c r="B49" t="inlineStr">
        <is>
          <t>General</t>
        </is>
      </c>
      <c r="C49" t="n">
        <v>1</v>
      </c>
      <c r="D49" t="n">
        <v>3</v>
      </c>
      <c r="E49" t="n">
        <v>3</v>
      </c>
      <c r="F49" t="n">
        <v>0</v>
      </c>
      <c r="G49" t="n">
        <v>0</v>
      </c>
      <c r="H49" t="n">
        <v>11</v>
      </c>
      <c r="I49" t="n">
        <v>7</v>
      </c>
      <c r="J49" t="inlineStr">
        <is>
          <t>terpinyl acetate</t>
        </is>
      </c>
    </row>
    <row r="50">
      <c r="A50" t="inlineStr">
        <is>
          <t>Carob</t>
        </is>
      </c>
      <c r="C50" t="n">
        <v>1</v>
      </c>
      <c r="D50" t="n">
        <v>3</v>
      </c>
      <c r="E50" t="n">
        <v>3</v>
      </c>
      <c r="F50" t="n">
        <v>0</v>
      </c>
      <c r="G50" t="n">
        <v>0</v>
      </c>
      <c r="H50" t="n">
        <v>11</v>
      </c>
      <c r="I50" t="n">
        <v>7</v>
      </c>
      <c r="J50" t="inlineStr">
        <is>
          <t>d-pinitol</t>
        </is>
      </c>
    </row>
    <row r="51">
      <c r="A51" t="inlineStr">
        <is>
          <t>Celastrus Paniculatus</t>
        </is>
      </c>
      <c r="B51" t="inlineStr">
        <is>
          <t>General</t>
        </is>
      </c>
      <c r="C51" t="n">
        <v>1</v>
      </c>
      <c r="D51" t="n">
        <v>3</v>
      </c>
      <c r="E51" t="n">
        <v>3</v>
      </c>
      <c r="F51" t="n">
        <v>0</v>
      </c>
      <c r="G51" t="n">
        <v>0</v>
      </c>
      <c r="H51" t="n">
        <v>11</v>
      </c>
      <c r="I51" t="n">
        <v>7</v>
      </c>
      <c r="J51" t="inlineStr">
        <is>
          <t>Celastrine</t>
        </is>
      </c>
    </row>
    <row r="52">
      <c r="A52" t="inlineStr">
        <is>
          <t>Cinnamon</t>
        </is>
      </c>
      <c r="B52" t="inlineStr">
        <is>
          <t>General</t>
        </is>
      </c>
      <c r="C52" t="n">
        <v>1</v>
      </c>
      <c r="D52" t="n">
        <v>3</v>
      </c>
      <c r="E52" t="n">
        <v>3</v>
      </c>
      <c r="F52" t="n">
        <v>0</v>
      </c>
      <c r="G52" t="n">
        <v>0</v>
      </c>
      <c r="H52" t="n">
        <v>11</v>
      </c>
      <c r="I52" t="n">
        <v>7</v>
      </c>
      <c r="J52" t="inlineStr">
        <is>
          <t>cinnamaldehyde</t>
        </is>
      </c>
    </row>
    <row r="53">
      <c r="A53" t="inlineStr">
        <is>
          <t>Cissus</t>
        </is>
      </c>
      <c r="B53" t="inlineStr">
        <is>
          <t>Recovery</t>
        </is>
      </c>
      <c r="C53" t="n">
        <v>1</v>
      </c>
      <c r="D53" t="n">
        <v>3</v>
      </c>
      <c r="E53" t="n">
        <v>3</v>
      </c>
      <c r="F53" t="n">
        <v>0</v>
      </c>
      <c r="G53" t="n">
        <v>0</v>
      </c>
      <c r="H53" t="n">
        <v>11</v>
      </c>
      <c r="I53" t="n">
        <v>7</v>
      </c>
      <c r="J53" t="inlineStr">
        <is>
          <t>quadrangularin a</t>
        </is>
      </c>
    </row>
    <row r="54">
      <c r="A54" t="inlineStr">
        <is>
          <t>Cistanche</t>
        </is>
      </c>
      <c r="B54" t="inlineStr">
        <is>
          <t>General</t>
        </is>
      </c>
      <c r="C54" t="n">
        <v>1</v>
      </c>
      <c r="D54" t="n">
        <v>3</v>
      </c>
      <c r="E54" t="n">
        <v>3</v>
      </c>
      <c r="F54" t="n">
        <v>0</v>
      </c>
      <c r="G54" t="n">
        <v>0</v>
      </c>
      <c r="H54" t="n">
        <v>11</v>
      </c>
      <c r="I54" t="n">
        <v>7</v>
      </c>
      <c r="J54" t="inlineStr">
        <is>
          <t>echinacoside</t>
        </is>
      </c>
    </row>
    <row r="55">
      <c r="A55" t="inlineStr">
        <is>
          <t>Codonopsis</t>
        </is>
      </c>
      <c r="B55" t="inlineStr">
        <is>
          <t>General</t>
        </is>
      </c>
      <c r="C55" t="n">
        <v>1</v>
      </c>
      <c r="D55" t="n">
        <v>3</v>
      </c>
      <c r="E55" t="n">
        <v>3</v>
      </c>
      <c r="F55" t="n">
        <v>0</v>
      </c>
      <c r="G55" t="n">
        <v>0</v>
      </c>
      <c r="H55" t="n">
        <v>11</v>
      </c>
      <c r="I55" t="n">
        <v>7</v>
      </c>
      <c r="J55" t="inlineStr">
        <is>
          <t>tangshenoside i</t>
        </is>
      </c>
    </row>
    <row r="56">
      <c r="A56" t="inlineStr">
        <is>
          <t>Cordyceps</t>
        </is>
      </c>
      <c r="B56" t="inlineStr">
        <is>
          <t>General</t>
        </is>
      </c>
      <c r="C56" t="n">
        <v>1</v>
      </c>
      <c r="D56" t="n">
        <v>3</v>
      </c>
      <c r="E56" t="n">
        <v>3</v>
      </c>
      <c r="F56" t="n">
        <v>0</v>
      </c>
      <c r="G56" t="n">
        <v>0</v>
      </c>
      <c r="H56" t="n">
        <v>11</v>
      </c>
      <c r="I56" t="n">
        <v>7</v>
      </c>
      <c r="J56" t="inlineStr">
        <is>
          <t>cordycepin</t>
        </is>
      </c>
    </row>
    <row r="57">
      <c r="A57" t="inlineStr">
        <is>
          <t>Cranberry</t>
        </is>
      </c>
      <c r="B57" t="inlineStr">
        <is>
          <t>General</t>
        </is>
      </c>
      <c r="C57" t="n">
        <v>1</v>
      </c>
      <c r="D57" t="n">
        <v>3</v>
      </c>
      <c r="E57" t="n">
        <v>3</v>
      </c>
      <c r="F57" t="n">
        <v>0</v>
      </c>
      <c r="G57" t="n">
        <v>0</v>
      </c>
      <c r="H57" t="n">
        <v>11</v>
      </c>
      <c r="I57" t="n">
        <v>7</v>
      </c>
      <c r="J57" t="inlineStr">
        <is>
          <t>a-type proanthocyanidins</t>
        </is>
      </c>
    </row>
    <row r="58">
      <c r="A58" t="inlineStr">
        <is>
          <t>Curry Leaf</t>
        </is>
      </c>
      <c r="C58" t="n">
        <v>1</v>
      </c>
      <c r="D58" t="n">
        <v>3</v>
      </c>
      <c r="E58" t="n">
        <v>3</v>
      </c>
      <c r="F58" t="n">
        <v>0</v>
      </c>
      <c r="G58" t="n">
        <v>0</v>
      </c>
      <c r="H58" t="n">
        <v>11</v>
      </c>
      <c r="I58" t="n">
        <v>7</v>
      </c>
      <c r="J58" t="inlineStr">
        <is>
          <t>mahanimbine</t>
        </is>
      </c>
    </row>
    <row r="59">
      <c r="A59" t="inlineStr">
        <is>
          <t>Damiana</t>
        </is>
      </c>
      <c r="B59" t="inlineStr">
        <is>
          <t>General</t>
        </is>
      </c>
      <c r="C59" t="n">
        <v>1</v>
      </c>
      <c r="D59" t="n">
        <v>3</v>
      </c>
      <c r="E59" t="n">
        <v>3</v>
      </c>
      <c r="F59" t="n">
        <v>0</v>
      </c>
      <c r="G59" t="n">
        <v>0</v>
      </c>
      <c r="H59" t="n">
        <v>11</v>
      </c>
      <c r="I59" t="n">
        <v>7</v>
      </c>
      <c r="J59" t="inlineStr">
        <is>
          <t>nuciferine</t>
        </is>
      </c>
    </row>
    <row r="60">
      <c r="A60" t="inlineStr">
        <is>
          <t>Dandelion</t>
        </is>
      </c>
      <c r="B60" t="inlineStr">
        <is>
          <t>General</t>
        </is>
      </c>
      <c r="C60" t="n">
        <v>1</v>
      </c>
      <c r="D60" t="n">
        <v>3</v>
      </c>
      <c r="E60" t="n">
        <v>3</v>
      </c>
      <c r="F60" t="n">
        <v>0</v>
      </c>
      <c r="G60" t="n">
        <v>0</v>
      </c>
      <c r="H60" t="n">
        <v>11</v>
      </c>
      <c r="I60" t="n">
        <v>7</v>
      </c>
      <c r="J60" t="inlineStr">
        <is>
          <t>taraxasterol</t>
        </is>
      </c>
    </row>
    <row r="61">
      <c r="A61" t="inlineStr">
        <is>
          <t>Dendrobium</t>
        </is>
      </c>
      <c r="B61" t="inlineStr">
        <is>
          <t>General</t>
        </is>
      </c>
      <c r="C61" t="n">
        <v>1</v>
      </c>
      <c r="D61" t="n">
        <v>3</v>
      </c>
      <c r="E61" t="n">
        <v>3</v>
      </c>
      <c r="F61" t="n">
        <v>0</v>
      </c>
      <c r="G61" t="n">
        <v>0</v>
      </c>
      <c r="H61" t="n">
        <v>11</v>
      </c>
      <c r="I61" t="n">
        <v>7</v>
      </c>
      <c r="J61" t="inlineStr">
        <is>
          <t>dendrobine</t>
        </is>
      </c>
    </row>
    <row r="62">
      <c r="A62" t="inlineStr">
        <is>
          <t>Dong Quai</t>
        </is>
      </c>
      <c r="B62" t="inlineStr">
        <is>
          <t>General</t>
        </is>
      </c>
      <c r="C62" t="n">
        <v>1</v>
      </c>
      <c r="D62" t="n">
        <v>3</v>
      </c>
      <c r="E62" t="n">
        <v>3</v>
      </c>
      <c r="F62" t="n">
        <v>0</v>
      </c>
      <c r="G62" t="n">
        <v>0</v>
      </c>
      <c r="H62" t="n">
        <v>11</v>
      </c>
      <c r="I62" t="n">
        <v>7</v>
      </c>
      <c r="J62" t="inlineStr">
        <is>
          <t>curcumin</t>
        </is>
      </c>
    </row>
    <row r="63">
      <c r="A63" t="inlineStr">
        <is>
          <t>Elecampane</t>
        </is>
      </c>
      <c r="B63" t="inlineStr">
        <is>
          <t>General</t>
        </is>
      </c>
      <c r="C63" t="n">
        <v>1</v>
      </c>
      <c r="D63" t="n">
        <v>3</v>
      </c>
      <c r="E63" t="n">
        <v>3</v>
      </c>
      <c r="F63" t="n">
        <v>0</v>
      </c>
      <c r="G63" t="n">
        <v>0</v>
      </c>
      <c r="H63" t="n">
        <v>11</v>
      </c>
      <c r="I63" t="n">
        <v>7</v>
      </c>
      <c r="J63" t="inlineStr">
        <is>
          <t>alantolactone</t>
        </is>
      </c>
    </row>
    <row r="64">
      <c r="A64" t="inlineStr">
        <is>
          <t>Eleuthero</t>
        </is>
      </c>
      <c r="B64" t="inlineStr">
        <is>
          <t>General</t>
        </is>
      </c>
      <c r="C64" t="n">
        <v>1</v>
      </c>
      <c r="D64" t="n">
        <v>3</v>
      </c>
      <c r="E64" t="n">
        <v>3</v>
      </c>
      <c r="F64" t="n">
        <v>0</v>
      </c>
      <c r="G64" t="n">
        <v>0</v>
      </c>
      <c r="H64" t="n">
        <v>11</v>
      </c>
      <c r="I64" t="n">
        <v>7</v>
      </c>
      <c r="J64" t="inlineStr">
        <is>
          <t>eleutherosides</t>
        </is>
      </c>
    </row>
    <row r="65">
      <c r="A65" t="inlineStr">
        <is>
          <t>Eucommia</t>
        </is>
      </c>
      <c r="C65" t="n">
        <v>1</v>
      </c>
      <c r="D65" t="n">
        <v>3</v>
      </c>
      <c r="E65" t="n">
        <v>3</v>
      </c>
      <c r="F65" t="n">
        <v>0</v>
      </c>
      <c r="G65" t="n">
        <v>0</v>
      </c>
      <c r="H65" t="n">
        <v>11</v>
      </c>
      <c r="I65" t="n">
        <v>7</v>
      </c>
      <c r="J65" t="inlineStr">
        <is>
          <t>geniposidic acid</t>
        </is>
      </c>
    </row>
    <row r="66">
      <c r="A66" t="inlineStr">
        <is>
          <t>Fennel</t>
        </is>
      </c>
      <c r="B66" t="inlineStr">
        <is>
          <t>General</t>
        </is>
      </c>
      <c r="C66" t="n">
        <v>1</v>
      </c>
      <c r="D66" t="n">
        <v>3</v>
      </c>
      <c r="E66" t="n">
        <v>3</v>
      </c>
      <c r="F66" t="n">
        <v>0</v>
      </c>
      <c r="G66" t="n">
        <v>0</v>
      </c>
      <c r="H66" t="n">
        <v>11</v>
      </c>
      <c r="I66" t="n">
        <v>7</v>
      </c>
      <c r="J66" t="inlineStr">
        <is>
          <t>anethole</t>
        </is>
      </c>
    </row>
    <row r="67">
      <c r="A67" t="inlineStr">
        <is>
          <t>Galangal</t>
        </is>
      </c>
      <c r="B67" t="inlineStr">
        <is>
          <t>General</t>
        </is>
      </c>
      <c r="C67" t="n">
        <v>1</v>
      </c>
      <c r="D67" t="n">
        <v>3</v>
      </c>
      <c r="E67" t="n">
        <v>3</v>
      </c>
      <c r="F67" t="n">
        <v>0</v>
      </c>
      <c r="G67" t="n">
        <v>0</v>
      </c>
      <c r="H67" t="n">
        <v>11</v>
      </c>
      <c r="I67" t="n">
        <v>7</v>
      </c>
      <c r="J67" t="inlineStr">
        <is>
          <t>galangin</t>
        </is>
      </c>
    </row>
    <row r="68">
      <c r="A68" t="inlineStr">
        <is>
          <t>Garlic</t>
        </is>
      </c>
      <c r="B68" t="inlineStr">
        <is>
          <t>General</t>
        </is>
      </c>
      <c r="C68" t="n">
        <v>1</v>
      </c>
      <c r="D68" t="n">
        <v>3</v>
      </c>
      <c r="E68" t="n">
        <v>3</v>
      </c>
      <c r="F68" t="n">
        <v>0</v>
      </c>
      <c r="G68" t="n">
        <v>0</v>
      </c>
      <c r="H68" t="n">
        <v>11</v>
      </c>
      <c r="I68" t="n">
        <v>7</v>
      </c>
      <c r="J68" t="inlineStr">
        <is>
          <t>diallyl sulfide</t>
        </is>
      </c>
    </row>
    <row r="69">
      <c r="A69" t="inlineStr">
        <is>
          <t>Gastrodia</t>
        </is>
      </c>
      <c r="B69" t="inlineStr">
        <is>
          <t>General</t>
        </is>
      </c>
      <c r="C69" t="n">
        <v>1</v>
      </c>
      <c r="D69" t="n">
        <v>3</v>
      </c>
      <c r="E69" t="n">
        <v>3</v>
      </c>
      <c r="F69" t="n">
        <v>0</v>
      </c>
      <c r="G69" t="n">
        <v>0</v>
      </c>
      <c r="H69" t="n">
        <v>11</v>
      </c>
      <c r="I69" t="n">
        <v>7</v>
      </c>
      <c r="J69" t="inlineStr">
        <is>
          <t>gastrodin</t>
        </is>
      </c>
    </row>
    <row r="70">
      <c r="A70" t="inlineStr">
        <is>
          <t>Gudmar</t>
        </is>
      </c>
      <c r="B70" t="inlineStr">
        <is>
          <t>General</t>
        </is>
      </c>
      <c r="C70" t="n">
        <v>1</v>
      </c>
      <c r="D70" t="n">
        <v>3</v>
      </c>
      <c r="E70" t="n">
        <v>3</v>
      </c>
      <c r="F70" t="n">
        <v>0</v>
      </c>
      <c r="G70" t="n">
        <v>0</v>
      </c>
      <c r="H70" t="n">
        <v>11</v>
      </c>
      <c r="I70" t="n">
        <v>7</v>
      </c>
      <c r="J70" t="inlineStr">
        <is>
          <t>gymnemic acids</t>
        </is>
      </c>
    </row>
    <row r="71">
      <c r="A71" t="inlineStr">
        <is>
          <t>Gymnema</t>
        </is>
      </c>
      <c r="B71" t="inlineStr">
        <is>
          <t>General</t>
        </is>
      </c>
      <c r="C71" t="n">
        <v>1</v>
      </c>
      <c r="D71" t="n">
        <v>3</v>
      </c>
      <c r="E71" t="n">
        <v>3</v>
      </c>
      <c r="F71" t="n">
        <v>0</v>
      </c>
      <c r="G71" t="n">
        <v>0</v>
      </c>
      <c r="H71" t="n">
        <v>11</v>
      </c>
      <c r="I71" t="n">
        <v>7</v>
      </c>
      <c r="J71" t="inlineStr">
        <is>
          <t>gymnemic acids</t>
        </is>
      </c>
    </row>
    <row r="72">
      <c r="A72" t="inlineStr">
        <is>
          <t>Hawthorn</t>
        </is>
      </c>
      <c r="B72" t="inlineStr">
        <is>
          <t>General</t>
        </is>
      </c>
      <c r="C72" t="n">
        <v>1</v>
      </c>
      <c r="D72" t="n">
        <v>3</v>
      </c>
      <c r="E72" t="n">
        <v>3</v>
      </c>
      <c r="F72" t="n">
        <v>0</v>
      </c>
      <c r="G72" t="n">
        <v>0</v>
      </c>
      <c r="H72" t="n">
        <v>11</v>
      </c>
      <c r="I72" t="n">
        <v>7</v>
      </c>
      <c r="J72" t="inlineStr">
        <is>
          <t>procyanidin b2</t>
        </is>
      </c>
    </row>
    <row r="73">
      <c r="A73" t="inlineStr">
        <is>
          <t>Hops</t>
        </is>
      </c>
      <c r="B73" t="inlineStr">
        <is>
          <t>General</t>
        </is>
      </c>
      <c r="C73" t="n">
        <v>1</v>
      </c>
      <c r="D73" t="n">
        <v>3</v>
      </c>
      <c r="E73" t="n">
        <v>3</v>
      </c>
      <c r="F73" t="n">
        <v>0</v>
      </c>
      <c r="G73" t="n">
        <v>0</v>
      </c>
      <c r="H73" t="n">
        <v>11</v>
      </c>
      <c r="I73" t="n">
        <v>7</v>
      </c>
      <c r="J73" t="inlineStr">
        <is>
          <t>humulone</t>
        </is>
      </c>
    </row>
    <row r="74">
      <c r="A74" t="inlineStr">
        <is>
          <t>Houttuynia</t>
        </is>
      </c>
      <c r="B74" t="inlineStr">
        <is>
          <t>General</t>
        </is>
      </c>
      <c r="C74" t="n">
        <v>1</v>
      </c>
      <c r="D74" t="n">
        <v>3</v>
      </c>
      <c r="E74" t="n">
        <v>3</v>
      </c>
      <c r="F74" t="n">
        <v>0</v>
      </c>
      <c r="G74" t="n">
        <v>0</v>
      </c>
      <c r="H74" t="n">
        <v>11</v>
      </c>
      <c r="I74" t="n">
        <v>7</v>
      </c>
      <c r="J74" t="inlineStr">
        <is>
          <t>quercitrin</t>
        </is>
      </c>
    </row>
    <row r="75">
      <c r="A75" t="inlineStr">
        <is>
          <t>Isatis</t>
        </is>
      </c>
      <c r="B75" t="inlineStr">
        <is>
          <t>General</t>
        </is>
      </c>
      <c r="C75" t="n">
        <v>1</v>
      </c>
      <c r="D75" t="n">
        <v>3</v>
      </c>
      <c r="E75" t="n">
        <v>3</v>
      </c>
      <c r="F75" t="n">
        <v>0</v>
      </c>
      <c r="G75" t="n">
        <v>0</v>
      </c>
      <c r="H75" t="n">
        <v>11</v>
      </c>
      <c r="I75" t="n">
        <v>7</v>
      </c>
      <c r="J75" t="inlineStr">
        <is>
          <t>tryptanthrin</t>
        </is>
      </c>
    </row>
    <row r="76">
      <c r="A76" t="inlineStr">
        <is>
          <t>Jatamansi</t>
        </is>
      </c>
      <c r="B76" t="inlineStr">
        <is>
          <t>General</t>
        </is>
      </c>
      <c r="C76" t="n">
        <v>1</v>
      </c>
      <c r="D76" t="n">
        <v>3</v>
      </c>
      <c r="E76" t="n">
        <v>3</v>
      </c>
      <c r="F76" t="n">
        <v>0</v>
      </c>
      <c r="G76" t="n">
        <v>0</v>
      </c>
      <c r="H76" t="n">
        <v>11</v>
      </c>
      <c r="I76" t="n">
        <v>7</v>
      </c>
      <c r="J76" t="inlineStr">
        <is>
          <t>jatamansone</t>
        </is>
      </c>
    </row>
    <row r="77">
      <c r="A77" t="inlineStr">
        <is>
          <t>Jujube</t>
        </is>
      </c>
      <c r="B77" t="inlineStr">
        <is>
          <t>General</t>
        </is>
      </c>
      <c r="C77" t="n">
        <v>1</v>
      </c>
      <c r="D77" t="n">
        <v>3</v>
      </c>
      <c r="E77" t="n">
        <v>3</v>
      </c>
      <c r="F77" t="n">
        <v>0</v>
      </c>
      <c r="G77" t="n">
        <v>0</v>
      </c>
      <c r="H77" t="n">
        <v>11</v>
      </c>
      <c r="I77" t="n">
        <v>7</v>
      </c>
      <c r="J77" t="inlineStr">
        <is>
          <t>jujuboside a</t>
        </is>
      </c>
    </row>
    <row r="78">
      <c r="A78" t="inlineStr">
        <is>
          <t>Juniper</t>
        </is>
      </c>
      <c r="B78" t="inlineStr">
        <is>
          <t>General</t>
        </is>
      </c>
      <c r="C78" t="n">
        <v>1</v>
      </c>
      <c r="D78" t="n">
        <v>3</v>
      </c>
      <c r="E78" t="n">
        <v>3</v>
      </c>
      <c r="F78" t="n">
        <v>0</v>
      </c>
      <c r="G78" t="n">
        <v>0</v>
      </c>
      <c r="H78" t="n">
        <v>11</v>
      </c>
      <c r="I78" t="n">
        <v>7</v>
      </c>
      <c r="J78" t="inlineStr">
        <is>
          <t>alpha-pinene</t>
        </is>
      </c>
    </row>
    <row r="79">
      <c r="A79" t="inlineStr">
        <is>
          <t>Kava</t>
        </is>
      </c>
      <c r="B79" t="inlineStr">
        <is>
          <t>General</t>
        </is>
      </c>
      <c r="C79" t="n">
        <v>1</v>
      </c>
      <c r="D79" t="n">
        <v>3</v>
      </c>
      <c r="E79" t="n">
        <v>3</v>
      </c>
      <c r="F79" t="n">
        <v>0</v>
      </c>
      <c r="G79" t="n">
        <v>0</v>
      </c>
      <c r="H79" t="n">
        <v>11</v>
      </c>
      <c r="I79" t="n">
        <v>7</v>
      </c>
      <c r="J79" t="inlineStr">
        <is>
          <t>kavain</t>
        </is>
      </c>
    </row>
    <row r="80">
      <c r="A80" t="inlineStr">
        <is>
          <t>Kuding Tea</t>
        </is>
      </c>
      <c r="C80" t="n">
        <v>1</v>
      </c>
      <c r="D80" t="n">
        <v>3</v>
      </c>
      <c r="E80" t="n">
        <v>3</v>
      </c>
      <c r="F80" t="n">
        <v>0</v>
      </c>
      <c r="G80" t="n">
        <v>0</v>
      </c>
      <c r="H80" t="n">
        <v>11</v>
      </c>
      <c r="I80" t="n">
        <v>7</v>
      </c>
      <c r="J80" t="inlineStr">
        <is>
          <t>kudinlactone</t>
        </is>
      </c>
    </row>
    <row r="81">
      <c r="A81" t="inlineStr">
        <is>
          <t>Kudzu</t>
        </is>
      </c>
      <c r="B81" t="inlineStr">
        <is>
          <t>General</t>
        </is>
      </c>
      <c r="C81" t="n">
        <v>1</v>
      </c>
      <c r="D81" t="n">
        <v>3</v>
      </c>
      <c r="E81" t="n">
        <v>3</v>
      </c>
      <c r="F81" t="n">
        <v>0</v>
      </c>
      <c r="G81" t="n">
        <v>0</v>
      </c>
      <c r="H81" t="n">
        <v>11</v>
      </c>
      <c r="I81" t="n">
        <v>7</v>
      </c>
      <c r="J81" t="inlineStr">
        <is>
          <t>parthenolide</t>
        </is>
      </c>
    </row>
    <row r="82">
      <c r="A82" t="inlineStr">
        <is>
          <t>Lemon Verbena</t>
        </is>
      </c>
      <c r="B82" t="inlineStr">
        <is>
          <t>General</t>
        </is>
      </c>
      <c r="C82" t="n">
        <v>1</v>
      </c>
      <c r="D82" t="n">
        <v>3</v>
      </c>
      <c r="E82" t="n">
        <v>3</v>
      </c>
      <c r="F82" t="n">
        <v>0</v>
      </c>
      <c r="G82" t="n">
        <v>0</v>
      </c>
      <c r="H82" t="n">
        <v>11</v>
      </c>
      <c r="I82" t="n">
        <v>7</v>
      </c>
      <c r="J82" t="inlineStr">
        <is>
          <t>verbascoside</t>
        </is>
      </c>
    </row>
    <row r="83">
      <c r="A83" t="inlineStr">
        <is>
          <t>Lion's Mane</t>
        </is>
      </c>
      <c r="B83" t="inlineStr">
        <is>
          <t>General</t>
        </is>
      </c>
      <c r="C83" t="n">
        <v>1</v>
      </c>
      <c r="D83" t="n">
        <v>3</v>
      </c>
      <c r="E83" t="n">
        <v>3</v>
      </c>
      <c r="F83" t="n">
        <v>0</v>
      </c>
      <c r="G83" t="n">
        <v>0</v>
      </c>
      <c r="H83" t="n">
        <v>11</v>
      </c>
      <c r="I83" t="n">
        <v>7</v>
      </c>
      <c r="J83" t="inlineStr">
        <is>
          <t>hericenone c</t>
        </is>
      </c>
    </row>
    <row r="84">
      <c r="A84" t="inlineStr">
        <is>
          <t>Longan</t>
        </is>
      </c>
      <c r="B84" t="inlineStr">
        <is>
          <t>General</t>
        </is>
      </c>
      <c r="C84" t="n">
        <v>1</v>
      </c>
      <c r="D84" t="n">
        <v>3</v>
      </c>
      <c r="E84" t="n">
        <v>3</v>
      </c>
      <c r="F84" t="n">
        <v>0</v>
      </c>
      <c r="G84" t="n">
        <v>0</v>
      </c>
      <c r="H84" t="n">
        <v>11</v>
      </c>
      <c r="I84" t="n">
        <v>7</v>
      </c>
      <c r="J84" t="inlineStr">
        <is>
          <t>gallic acid</t>
        </is>
      </c>
    </row>
    <row r="85">
      <c r="A85" t="inlineStr">
        <is>
          <t>Luo Han Guo</t>
        </is>
      </c>
      <c r="B85" t="inlineStr">
        <is>
          <t>General</t>
        </is>
      </c>
      <c r="C85" t="n">
        <v>1</v>
      </c>
      <c r="D85" t="n">
        <v>3</v>
      </c>
      <c r="E85" t="n">
        <v>3</v>
      </c>
      <c r="F85" t="n">
        <v>0</v>
      </c>
      <c r="G85" t="n">
        <v>0</v>
      </c>
      <c r="H85" t="n">
        <v>11</v>
      </c>
      <c r="I85" t="n">
        <v>7</v>
      </c>
      <c r="J85" t="inlineStr">
        <is>
          <t>mogroside v</t>
        </is>
      </c>
    </row>
    <row r="86">
      <c r="A86" t="inlineStr">
        <is>
          <t>Maitake D-Fraction</t>
        </is>
      </c>
      <c r="B86" t="inlineStr">
        <is>
          <t>General</t>
        </is>
      </c>
      <c r="C86" t="n">
        <v>1</v>
      </c>
      <c r="D86" t="n">
        <v>3</v>
      </c>
      <c r="E86" t="n">
        <v>3</v>
      </c>
      <c r="F86" t="n">
        <v>0</v>
      </c>
      <c r="G86" t="n">
        <v>0</v>
      </c>
      <c r="H86" t="n">
        <v>11</v>
      </c>
      <c r="I86" t="n">
        <v>7</v>
      </c>
      <c r="J86" t="inlineStr">
        <is>
          <t>beta-glucans</t>
        </is>
      </c>
    </row>
    <row r="87">
      <c r="A87" t="inlineStr">
        <is>
          <t>Mangosteen</t>
        </is>
      </c>
      <c r="B87" t="inlineStr">
        <is>
          <t>General</t>
        </is>
      </c>
      <c r="C87" t="n">
        <v>1</v>
      </c>
      <c r="D87" t="n">
        <v>3</v>
      </c>
      <c r="E87" t="n">
        <v>3</v>
      </c>
      <c r="F87" t="n">
        <v>0</v>
      </c>
      <c r="G87" t="n">
        <v>0</v>
      </c>
      <c r="H87" t="n">
        <v>11</v>
      </c>
      <c r="I87" t="n">
        <v>7</v>
      </c>
      <c r="J87" t="inlineStr">
        <is>
          <t>alpha-mangostin</t>
        </is>
      </c>
    </row>
    <row r="88">
      <c r="A88" t="inlineStr">
        <is>
          <t>Maral Root</t>
        </is>
      </c>
      <c r="B88" t="inlineStr">
        <is>
          <t>Stress</t>
        </is>
      </c>
      <c r="C88" t="n">
        <v>1</v>
      </c>
      <c r="D88" t="n">
        <v>3</v>
      </c>
      <c r="E88" t="n">
        <v>3</v>
      </c>
      <c r="F88" t="n">
        <v>0</v>
      </c>
      <c r="G88" t="n">
        <v>0</v>
      </c>
      <c r="H88" t="n">
        <v>11</v>
      </c>
      <c r="I88" t="n">
        <v>7</v>
      </c>
      <c r="J88" t="inlineStr">
        <is>
          <t>ecdysterone</t>
        </is>
      </c>
    </row>
    <row r="89">
      <c r="A89" t="inlineStr">
        <is>
          <t>Milk Oats</t>
        </is>
      </c>
      <c r="B89" t="inlineStr">
        <is>
          <t>General</t>
        </is>
      </c>
      <c r="C89" t="n">
        <v>1</v>
      </c>
      <c r="D89" t="n">
        <v>3</v>
      </c>
      <c r="E89" t="n">
        <v>3</v>
      </c>
      <c r="F89" t="n">
        <v>0</v>
      </c>
      <c r="G89" t="n">
        <v>0</v>
      </c>
      <c r="H89" t="n">
        <v>11</v>
      </c>
      <c r="I89" t="n">
        <v>7</v>
      </c>
      <c r="J89" t="inlineStr">
        <is>
          <t>avenacosides</t>
        </is>
      </c>
    </row>
    <row r="90">
      <c r="A90" t="inlineStr">
        <is>
          <t>Moringa</t>
        </is>
      </c>
      <c r="C90" t="n">
        <v>1</v>
      </c>
      <c r="D90" t="n">
        <v>3</v>
      </c>
      <c r="E90" t="n">
        <v>3</v>
      </c>
      <c r="F90" t="n">
        <v>0</v>
      </c>
      <c r="G90" t="n">
        <v>0</v>
      </c>
      <c r="H90" t="n">
        <v>11</v>
      </c>
      <c r="I90" t="n">
        <v>7</v>
      </c>
      <c r="J90" t="inlineStr">
        <is>
          <t>moringin</t>
        </is>
      </c>
    </row>
    <row r="91">
      <c r="A91" t="inlineStr">
        <is>
          <t>Mugwort</t>
        </is>
      </c>
      <c r="B91" t="inlineStr">
        <is>
          <t>General</t>
        </is>
      </c>
      <c r="C91" t="n">
        <v>1</v>
      </c>
      <c r="D91" t="n">
        <v>3</v>
      </c>
      <c r="E91" t="n">
        <v>3</v>
      </c>
      <c r="F91" t="n">
        <v>0</v>
      </c>
      <c r="G91" t="n">
        <v>0</v>
      </c>
      <c r="H91" t="n">
        <v>11</v>
      </c>
      <c r="I91" t="n">
        <v>7</v>
      </c>
      <c r="J91" t="inlineStr">
        <is>
          <t>thujone</t>
        </is>
      </c>
    </row>
    <row r="92">
      <c r="A92" t="inlineStr">
        <is>
          <t>Mulberry Leaf</t>
        </is>
      </c>
      <c r="B92" t="inlineStr">
        <is>
          <t>General</t>
        </is>
      </c>
      <c r="C92" t="n">
        <v>1</v>
      </c>
      <c r="D92" t="n">
        <v>3</v>
      </c>
      <c r="E92" t="n">
        <v>3</v>
      </c>
      <c r="F92" t="n">
        <v>0</v>
      </c>
      <c r="G92" t="n">
        <v>0</v>
      </c>
      <c r="H92" t="n">
        <v>11</v>
      </c>
      <c r="I92" t="n">
        <v>7</v>
      </c>
      <c r="J92" t="inlineStr">
        <is>
          <t>1-deoxynojirimycin</t>
        </is>
      </c>
    </row>
    <row r="93">
      <c r="A93" t="inlineStr">
        <is>
          <t>Myrtle</t>
        </is>
      </c>
      <c r="B93" t="inlineStr">
        <is>
          <t>General</t>
        </is>
      </c>
      <c r="C93" t="n">
        <v>1</v>
      </c>
      <c r="D93" t="n">
        <v>3</v>
      </c>
      <c r="E93" t="n">
        <v>3</v>
      </c>
      <c r="F93" t="n">
        <v>0</v>
      </c>
      <c r="G93" t="n">
        <v>0</v>
      </c>
      <c r="H93" t="n">
        <v>11</v>
      </c>
      <c r="I93" t="n">
        <v>7</v>
      </c>
      <c r="J93" t="inlineStr">
        <is>
          <t>myrtenyl acetate</t>
        </is>
      </c>
    </row>
    <row r="94">
      <c r="A94" t="inlineStr">
        <is>
          <t>Neem</t>
        </is>
      </c>
      <c r="B94" t="inlineStr">
        <is>
          <t>General</t>
        </is>
      </c>
      <c r="C94" t="n">
        <v>1</v>
      </c>
      <c r="D94" t="n">
        <v>3</v>
      </c>
      <c r="E94" t="n">
        <v>3</v>
      </c>
      <c r="F94" t="n">
        <v>0</v>
      </c>
      <c r="G94" t="n">
        <v>0</v>
      </c>
      <c r="H94" t="n">
        <v>11</v>
      </c>
      <c r="I94" t="n">
        <v>7</v>
      </c>
      <c r="J94" t="inlineStr">
        <is>
          <t>nimbin</t>
        </is>
      </c>
    </row>
    <row r="95">
      <c r="A95" t="inlineStr">
        <is>
          <t>Noni</t>
        </is>
      </c>
      <c r="B95" t="inlineStr">
        <is>
          <t>General</t>
        </is>
      </c>
      <c r="C95" t="n">
        <v>1</v>
      </c>
      <c r="D95" t="n">
        <v>3</v>
      </c>
      <c r="E95" t="n">
        <v>3</v>
      </c>
      <c r="F95" t="n">
        <v>0</v>
      </c>
      <c r="G95" t="n">
        <v>0</v>
      </c>
      <c r="H95" t="n">
        <v>11</v>
      </c>
      <c r="I95" t="n">
        <v>7</v>
      </c>
      <c r="J95" t="inlineStr">
        <is>
          <t>damnacanthal</t>
        </is>
      </c>
    </row>
    <row r="96">
      <c r="A96" t="inlineStr">
        <is>
          <t>Notoginseng</t>
        </is>
      </c>
      <c r="B96" t="inlineStr">
        <is>
          <t>Recovery</t>
        </is>
      </c>
      <c r="C96" t="n">
        <v>1</v>
      </c>
      <c r="D96" t="n">
        <v>3</v>
      </c>
      <c r="E96" t="n">
        <v>3</v>
      </c>
      <c r="F96" t="n">
        <v>0</v>
      </c>
      <c r="G96" t="n">
        <v>0</v>
      </c>
      <c r="H96" t="n">
        <v>11</v>
      </c>
      <c r="I96" t="n">
        <v>7</v>
      </c>
      <c r="J96" t="inlineStr">
        <is>
          <t>notoginsenoside r1</t>
        </is>
      </c>
    </row>
    <row r="97">
      <c r="A97" t="inlineStr">
        <is>
          <t>Oatstraw</t>
        </is>
      </c>
      <c r="B97" t="inlineStr">
        <is>
          <t>General</t>
        </is>
      </c>
      <c r="C97" t="n">
        <v>1</v>
      </c>
      <c r="D97" t="n">
        <v>3</v>
      </c>
      <c r="E97" t="n">
        <v>3</v>
      </c>
      <c r="F97" t="n">
        <v>0</v>
      </c>
      <c r="G97" t="n">
        <v>0</v>
      </c>
      <c r="H97" t="n">
        <v>11</v>
      </c>
      <c r="I97" t="n">
        <v>7</v>
      </c>
      <c r="J97" t="inlineStr">
        <is>
          <t>avenanthramides</t>
        </is>
      </c>
    </row>
    <row r="98">
      <c r="A98" t="inlineStr">
        <is>
          <t>Ophiopogon</t>
        </is>
      </c>
      <c r="B98" t="inlineStr">
        <is>
          <t>General</t>
        </is>
      </c>
      <c r="C98" t="n">
        <v>1</v>
      </c>
      <c r="D98" t="n">
        <v>3</v>
      </c>
      <c r="E98" t="n">
        <v>3</v>
      </c>
      <c r="F98" t="n">
        <v>0</v>
      </c>
      <c r="G98" t="n">
        <v>0</v>
      </c>
      <c r="H98" t="n">
        <v>11</v>
      </c>
      <c r="I98" t="n">
        <v>7</v>
      </c>
      <c r="J98" t="inlineStr">
        <is>
          <t>ophiopogonin d</t>
        </is>
      </c>
    </row>
    <row r="99">
      <c r="A99" t="inlineStr">
        <is>
          <t>Passionflower</t>
        </is>
      </c>
      <c r="B99" t="inlineStr">
        <is>
          <t>General</t>
        </is>
      </c>
      <c r="C99" t="n">
        <v>1</v>
      </c>
      <c r="D99" t="n">
        <v>3</v>
      </c>
      <c r="E99" t="n">
        <v>3</v>
      </c>
      <c r="F99" t="n">
        <v>0</v>
      </c>
      <c r="G99" t="n">
        <v>0</v>
      </c>
      <c r="H99" t="n">
        <v>11</v>
      </c>
      <c r="I99" t="n">
        <v>7</v>
      </c>
      <c r="J99" t="inlineStr">
        <is>
          <t>chrysin</t>
        </is>
      </c>
    </row>
    <row r="100">
      <c r="A100" t="inlineStr">
        <is>
          <t>Pau d'Arco</t>
        </is>
      </c>
      <c r="B100" t="inlineStr">
        <is>
          <t>General</t>
        </is>
      </c>
      <c r="C100" t="n">
        <v>1</v>
      </c>
      <c r="D100" t="n">
        <v>3</v>
      </c>
      <c r="E100" t="n">
        <v>3</v>
      </c>
      <c r="F100" t="n">
        <v>0</v>
      </c>
      <c r="G100" t="n">
        <v>0</v>
      </c>
      <c r="H100" t="n">
        <v>11</v>
      </c>
      <c r="I100" t="n">
        <v>7</v>
      </c>
      <c r="J100" t="inlineStr">
        <is>
          <t>lapachol</t>
        </is>
      </c>
    </row>
    <row r="101">
      <c r="A101" t="inlineStr">
        <is>
          <t>Perilla</t>
        </is>
      </c>
      <c r="B101" t="inlineStr">
        <is>
          <t>General</t>
        </is>
      </c>
      <c r="C101" t="n">
        <v>1</v>
      </c>
      <c r="D101" t="n">
        <v>3</v>
      </c>
      <c r="E101" t="n">
        <v>3</v>
      </c>
      <c r="F101" t="n">
        <v>0</v>
      </c>
      <c r="G101" t="n">
        <v>0</v>
      </c>
      <c r="H101" t="n">
        <v>11</v>
      </c>
      <c r="I101" t="n">
        <v>7</v>
      </c>
      <c r="J101" t="inlineStr">
        <is>
          <t>perillaldehyde</t>
        </is>
      </c>
    </row>
    <row r="102">
      <c r="A102" t="inlineStr">
        <is>
          <t>Polygala</t>
        </is>
      </c>
      <c r="C102" t="n">
        <v>1</v>
      </c>
      <c r="D102" t="n">
        <v>3</v>
      </c>
      <c r="E102" t="n">
        <v>3</v>
      </c>
      <c r="F102" t="n">
        <v>0</v>
      </c>
      <c r="G102" t="n">
        <v>0</v>
      </c>
      <c r="H102" t="n">
        <v>11</v>
      </c>
      <c r="I102" t="n">
        <v>7</v>
      </c>
      <c r="J102" t="inlineStr">
        <is>
          <t>tenuifolin</t>
        </is>
      </c>
    </row>
    <row r="103">
      <c r="A103" t="inlineStr">
        <is>
          <t>Pomegranate</t>
        </is>
      </c>
      <c r="B103" t="inlineStr">
        <is>
          <t>General</t>
        </is>
      </c>
      <c r="C103" t="n">
        <v>1</v>
      </c>
      <c r="D103" t="n">
        <v>3</v>
      </c>
      <c r="E103" t="n">
        <v>3</v>
      </c>
      <c r="F103" t="n">
        <v>0</v>
      </c>
      <c r="G103" t="n">
        <v>0</v>
      </c>
      <c r="H103" t="n">
        <v>11</v>
      </c>
      <c r="I103" t="n">
        <v>7</v>
      </c>
      <c r="J103" t="inlineStr">
        <is>
          <t>punicalagins</t>
        </is>
      </c>
    </row>
    <row r="104">
      <c r="A104" t="inlineStr">
        <is>
          <t>Poria</t>
        </is>
      </c>
      <c r="B104" t="inlineStr">
        <is>
          <t>General</t>
        </is>
      </c>
      <c r="C104" t="n">
        <v>1</v>
      </c>
      <c r="D104" t="n">
        <v>3</v>
      </c>
      <c r="E104" t="n">
        <v>3</v>
      </c>
      <c r="F104" t="n">
        <v>0</v>
      </c>
      <c r="G104" t="n">
        <v>0</v>
      </c>
      <c r="H104" t="n">
        <v>11</v>
      </c>
      <c r="I104" t="n">
        <v>7</v>
      </c>
      <c r="J104" t="inlineStr">
        <is>
          <t>pachymic acid</t>
        </is>
      </c>
    </row>
    <row r="105">
      <c r="A105" t="inlineStr">
        <is>
          <t>Red Clover</t>
        </is>
      </c>
      <c r="B105" t="inlineStr">
        <is>
          <t>General</t>
        </is>
      </c>
      <c r="C105" t="n">
        <v>1</v>
      </c>
      <c r="D105" t="n">
        <v>3</v>
      </c>
      <c r="E105" t="n">
        <v>3</v>
      </c>
      <c r="F105" t="n">
        <v>0</v>
      </c>
      <c r="G105" t="n">
        <v>0</v>
      </c>
      <c r="H105" t="n">
        <v>11</v>
      </c>
      <c r="I105" t="n">
        <v>7</v>
      </c>
      <c r="J105" t="inlineStr">
        <is>
          <t>genistein</t>
        </is>
      </c>
    </row>
    <row r="106">
      <c r="A106" t="inlineStr">
        <is>
          <t>Reishi</t>
        </is>
      </c>
      <c r="B106" t="inlineStr">
        <is>
          <t>General</t>
        </is>
      </c>
      <c r="C106" t="n">
        <v>1</v>
      </c>
      <c r="D106" t="n">
        <v>3</v>
      </c>
      <c r="E106" t="n">
        <v>3</v>
      </c>
      <c r="F106" t="n">
        <v>0</v>
      </c>
      <c r="G106" t="n">
        <v>0</v>
      </c>
      <c r="H106" t="n">
        <v>11</v>
      </c>
      <c r="I106" t="n">
        <v>7</v>
      </c>
      <c r="J106" t="inlineStr">
        <is>
          <t>beta-glucans</t>
        </is>
      </c>
    </row>
    <row r="107">
      <c r="A107" t="inlineStr">
        <is>
          <t>Rose Hips</t>
        </is>
      </c>
      <c r="B107" t="inlineStr">
        <is>
          <t>General</t>
        </is>
      </c>
      <c r="C107" t="n">
        <v>1</v>
      </c>
      <c r="D107" t="n">
        <v>3</v>
      </c>
      <c r="E107" t="n">
        <v>3</v>
      </c>
      <c r="F107" t="n">
        <v>0</v>
      </c>
      <c r="G107" t="n">
        <v>0</v>
      </c>
      <c r="H107" t="n">
        <v>11</v>
      </c>
      <c r="I107" t="n">
        <v>7</v>
      </c>
      <c r="J107" t="inlineStr">
        <is>
          <t>trans-tiliroside</t>
        </is>
      </c>
    </row>
    <row r="108">
      <c r="A108" t="inlineStr">
        <is>
          <t>Roselle Seed</t>
        </is>
      </c>
      <c r="B108" t="inlineStr">
        <is>
          <t>Stress</t>
        </is>
      </c>
      <c r="C108" t="n">
        <v>1</v>
      </c>
      <c r="D108" t="n">
        <v>3</v>
      </c>
      <c r="E108" t="n">
        <v>3</v>
      </c>
      <c r="F108" t="n">
        <v>0</v>
      </c>
      <c r="G108" t="n">
        <v>0</v>
      </c>
      <c r="H108" t="n">
        <v>11</v>
      </c>
      <c r="I108" t="n">
        <v>7</v>
      </c>
      <c r="J108" t="inlineStr">
        <is>
          <t>tocopherols</t>
        </is>
      </c>
    </row>
    <row r="109">
      <c r="A109" t="inlineStr">
        <is>
          <t>Rosemary</t>
        </is>
      </c>
      <c r="B109" t="inlineStr">
        <is>
          <t>General</t>
        </is>
      </c>
      <c r="C109" t="n">
        <v>1</v>
      </c>
      <c r="D109" t="n">
        <v>3</v>
      </c>
      <c r="E109" t="n">
        <v>3</v>
      </c>
      <c r="F109" t="n">
        <v>0</v>
      </c>
      <c r="G109" t="n">
        <v>0</v>
      </c>
      <c r="H109" t="n">
        <v>11</v>
      </c>
      <c r="I109" t="n">
        <v>7</v>
      </c>
      <c r="J109" t="inlineStr">
        <is>
          <t>thymol</t>
        </is>
      </c>
    </row>
    <row r="110">
      <c r="A110" t="inlineStr">
        <is>
          <t>Schisandra Berry</t>
        </is>
      </c>
      <c r="B110" t="inlineStr">
        <is>
          <t>Stress</t>
        </is>
      </c>
      <c r="C110" t="n">
        <v>1</v>
      </c>
      <c r="D110" t="n">
        <v>3</v>
      </c>
      <c r="E110" t="n">
        <v>3</v>
      </c>
      <c r="F110" t="n">
        <v>0</v>
      </c>
      <c r="G110" t="n">
        <v>0</v>
      </c>
      <c r="H110" t="n">
        <v>11</v>
      </c>
      <c r="I110" t="n">
        <v>7</v>
      </c>
      <c r="J110" t="inlineStr">
        <is>
          <t>gomisin a</t>
        </is>
      </c>
    </row>
    <row r="111">
      <c r="A111" t="inlineStr">
        <is>
          <t>Shankhpushpi</t>
        </is>
      </c>
      <c r="C111" t="n">
        <v>1</v>
      </c>
      <c r="D111" t="n">
        <v>3</v>
      </c>
      <c r="E111" t="n">
        <v>3</v>
      </c>
      <c r="F111" t="n">
        <v>0</v>
      </c>
      <c r="G111" t="n">
        <v>0</v>
      </c>
      <c r="H111" t="n">
        <v>11</v>
      </c>
      <c r="I111" t="n">
        <v>7</v>
      </c>
      <c r="J111" t="inlineStr">
        <is>
          <t>convolvine</t>
        </is>
      </c>
    </row>
    <row r="112">
      <c r="A112" t="inlineStr">
        <is>
          <t>Sophora Flavescens</t>
        </is>
      </c>
      <c r="B112" t="inlineStr">
        <is>
          <t>General</t>
        </is>
      </c>
      <c r="C112" t="n">
        <v>1</v>
      </c>
      <c r="D112" t="n">
        <v>3</v>
      </c>
      <c r="E112" t="n">
        <v>3</v>
      </c>
      <c r="F112" t="n">
        <v>0</v>
      </c>
      <c r="G112" t="n">
        <v>0</v>
      </c>
      <c r="H112" t="n">
        <v>11</v>
      </c>
      <c r="I112" t="n">
        <v>7</v>
      </c>
      <c r="J112" t="inlineStr">
        <is>
          <t>matrine</t>
        </is>
      </c>
    </row>
    <row r="113">
      <c r="A113" t="inlineStr">
        <is>
          <t>Soursop</t>
        </is>
      </c>
      <c r="B113" t="inlineStr">
        <is>
          <t>General</t>
        </is>
      </c>
      <c r="C113" t="n">
        <v>1</v>
      </c>
      <c r="D113" t="n">
        <v>3</v>
      </c>
      <c r="E113" t="n">
        <v>3</v>
      </c>
      <c r="F113" t="n">
        <v>0</v>
      </c>
      <c r="G113" t="n">
        <v>0</v>
      </c>
      <c r="H113" t="n">
        <v>11</v>
      </c>
      <c r="I113" t="n">
        <v>7</v>
      </c>
      <c r="J113" t="inlineStr">
        <is>
          <t>annonacin</t>
        </is>
      </c>
    </row>
    <row r="114">
      <c r="A114" t="inlineStr">
        <is>
          <t>Suma</t>
        </is>
      </c>
      <c r="B114" t="inlineStr">
        <is>
          <t>Stress</t>
        </is>
      </c>
      <c r="C114" t="n">
        <v>1</v>
      </c>
      <c r="D114" t="n">
        <v>3</v>
      </c>
      <c r="E114" t="n">
        <v>3</v>
      </c>
      <c r="F114" t="n">
        <v>0</v>
      </c>
      <c r="G114" t="n">
        <v>0</v>
      </c>
      <c r="H114" t="n">
        <v>11</v>
      </c>
      <c r="I114" t="n">
        <v>7</v>
      </c>
      <c r="J114" t="inlineStr">
        <is>
          <t>pfaffic acid</t>
        </is>
      </c>
    </row>
    <row r="115">
      <c r="A115" t="inlineStr">
        <is>
          <t>Tamarind</t>
        </is>
      </c>
      <c r="B115" t="inlineStr">
        <is>
          <t>General</t>
        </is>
      </c>
      <c r="C115" t="n">
        <v>1</v>
      </c>
      <c r="D115" t="n">
        <v>3</v>
      </c>
      <c r="E115" t="n">
        <v>3</v>
      </c>
      <c r="F115" t="n">
        <v>0</v>
      </c>
      <c r="G115" t="n">
        <v>0</v>
      </c>
      <c r="H115" t="n">
        <v>11</v>
      </c>
      <c r="I115" t="n">
        <v>7</v>
      </c>
      <c r="J115" t="inlineStr">
        <is>
          <t>tartaric acid</t>
        </is>
      </c>
    </row>
    <row r="116">
      <c r="A116" t="inlineStr">
        <is>
          <t>Thyme</t>
        </is>
      </c>
      <c r="B116" t="inlineStr">
        <is>
          <t>General</t>
        </is>
      </c>
      <c r="C116" t="n">
        <v>1</v>
      </c>
      <c r="D116" t="n">
        <v>3</v>
      </c>
      <c r="E116" t="n">
        <v>3</v>
      </c>
      <c r="F116" t="n">
        <v>0</v>
      </c>
      <c r="G116" t="n">
        <v>0</v>
      </c>
      <c r="H116" t="n">
        <v>11</v>
      </c>
      <c r="I116" t="n">
        <v>7</v>
      </c>
      <c r="J116" t="inlineStr">
        <is>
          <t>eucalyptol</t>
        </is>
      </c>
    </row>
    <row r="117">
      <c r="A117" t="inlineStr">
        <is>
          <t>Turkey Tail</t>
        </is>
      </c>
      <c r="B117" t="inlineStr">
        <is>
          <t>General</t>
        </is>
      </c>
      <c r="C117" t="n">
        <v>1</v>
      </c>
      <c r="D117" t="n">
        <v>3</v>
      </c>
      <c r="E117" t="n">
        <v>3</v>
      </c>
      <c r="F117" t="n">
        <v>0</v>
      </c>
      <c r="G117" t="n">
        <v>0</v>
      </c>
      <c r="H117" t="n">
        <v>11</v>
      </c>
      <c r="I117" t="n">
        <v>7</v>
      </c>
      <c r="J117" t="inlineStr">
        <is>
          <t>psk</t>
        </is>
      </c>
    </row>
    <row r="118">
      <c r="A118" t="inlineStr">
        <is>
          <t>Valerian</t>
        </is>
      </c>
      <c r="B118" t="inlineStr">
        <is>
          <t>General</t>
        </is>
      </c>
      <c r="C118" t="n">
        <v>1</v>
      </c>
      <c r="D118" t="n">
        <v>3</v>
      </c>
      <c r="E118" t="n">
        <v>3</v>
      </c>
      <c r="F118" t="n">
        <v>0</v>
      </c>
      <c r="G118" t="n">
        <v>0</v>
      </c>
      <c r="H118" t="n">
        <v>11</v>
      </c>
      <c r="I118" t="n">
        <v>7</v>
      </c>
      <c r="J118" t="inlineStr">
        <is>
          <t>valerenic acid</t>
        </is>
      </c>
    </row>
    <row r="119">
      <c r="A119" t="inlineStr">
        <is>
          <t>White Peony</t>
        </is>
      </c>
      <c r="B119" t="inlineStr">
        <is>
          <t>General</t>
        </is>
      </c>
      <c r="C119" t="n">
        <v>1</v>
      </c>
      <c r="D119" t="n">
        <v>3</v>
      </c>
      <c r="E119" t="n">
        <v>3</v>
      </c>
      <c r="F119" t="n">
        <v>0</v>
      </c>
      <c r="G119" t="n">
        <v>0</v>
      </c>
      <c r="H119" t="n">
        <v>11</v>
      </c>
      <c r="I119" t="n">
        <v>7</v>
      </c>
      <c r="J119" t="inlineStr">
        <is>
          <t>paeoniflorin</t>
        </is>
      </c>
    </row>
    <row r="120">
      <c r="A120" t="inlineStr">
        <is>
          <t>Yarrow</t>
        </is>
      </c>
      <c r="B120" t="inlineStr">
        <is>
          <t>General</t>
        </is>
      </c>
      <c r="C120" t="n">
        <v>1</v>
      </c>
      <c r="D120" t="n">
        <v>3</v>
      </c>
      <c r="E120" t="n">
        <v>3</v>
      </c>
      <c r="F120" t="n">
        <v>0</v>
      </c>
      <c r="G120" t="n">
        <v>0</v>
      </c>
      <c r="H120" t="n">
        <v>11</v>
      </c>
      <c r="I120" t="n">
        <v>7</v>
      </c>
      <c r="J120" t="inlineStr">
        <is>
          <t>petasin</t>
        </is>
      </c>
    </row>
    <row r="121">
      <c r="A121" t="inlineStr">
        <is>
          <t>Acerola</t>
        </is>
      </c>
      <c r="B121" t="inlineStr">
        <is>
          <t>General</t>
        </is>
      </c>
      <c r="C121" t="n">
        <v>1</v>
      </c>
      <c r="D121" t="n">
        <v>0</v>
      </c>
      <c r="E121" t="n">
        <v>0</v>
      </c>
      <c r="F121" t="n">
        <v>0</v>
      </c>
      <c r="G121" t="n">
        <v>0</v>
      </c>
      <c r="H121" t="n">
        <v>0</v>
      </c>
      <c r="I121" t="n">
        <v>0</v>
      </c>
    </row>
    <row r="122">
      <c r="A122" t="inlineStr">
        <is>
          <t>Aloe Vera</t>
        </is>
      </c>
      <c r="B122" t="inlineStr">
        <is>
          <t>General</t>
        </is>
      </c>
      <c r="C122" t="n">
        <v>0</v>
      </c>
      <c r="D122" t="n">
        <v>0</v>
      </c>
      <c r="E122" t="n">
        <v>0</v>
      </c>
      <c r="F122" t="n">
        <v>0</v>
      </c>
      <c r="G122" t="n">
        <v>0</v>
      </c>
      <c r="H122" t="n">
        <v>0</v>
      </c>
      <c r="I122" t="n">
        <v>0</v>
      </c>
    </row>
    <row r="123">
      <c r="A123" t="inlineStr">
        <is>
          <t>American Ginseng</t>
        </is>
      </c>
      <c r="B123" t="inlineStr">
        <is>
          <t>General</t>
        </is>
      </c>
      <c r="C123" t="n">
        <v>0</v>
      </c>
      <c r="D123" t="n">
        <v>0</v>
      </c>
      <c r="E123" t="n">
        <v>0</v>
      </c>
      <c r="F123" t="n">
        <v>0</v>
      </c>
      <c r="G123" t="n">
        <v>0</v>
      </c>
      <c r="H123" t="n">
        <v>0</v>
      </c>
      <c r="I123" t="n">
        <v>0</v>
      </c>
    </row>
    <row r="124">
      <c r="A124" t="inlineStr">
        <is>
          <t>American Yellow Lotus</t>
        </is>
      </c>
      <c r="B124" t="inlineStr">
        <is>
          <t>General</t>
        </is>
      </c>
      <c r="C124" t="n">
        <v>0</v>
      </c>
      <c r="D124" t="n">
        <v>0</v>
      </c>
      <c r="E124" t="n">
        <v>0</v>
      </c>
      <c r="F124" t="n">
        <v>0</v>
      </c>
      <c r="G124" t="n">
        <v>0</v>
      </c>
      <c r="H124" t="n">
        <v>0</v>
      </c>
      <c r="I124" t="n">
        <v>0</v>
      </c>
    </row>
    <row r="125">
      <c r="A125" t="inlineStr">
        <is>
          <t>Anise Hyssop</t>
        </is>
      </c>
      <c r="B125" t="inlineStr">
        <is>
          <t>General</t>
        </is>
      </c>
      <c r="C125" t="n">
        <v>0</v>
      </c>
      <c r="D125" t="n">
        <v>0</v>
      </c>
      <c r="E125" t="n">
        <v>0</v>
      </c>
      <c r="F125" t="n">
        <v>0</v>
      </c>
      <c r="G125" t="n">
        <v>0</v>
      </c>
      <c r="H125" t="n">
        <v>0</v>
      </c>
      <c r="I125" t="n">
        <v>0</v>
      </c>
    </row>
    <row r="126">
      <c r="A126" t="inlineStr">
        <is>
          <t>Artemisia Annua</t>
        </is>
      </c>
      <c r="B126" t="inlineStr">
        <is>
          <t>Stress</t>
        </is>
      </c>
      <c r="C126" t="n">
        <v>0</v>
      </c>
      <c r="D126" t="n">
        <v>0</v>
      </c>
      <c r="E126" t="n">
        <v>0</v>
      </c>
      <c r="F126" t="n">
        <v>0</v>
      </c>
      <c r="G126" t="n">
        <v>0</v>
      </c>
      <c r="H126" t="n">
        <v>0</v>
      </c>
      <c r="I126" t="n">
        <v>0</v>
      </c>
    </row>
    <row r="127">
      <c r="A127" t="inlineStr">
        <is>
          <t>Bael</t>
        </is>
      </c>
      <c r="B127" t="inlineStr">
        <is>
          <t>General</t>
        </is>
      </c>
      <c r="C127" t="n">
        <v>0</v>
      </c>
      <c r="D127" t="n">
        <v>0</v>
      </c>
      <c r="E127" t="n">
        <v>0</v>
      </c>
      <c r="F127" t="n">
        <v>0</v>
      </c>
      <c r="G127" t="n">
        <v>0</v>
      </c>
      <c r="H127" t="n">
        <v>0</v>
      </c>
      <c r="I127" t="n">
        <v>0</v>
      </c>
    </row>
    <row r="128">
      <c r="A128" t="inlineStr">
        <is>
          <t>Berberis</t>
        </is>
      </c>
      <c r="C128" t="n">
        <v>0</v>
      </c>
      <c r="D128" t="n">
        <v>0</v>
      </c>
      <c r="E128" t="n">
        <v>0</v>
      </c>
      <c r="F128" t="n">
        <v>0</v>
      </c>
      <c r="G128" t="n">
        <v>0</v>
      </c>
      <c r="H128" t="n">
        <v>0</v>
      </c>
      <c r="I128" t="n">
        <v>0</v>
      </c>
    </row>
    <row r="129">
      <c r="A129" t="inlineStr">
        <is>
          <t>Bitter Melon</t>
        </is>
      </c>
      <c r="C129" t="n">
        <v>0</v>
      </c>
      <c r="D129" t="n">
        <v>0</v>
      </c>
      <c r="E129" t="n">
        <v>0</v>
      </c>
      <c r="F129" t="n">
        <v>0</v>
      </c>
      <c r="G129" t="n">
        <v>0</v>
      </c>
      <c r="H129" t="n">
        <v>0</v>
      </c>
      <c r="I129" t="n">
        <v>0</v>
      </c>
    </row>
    <row r="130">
      <c r="A130" t="inlineStr">
        <is>
          <t>Cacao</t>
        </is>
      </c>
      <c r="B130" t="inlineStr">
        <is>
          <t>General</t>
        </is>
      </c>
      <c r="C130" t="n">
        <v>0</v>
      </c>
      <c r="D130" t="n">
        <v>0</v>
      </c>
      <c r="E130" t="n">
        <v>0</v>
      </c>
      <c r="F130" t="n">
        <v>0</v>
      </c>
      <c r="G130" t="n">
        <v>0</v>
      </c>
      <c r="H130" t="n">
        <v>0</v>
      </c>
      <c r="I130" t="n">
        <v>0</v>
      </c>
    </row>
    <row r="131">
      <c r="A131" t="inlineStr">
        <is>
          <t>Calamus</t>
        </is>
      </c>
      <c r="B131" t="inlineStr">
        <is>
          <t>General</t>
        </is>
      </c>
      <c r="C131" t="n">
        <v>0</v>
      </c>
      <c r="D131" t="n">
        <v>0</v>
      </c>
      <c r="E131" t="n">
        <v>0</v>
      </c>
      <c r="F131" t="n">
        <v>0</v>
      </c>
      <c r="G131" t="n">
        <v>0</v>
      </c>
      <c r="H131" t="n">
        <v>0</v>
      </c>
      <c r="I131" t="n">
        <v>0</v>
      </c>
    </row>
    <row r="132">
      <c r="A132" t="inlineStr">
        <is>
          <t>Cassia Alata</t>
        </is>
      </c>
      <c r="B132" t="inlineStr">
        <is>
          <t>General</t>
        </is>
      </c>
      <c r="C132" t="n">
        <v>0</v>
      </c>
      <c r="D132" t="n">
        <v>0</v>
      </c>
      <c r="E132" t="n">
        <v>0</v>
      </c>
      <c r="F132" t="n">
        <v>0</v>
      </c>
      <c r="G132" t="n">
        <v>0</v>
      </c>
      <c r="H132" t="n">
        <v>0</v>
      </c>
      <c r="I132" t="n">
        <v>0</v>
      </c>
    </row>
    <row r="133">
      <c r="A133" t="inlineStr">
        <is>
          <t>Cat's Claw</t>
        </is>
      </c>
      <c r="B133" t="inlineStr">
        <is>
          <t>General</t>
        </is>
      </c>
      <c r="C133" t="n">
        <v>0</v>
      </c>
      <c r="D133" t="n">
        <v>0</v>
      </c>
      <c r="E133" t="n">
        <v>0</v>
      </c>
      <c r="F133" t="n">
        <v>0</v>
      </c>
      <c r="G133" t="n">
        <v>0</v>
      </c>
      <c r="H133" t="n">
        <v>0</v>
      </c>
      <c r="I133" t="n">
        <v>0</v>
      </c>
    </row>
    <row r="134">
      <c r="A134" t="inlineStr">
        <is>
          <t>Catuba</t>
        </is>
      </c>
      <c r="B134" t="inlineStr">
        <is>
          <t>General</t>
        </is>
      </c>
      <c r="C134" t="n">
        <v>1</v>
      </c>
      <c r="D134" t="n">
        <v>0</v>
      </c>
      <c r="E134" t="n">
        <v>0</v>
      </c>
      <c r="F134" t="n">
        <v>0</v>
      </c>
      <c r="G134" t="n">
        <v>0</v>
      </c>
      <c r="H134" t="n">
        <v>0</v>
      </c>
      <c r="I134" t="n">
        <v>0</v>
      </c>
    </row>
    <row r="135">
      <c r="A135" t="inlineStr">
        <is>
          <t>Cayenne</t>
        </is>
      </c>
      <c r="B135" t="inlineStr">
        <is>
          <t>General</t>
        </is>
      </c>
      <c r="C135" t="n">
        <v>0</v>
      </c>
      <c r="D135" t="n">
        <v>0</v>
      </c>
      <c r="E135" t="n">
        <v>0</v>
      </c>
      <c r="F135" t="n">
        <v>0</v>
      </c>
      <c r="G135" t="n">
        <v>0</v>
      </c>
      <c r="H135" t="n">
        <v>0</v>
      </c>
      <c r="I135" t="n">
        <v>0</v>
      </c>
    </row>
    <row r="136">
      <c r="A136" t="inlineStr">
        <is>
          <t>Chaga</t>
        </is>
      </c>
      <c r="B136" t="inlineStr">
        <is>
          <t>General</t>
        </is>
      </c>
      <c r="C136" t="n">
        <v>0</v>
      </c>
      <c r="D136" t="n">
        <v>0</v>
      </c>
      <c r="E136" t="n">
        <v>0</v>
      </c>
      <c r="F136" t="n">
        <v>0</v>
      </c>
      <c r="G136" t="n">
        <v>0</v>
      </c>
      <c r="H136" t="n">
        <v>0</v>
      </c>
      <c r="I136" t="n">
        <v>0</v>
      </c>
    </row>
    <row r="137">
      <c r="A137" t="inlineStr">
        <is>
          <t>Chuanxiong</t>
        </is>
      </c>
      <c r="B137" t="inlineStr">
        <is>
          <t>General</t>
        </is>
      </c>
      <c r="C137" t="n">
        <v>0</v>
      </c>
      <c r="D137" t="n">
        <v>0</v>
      </c>
      <c r="E137" t="n">
        <v>0</v>
      </c>
      <c r="F137" t="n">
        <v>0</v>
      </c>
      <c r="G137" t="n">
        <v>0</v>
      </c>
      <c r="H137" t="n">
        <v>0</v>
      </c>
      <c r="I137" t="n">
        <v>0</v>
      </c>
    </row>
    <row r="138">
      <c r="A138" t="inlineStr">
        <is>
          <t>Coffee Cherry</t>
        </is>
      </c>
      <c r="B138" t="inlineStr">
        <is>
          <t>General</t>
        </is>
      </c>
      <c r="C138" t="n">
        <v>0</v>
      </c>
      <c r="D138" t="n">
        <v>0</v>
      </c>
      <c r="E138" t="n">
        <v>0</v>
      </c>
      <c r="F138" t="n">
        <v>0</v>
      </c>
      <c r="G138" t="n">
        <v>0</v>
      </c>
      <c r="H138" t="n">
        <v>0</v>
      </c>
      <c r="I138" t="n">
        <v>0</v>
      </c>
    </row>
    <row r="139">
      <c r="A139" t="inlineStr">
        <is>
          <t>Coleus Forskohlii</t>
        </is>
      </c>
      <c r="C139" t="n">
        <v>0</v>
      </c>
      <c r="D139" t="n">
        <v>0</v>
      </c>
      <c r="E139" t="n">
        <v>0</v>
      </c>
      <c r="F139" t="n">
        <v>0</v>
      </c>
      <c r="G139" t="n">
        <v>0</v>
      </c>
      <c r="H139" t="n">
        <v>0</v>
      </c>
      <c r="I139" t="n">
        <v>0</v>
      </c>
    </row>
    <row r="140">
      <c r="A140" t="inlineStr">
        <is>
          <t>Coptis</t>
        </is>
      </c>
      <c r="B140" t="inlineStr">
        <is>
          <t>General</t>
        </is>
      </c>
      <c r="C140" t="n">
        <v>0</v>
      </c>
      <c r="D140" t="n">
        <v>0</v>
      </c>
      <c r="E140" t="n">
        <v>0</v>
      </c>
      <c r="F140" t="n">
        <v>0</v>
      </c>
      <c r="G140" t="n">
        <v>0</v>
      </c>
      <c r="H140" t="n">
        <v>0</v>
      </c>
      <c r="I140" t="n">
        <v>0</v>
      </c>
    </row>
    <row r="141">
      <c r="A141" t="inlineStr">
        <is>
          <t>Corydalis</t>
        </is>
      </c>
      <c r="C141" t="n">
        <v>2</v>
      </c>
      <c r="D141" t="n">
        <v>0</v>
      </c>
      <c r="E141" t="n">
        <v>0</v>
      </c>
      <c r="F141" t="n">
        <v>0</v>
      </c>
      <c r="G141" t="n">
        <v>0</v>
      </c>
      <c r="H141" t="n">
        <v>0</v>
      </c>
      <c r="I141" t="n">
        <v>0</v>
      </c>
    </row>
    <row r="142">
      <c r="A142" t="inlineStr">
        <is>
          <t>Echinacea Purpurea</t>
        </is>
      </c>
      <c r="B142" t="inlineStr">
        <is>
          <t>General</t>
        </is>
      </c>
      <c r="C142" t="n">
        <v>1</v>
      </c>
      <c r="D142" t="n">
        <v>0</v>
      </c>
      <c r="E142" t="n">
        <v>0</v>
      </c>
      <c r="F142" t="n">
        <v>0</v>
      </c>
      <c r="G142" t="n">
        <v>0</v>
      </c>
      <c r="H142" t="n">
        <v>0</v>
      </c>
      <c r="I142" t="n">
        <v>0</v>
      </c>
    </row>
    <row r="143">
      <c r="A143" t="inlineStr">
        <is>
          <t>Elderberry</t>
        </is>
      </c>
      <c r="B143" t="inlineStr">
        <is>
          <t>General</t>
        </is>
      </c>
      <c r="C143" t="n">
        <v>0</v>
      </c>
      <c r="D143" t="n">
        <v>0</v>
      </c>
      <c r="E143" t="n">
        <v>0</v>
      </c>
      <c r="F143" t="n">
        <v>0</v>
      </c>
      <c r="G143" t="n">
        <v>0</v>
      </c>
      <c r="H143" t="n">
        <v>0</v>
      </c>
      <c r="I143" t="n">
        <v>0</v>
      </c>
    </row>
    <row r="144">
      <c r="A144" t="inlineStr">
        <is>
          <t>Eucalyptus</t>
        </is>
      </c>
      <c r="B144" t="inlineStr">
        <is>
          <t>General</t>
        </is>
      </c>
      <c r="C144" t="n">
        <v>0</v>
      </c>
      <c r="D144" t="n">
        <v>0</v>
      </c>
      <c r="E144" t="n">
        <v>0</v>
      </c>
      <c r="F144" t="n">
        <v>0</v>
      </c>
      <c r="G144" t="n">
        <v>0</v>
      </c>
      <c r="H144" t="n">
        <v>0</v>
      </c>
      <c r="I144" t="n">
        <v>0</v>
      </c>
    </row>
    <row r="145">
      <c r="A145" t="inlineStr">
        <is>
          <t>Fingerroot</t>
        </is>
      </c>
      <c r="B145" t="inlineStr">
        <is>
          <t>General</t>
        </is>
      </c>
      <c r="C145" t="n">
        <v>0</v>
      </c>
      <c r="D145" t="n">
        <v>0</v>
      </c>
      <c r="E145" t="n">
        <v>0</v>
      </c>
      <c r="F145" t="n">
        <v>0</v>
      </c>
      <c r="G145" t="n">
        <v>0</v>
      </c>
      <c r="H145" t="n">
        <v>0</v>
      </c>
      <c r="I145" t="n">
        <v>0</v>
      </c>
    </row>
    <row r="146">
      <c r="A146" t="inlineStr">
        <is>
          <t>Goldenseal</t>
        </is>
      </c>
      <c r="B146" t="inlineStr">
        <is>
          <t>General</t>
        </is>
      </c>
      <c r="C146" t="n">
        <v>0</v>
      </c>
      <c r="D146" t="n">
        <v>0</v>
      </c>
      <c r="E146" t="n">
        <v>0</v>
      </c>
      <c r="F146" t="n">
        <v>0</v>
      </c>
      <c r="G146" t="n">
        <v>0</v>
      </c>
      <c r="H146" t="n">
        <v>0</v>
      </c>
      <c r="I146" t="n">
        <v>0</v>
      </c>
    </row>
    <row r="147">
      <c r="A147" t="inlineStr">
        <is>
          <t>Gotu Kola</t>
        </is>
      </c>
      <c r="B147" t="inlineStr">
        <is>
          <t>General</t>
        </is>
      </c>
      <c r="C147" t="n">
        <v>0</v>
      </c>
      <c r="D147" t="n">
        <v>0</v>
      </c>
      <c r="E147" t="n">
        <v>0</v>
      </c>
      <c r="F147" t="n">
        <v>0</v>
      </c>
      <c r="G147" t="n">
        <v>0</v>
      </c>
      <c r="H147" t="n">
        <v>0</v>
      </c>
      <c r="I147" t="n">
        <v>0</v>
      </c>
    </row>
    <row r="148">
      <c r="A148" t="inlineStr">
        <is>
          <t>Guayusa</t>
        </is>
      </c>
      <c r="B148" t="inlineStr">
        <is>
          <t>General</t>
        </is>
      </c>
      <c r="C148" t="n">
        <v>0</v>
      </c>
      <c r="D148" t="n">
        <v>0</v>
      </c>
      <c r="E148" t="n">
        <v>0</v>
      </c>
      <c r="F148" t="n">
        <v>0</v>
      </c>
      <c r="G148" t="n">
        <v>0</v>
      </c>
      <c r="H148" t="n">
        <v>0</v>
      </c>
      <c r="I148" t="n">
        <v>0</v>
      </c>
    </row>
    <row r="149">
      <c r="A149" t="inlineStr">
        <is>
          <t>Holy Basil Seed</t>
        </is>
      </c>
      <c r="B149" t="inlineStr">
        <is>
          <t>General</t>
        </is>
      </c>
      <c r="C149" t="n">
        <v>1</v>
      </c>
      <c r="D149" t="n">
        <v>0</v>
      </c>
      <c r="E149" t="n">
        <v>0</v>
      </c>
      <c r="F149" t="n">
        <v>0</v>
      </c>
      <c r="G149" t="n">
        <v>0</v>
      </c>
      <c r="H149" t="n">
        <v>0</v>
      </c>
      <c r="I149" t="n">
        <v>0</v>
      </c>
    </row>
    <row r="150">
      <c r="A150" t="inlineStr">
        <is>
          <t>Honeysuckle</t>
        </is>
      </c>
      <c r="B150" t="inlineStr">
        <is>
          <t>General</t>
        </is>
      </c>
      <c r="C150" t="n">
        <v>0</v>
      </c>
      <c r="D150" t="n">
        <v>0</v>
      </c>
      <c r="E150" t="n">
        <v>0</v>
      </c>
      <c r="F150" t="n">
        <v>0</v>
      </c>
      <c r="G150" t="n">
        <v>0</v>
      </c>
      <c r="H150" t="n">
        <v>0</v>
      </c>
      <c r="I150" t="n">
        <v>0</v>
      </c>
    </row>
    <row r="151">
      <c r="A151" t="inlineStr">
        <is>
          <t>Horse Chestnut</t>
        </is>
      </c>
      <c r="B151" t="inlineStr">
        <is>
          <t>General</t>
        </is>
      </c>
      <c r="C151" t="n">
        <v>0</v>
      </c>
      <c r="D151" t="n">
        <v>0</v>
      </c>
      <c r="E151" t="n">
        <v>0</v>
      </c>
      <c r="F151" t="n">
        <v>0</v>
      </c>
      <c r="G151" t="n">
        <v>0</v>
      </c>
      <c r="H151" t="n">
        <v>0</v>
      </c>
      <c r="I151" t="n">
        <v>0</v>
      </c>
    </row>
    <row r="152">
      <c r="A152" t="inlineStr">
        <is>
          <t>Kanna</t>
        </is>
      </c>
      <c r="B152" t="inlineStr">
        <is>
          <t>General</t>
        </is>
      </c>
      <c r="C152" t="n">
        <v>0</v>
      </c>
      <c r="D152" t="n">
        <v>0</v>
      </c>
      <c r="E152" t="n">
        <v>0</v>
      </c>
      <c r="F152" t="n">
        <v>0</v>
      </c>
      <c r="G152" t="n">
        <v>0</v>
      </c>
      <c r="H152" t="n">
        <v>0</v>
      </c>
      <c r="I152" t="n">
        <v>0</v>
      </c>
    </row>
    <row r="153">
      <c r="A153" t="inlineStr">
        <is>
          <t>Lavender</t>
        </is>
      </c>
      <c r="B153" t="inlineStr">
        <is>
          <t>General</t>
        </is>
      </c>
      <c r="C153" t="n">
        <v>0</v>
      </c>
      <c r="D153" t="n">
        <v>0</v>
      </c>
      <c r="E153" t="n">
        <v>0</v>
      </c>
      <c r="F153" t="n">
        <v>0</v>
      </c>
      <c r="G153" t="n">
        <v>0</v>
      </c>
      <c r="H153" t="n">
        <v>0</v>
      </c>
      <c r="I153" t="n">
        <v>0</v>
      </c>
    </row>
    <row r="154">
      <c r="A154" t="inlineStr">
        <is>
          <t>Licorice</t>
        </is>
      </c>
      <c r="B154" t="inlineStr">
        <is>
          <t>General</t>
        </is>
      </c>
      <c r="C154" t="n">
        <v>0</v>
      </c>
      <c r="D154" t="n">
        <v>0</v>
      </c>
      <c r="E154" t="n">
        <v>0</v>
      </c>
      <c r="F154" t="n">
        <v>0</v>
      </c>
      <c r="G154" t="n">
        <v>0</v>
      </c>
      <c r="H154" t="n">
        <v>0</v>
      </c>
      <c r="I154" t="n">
        <v>0</v>
      </c>
    </row>
    <row r="155">
      <c r="A155" t="inlineStr">
        <is>
          <t>Marshmallow</t>
        </is>
      </c>
      <c r="B155" t="inlineStr">
        <is>
          <t>General</t>
        </is>
      </c>
      <c r="C155" t="n">
        <v>0</v>
      </c>
      <c r="D155" t="n">
        <v>0</v>
      </c>
      <c r="E155" t="n">
        <v>0</v>
      </c>
      <c r="F155" t="n">
        <v>0</v>
      </c>
      <c r="G155" t="n">
        <v>0</v>
      </c>
      <c r="H155" t="n">
        <v>0</v>
      </c>
      <c r="I155" t="n">
        <v>0</v>
      </c>
    </row>
    <row r="156">
      <c r="A156" t="inlineStr">
        <is>
          <t>Milk Thistle</t>
        </is>
      </c>
      <c r="B156" t="inlineStr">
        <is>
          <t>General</t>
        </is>
      </c>
      <c r="C156" t="n">
        <v>1</v>
      </c>
      <c r="D156" t="n">
        <v>0</v>
      </c>
      <c r="E156" t="n">
        <v>0</v>
      </c>
      <c r="F156" t="n">
        <v>0</v>
      </c>
      <c r="G156" t="n">
        <v>0</v>
      </c>
      <c r="H156" t="n">
        <v>0</v>
      </c>
      <c r="I156" t="n">
        <v>0</v>
      </c>
    </row>
    <row r="157">
      <c r="A157" t="inlineStr">
        <is>
          <t>Mucuna</t>
        </is>
      </c>
      <c r="B157" t="inlineStr">
        <is>
          <t>General</t>
        </is>
      </c>
      <c r="C157" t="n">
        <v>0</v>
      </c>
      <c r="D157" t="n">
        <v>0</v>
      </c>
      <c r="E157" t="n">
        <v>0</v>
      </c>
      <c r="F157" t="n">
        <v>0</v>
      </c>
      <c r="G157" t="n">
        <v>0</v>
      </c>
      <c r="H157" t="n">
        <v>0</v>
      </c>
      <c r="I157" t="n">
        <v>0</v>
      </c>
    </row>
    <row r="158">
      <c r="A158" t="inlineStr">
        <is>
          <t>Oregano</t>
        </is>
      </c>
      <c r="B158" t="inlineStr">
        <is>
          <t>General</t>
        </is>
      </c>
      <c r="C158" t="n">
        <v>0</v>
      </c>
      <c r="D158" t="n">
        <v>0</v>
      </c>
      <c r="E158" t="n">
        <v>0</v>
      </c>
      <c r="F158" t="n">
        <v>0</v>
      </c>
      <c r="G158" t="n">
        <v>0</v>
      </c>
      <c r="H158" t="n">
        <v>0</v>
      </c>
      <c r="I158" t="n">
        <v>0</v>
      </c>
    </row>
    <row r="159">
      <c r="A159" t="inlineStr">
        <is>
          <t>Papaya Leaf</t>
        </is>
      </c>
      <c r="B159" t="inlineStr">
        <is>
          <t>General</t>
        </is>
      </c>
      <c r="C159" t="n">
        <v>0</v>
      </c>
      <c r="D159" t="n">
        <v>0</v>
      </c>
      <c r="E159" t="n">
        <v>0</v>
      </c>
      <c r="F159" t="n">
        <v>0</v>
      </c>
      <c r="G159" t="n">
        <v>0</v>
      </c>
      <c r="H159" t="n">
        <v>0</v>
      </c>
      <c r="I159" t="n">
        <v>0</v>
      </c>
    </row>
    <row r="160">
      <c r="A160" t="inlineStr">
        <is>
          <t>Peppermint</t>
        </is>
      </c>
      <c r="B160" t="inlineStr">
        <is>
          <t>General</t>
        </is>
      </c>
      <c r="C160" t="n">
        <v>1</v>
      </c>
      <c r="D160" t="n">
        <v>0</v>
      </c>
      <c r="E160" t="n">
        <v>0</v>
      </c>
      <c r="F160" t="n">
        <v>0</v>
      </c>
      <c r="G160" t="n">
        <v>0</v>
      </c>
      <c r="H160" t="n">
        <v>0</v>
      </c>
      <c r="I160" t="n">
        <v>0</v>
      </c>
    </row>
    <row r="161">
      <c r="A161" t="inlineStr">
        <is>
          <t>Phellodendron</t>
        </is>
      </c>
      <c r="B161" t="inlineStr">
        <is>
          <t>General</t>
        </is>
      </c>
      <c r="C161" t="n">
        <v>0</v>
      </c>
      <c r="D161" t="n">
        <v>0</v>
      </c>
      <c r="E161" t="n">
        <v>0</v>
      </c>
      <c r="F161" t="n">
        <v>0</v>
      </c>
      <c r="G161" t="n">
        <v>0</v>
      </c>
      <c r="H161" t="n">
        <v>0</v>
      </c>
      <c r="I161" t="n">
        <v>0</v>
      </c>
    </row>
    <row r="162">
      <c r="A162" t="inlineStr">
        <is>
          <t>Psyllium</t>
        </is>
      </c>
      <c r="C162" t="n">
        <v>1</v>
      </c>
      <c r="D162" t="n">
        <v>0</v>
      </c>
      <c r="E162" t="n">
        <v>0</v>
      </c>
      <c r="F162" t="n">
        <v>0</v>
      </c>
      <c r="G162" t="n">
        <v>0</v>
      </c>
      <c r="H162" t="n">
        <v>0</v>
      </c>
      <c r="I162" t="n">
        <v>0</v>
      </c>
    </row>
    <row r="163">
      <c r="A163" t="inlineStr">
        <is>
          <t>Pueraria Mirifica</t>
        </is>
      </c>
      <c r="B163" t="inlineStr">
        <is>
          <t>General</t>
        </is>
      </c>
      <c r="C163" t="n">
        <v>0</v>
      </c>
      <c r="D163" t="n">
        <v>0</v>
      </c>
      <c r="E163" t="n">
        <v>0</v>
      </c>
      <c r="F163" t="n">
        <v>0</v>
      </c>
      <c r="G163" t="n">
        <v>0</v>
      </c>
      <c r="H163" t="n">
        <v>0</v>
      </c>
      <c r="I163" t="n">
        <v>0</v>
      </c>
    </row>
    <row r="164">
      <c r="A164" t="inlineStr">
        <is>
          <t>Punarnava</t>
        </is>
      </c>
      <c r="B164" t="inlineStr">
        <is>
          <t>General</t>
        </is>
      </c>
      <c r="C164" t="n">
        <v>1</v>
      </c>
      <c r="D164" t="n">
        <v>0</v>
      </c>
      <c r="E164" t="n">
        <v>0</v>
      </c>
      <c r="F164" t="n">
        <v>0</v>
      </c>
      <c r="G164" t="n">
        <v>0</v>
      </c>
      <c r="H164" t="n">
        <v>0</v>
      </c>
      <c r="I164" t="n">
        <v>0</v>
      </c>
    </row>
    <row r="165">
      <c r="A165" t="inlineStr">
        <is>
          <t>Rooibos</t>
        </is>
      </c>
      <c r="B165" t="inlineStr">
        <is>
          <t>General</t>
        </is>
      </c>
      <c r="C165" t="n">
        <v>0</v>
      </c>
      <c r="D165" t="n">
        <v>0</v>
      </c>
      <c r="E165" t="n">
        <v>0</v>
      </c>
      <c r="F165" t="n">
        <v>0</v>
      </c>
      <c r="G165" t="n">
        <v>0</v>
      </c>
      <c r="H165" t="n">
        <v>0</v>
      </c>
      <c r="I165" t="n">
        <v>0</v>
      </c>
    </row>
    <row r="166">
      <c r="A166" t="inlineStr">
        <is>
          <t>Saffron</t>
        </is>
      </c>
      <c r="B166" t="inlineStr">
        <is>
          <t>General</t>
        </is>
      </c>
      <c r="C166" t="n">
        <v>0</v>
      </c>
      <c r="D166" t="n">
        <v>0</v>
      </c>
      <c r="E166" t="n">
        <v>0</v>
      </c>
      <c r="F166" t="n">
        <v>0</v>
      </c>
      <c r="G166" t="n">
        <v>0</v>
      </c>
      <c r="H166" t="n">
        <v>0</v>
      </c>
      <c r="I166" t="n">
        <v>0</v>
      </c>
    </row>
    <row r="167">
      <c r="A167" t="inlineStr">
        <is>
          <t>Salacia</t>
        </is>
      </c>
      <c r="B167" t="inlineStr">
        <is>
          <t>General</t>
        </is>
      </c>
      <c r="C167" t="n">
        <v>0</v>
      </c>
      <c r="D167" t="n">
        <v>0</v>
      </c>
      <c r="E167" t="n">
        <v>0</v>
      </c>
      <c r="F167" t="n">
        <v>0</v>
      </c>
      <c r="G167" t="n">
        <v>0</v>
      </c>
      <c r="H167" t="n">
        <v>0</v>
      </c>
      <c r="I167" t="n">
        <v>0</v>
      </c>
    </row>
    <row r="168">
      <c r="A168" t="inlineStr">
        <is>
          <t>Saw Palmetto</t>
        </is>
      </c>
      <c r="B168" t="inlineStr">
        <is>
          <t>General</t>
        </is>
      </c>
      <c r="C168" t="n">
        <v>1</v>
      </c>
      <c r="D168" t="n">
        <v>0</v>
      </c>
      <c r="E168" t="n">
        <v>0</v>
      </c>
      <c r="F168" t="n">
        <v>0</v>
      </c>
      <c r="G168" t="n">
        <v>0</v>
      </c>
      <c r="H168" t="n">
        <v>0</v>
      </c>
      <c r="I168" t="n">
        <v>0</v>
      </c>
    </row>
    <row r="169">
      <c r="A169" t="inlineStr">
        <is>
          <t>Schisandra</t>
        </is>
      </c>
      <c r="B169" t="inlineStr">
        <is>
          <t>General</t>
        </is>
      </c>
      <c r="C169" t="n">
        <v>0</v>
      </c>
      <c r="D169" t="n">
        <v>0</v>
      </c>
      <c r="E169" t="n">
        <v>0</v>
      </c>
      <c r="F169" t="n">
        <v>0</v>
      </c>
      <c r="G169" t="n">
        <v>0</v>
      </c>
      <c r="H169" t="n">
        <v>0</v>
      </c>
      <c r="I169" t="n">
        <v>0</v>
      </c>
    </row>
    <row r="170">
      <c r="A170" t="inlineStr">
        <is>
          <t>Shatavari</t>
        </is>
      </c>
      <c r="B170" t="inlineStr">
        <is>
          <t>General</t>
        </is>
      </c>
      <c r="C170" t="n">
        <v>0</v>
      </c>
      <c r="D170" t="n">
        <v>0</v>
      </c>
      <c r="E170" t="n">
        <v>0</v>
      </c>
      <c r="F170" t="n">
        <v>0</v>
      </c>
      <c r="G170" t="n">
        <v>0</v>
      </c>
      <c r="H170" t="n">
        <v>0</v>
      </c>
      <c r="I170" t="n">
        <v>0</v>
      </c>
    </row>
    <row r="171">
      <c r="A171" t="inlineStr">
        <is>
          <t>Skullcap</t>
        </is>
      </c>
      <c r="B171" t="inlineStr">
        <is>
          <t>General</t>
        </is>
      </c>
      <c r="C171" t="n">
        <v>0</v>
      </c>
      <c r="D171" t="n">
        <v>0</v>
      </c>
      <c r="E171" t="n">
        <v>0</v>
      </c>
      <c r="F171" t="n">
        <v>0</v>
      </c>
      <c r="G171" t="n">
        <v>0</v>
      </c>
      <c r="H171" t="n">
        <v>0</v>
      </c>
      <c r="I171" t="n">
        <v>0</v>
      </c>
    </row>
    <row r="172">
      <c r="A172" t="inlineStr">
        <is>
          <t>Tongkat Ali</t>
        </is>
      </c>
      <c r="B172" t="inlineStr">
        <is>
          <t>General</t>
        </is>
      </c>
      <c r="C172" t="n">
        <v>0</v>
      </c>
      <c r="D172" t="n">
        <v>0</v>
      </c>
      <c r="E172" t="n">
        <v>0</v>
      </c>
      <c r="F172" t="n">
        <v>0</v>
      </c>
      <c r="G172" t="n">
        <v>0</v>
      </c>
      <c r="H172" t="n">
        <v>0</v>
      </c>
      <c r="I172" t="n">
        <v>0</v>
      </c>
    </row>
    <row r="173">
      <c r="A173" t="inlineStr">
        <is>
          <t>Wormwood</t>
        </is>
      </c>
      <c r="B173" t="inlineStr">
        <is>
          <t>General</t>
        </is>
      </c>
      <c r="C173" t="n">
        <v>0</v>
      </c>
      <c r="D173" t="n">
        <v>0</v>
      </c>
      <c r="E173" t="n">
        <v>0</v>
      </c>
      <c r="F173" t="n">
        <v>0</v>
      </c>
      <c r="G173" t="n">
        <v>0</v>
      </c>
      <c r="H173" t="n">
        <v>0</v>
      </c>
      <c r="I173" t="n">
        <v>0</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48</t>
        </is>
      </c>
    </row>
    <row r="3">
      <c r="A3" t="inlineStr">
        <is>
          <t>Focus</t>
        </is>
      </c>
      <c r="B3" t="inlineStr">
        <is>
          <t>Propagate compound scores to herb scoring</t>
        </is>
      </c>
    </row>
    <row r="4">
      <c r="A4" t="inlineStr">
        <is>
          <t>Herbs with scored compounds</t>
        </is>
      </c>
      <c r="B4" t="n">
        <v>119</v>
      </c>
    </row>
    <row r="5">
      <c r="A5" t="inlineStr">
        <is>
          <t>Top herb by Bundle Eligibility Score V2</t>
        </is>
      </c>
      <c r="B5" t="inlineStr">
        <is>
          <t>Rhodiola</t>
        </is>
      </c>
    </row>
    <row r="6">
      <c r="A6" t="inlineStr">
        <is>
          <t>Top herb bundle score V2</t>
        </is>
      </c>
      <c r="B6" t="n">
        <v>63</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49</t>
        </is>
      </c>
    </row>
    <row r="3">
      <c r="A3" t="inlineStr">
        <is>
          <t>Stacks processed</t>
        </is>
      </c>
      <c r="B3" t="n">
        <v>10</v>
      </c>
    </row>
    <row r="4">
      <c r="A4" t="inlineStr">
        <is>
          <t>Top stack score</t>
        </is>
      </c>
      <c r="B4" t="n">
        <v>114</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
  <sheetViews>
    <sheetView workbookViewId="0">
      <selection activeCell="A1" sqref="A1"/>
    </sheetView>
  </sheetViews>
  <sheetFormatPr baseColWidth="8" defaultRowHeight="15"/>
  <sheetData>
    <row r="1">
      <c r="A1" t="inlineStr">
        <is>
          <t>Rank</t>
        </is>
      </c>
      <c r="B1" t="inlineStr">
        <is>
          <t>Stack Name</t>
        </is>
      </c>
      <c r="C1" t="inlineStr">
        <is>
          <t>Category</t>
        </is>
      </c>
      <c r="D1" t="inlineStr">
        <is>
          <t>Herb A</t>
        </is>
      </c>
      <c r="E1" t="inlineStr">
        <is>
          <t>Herb B</t>
        </is>
      </c>
      <c r="F1" t="inlineStr">
        <is>
          <t>Herb C</t>
        </is>
      </c>
      <c r="G1" t="inlineStr">
        <is>
          <t>Stack Score V3</t>
        </is>
      </c>
      <c r="H1" t="inlineStr">
        <is>
          <t>Publishable Tier V1</t>
        </is>
      </c>
      <c r="I1" t="inlineStr">
        <is>
          <t>Decision V1</t>
        </is>
      </c>
      <c r="J1" t="inlineStr">
        <is>
          <t>Decision Reason V1</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50</t>
        </is>
      </c>
    </row>
    <row r="3">
      <c r="A3" t="inlineStr">
        <is>
          <t>Focus</t>
        </is>
      </c>
      <c r="B3" t="inlineStr">
        <is>
          <t>Stack filtering + publishable tier</t>
        </is>
      </c>
    </row>
    <row r="4">
      <c r="A4" t="inlineStr">
        <is>
          <t>Source stack sheet</t>
        </is>
      </c>
      <c r="B4" t="inlineStr">
        <is>
          <t>Product Stack Outputs V6</t>
        </is>
      </c>
    </row>
    <row r="5">
      <c r="A5" t="inlineStr">
        <is>
          <t>Stacks processed</t>
        </is>
      </c>
      <c r="B5" t="n">
        <v>10</v>
      </c>
    </row>
    <row r="6">
      <c r="A6" t="inlineStr">
        <is>
          <t>Publish decisions</t>
        </is>
      </c>
      <c r="B6" t="n">
        <v>0</v>
      </c>
    </row>
    <row r="7">
      <c r="A7" t="inlineStr">
        <is>
          <t>Review decisions</t>
        </is>
      </c>
      <c r="B7" t="n">
        <v>6</v>
      </c>
    </row>
    <row r="8">
      <c r="A8" t="inlineStr">
        <is>
          <t>Reject decisions</t>
        </is>
      </c>
      <c r="B8" t="n">
        <v>14</v>
      </c>
    </row>
    <row r="9">
      <c r="A9" t="inlineStr">
        <is>
          <t>Publishable A</t>
        </is>
      </c>
      <c r="B9" t="n">
        <v>0</v>
      </c>
    </row>
    <row r="10">
      <c r="A10" t="inlineStr">
        <is>
          <t>Publishable B</t>
        </is>
      </c>
      <c r="B10" t="n">
        <v>0</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1"/>
  <sheetViews>
    <sheetView workbookViewId="0">
      <selection activeCell="A1" sqref="A1"/>
    </sheetView>
  </sheetViews>
  <sheetFormatPr baseColWidth="8" defaultRowHeight="15"/>
  <sheetData>
    <row r="1">
      <c r="A1" t="inlineStr">
        <is>
          <t>Rank</t>
        </is>
      </c>
      <c r="B1" t="inlineStr">
        <is>
          <t>Stack Name</t>
        </is>
      </c>
      <c r="C1" t="inlineStr">
        <is>
          <t>Category</t>
        </is>
      </c>
      <c r="D1" t="inlineStr">
        <is>
          <t>Herb A</t>
        </is>
      </c>
      <c r="E1" t="inlineStr">
        <is>
          <t>Herb B</t>
        </is>
      </c>
      <c r="F1" t="inlineStr">
        <is>
          <t>Herb C</t>
        </is>
      </c>
      <c r="G1" t="inlineStr">
        <is>
          <t>Stack Score V4</t>
        </is>
      </c>
      <c r="H1" t="inlineStr">
        <is>
          <t>Publishable Tier V2</t>
        </is>
      </c>
      <c r="I1" t="inlineStr">
        <is>
          <t>Decision V2</t>
        </is>
      </c>
      <c r="J1" t="inlineStr">
        <is>
          <t>Decision Reason V2</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51</t>
        </is>
      </c>
    </row>
    <row r="3">
      <c r="A3" t="inlineStr">
        <is>
          <t>Focus</t>
        </is>
      </c>
      <c r="B3" t="inlineStr">
        <is>
          <t>Fix audit logic + recalibrate publish thresholds</t>
        </is>
      </c>
    </row>
    <row r="4">
      <c r="A4" t="inlineStr">
        <is>
          <t>Source stack sheet</t>
        </is>
      </c>
      <c r="B4" t="inlineStr">
        <is>
          <t>Product Stack Outputs V6</t>
        </is>
      </c>
    </row>
    <row r="5">
      <c r="A5" t="inlineStr">
        <is>
          <t>Stacks processed</t>
        </is>
      </c>
      <c r="B5" t="n">
        <v>10</v>
      </c>
    </row>
    <row r="6">
      <c r="A6" t="inlineStr">
        <is>
          <t>Decision: Publish</t>
        </is>
      </c>
      <c r="B6" t="n">
        <v>0</v>
      </c>
    </row>
    <row r="7">
      <c r="A7" t="inlineStr">
        <is>
          <t>Decision: Review</t>
        </is>
      </c>
      <c r="B7" t="n">
        <v>3</v>
      </c>
    </row>
    <row r="8">
      <c r="A8" t="inlineStr">
        <is>
          <t>Decision: Reject</t>
        </is>
      </c>
      <c r="B8" t="n">
        <v>7</v>
      </c>
    </row>
    <row r="9">
      <c r="A9" t="inlineStr">
        <is>
          <t>Tier: Publishable A</t>
        </is>
      </c>
      <c r="B9" t="n">
        <v>0</v>
      </c>
    </row>
    <row r="10">
      <c r="A10" t="inlineStr">
        <is>
          <t>Tier: Publishable B</t>
        </is>
      </c>
      <c r="B10" t="n">
        <v>0</v>
      </c>
    </row>
    <row r="11">
      <c r="A11" t="inlineStr">
        <is>
          <t>Tier: Review</t>
        </is>
      </c>
      <c r="B11" t="n">
        <v>3</v>
      </c>
    </row>
    <row r="12">
      <c r="A12" t="inlineStr">
        <is>
          <t>Tier: Reject</t>
        </is>
      </c>
      <c r="B12" t="n">
        <v>7</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Stack Name</t>
        </is>
      </c>
      <c r="B1" t="inlineStr">
        <is>
          <t>Herb A</t>
        </is>
      </c>
      <c r="C1" t="inlineStr">
        <is>
          <t>Herb B</t>
        </is>
      </c>
      <c r="D1" t="inlineStr">
        <is>
          <t>Herb C</t>
        </is>
      </c>
      <c r="E1" t="inlineStr">
        <is>
          <t>Stack Score</t>
        </is>
      </c>
      <c r="F1" t="inlineStr">
        <is>
          <t>Synergy Score V1</t>
        </is>
      </c>
      <c r="G1" t="inlineStr">
        <is>
          <t>Redundancy Penalty V1</t>
        </is>
      </c>
      <c r="H1" t="inlineStr">
        <is>
          <t>Stack Intelligence Score V1</t>
        </is>
      </c>
      <c r="I1" t="inlineStr">
        <is>
          <t>Stack Tier V1</t>
        </is>
      </c>
      <c r="J1" t="inlineStr">
        <is>
          <t>Stack Intelligence Reason V1</t>
        </is>
      </c>
      <c r="K1" t="inlineStr">
        <is>
          <t>Pass 53 Note</t>
        </is>
      </c>
    </row>
    <row r="2">
      <c r="A2" t="inlineStr">
        <is>
          <t>Green Tea + Rhodiola + Panax Ginseng</t>
        </is>
      </c>
      <c r="B2" t="inlineStr">
        <is>
          <t>Green Tea</t>
        </is>
      </c>
      <c r="C2" t="inlineStr">
        <is>
          <t>Rhodiola</t>
        </is>
      </c>
      <c r="D2" t="inlineStr">
        <is>
          <t>Panax Ginseng</t>
        </is>
      </c>
      <c r="E2" t="n">
        <v>197</v>
      </c>
      <c r="F2" t="n">
        <v>5</v>
      </c>
      <c r="G2" t="n">
        <v>12</v>
      </c>
      <c r="H2" t="n">
        <v>190</v>
      </c>
      <c r="I2" t="inlineStr">
        <is>
          <t>A</t>
        </is>
      </c>
      <c r="J2" t="inlineStr">
        <is>
          <t>category overlap; cluster redundancy</t>
        </is>
      </c>
      <c r="K2" t="inlineStr">
        <is>
          <t>Pass 53 synergy + redundancy filtering</t>
        </is>
      </c>
    </row>
    <row r="3">
      <c r="A3" t="inlineStr">
        <is>
          <t>Rhodiola + Panax Ginseng + Chinese Skullcap</t>
        </is>
      </c>
      <c r="B3" t="inlineStr">
        <is>
          <t>Rhodiola</t>
        </is>
      </c>
      <c r="C3" t="inlineStr">
        <is>
          <t>Panax Ginseng</t>
        </is>
      </c>
      <c r="D3" t="inlineStr">
        <is>
          <t>Chinese Skullcap</t>
        </is>
      </c>
      <c r="E3" t="n">
        <v>173</v>
      </c>
      <c r="F3" t="n">
        <v>17</v>
      </c>
      <c r="G3" t="n">
        <v>4</v>
      </c>
      <c r="H3" t="n">
        <v>186</v>
      </c>
      <c r="I3" t="inlineStr">
        <is>
          <t>A</t>
        </is>
      </c>
      <c r="J3" t="inlineStr">
        <is>
          <t>cluster redundancy</t>
        </is>
      </c>
      <c r="K3" t="inlineStr">
        <is>
          <t>Pass 53 synergy + redundancy filtering</t>
        </is>
      </c>
    </row>
    <row r="4">
      <c r="A4" t="inlineStr">
        <is>
          <t>Panax Ginseng + Chinese Skullcap + Arjuna</t>
        </is>
      </c>
      <c r="B4" t="inlineStr">
        <is>
          <t>Panax Ginseng</t>
        </is>
      </c>
      <c r="C4" t="inlineStr">
        <is>
          <t>Chinese Skullcap</t>
        </is>
      </c>
      <c r="D4" t="inlineStr">
        <is>
          <t>Arjuna</t>
        </is>
      </c>
      <c r="E4" t="n">
        <v>147</v>
      </c>
      <c r="F4" t="n">
        <v>22</v>
      </c>
      <c r="G4" t="n">
        <v>4</v>
      </c>
      <c r="H4" t="n">
        <v>165</v>
      </c>
      <c r="I4" t="inlineStr">
        <is>
          <t>A</t>
        </is>
      </c>
      <c r="J4" t="inlineStr">
        <is>
          <t>cluster redundancy</t>
        </is>
      </c>
      <c r="K4" t="inlineStr">
        <is>
          <t>Pass 53 synergy + redundancy filtering</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52</t>
        </is>
      </c>
    </row>
    <row r="3">
      <c r="A3" t="inlineStr">
        <is>
          <t>Strong herbs used</t>
        </is>
      </c>
      <c r="B3" t="n">
        <v>5</v>
      </c>
    </row>
    <row r="4">
      <c r="A4" t="inlineStr">
        <is>
          <t>Stacks generated</t>
        </is>
      </c>
      <c r="B4" t="n">
        <v>3</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Rank</t>
        </is>
      </c>
      <c r="B1" t="inlineStr">
        <is>
          <t>Stack Name</t>
        </is>
      </c>
      <c r="C1" t="inlineStr">
        <is>
          <t>Herb A</t>
        </is>
      </c>
      <c r="D1" t="inlineStr">
        <is>
          <t>Herb B</t>
        </is>
      </c>
      <c r="E1" t="inlineStr">
        <is>
          <t>Herb C</t>
        </is>
      </c>
      <c r="F1" t="inlineStr">
        <is>
          <t>Base Stack Score</t>
        </is>
      </c>
      <c r="G1" t="inlineStr">
        <is>
          <t>Synergy Score V1</t>
        </is>
      </c>
      <c r="H1" t="inlineStr">
        <is>
          <t>Redundancy Penalty V1</t>
        </is>
      </c>
      <c r="I1" t="inlineStr">
        <is>
          <t>Stack Intelligence Score V1</t>
        </is>
      </c>
      <c r="J1" t="inlineStr">
        <is>
          <t>Stack Tier V1</t>
        </is>
      </c>
      <c r="K1" t="inlineStr">
        <is>
          <t>Stack Intelligence Reason V1</t>
        </is>
      </c>
    </row>
    <row r="2">
      <c r="A2" t="n">
        <v>1</v>
      </c>
      <c r="B2" t="inlineStr">
        <is>
          <t>Green Tea + Rhodiola + Panax Ginseng</t>
        </is>
      </c>
      <c r="C2" t="inlineStr">
        <is>
          <t>Green Tea</t>
        </is>
      </c>
      <c r="D2" t="inlineStr">
        <is>
          <t>Rhodiola</t>
        </is>
      </c>
      <c r="E2" t="inlineStr">
        <is>
          <t>Panax Ginseng</t>
        </is>
      </c>
      <c r="F2" t="n">
        <v>197</v>
      </c>
      <c r="G2" t="n">
        <v>5</v>
      </c>
      <c r="H2" t="n">
        <v>12</v>
      </c>
      <c r="I2" t="n">
        <v>190</v>
      </c>
      <c r="J2" t="inlineStr">
        <is>
          <t>A</t>
        </is>
      </c>
      <c r="K2" t="inlineStr">
        <is>
          <t>category overlap; cluster redundancy</t>
        </is>
      </c>
    </row>
    <row r="3">
      <c r="A3" t="n">
        <v>2</v>
      </c>
      <c r="B3" t="inlineStr">
        <is>
          <t>Rhodiola + Panax Ginseng + Chinese Skullcap</t>
        </is>
      </c>
      <c r="C3" t="inlineStr">
        <is>
          <t>Rhodiola</t>
        </is>
      </c>
      <c r="D3" t="inlineStr">
        <is>
          <t>Panax Ginseng</t>
        </is>
      </c>
      <c r="E3" t="inlineStr">
        <is>
          <t>Chinese Skullcap</t>
        </is>
      </c>
      <c r="F3" t="n">
        <v>173</v>
      </c>
      <c r="G3" t="n">
        <v>17</v>
      </c>
      <c r="H3" t="n">
        <v>4</v>
      </c>
      <c r="I3" t="n">
        <v>186</v>
      </c>
      <c r="J3" t="inlineStr">
        <is>
          <t>A</t>
        </is>
      </c>
      <c r="K3" t="inlineStr">
        <is>
          <t>cluster redundancy</t>
        </is>
      </c>
    </row>
    <row r="4">
      <c r="A4" t="n">
        <v>3</v>
      </c>
      <c r="B4" t="inlineStr">
        <is>
          <t>Panax Ginseng + Chinese Skullcap + Arjuna</t>
        </is>
      </c>
      <c r="C4" t="inlineStr">
        <is>
          <t>Panax Ginseng</t>
        </is>
      </c>
      <c r="D4" t="inlineStr">
        <is>
          <t>Chinese Skullcap</t>
        </is>
      </c>
      <c r="E4" t="inlineStr">
        <is>
          <t>Arjuna</t>
        </is>
      </c>
      <c r="F4" t="n">
        <v>147</v>
      </c>
      <c r="G4" t="n">
        <v>22</v>
      </c>
      <c r="H4" t="n">
        <v>4</v>
      </c>
      <c r="I4" t="n">
        <v>165</v>
      </c>
      <c r="J4" t="inlineStr">
        <is>
          <t>A</t>
        </is>
      </c>
      <c r="K4" t="inlineStr">
        <is>
          <t>cluster redundancy</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Rank</t>
        </is>
      </c>
      <c r="B1" t="inlineStr">
        <is>
          <t>Stack Name</t>
        </is>
      </c>
      <c r="C1" t="inlineStr">
        <is>
          <t>Herb A</t>
        </is>
      </c>
      <c r="D1" t="inlineStr">
        <is>
          <t>Herb B</t>
        </is>
      </c>
      <c r="E1" t="inlineStr">
        <is>
          <t>Herb C</t>
        </is>
      </c>
      <c r="F1" t="inlineStr">
        <is>
          <t>Stack Intelligence Score V1</t>
        </is>
      </c>
      <c r="G1" t="inlineStr">
        <is>
          <t>Stack Tier V1</t>
        </is>
      </c>
      <c r="H1" t="inlineStr">
        <is>
          <t>Why It Ranked</t>
        </is>
      </c>
    </row>
    <row r="2">
      <c r="A2" t="n">
        <v>1</v>
      </c>
      <c r="B2" t="inlineStr">
        <is>
          <t>Green Tea + Rhodiola + Panax Ginseng</t>
        </is>
      </c>
      <c r="C2" t="inlineStr">
        <is>
          <t>Green Tea</t>
        </is>
      </c>
      <c r="D2" t="inlineStr">
        <is>
          <t>Rhodiola</t>
        </is>
      </c>
      <c r="E2" t="inlineStr">
        <is>
          <t>Panax Ginseng</t>
        </is>
      </c>
      <c r="F2" t="n">
        <v>190</v>
      </c>
      <c r="G2" t="inlineStr">
        <is>
          <t>A</t>
        </is>
      </c>
      <c r="H2" t="inlineStr">
        <is>
          <t>category overlap; cluster redundancy</t>
        </is>
      </c>
    </row>
    <row r="3">
      <c r="A3" t="n">
        <v>2</v>
      </c>
      <c r="B3" t="inlineStr">
        <is>
          <t>Rhodiola + Panax Ginseng + Chinese Skullcap</t>
        </is>
      </c>
      <c r="C3" t="inlineStr">
        <is>
          <t>Rhodiola</t>
        </is>
      </c>
      <c r="D3" t="inlineStr">
        <is>
          <t>Panax Ginseng</t>
        </is>
      </c>
      <c r="E3" t="inlineStr">
        <is>
          <t>Chinese Skullcap</t>
        </is>
      </c>
      <c r="F3" t="n">
        <v>186</v>
      </c>
      <c r="G3" t="inlineStr">
        <is>
          <t>A</t>
        </is>
      </c>
      <c r="H3" t="inlineStr">
        <is>
          <t>cluster redundancy</t>
        </is>
      </c>
    </row>
    <row r="4">
      <c r="A4" t="n">
        <v>3</v>
      </c>
      <c r="B4" t="inlineStr">
        <is>
          <t>Panax Ginseng + Chinese Skullcap + Arjuna</t>
        </is>
      </c>
      <c r="C4" t="inlineStr">
        <is>
          <t>Panax Ginseng</t>
        </is>
      </c>
      <c r="D4" t="inlineStr">
        <is>
          <t>Chinese Skullcap</t>
        </is>
      </c>
      <c r="E4" t="inlineStr">
        <is>
          <t>Arjuna</t>
        </is>
      </c>
      <c r="F4" t="n">
        <v>165</v>
      </c>
      <c r="G4" t="inlineStr">
        <is>
          <t>A</t>
        </is>
      </c>
      <c r="H4" t="inlineStr">
        <is>
          <t>cluster redundancy</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53</t>
        </is>
      </c>
    </row>
    <row r="3">
      <c r="A3" t="inlineStr">
        <is>
          <t>Focus</t>
        </is>
      </c>
      <c r="B3" t="inlineStr">
        <is>
          <t>Stack intelligence layer</t>
        </is>
      </c>
    </row>
    <row r="4">
      <c r="A4" t="inlineStr">
        <is>
          <t>Stacks analyzed</t>
        </is>
      </c>
      <c r="B4" t="n">
        <v>3</v>
      </c>
    </row>
    <row r="5">
      <c r="A5" t="inlineStr">
        <is>
          <t>A-tier stacks</t>
        </is>
      </c>
      <c r="B5" t="n">
        <v>3</v>
      </c>
    </row>
    <row r="6">
      <c r="A6" t="inlineStr">
        <is>
          <t>B-tier stacks</t>
        </is>
      </c>
      <c r="B6" t="n">
        <v>0</v>
      </c>
    </row>
    <row r="7">
      <c r="A7" t="inlineStr">
        <is>
          <t>C-tier stacks</t>
        </is>
      </c>
      <c r="B7" t="n">
        <v>0</v>
      </c>
    </row>
    <row r="8">
      <c r="A8" t="inlineStr">
        <is>
          <t>D-tier stacks</t>
        </is>
      </c>
      <c r="B8" t="n">
        <v>0</v>
      </c>
    </row>
    <row r="9">
      <c r="A9" t="inlineStr">
        <is>
          <t>Top stack</t>
        </is>
      </c>
      <c r="B9" t="inlineStr">
        <is>
          <t>Green Tea + Rhodiola + Panax Ginseng</t>
        </is>
      </c>
    </row>
    <row r="10">
      <c r="A10" t="inlineStr">
        <is>
          <t>Top stack intelligence score</t>
        </is>
      </c>
      <c r="B10" t="n">
        <v>190</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Stack Name</t>
        </is>
      </c>
      <c r="B1" t="inlineStr">
        <is>
          <t>Herb A</t>
        </is>
      </c>
      <c r="C1" t="inlineStr">
        <is>
          <t>Herb B</t>
        </is>
      </c>
      <c r="D1" t="inlineStr">
        <is>
          <t>Herb C</t>
        </is>
      </c>
      <c r="E1" t="inlineStr">
        <is>
          <t>Stack Score</t>
        </is>
      </c>
      <c r="F1" t="inlineStr">
        <is>
          <t>Synergy Score V2</t>
        </is>
      </c>
      <c r="G1" t="inlineStr">
        <is>
          <t>Redundancy Penalty V2</t>
        </is>
      </c>
      <c r="H1" t="inlineStr">
        <is>
          <t>Safety Penalty V1</t>
        </is>
      </c>
      <c r="I1" t="inlineStr">
        <is>
          <t>Stack Intelligence Score V2</t>
        </is>
      </c>
      <c r="J1" t="inlineStr">
        <is>
          <t>Stack Tier V2</t>
        </is>
      </c>
      <c r="K1" t="inlineStr">
        <is>
          <t>Stack Intelligence Reason V2</t>
        </is>
      </c>
      <c r="L1" t="inlineStr">
        <is>
          <t>Pass 55 Note</t>
        </is>
      </c>
    </row>
    <row r="2">
      <c r="A2" t="inlineStr">
        <is>
          <t>Green Tea + Rhodiola + Panax Ginseng</t>
        </is>
      </c>
      <c r="B2" t="inlineStr">
        <is>
          <t>Green Tea</t>
        </is>
      </c>
      <c r="C2" t="inlineStr">
        <is>
          <t>Rhodiola</t>
        </is>
      </c>
      <c r="D2" t="inlineStr">
        <is>
          <t>Panax Ginseng</t>
        </is>
      </c>
      <c r="E2" t="n">
        <v>197</v>
      </c>
      <c r="F2" t="n">
        <v>4</v>
      </c>
      <c r="G2" t="n">
        <v>5</v>
      </c>
      <c r="H2" t="n">
        <v>0</v>
      </c>
      <c r="I2" t="n">
        <v>196</v>
      </c>
      <c r="J2" t="inlineStr">
        <is>
          <t>A</t>
        </is>
      </c>
      <c r="K2" t="inlineStr">
        <is>
          <t>cluster overlap</t>
        </is>
      </c>
      <c r="L2" t="inlineStr">
        <is>
          <t>Pass 55 intelligence scoring on expanded stack pool</t>
        </is>
      </c>
    </row>
    <row r="3">
      <c r="A3" t="inlineStr">
        <is>
          <t>Green Tea + Rhodiola + Chinese Skullcap</t>
        </is>
      </c>
      <c r="B3" t="inlineStr">
        <is>
          <t>Green Tea</t>
        </is>
      </c>
      <c r="C3" t="inlineStr">
        <is>
          <t>Rhodiola</t>
        </is>
      </c>
      <c r="D3" t="inlineStr">
        <is>
          <t>Chinese Skullcap</t>
        </is>
      </c>
      <c r="E3" t="n">
        <v>184</v>
      </c>
      <c r="F3" t="n">
        <v>14</v>
      </c>
      <c r="G3" t="n">
        <v>5</v>
      </c>
      <c r="H3" t="n">
        <v>0</v>
      </c>
      <c r="I3" t="n">
        <v>193</v>
      </c>
      <c r="J3" t="inlineStr">
        <is>
          <t>A</t>
        </is>
      </c>
      <c r="K3" t="inlineStr">
        <is>
          <t>cluster overlap</t>
        </is>
      </c>
      <c r="L3" t="inlineStr">
        <is>
          <t>Pass 55 intelligence scoring on expanded stack pool</t>
        </is>
      </c>
    </row>
    <row r="4">
      <c r="A4" t="inlineStr">
        <is>
          <t>Green Tea + Panax Ginseng + Chinese Skullcap</t>
        </is>
      </c>
      <c r="B4" t="inlineStr">
        <is>
          <t>Green Tea</t>
        </is>
      </c>
      <c r="C4" t="inlineStr">
        <is>
          <t>Panax Ginseng</t>
        </is>
      </c>
      <c r="D4" t="inlineStr">
        <is>
          <t>Chinese Skullcap</t>
        </is>
      </c>
      <c r="E4" t="n">
        <v>178</v>
      </c>
      <c r="F4" t="n">
        <v>12</v>
      </c>
      <c r="G4" t="n">
        <v>5</v>
      </c>
      <c r="H4" t="n">
        <v>0</v>
      </c>
      <c r="I4" t="n">
        <v>185</v>
      </c>
      <c r="J4" t="inlineStr">
        <is>
          <t>A</t>
        </is>
      </c>
      <c r="K4" t="inlineStr">
        <is>
          <t>cluster overlap</t>
        </is>
      </c>
      <c r="L4" t="inlineStr">
        <is>
          <t>Pass 55 intelligence scoring on expanded stack pool</t>
        </is>
      </c>
    </row>
    <row r="5">
      <c r="A5" t="inlineStr">
        <is>
          <t>Green Tea + Rhodiola + Arjuna</t>
        </is>
      </c>
      <c r="B5" t="inlineStr">
        <is>
          <t>Green Tea</t>
        </is>
      </c>
      <c r="C5" t="inlineStr">
        <is>
          <t>Rhodiola</t>
        </is>
      </c>
      <c r="D5" t="inlineStr">
        <is>
          <t>Arjuna</t>
        </is>
      </c>
      <c r="E5" t="n">
        <v>177</v>
      </c>
      <c r="F5" t="n">
        <v>10</v>
      </c>
      <c r="G5" t="n">
        <v>5</v>
      </c>
      <c r="H5" t="n">
        <v>0</v>
      </c>
      <c r="I5" t="n">
        <v>182</v>
      </c>
      <c r="J5" t="inlineStr">
        <is>
          <t>A</t>
        </is>
      </c>
      <c r="K5" t="inlineStr">
        <is>
          <t>cluster overlap</t>
        </is>
      </c>
      <c r="L5" t="inlineStr">
        <is>
          <t>Pass 55 intelligence scoring on expanded stack pool</t>
        </is>
      </c>
    </row>
    <row r="6">
      <c r="A6" t="inlineStr">
        <is>
          <t>Green Tea + Rhodiola + Epimedium</t>
        </is>
      </c>
      <c r="B6" t="inlineStr">
        <is>
          <t>Green Tea</t>
        </is>
      </c>
      <c r="C6" t="inlineStr">
        <is>
          <t>Rhodiola</t>
        </is>
      </c>
      <c r="D6" t="inlineStr">
        <is>
          <t>Epimedium</t>
        </is>
      </c>
      <c r="E6" t="n">
        <v>174</v>
      </c>
      <c r="F6" t="n">
        <v>14</v>
      </c>
      <c r="G6" t="n">
        <v>5</v>
      </c>
      <c r="H6" t="n">
        <v>2</v>
      </c>
      <c r="I6" t="n">
        <v>181</v>
      </c>
      <c r="J6" t="inlineStr">
        <is>
          <t>A</t>
        </is>
      </c>
      <c r="K6" t="inlineStr">
        <is>
          <t>cluster overlap</t>
        </is>
      </c>
      <c r="L6" t="inlineStr">
        <is>
          <t>Pass 55 intelligence scoring on expanded stack pool</t>
        </is>
      </c>
    </row>
    <row r="7">
      <c r="A7" t="inlineStr">
        <is>
          <t>Rhodiola + Panax Ginseng + Chinese Skullcap</t>
        </is>
      </c>
      <c r="B7" t="inlineStr">
        <is>
          <t>Rhodiola</t>
        </is>
      </c>
      <c r="C7" t="inlineStr">
        <is>
          <t>Panax Ginseng</t>
        </is>
      </c>
      <c r="D7" t="inlineStr">
        <is>
          <t>Chinese Skullcap</t>
        </is>
      </c>
      <c r="E7" t="n">
        <v>173</v>
      </c>
      <c r="F7" t="n">
        <v>14</v>
      </c>
      <c r="G7" t="n">
        <v>5</v>
      </c>
      <c r="H7" t="n">
        <v>0</v>
      </c>
      <c r="I7" t="n">
        <v>182</v>
      </c>
      <c r="J7" t="inlineStr">
        <is>
          <t>A</t>
        </is>
      </c>
      <c r="K7" t="inlineStr">
        <is>
          <t>cluster overlap</t>
        </is>
      </c>
      <c r="L7" t="inlineStr">
        <is>
          <t>Pass 55 intelligence scoring on expanded stack pool</t>
        </is>
      </c>
    </row>
    <row r="8">
      <c r="A8" t="inlineStr">
        <is>
          <t>Green Tea + Panax Ginseng + Arjuna</t>
        </is>
      </c>
      <c r="B8" t="inlineStr">
        <is>
          <t>Green Tea</t>
        </is>
      </c>
      <c r="C8" t="inlineStr">
        <is>
          <t>Panax Ginseng</t>
        </is>
      </c>
      <c r="D8" t="inlineStr">
        <is>
          <t>Arjuna</t>
        </is>
      </c>
      <c r="E8" t="n">
        <v>171</v>
      </c>
      <c r="F8" t="n">
        <v>8</v>
      </c>
      <c r="G8" t="n">
        <v>0</v>
      </c>
      <c r="H8" t="n">
        <v>0</v>
      </c>
      <c r="I8" t="n">
        <v>179</v>
      </c>
      <c r="J8" t="inlineStr">
        <is>
          <t>B</t>
        </is>
      </c>
      <c r="K8" t="inlineStr">
        <is>
          <t>strength-first stack</t>
        </is>
      </c>
      <c r="L8" t="inlineStr">
        <is>
          <t>Pass 55 intelligence scoring on expanded stack pool</t>
        </is>
      </c>
    </row>
    <row r="9">
      <c r="A9" t="inlineStr">
        <is>
          <t>Green Tea + Panax Ginseng + Epimedium</t>
        </is>
      </c>
      <c r="B9" t="inlineStr">
        <is>
          <t>Green Tea</t>
        </is>
      </c>
      <c r="C9" t="inlineStr">
        <is>
          <t>Panax Ginseng</t>
        </is>
      </c>
      <c r="D9" t="inlineStr">
        <is>
          <t>Epimedium</t>
        </is>
      </c>
      <c r="E9" t="n">
        <v>168</v>
      </c>
      <c r="F9" t="n">
        <v>12</v>
      </c>
      <c r="G9" t="n">
        <v>0</v>
      </c>
      <c r="H9" t="n">
        <v>2</v>
      </c>
      <c r="I9" t="n">
        <v>178</v>
      </c>
      <c r="J9" t="inlineStr">
        <is>
          <t>B</t>
        </is>
      </c>
      <c r="K9" t="inlineStr">
        <is>
          <t>strength-first stack</t>
        </is>
      </c>
      <c r="L9" t="inlineStr">
        <is>
          <t>Pass 55 intelligence scoring on expanded stack pool</t>
        </is>
      </c>
    </row>
    <row r="10">
      <c r="A10" t="inlineStr">
        <is>
          <t>Rhodiola + Panax Ginseng + Arjuna</t>
        </is>
      </c>
      <c r="B10" t="inlineStr">
        <is>
          <t>Rhodiola</t>
        </is>
      </c>
      <c r="C10" t="inlineStr">
        <is>
          <t>Panax Ginseng</t>
        </is>
      </c>
      <c r="D10" t="inlineStr">
        <is>
          <t>Arjuna</t>
        </is>
      </c>
      <c r="E10" t="n">
        <v>166</v>
      </c>
      <c r="F10" t="n">
        <v>10</v>
      </c>
      <c r="G10" t="n">
        <v>0</v>
      </c>
      <c r="H10" t="n">
        <v>0</v>
      </c>
      <c r="I10" t="n">
        <v>176</v>
      </c>
      <c r="J10" t="inlineStr">
        <is>
          <t>B</t>
        </is>
      </c>
      <c r="K10" t="inlineStr">
        <is>
          <t>strength-first stack</t>
        </is>
      </c>
      <c r="L10" t="inlineStr">
        <is>
          <t>Pass 55 intelligence scoring on expanded stack pool</t>
        </is>
      </c>
    </row>
    <row r="11">
      <c r="A11" t="inlineStr">
        <is>
          <t>Rhodiola + Panax Ginseng + Epimedium</t>
        </is>
      </c>
      <c r="B11" t="inlineStr">
        <is>
          <t>Rhodiola</t>
        </is>
      </c>
      <c r="C11" t="inlineStr">
        <is>
          <t>Panax Ginseng</t>
        </is>
      </c>
      <c r="D11" t="inlineStr">
        <is>
          <t>Epimedium</t>
        </is>
      </c>
      <c r="E11" t="n">
        <v>163</v>
      </c>
      <c r="F11" t="n">
        <v>14</v>
      </c>
      <c r="G11" t="n">
        <v>0</v>
      </c>
      <c r="H11" t="n">
        <v>2</v>
      </c>
      <c r="I11" t="n">
        <v>175</v>
      </c>
      <c r="J11" t="inlineStr">
        <is>
          <t>B</t>
        </is>
      </c>
      <c r="K11" t="inlineStr">
        <is>
          <t>strength-first stack</t>
        </is>
      </c>
      <c r="L11" t="inlineStr">
        <is>
          <t>Pass 55 intelligence scoring on expanded stack pool</t>
        </is>
      </c>
    </row>
    <row r="12">
      <c r="A12" t="inlineStr">
        <is>
          <t>Green Tea + Chinese Skullcap + Arjuna</t>
        </is>
      </c>
      <c r="B12" t="inlineStr">
        <is>
          <t>Green Tea</t>
        </is>
      </c>
      <c r="C12" t="inlineStr">
        <is>
          <t>Chinese Skullcap</t>
        </is>
      </c>
      <c r="D12" t="inlineStr">
        <is>
          <t>Arjuna</t>
        </is>
      </c>
      <c r="E12" t="n">
        <v>158</v>
      </c>
      <c r="F12" t="n">
        <v>18</v>
      </c>
      <c r="G12" t="n">
        <v>0</v>
      </c>
      <c r="H12" t="n">
        <v>0</v>
      </c>
      <c r="I12" t="n">
        <v>176</v>
      </c>
      <c r="J12" t="inlineStr">
        <is>
          <t>B</t>
        </is>
      </c>
      <c r="K12" t="inlineStr">
        <is>
          <t>good pathway spread</t>
        </is>
      </c>
      <c r="L12" t="inlineStr">
        <is>
          <t>Pass 55 intelligence scoring on expanded stack pool</t>
        </is>
      </c>
    </row>
    <row r="13">
      <c r="A13" t="inlineStr">
        <is>
          <t>Green Tea + Chinese Skullcap + Epimedium</t>
        </is>
      </c>
      <c r="B13" t="inlineStr">
        <is>
          <t>Green Tea</t>
        </is>
      </c>
      <c r="C13" t="inlineStr">
        <is>
          <t>Chinese Skullcap</t>
        </is>
      </c>
      <c r="D13" t="inlineStr">
        <is>
          <t>Epimedium</t>
        </is>
      </c>
      <c r="E13" t="n">
        <v>155</v>
      </c>
      <c r="F13" t="n">
        <v>22</v>
      </c>
      <c r="G13" t="n">
        <v>0</v>
      </c>
      <c r="H13" t="n">
        <v>2</v>
      </c>
      <c r="I13" t="n">
        <v>175</v>
      </c>
      <c r="J13" t="inlineStr">
        <is>
          <t>B</t>
        </is>
      </c>
      <c r="K13" t="inlineStr">
        <is>
          <t>good pathway spread</t>
        </is>
      </c>
      <c r="L13" t="inlineStr">
        <is>
          <t>Pass 55 intelligence scoring on expanded stack pool</t>
        </is>
      </c>
    </row>
    <row r="14">
      <c r="A14" t="inlineStr">
        <is>
          <t>Rhodiola + Chinese Skullcap + Arjuna</t>
        </is>
      </c>
      <c r="B14" t="inlineStr">
        <is>
          <t>Rhodiola</t>
        </is>
      </c>
      <c r="C14" t="inlineStr">
        <is>
          <t>Chinese Skullcap</t>
        </is>
      </c>
      <c r="D14" t="inlineStr">
        <is>
          <t>Arjuna</t>
        </is>
      </c>
      <c r="E14" t="n">
        <v>153</v>
      </c>
      <c r="F14" t="n">
        <v>25</v>
      </c>
      <c r="G14" t="n">
        <v>0</v>
      </c>
      <c r="H14" t="n">
        <v>0</v>
      </c>
      <c r="I14" t="n">
        <v>178</v>
      </c>
      <c r="J14" t="inlineStr">
        <is>
          <t>B</t>
        </is>
      </c>
      <c r="K14" t="inlineStr">
        <is>
          <t>good pathway spread; shared core mechanism</t>
        </is>
      </c>
      <c r="L14" t="inlineStr">
        <is>
          <t>Pass 55 intelligence scoring on expanded stack pool</t>
        </is>
      </c>
    </row>
    <row r="15">
      <c r="A15" t="inlineStr">
        <is>
          <t>Rhodiola + Chinese Skullcap + Epimedium</t>
        </is>
      </c>
      <c r="B15" t="inlineStr">
        <is>
          <t>Rhodiola</t>
        </is>
      </c>
      <c r="C15" t="inlineStr">
        <is>
          <t>Chinese Skullcap</t>
        </is>
      </c>
      <c r="D15" t="inlineStr">
        <is>
          <t>Epimedium</t>
        </is>
      </c>
      <c r="E15" t="n">
        <v>150</v>
      </c>
      <c r="F15" t="n">
        <v>29</v>
      </c>
      <c r="G15" t="n">
        <v>0</v>
      </c>
      <c r="H15" t="n">
        <v>2</v>
      </c>
      <c r="I15" t="n">
        <v>177</v>
      </c>
      <c r="J15" t="inlineStr">
        <is>
          <t>B</t>
        </is>
      </c>
      <c r="K15" t="inlineStr">
        <is>
          <t>good pathway spread; shared core mechanism</t>
        </is>
      </c>
      <c r="L15" t="inlineStr">
        <is>
          <t>Pass 55 intelligence scoring on expanded stack pool</t>
        </is>
      </c>
    </row>
    <row r="16">
      <c r="A16" t="inlineStr">
        <is>
          <t>Green Tea + Arjuna + Epimedium</t>
        </is>
      </c>
      <c r="B16" t="inlineStr">
        <is>
          <t>Green Tea</t>
        </is>
      </c>
      <c r="C16" t="inlineStr">
        <is>
          <t>Arjuna</t>
        </is>
      </c>
      <c r="D16" t="inlineStr">
        <is>
          <t>Epimedium</t>
        </is>
      </c>
      <c r="E16" t="n">
        <v>148</v>
      </c>
      <c r="F16" t="n">
        <v>18</v>
      </c>
      <c r="G16" t="n">
        <v>13</v>
      </c>
      <c r="H16" t="n">
        <v>2</v>
      </c>
      <c r="I16" t="n">
        <v>151</v>
      </c>
      <c r="J16" t="inlineStr">
        <is>
          <t>C</t>
        </is>
      </c>
      <c r="K16" t="inlineStr">
        <is>
          <t>good pathway spread; cluster overlap; category overlap</t>
        </is>
      </c>
      <c r="L16" t="inlineStr">
        <is>
          <t>Pass 55 intelligence scoring on expanded stack pool</t>
        </is>
      </c>
    </row>
    <row r="17">
      <c r="A17" t="inlineStr">
        <is>
          <t>Panax Ginseng + Chinese Skullcap + Arjuna</t>
        </is>
      </c>
      <c r="B17" t="inlineStr">
        <is>
          <t>Panax Ginseng</t>
        </is>
      </c>
      <c r="C17" t="inlineStr">
        <is>
          <t>Chinese Skullcap</t>
        </is>
      </c>
      <c r="D17" t="inlineStr">
        <is>
          <t>Arjuna</t>
        </is>
      </c>
      <c r="E17" t="n">
        <v>147</v>
      </c>
      <c r="F17" t="n">
        <v>18</v>
      </c>
      <c r="G17" t="n">
        <v>5</v>
      </c>
      <c r="H17" t="n">
        <v>0</v>
      </c>
      <c r="I17" t="n">
        <v>160</v>
      </c>
      <c r="J17" t="inlineStr">
        <is>
          <t>B</t>
        </is>
      </c>
      <c r="K17" t="inlineStr">
        <is>
          <t>good pathway spread; cluster overlap</t>
        </is>
      </c>
      <c r="L17" t="inlineStr">
        <is>
          <t>Pass 55 intelligence scoring on expanded stack pool</t>
        </is>
      </c>
    </row>
    <row r="18">
      <c r="A18" t="inlineStr">
        <is>
          <t>Panax Ginseng + Chinese Skullcap + Epimedium</t>
        </is>
      </c>
      <c r="B18" t="inlineStr">
        <is>
          <t>Panax Ginseng</t>
        </is>
      </c>
      <c r="C18" t="inlineStr">
        <is>
          <t>Chinese Skullcap</t>
        </is>
      </c>
      <c r="D18" t="inlineStr">
        <is>
          <t>Epimedium</t>
        </is>
      </c>
      <c r="E18" t="n">
        <v>144</v>
      </c>
      <c r="F18" t="n">
        <v>22</v>
      </c>
      <c r="G18" t="n">
        <v>5</v>
      </c>
      <c r="H18" t="n">
        <v>2</v>
      </c>
      <c r="I18" t="n">
        <v>159</v>
      </c>
      <c r="J18" t="inlineStr">
        <is>
          <t>B</t>
        </is>
      </c>
      <c r="K18" t="inlineStr">
        <is>
          <t>good pathway spread; cluster overlap</t>
        </is>
      </c>
      <c r="L18" t="inlineStr">
        <is>
          <t>Pass 55 intelligence scoring on expanded stack pool</t>
        </is>
      </c>
    </row>
    <row r="19">
      <c r="A19" t="inlineStr">
        <is>
          <t>Rhodiola + Arjuna + Epimedium</t>
        </is>
      </c>
      <c r="B19" t="inlineStr">
        <is>
          <t>Rhodiola</t>
        </is>
      </c>
      <c r="C19" t="inlineStr">
        <is>
          <t>Arjuna</t>
        </is>
      </c>
      <c r="D19" t="inlineStr">
        <is>
          <t>Epimedium</t>
        </is>
      </c>
      <c r="E19" t="n">
        <v>143</v>
      </c>
      <c r="F19" t="n">
        <v>25</v>
      </c>
      <c r="G19" t="n">
        <v>13</v>
      </c>
      <c r="H19" t="n">
        <v>2</v>
      </c>
      <c r="I19" t="n">
        <v>153</v>
      </c>
      <c r="J19" t="inlineStr">
        <is>
          <t>C</t>
        </is>
      </c>
      <c r="K19" t="inlineStr">
        <is>
          <t>good pathway spread; shared core mechanism; cluster overlap; category overlap</t>
        </is>
      </c>
      <c r="L19" t="inlineStr">
        <is>
          <t>Pass 55 intelligence scoring on expanded stack pool</t>
        </is>
      </c>
    </row>
    <row r="20">
      <c r="A20" t="inlineStr">
        <is>
          <t>Panax Ginseng + Arjuna + Epimedium</t>
        </is>
      </c>
      <c r="B20" t="inlineStr">
        <is>
          <t>Panax Ginseng</t>
        </is>
      </c>
      <c r="C20" t="inlineStr">
        <is>
          <t>Arjuna</t>
        </is>
      </c>
      <c r="D20" t="inlineStr">
        <is>
          <t>Epimedium</t>
        </is>
      </c>
      <c r="E20" t="n">
        <v>137</v>
      </c>
      <c r="F20" t="n">
        <v>18</v>
      </c>
      <c r="G20" t="n">
        <v>13</v>
      </c>
      <c r="H20" t="n">
        <v>2</v>
      </c>
      <c r="I20" t="n">
        <v>140</v>
      </c>
      <c r="J20" t="inlineStr">
        <is>
          <t>C</t>
        </is>
      </c>
      <c r="K20" t="inlineStr">
        <is>
          <t>good pathway spread; cluster overlap; category overlap</t>
        </is>
      </c>
      <c r="L20" t="inlineStr">
        <is>
          <t>Pass 55 intelligence scoring on expanded stack pool</t>
        </is>
      </c>
    </row>
    <row r="21">
      <c r="A21" t="inlineStr">
        <is>
          <t>Chinese Skullcap + Arjuna + Epimedium</t>
        </is>
      </c>
      <c r="B21" t="inlineStr">
        <is>
          <t>Chinese Skullcap</t>
        </is>
      </c>
      <c r="C21" t="inlineStr">
        <is>
          <t>Arjuna</t>
        </is>
      </c>
      <c r="D21" t="inlineStr">
        <is>
          <t>Epimedium</t>
        </is>
      </c>
      <c r="E21" t="n">
        <v>124</v>
      </c>
      <c r="F21" t="n">
        <v>33</v>
      </c>
      <c r="G21" t="n">
        <v>13</v>
      </c>
      <c r="H21" t="n">
        <v>2</v>
      </c>
      <c r="I21" t="n">
        <v>142</v>
      </c>
      <c r="J21" t="inlineStr">
        <is>
          <t>C</t>
        </is>
      </c>
      <c r="K21" t="inlineStr">
        <is>
          <t>broad pathway coverage; shared core mechanism; cluster overlap; category overlap</t>
        </is>
      </c>
      <c r="L21" t="inlineStr">
        <is>
          <t>Pass 55 intelligence scoring on expanded stack pool</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54</t>
        </is>
      </c>
    </row>
    <row r="3">
      <c r="A3" t="inlineStr">
        <is>
          <t>Top herbs considered</t>
        </is>
      </c>
      <c r="B3" t="n">
        <v>6</v>
      </c>
    </row>
    <row r="4">
      <c r="A4" t="inlineStr">
        <is>
          <t>Total combos generated</t>
        </is>
      </c>
      <c r="B4" t="n">
        <v>20</v>
      </c>
    </row>
    <row r="5">
      <c r="A5" t="inlineStr">
        <is>
          <t>Stacks kept</t>
        </is>
      </c>
      <c r="B5" t="n">
        <v>20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Rank</t>
        </is>
      </c>
      <c r="B1" t="inlineStr">
        <is>
          <t>Stack Name</t>
        </is>
      </c>
      <c r="C1" t="inlineStr">
        <is>
          <t>Herb A</t>
        </is>
      </c>
      <c r="D1" t="inlineStr">
        <is>
          <t>Herb B</t>
        </is>
      </c>
      <c r="E1" t="inlineStr">
        <is>
          <t>Herb C</t>
        </is>
      </c>
      <c r="F1" t="inlineStr">
        <is>
          <t>Base Stack Score</t>
        </is>
      </c>
      <c r="G1" t="inlineStr">
        <is>
          <t>Synergy Score V2</t>
        </is>
      </c>
      <c r="H1" t="inlineStr">
        <is>
          <t>Redundancy Penalty V2</t>
        </is>
      </c>
      <c r="I1" t="inlineStr">
        <is>
          <t>Safety Penalty V1</t>
        </is>
      </c>
      <c r="J1" t="inlineStr">
        <is>
          <t>Stack Intelligence Score V2</t>
        </is>
      </c>
      <c r="K1" t="inlineStr">
        <is>
          <t>Stack Tier V2</t>
        </is>
      </c>
      <c r="L1" t="inlineStr">
        <is>
          <t>Stack Intelligence Reason V2</t>
        </is>
      </c>
    </row>
    <row r="2">
      <c r="A2" t="n">
        <v>1</v>
      </c>
      <c r="B2" t="inlineStr">
        <is>
          <t>Green Tea + Rhodiola + Panax Ginseng</t>
        </is>
      </c>
      <c r="C2" t="inlineStr">
        <is>
          <t>Green Tea</t>
        </is>
      </c>
      <c r="D2" t="inlineStr">
        <is>
          <t>Rhodiola</t>
        </is>
      </c>
      <c r="E2" t="inlineStr">
        <is>
          <t>Panax Ginseng</t>
        </is>
      </c>
      <c r="F2" t="n">
        <v>197</v>
      </c>
      <c r="G2" t="n">
        <v>4</v>
      </c>
      <c r="H2" t="n">
        <v>5</v>
      </c>
      <c r="I2" t="n">
        <v>0</v>
      </c>
      <c r="J2" t="n">
        <v>196</v>
      </c>
      <c r="K2" t="inlineStr">
        <is>
          <t>A</t>
        </is>
      </c>
      <c r="L2" t="inlineStr">
        <is>
          <t>cluster overlap</t>
        </is>
      </c>
    </row>
    <row r="3">
      <c r="A3" t="n">
        <v>2</v>
      </c>
      <c r="B3" t="inlineStr">
        <is>
          <t>Green Tea + Rhodiola + Chinese Skullcap</t>
        </is>
      </c>
      <c r="C3" t="inlineStr">
        <is>
          <t>Green Tea</t>
        </is>
      </c>
      <c r="D3" t="inlineStr">
        <is>
          <t>Rhodiola</t>
        </is>
      </c>
      <c r="E3" t="inlineStr">
        <is>
          <t>Chinese Skullcap</t>
        </is>
      </c>
      <c r="F3" t="n">
        <v>184</v>
      </c>
      <c r="G3" t="n">
        <v>14</v>
      </c>
      <c r="H3" t="n">
        <v>5</v>
      </c>
      <c r="I3" t="n">
        <v>0</v>
      </c>
      <c r="J3" t="n">
        <v>193</v>
      </c>
      <c r="K3" t="inlineStr">
        <is>
          <t>A</t>
        </is>
      </c>
      <c r="L3" t="inlineStr">
        <is>
          <t>cluster overlap</t>
        </is>
      </c>
    </row>
    <row r="4">
      <c r="A4" t="n">
        <v>3</v>
      </c>
      <c r="B4" t="inlineStr">
        <is>
          <t>Green Tea + Panax Ginseng + Chinese Skullcap</t>
        </is>
      </c>
      <c r="C4" t="inlineStr">
        <is>
          <t>Green Tea</t>
        </is>
      </c>
      <c r="D4" t="inlineStr">
        <is>
          <t>Panax Ginseng</t>
        </is>
      </c>
      <c r="E4" t="inlineStr">
        <is>
          <t>Chinese Skullcap</t>
        </is>
      </c>
      <c r="F4" t="n">
        <v>178</v>
      </c>
      <c r="G4" t="n">
        <v>12</v>
      </c>
      <c r="H4" t="n">
        <v>5</v>
      </c>
      <c r="I4" t="n">
        <v>0</v>
      </c>
      <c r="J4" t="n">
        <v>185</v>
      </c>
      <c r="K4" t="inlineStr">
        <is>
          <t>A</t>
        </is>
      </c>
      <c r="L4" t="inlineStr">
        <is>
          <t>cluster overlap</t>
        </is>
      </c>
    </row>
    <row r="5">
      <c r="A5" t="n">
        <v>4</v>
      </c>
      <c r="B5" t="inlineStr">
        <is>
          <t>Green Tea + Rhodiola + Arjuna</t>
        </is>
      </c>
      <c r="C5" t="inlineStr">
        <is>
          <t>Green Tea</t>
        </is>
      </c>
      <c r="D5" t="inlineStr">
        <is>
          <t>Rhodiola</t>
        </is>
      </c>
      <c r="E5" t="inlineStr">
        <is>
          <t>Arjuna</t>
        </is>
      </c>
      <c r="F5" t="n">
        <v>177</v>
      </c>
      <c r="G5" t="n">
        <v>10</v>
      </c>
      <c r="H5" t="n">
        <v>5</v>
      </c>
      <c r="I5" t="n">
        <v>0</v>
      </c>
      <c r="J5" t="n">
        <v>182</v>
      </c>
      <c r="K5" t="inlineStr">
        <is>
          <t>A</t>
        </is>
      </c>
      <c r="L5" t="inlineStr">
        <is>
          <t>cluster overlap</t>
        </is>
      </c>
    </row>
    <row r="6">
      <c r="A6" t="n">
        <v>5</v>
      </c>
      <c r="B6" t="inlineStr">
        <is>
          <t>Rhodiola + Panax Ginseng + Chinese Skullcap</t>
        </is>
      </c>
      <c r="C6" t="inlineStr">
        <is>
          <t>Rhodiola</t>
        </is>
      </c>
      <c r="D6" t="inlineStr">
        <is>
          <t>Panax Ginseng</t>
        </is>
      </c>
      <c r="E6" t="inlineStr">
        <is>
          <t>Chinese Skullcap</t>
        </is>
      </c>
      <c r="F6" t="n">
        <v>173</v>
      </c>
      <c r="G6" t="n">
        <v>14</v>
      </c>
      <c r="H6" t="n">
        <v>5</v>
      </c>
      <c r="I6" t="n">
        <v>0</v>
      </c>
      <c r="J6" t="n">
        <v>182</v>
      </c>
      <c r="K6" t="inlineStr">
        <is>
          <t>A</t>
        </is>
      </c>
      <c r="L6" t="inlineStr">
        <is>
          <t>cluster overlap</t>
        </is>
      </c>
    </row>
    <row r="7">
      <c r="A7" t="n">
        <v>6</v>
      </c>
      <c r="B7" t="inlineStr">
        <is>
          <t>Green Tea + Rhodiola + Epimedium</t>
        </is>
      </c>
      <c r="C7" t="inlineStr">
        <is>
          <t>Green Tea</t>
        </is>
      </c>
      <c r="D7" t="inlineStr">
        <is>
          <t>Rhodiola</t>
        </is>
      </c>
      <c r="E7" t="inlineStr">
        <is>
          <t>Epimedium</t>
        </is>
      </c>
      <c r="F7" t="n">
        <v>174</v>
      </c>
      <c r="G7" t="n">
        <v>14</v>
      </c>
      <c r="H7" t="n">
        <v>5</v>
      </c>
      <c r="I7" t="n">
        <v>2</v>
      </c>
      <c r="J7" t="n">
        <v>181</v>
      </c>
      <c r="K7" t="inlineStr">
        <is>
          <t>A</t>
        </is>
      </c>
      <c r="L7" t="inlineStr">
        <is>
          <t>cluster overlap</t>
        </is>
      </c>
    </row>
    <row r="8">
      <c r="A8" t="n">
        <v>7</v>
      </c>
      <c r="B8" t="inlineStr">
        <is>
          <t>Green Tea + Panax Ginseng + Arjuna</t>
        </is>
      </c>
      <c r="C8" t="inlineStr">
        <is>
          <t>Green Tea</t>
        </is>
      </c>
      <c r="D8" t="inlineStr">
        <is>
          <t>Panax Ginseng</t>
        </is>
      </c>
      <c r="E8" t="inlineStr">
        <is>
          <t>Arjuna</t>
        </is>
      </c>
      <c r="F8" t="n">
        <v>171</v>
      </c>
      <c r="G8" t="n">
        <v>8</v>
      </c>
      <c r="H8" t="n">
        <v>0</v>
      </c>
      <c r="I8" t="n">
        <v>0</v>
      </c>
      <c r="J8" t="n">
        <v>179</v>
      </c>
      <c r="K8" t="inlineStr">
        <is>
          <t>B</t>
        </is>
      </c>
      <c r="L8" t="inlineStr">
        <is>
          <t>strength-first stack</t>
        </is>
      </c>
    </row>
    <row r="9">
      <c r="A9" t="n">
        <v>8</v>
      </c>
      <c r="B9" t="inlineStr">
        <is>
          <t>Green Tea + Panax Ginseng + Epimedium</t>
        </is>
      </c>
      <c r="C9" t="inlineStr">
        <is>
          <t>Green Tea</t>
        </is>
      </c>
      <c r="D9" t="inlineStr">
        <is>
          <t>Panax Ginseng</t>
        </is>
      </c>
      <c r="E9" t="inlineStr">
        <is>
          <t>Epimedium</t>
        </is>
      </c>
      <c r="F9" t="n">
        <v>168</v>
      </c>
      <c r="G9" t="n">
        <v>12</v>
      </c>
      <c r="H9" t="n">
        <v>0</v>
      </c>
      <c r="I9" t="n">
        <v>2</v>
      </c>
      <c r="J9" t="n">
        <v>178</v>
      </c>
      <c r="K9" t="inlineStr">
        <is>
          <t>B</t>
        </is>
      </c>
      <c r="L9" t="inlineStr">
        <is>
          <t>strength-first stack</t>
        </is>
      </c>
    </row>
    <row r="10">
      <c r="A10" t="n">
        <v>9</v>
      </c>
      <c r="B10" t="inlineStr">
        <is>
          <t>Rhodiola + Chinese Skullcap + Arjuna</t>
        </is>
      </c>
      <c r="C10" t="inlineStr">
        <is>
          <t>Rhodiola</t>
        </is>
      </c>
      <c r="D10" t="inlineStr">
        <is>
          <t>Chinese Skullcap</t>
        </is>
      </c>
      <c r="E10" t="inlineStr">
        <is>
          <t>Arjuna</t>
        </is>
      </c>
      <c r="F10" t="n">
        <v>153</v>
      </c>
      <c r="G10" t="n">
        <v>25</v>
      </c>
      <c r="H10" t="n">
        <v>0</v>
      </c>
      <c r="I10" t="n">
        <v>0</v>
      </c>
      <c r="J10" t="n">
        <v>178</v>
      </c>
      <c r="K10" t="inlineStr">
        <is>
          <t>B</t>
        </is>
      </c>
      <c r="L10" t="inlineStr">
        <is>
          <t>good pathway spread; shared core mechanism</t>
        </is>
      </c>
    </row>
    <row r="11">
      <c r="A11" t="n">
        <v>10</v>
      </c>
      <c r="B11" t="inlineStr">
        <is>
          <t>Rhodiola + Chinese Skullcap + Epimedium</t>
        </is>
      </c>
      <c r="C11" t="inlineStr">
        <is>
          <t>Rhodiola</t>
        </is>
      </c>
      <c r="D11" t="inlineStr">
        <is>
          <t>Chinese Skullcap</t>
        </is>
      </c>
      <c r="E11" t="inlineStr">
        <is>
          <t>Epimedium</t>
        </is>
      </c>
      <c r="F11" t="n">
        <v>150</v>
      </c>
      <c r="G11" t="n">
        <v>29</v>
      </c>
      <c r="H11" t="n">
        <v>0</v>
      </c>
      <c r="I11" t="n">
        <v>2</v>
      </c>
      <c r="J11" t="n">
        <v>177</v>
      </c>
      <c r="K11" t="inlineStr">
        <is>
          <t>B</t>
        </is>
      </c>
      <c r="L11" t="inlineStr">
        <is>
          <t>good pathway spread; shared core mechanism</t>
        </is>
      </c>
    </row>
    <row r="12">
      <c r="A12" t="n">
        <v>11</v>
      </c>
      <c r="B12" t="inlineStr">
        <is>
          <t>Rhodiola + Panax Ginseng + Arjuna</t>
        </is>
      </c>
      <c r="C12" t="inlineStr">
        <is>
          <t>Rhodiola</t>
        </is>
      </c>
      <c r="D12" t="inlineStr">
        <is>
          <t>Panax Ginseng</t>
        </is>
      </c>
      <c r="E12" t="inlineStr">
        <is>
          <t>Arjuna</t>
        </is>
      </c>
      <c r="F12" t="n">
        <v>166</v>
      </c>
      <c r="G12" t="n">
        <v>10</v>
      </c>
      <c r="H12" t="n">
        <v>0</v>
      </c>
      <c r="I12" t="n">
        <v>0</v>
      </c>
      <c r="J12" t="n">
        <v>176</v>
      </c>
      <c r="K12" t="inlineStr">
        <is>
          <t>B</t>
        </is>
      </c>
      <c r="L12" t="inlineStr">
        <is>
          <t>strength-first stack</t>
        </is>
      </c>
    </row>
    <row r="13">
      <c r="A13" t="n">
        <v>12</v>
      </c>
      <c r="B13" t="inlineStr">
        <is>
          <t>Green Tea + Chinese Skullcap + Arjuna</t>
        </is>
      </c>
      <c r="C13" t="inlineStr">
        <is>
          <t>Green Tea</t>
        </is>
      </c>
      <c r="D13" t="inlineStr">
        <is>
          <t>Chinese Skullcap</t>
        </is>
      </c>
      <c r="E13" t="inlineStr">
        <is>
          <t>Arjuna</t>
        </is>
      </c>
      <c r="F13" t="n">
        <v>158</v>
      </c>
      <c r="G13" t="n">
        <v>18</v>
      </c>
      <c r="H13" t="n">
        <v>0</v>
      </c>
      <c r="I13" t="n">
        <v>0</v>
      </c>
      <c r="J13" t="n">
        <v>176</v>
      </c>
      <c r="K13" t="inlineStr">
        <is>
          <t>B</t>
        </is>
      </c>
      <c r="L13" t="inlineStr">
        <is>
          <t>good pathway spread</t>
        </is>
      </c>
    </row>
    <row r="14">
      <c r="A14" t="n">
        <v>13</v>
      </c>
      <c r="B14" t="inlineStr">
        <is>
          <t>Rhodiola + Panax Ginseng + Epimedium</t>
        </is>
      </c>
      <c r="C14" t="inlineStr">
        <is>
          <t>Rhodiola</t>
        </is>
      </c>
      <c r="D14" t="inlineStr">
        <is>
          <t>Panax Ginseng</t>
        </is>
      </c>
      <c r="E14" t="inlineStr">
        <is>
          <t>Epimedium</t>
        </is>
      </c>
      <c r="F14" t="n">
        <v>163</v>
      </c>
      <c r="G14" t="n">
        <v>14</v>
      </c>
      <c r="H14" t="n">
        <v>0</v>
      </c>
      <c r="I14" t="n">
        <v>2</v>
      </c>
      <c r="J14" t="n">
        <v>175</v>
      </c>
      <c r="K14" t="inlineStr">
        <is>
          <t>B</t>
        </is>
      </c>
      <c r="L14" t="inlineStr">
        <is>
          <t>strength-first stack</t>
        </is>
      </c>
    </row>
    <row r="15">
      <c r="A15" t="n">
        <v>14</v>
      </c>
      <c r="B15" t="inlineStr">
        <is>
          <t>Green Tea + Chinese Skullcap + Epimedium</t>
        </is>
      </c>
      <c r="C15" t="inlineStr">
        <is>
          <t>Green Tea</t>
        </is>
      </c>
      <c r="D15" t="inlineStr">
        <is>
          <t>Chinese Skullcap</t>
        </is>
      </c>
      <c r="E15" t="inlineStr">
        <is>
          <t>Epimedium</t>
        </is>
      </c>
      <c r="F15" t="n">
        <v>155</v>
      </c>
      <c r="G15" t="n">
        <v>22</v>
      </c>
      <c r="H15" t="n">
        <v>0</v>
      </c>
      <c r="I15" t="n">
        <v>2</v>
      </c>
      <c r="J15" t="n">
        <v>175</v>
      </c>
      <c r="K15" t="inlineStr">
        <is>
          <t>B</t>
        </is>
      </c>
      <c r="L15" t="inlineStr">
        <is>
          <t>good pathway spread</t>
        </is>
      </c>
    </row>
    <row r="16">
      <c r="A16" t="n">
        <v>15</v>
      </c>
      <c r="B16" t="inlineStr">
        <is>
          <t>Panax Ginseng + Chinese Skullcap + Arjuna</t>
        </is>
      </c>
      <c r="C16" t="inlineStr">
        <is>
          <t>Panax Ginseng</t>
        </is>
      </c>
      <c r="D16" t="inlineStr">
        <is>
          <t>Chinese Skullcap</t>
        </is>
      </c>
      <c r="E16" t="inlineStr">
        <is>
          <t>Arjuna</t>
        </is>
      </c>
      <c r="F16" t="n">
        <v>147</v>
      </c>
      <c r="G16" t="n">
        <v>18</v>
      </c>
      <c r="H16" t="n">
        <v>5</v>
      </c>
      <c r="I16" t="n">
        <v>0</v>
      </c>
      <c r="J16" t="n">
        <v>160</v>
      </c>
      <c r="K16" t="inlineStr">
        <is>
          <t>B</t>
        </is>
      </c>
      <c r="L16" t="inlineStr">
        <is>
          <t>good pathway spread; cluster overlap</t>
        </is>
      </c>
    </row>
    <row r="17">
      <c r="A17" t="n">
        <v>16</v>
      </c>
      <c r="B17" t="inlineStr">
        <is>
          <t>Panax Ginseng + Chinese Skullcap + Epimedium</t>
        </is>
      </c>
      <c r="C17" t="inlineStr">
        <is>
          <t>Panax Ginseng</t>
        </is>
      </c>
      <c r="D17" t="inlineStr">
        <is>
          <t>Chinese Skullcap</t>
        </is>
      </c>
      <c r="E17" t="inlineStr">
        <is>
          <t>Epimedium</t>
        </is>
      </c>
      <c r="F17" t="n">
        <v>144</v>
      </c>
      <c r="G17" t="n">
        <v>22</v>
      </c>
      <c r="H17" t="n">
        <v>5</v>
      </c>
      <c r="I17" t="n">
        <v>2</v>
      </c>
      <c r="J17" t="n">
        <v>159</v>
      </c>
      <c r="K17" t="inlineStr">
        <is>
          <t>B</t>
        </is>
      </c>
      <c r="L17" t="inlineStr">
        <is>
          <t>good pathway spread; cluster overlap</t>
        </is>
      </c>
    </row>
    <row r="18">
      <c r="A18" t="n">
        <v>17</v>
      </c>
      <c r="B18" t="inlineStr">
        <is>
          <t>Rhodiola + Arjuna + Epimedium</t>
        </is>
      </c>
      <c r="C18" t="inlineStr">
        <is>
          <t>Rhodiola</t>
        </is>
      </c>
      <c r="D18" t="inlineStr">
        <is>
          <t>Arjuna</t>
        </is>
      </c>
      <c r="E18" t="inlineStr">
        <is>
          <t>Epimedium</t>
        </is>
      </c>
      <c r="F18" t="n">
        <v>143</v>
      </c>
      <c r="G18" t="n">
        <v>25</v>
      </c>
      <c r="H18" t="n">
        <v>13</v>
      </c>
      <c r="I18" t="n">
        <v>2</v>
      </c>
      <c r="J18" t="n">
        <v>153</v>
      </c>
      <c r="K18" t="inlineStr">
        <is>
          <t>C</t>
        </is>
      </c>
      <c r="L18" t="inlineStr">
        <is>
          <t>good pathway spread; shared core mechanism; cluster overlap; category overlap</t>
        </is>
      </c>
    </row>
    <row r="19">
      <c r="A19" t="n">
        <v>18</v>
      </c>
      <c r="B19" t="inlineStr">
        <is>
          <t>Green Tea + Arjuna + Epimedium</t>
        </is>
      </c>
      <c r="C19" t="inlineStr">
        <is>
          <t>Green Tea</t>
        </is>
      </c>
      <c r="D19" t="inlineStr">
        <is>
          <t>Arjuna</t>
        </is>
      </c>
      <c r="E19" t="inlineStr">
        <is>
          <t>Epimedium</t>
        </is>
      </c>
      <c r="F19" t="n">
        <v>148</v>
      </c>
      <c r="G19" t="n">
        <v>18</v>
      </c>
      <c r="H19" t="n">
        <v>13</v>
      </c>
      <c r="I19" t="n">
        <v>2</v>
      </c>
      <c r="J19" t="n">
        <v>151</v>
      </c>
      <c r="K19" t="inlineStr">
        <is>
          <t>C</t>
        </is>
      </c>
      <c r="L19" t="inlineStr">
        <is>
          <t>good pathway spread; cluster overlap; category overlap</t>
        </is>
      </c>
    </row>
    <row r="20">
      <c r="A20" t="n">
        <v>19</v>
      </c>
      <c r="B20" t="inlineStr">
        <is>
          <t>Chinese Skullcap + Arjuna + Epimedium</t>
        </is>
      </c>
      <c r="C20" t="inlineStr">
        <is>
          <t>Chinese Skullcap</t>
        </is>
      </c>
      <c r="D20" t="inlineStr">
        <is>
          <t>Arjuna</t>
        </is>
      </c>
      <c r="E20" t="inlineStr">
        <is>
          <t>Epimedium</t>
        </is>
      </c>
      <c r="F20" t="n">
        <v>124</v>
      </c>
      <c r="G20" t="n">
        <v>33</v>
      </c>
      <c r="H20" t="n">
        <v>13</v>
      </c>
      <c r="I20" t="n">
        <v>2</v>
      </c>
      <c r="J20" t="n">
        <v>142</v>
      </c>
      <c r="K20" t="inlineStr">
        <is>
          <t>C</t>
        </is>
      </c>
      <c r="L20" t="inlineStr">
        <is>
          <t>broad pathway coverage; shared core mechanism; cluster overlap; category overlap</t>
        </is>
      </c>
    </row>
    <row r="21">
      <c r="A21" t="n">
        <v>20</v>
      </c>
      <c r="B21" t="inlineStr">
        <is>
          <t>Panax Ginseng + Arjuna + Epimedium</t>
        </is>
      </c>
      <c r="C21" t="inlineStr">
        <is>
          <t>Panax Ginseng</t>
        </is>
      </c>
      <c r="D21" t="inlineStr">
        <is>
          <t>Arjuna</t>
        </is>
      </c>
      <c r="E21" t="inlineStr">
        <is>
          <t>Epimedium</t>
        </is>
      </c>
      <c r="F21" t="n">
        <v>137</v>
      </c>
      <c r="G21" t="n">
        <v>18</v>
      </c>
      <c r="H21" t="n">
        <v>13</v>
      </c>
      <c r="I21" t="n">
        <v>2</v>
      </c>
      <c r="J21" t="n">
        <v>140</v>
      </c>
      <c r="K21" t="inlineStr">
        <is>
          <t>C</t>
        </is>
      </c>
      <c r="L21" t="inlineStr">
        <is>
          <t>good pathway spread; cluster overlap; category overlap</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Rank</t>
        </is>
      </c>
      <c r="B1" t="inlineStr">
        <is>
          <t>Stack Name</t>
        </is>
      </c>
      <c r="C1" t="inlineStr">
        <is>
          <t>Herb A</t>
        </is>
      </c>
      <c r="D1" t="inlineStr">
        <is>
          <t>Herb B</t>
        </is>
      </c>
      <c r="E1" t="inlineStr">
        <is>
          <t>Herb C</t>
        </is>
      </c>
      <c r="F1" t="inlineStr">
        <is>
          <t>Stack Intelligence Score V2</t>
        </is>
      </c>
      <c r="G1" t="inlineStr">
        <is>
          <t>Stack Tier V2</t>
        </is>
      </c>
      <c r="H1" t="inlineStr">
        <is>
          <t>Why It Ranked</t>
        </is>
      </c>
    </row>
    <row r="2">
      <c r="A2" t="n">
        <v>1</v>
      </c>
      <c r="B2" t="inlineStr">
        <is>
          <t>Green Tea + Rhodiola + Panax Ginseng</t>
        </is>
      </c>
      <c r="C2" t="inlineStr">
        <is>
          <t>Green Tea</t>
        </is>
      </c>
      <c r="D2" t="inlineStr">
        <is>
          <t>Rhodiola</t>
        </is>
      </c>
      <c r="E2" t="inlineStr">
        <is>
          <t>Panax Ginseng</t>
        </is>
      </c>
      <c r="F2" t="n">
        <v>196</v>
      </c>
      <c r="G2" t="inlineStr">
        <is>
          <t>A</t>
        </is>
      </c>
      <c r="H2" t="inlineStr">
        <is>
          <t>cluster overlap</t>
        </is>
      </c>
    </row>
    <row r="3">
      <c r="A3" t="n">
        <v>2</v>
      </c>
      <c r="B3" t="inlineStr">
        <is>
          <t>Green Tea + Rhodiola + Chinese Skullcap</t>
        </is>
      </c>
      <c r="C3" t="inlineStr">
        <is>
          <t>Green Tea</t>
        </is>
      </c>
      <c r="D3" t="inlineStr">
        <is>
          <t>Rhodiola</t>
        </is>
      </c>
      <c r="E3" t="inlineStr">
        <is>
          <t>Chinese Skullcap</t>
        </is>
      </c>
      <c r="F3" t="n">
        <v>193</v>
      </c>
      <c r="G3" t="inlineStr">
        <is>
          <t>A</t>
        </is>
      </c>
      <c r="H3" t="inlineStr">
        <is>
          <t>cluster overlap</t>
        </is>
      </c>
    </row>
    <row r="4">
      <c r="A4" t="n">
        <v>3</v>
      </c>
      <c r="B4" t="inlineStr">
        <is>
          <t>Green Tea + Panax Ginseng + Chinese Skullcap</t>
        </is>
      </c>
      <c r="C4" t="inlineStr">
        <is>
          <t>Green Tea</t>
        </is>
      </c>
      <c r="D4" t="inlineStr">
        <is>
          <t>Panax Ginseng</t>
        </is>
      </c>
      <c r="E4" t="inlineStr">
        <is>
          <t>Chinese Skullcap</t>
        </is>
      </c>
      <c r="F4" t="n">
        <v>185</v>
      </c>
      <c r="G4" t="inlineStr">
        <is>
          <t>A</t>
        </is>
      </c>
      <c r="H4" t="inlineStr">
        <is>
          <t>cluster overlap</t>
        </is>
      </c>
    </row>
    <row r="5">
      <c r="A5" t="n">
        <v>4</v>
      </c>
      <c r="B5" t="inlineStr">
        <is>
          <t>Green Tea + Rhodiola + Arjuna</t>
        </is>
      </c>
      <c r="C5" t="inlineStr">
        <is>
          <t>Green Tea</t>
        </is>
      </c>
      <c r="D5" t="inlineStr">
        <is>
          <t>Rhodiola</t>
        </is>
      </c>
      <c r="E5" t="inlineStr">
        <is>
          <t>Arjuna</t>
        </is>
      </c>
      <c r="F5" t="n">
        <v>182</v>
      </c>
      <c r="G5" t="inlineStr">
        <is>
          <t>A</t>
        </is>
      </c>
      <c r="H5" t="inlineStr">
        <is>
          <t>cluster overlap</t>
        </is>
      </c>
    </row>
    <row r="6">
      <c r="A6" t="n">
        <v>5</v>
      </c>
      <c r="B6" t="inlineStr">
        <is>
          <t>Rhodiola + Panax Ginseng + Chinese Skullcap</t>
        </is>
      </c>
      <c r="C6" t="inlineStr">
        <is>
          <t>Rhodiola</t>
        </is>
      </c>
      <c r="D6" t="inlineStr">
        <is>
          <t>Panax Ginseng</t>
        </is>
      </c>
      <c r="E6" t="inlineStr">
        <is>
          <t>Chinese Skullcap</t>
        </is>
      </c>
      <c r="F6" t="n">
        <v>182</v>
      </c>
      <c r="G6" t="inlineStr">
        <is>
          <t>A</t>
        </is>
      </c>
      <c r="H6" t="inlineStr">
        <is>
          <t>cluster overlap</t>
        </is>
      </c>
    </row>
    <row r="7">
      <c r="A7" t="n">
        <v>6</v>
      </c>
      <c r="B7" t="inlineStr">
        <is>
          <t>Green Tea + Rhodiola + Epimedium</t>
        </is>
      </c>
      <c r="C7" t="inlineStr">
        <is>
          <t>Green Tea</t>
        </is>
      </c>
      <c r="D7" t="inlineStr">
        <is>
          <t>Rhodiola</t>
        </is>
      </c>
      <c r="E7" t="inlineStr">
        <is>
          <t>Epimedium</t>
        </is>
      </c>
      <c r="F7" t="n">
        <v>181</v>
      </c>
      <c r="G7" t="inlineStr">
        <is>
          <t>A</t>
        </is>
      </c>
      <c r="H7" t="inlineStr">
        <is>
          <t>cluster overlap</t>
        </is>
      </c>
    </row>
    <row r="8">
      <c r="A8" t="n">
        <v>7</v>
      </c>
      <c r="B8" t="inlineStr">
        <is>
          <t>Green Tea + Panax Ginseng + Arjuna</t>
        </is>
      </c>
      <c r="C8" t="inlineStr">
        <is>
          <t>Green Tea</t>
        </is>
      </c>
      <c r="D8" t="inlineStr">
        <is>
          <t>Panax Ginseng</t>
        </is>
      </c>
      <c r="E8" t="inlineStr">
        <is>
          <t>Arjuna</t>
        </is>
      </c>
      <c r="F8" t="n">
        <v>179</v>
      </c>
      <c r="G8" t="inlineStr">
        <is>
          <t>B</t>
        </is>
      </c>
      <c r="H8" t="inlineStr">
        <is>
          <t>strength-first stack</t>
        </is>
      </c>
    </row>
    <row r="9">
      <c r="A9" t="n">
        <v>8</v>
      </c>
      <c r="B9" t="inlineStr">
        <is>
          <t>Green Tea + Panax Ginseng + Epimedium</t>
        </is>
      </c>
      <c r="C9" t="inlineStr">
        <is>
          <t>Green Tea</t>
        </is>
      </c>
      <c r="D9" t="inlineStr">
        <is>
          <t>Panax Ginseng</t>
        </is>
      </c>
      <c r="E9" t="inlineStr">
        <is>
          <t>Epimedium</t>
        </is>
      </c>
      <c r="F9" t="n">
        <v>178</v>
      </c>
      <c r="G9" t="inlineStr">
        <is>
          <t>B</t>
        </is>
      </c>
      <c r="H9" t="inlineStr">
        <is>
          <t>strength-first stack</t>
        </is>
      </c>
    </row>
    <row r="10">
      <c r="A10" t="n">
        <v>9</v>
      </c>
      <c r="B10" t="inlineStr">
        <is>
          <t>Rhodiola + Chinese Skullcap + Arjuna</t>
        </is>
      </c>
      <c r="C10" t="inlineStr">
        <is>
          <t>Rhodiola</t>
        </is>
      </c>
      <c r="D10" t="inlineStr">
        <is>
          <t>Chinese Skullcap</t>
        </is>
      </c>
      <c r="E10" t="inlineStr">
        <is>
          <t>Arjuna</t>
        </is>
      </c>
      <c r="F10" t="n">
        <v>178</v>
      </c>
      <c r="G10" t="inlineStr">
        <is>
          <t>B</t>
        </is>
      </c>
      <c r="H10" t="inlineStr">
        <is>
          <t>good pathway spread; shared core mechanism</t>
        </is>
      </c>
    </row>
    <row r="11">
      <c r="A11" t="n">
        <v>10</v>
      </c>
      <c r="B11" t="inlineStr">
        <is>
          <t>Rhodiola + Chinese Skullcap + Epimedium</t>
        </is>
      </c>
      <c r="C11" t="inlineStr">
        <is>
          <t>Rhodiola</t>
        </is>
      </c>
      <c r="D11" t="inlineStr">
        <is>
          <t>Chinese Skullcap</t>
        </is>
      </c>
      <c r="E11" t="inlineStr">
        <is>
          <t>Epimedium</t>
        </is>
      </c>
      <c r="F11" t="n">
        <v>177</v>
      </c>
      <c r="G11" t="inlineStr">
        <is>
          <t>B</t>
        </is>
      </c>
      <c r="H11" t="inlineStr">
        <is>
          <t>good pathway spread; shared core mechanism</t>
        </is>
      </c>
    </row>
    <row r="12">
      <c r="A12" t="n">
        <v>11</v>
      </c>
      <c r="B12" t="inlineStr">
        <is>
          <t>Rhodiola + Panax Ginseng + Arjuna</t>
        </is>
      </c>
      <c r="C12" t="inlineStr">
        <is>
          <t>Rhodiola</t>
        </is>
      </c>
      <c r="D12" t="inlineStr">
        <is>
          <t>Panax Ginseng</t>
        </is>
      </c>
      <c r="E12" t="inlineStr">
        <is>
          <t>Arjuna</t>
        </is>
      </c>
      <c r="F12" t="n">
        <v>176</v>
      </c>
      <c r="G12" t="inlineStr">
        <is>
          <t>B</t>
        </is>
      </c>
      <c r="H12" t="inlineStr">
        <is>
          <t>strength-first stack</t>
        </is>
      </c>
    </row>
    <row r="13">
      <c r="A13" t="n">
        <v>12</v>
      </c>
      <c r="B13" t="inlineStr">
        <is>
          <t>Green Tea + Chinese Skullcap + Arjuna</t>
        </is>
      </c>
      <c r="C13" t="inlineStr">
        <is>
          <t>Green Tea</t>
        </is>
      </c>
      <c r="D13" t="inlineStr">
        <is>
          <t>Chinese Skullcap</t>
        </is>
      </c>
      <c r="E13" t="inlineStr">
        <is>
          <t>Arjuna</t>
        </is>
      </c>
      <c r="F13" t="n">
        <v>176</v>
      </c>
      <c r="G13" t="inlineStr">
        <is>
          <t>B</t>
        </is>
      </c>
      <c r="H13" t="inlineStr">
        <is>
          <t>good pathway spread</t>
        </is>
      </c>
    </row>
    <row r="14">
      <c r="A14" t="n">
        <v>13</v>
      </c>
      <c r="B14" t="inlineStr">
        <is>
          <t>Rhodiola + Panax Ginseng + Epimedium</t>
        </is>
      </c>
      <c r="C14" t="inlineStr">
        <is>
          <t>Rhodiola</t>
        </is>
      </c>
      <c r="D14" t="inlineStr">
        <is>
          <t>Panax Ginseng</t>
        </is>
      </c>
      <c r="E14" t="inlineStr">
        <is>
          <t>Epimedium</t>
        </is>
      </c>
      <c r="F14" t="n">
        <v>175</v>
      </c>
      <c r="G14" t="inlineStr">
        <is>
          <t>B</t>
        </is>
      </c>
      <c r="H14" t="inlineStr">
        <is>
          <t>strength-first stack</t>
        </is>
      </c>
    </row>
    <row r="15">
      <c r="A15" t="n">
        <v>14</v>
      </c>
      <c r="B15" t="inlineStr">
        <is>
          <t>Green Tea + Chinese Skullcap + Epimedium</t>
        </is>
      </c>
      <c r="C15" t="inlineStr">
        <is>
          <t>Green Tea</t>
        </is>
      </c>
      <c r="D15" t="inlineStr">
        <is>
          <t>Chinese Skullcap</t>
        </is>
      </c>
      <c r="E15" t="inlineStr">
        <is>
          <t>Epimedium</t>
        </is>
      </c>
      <c r="F15" t="n">
        <v>175</v>
      </c>
      <c r="G15" t="inlineStr">
        <is>
          <t>B</t>
        </is>
      </c>
      <c r="H15" t="inlineStr">
        <is>
          <t>good pathway spread</t>
        </is>
      </c>
    </row>
    <row r="16">
      <c r="A16" t="n">
        <v>15</v>
      </c>
      <c r="B16" t="inlineStr">
        <is>
          <t>Panax Ginseng + Chinese Skullcap + Arjuna</t>
        </is>
      </c>
      <c r="C16" t="inlineStr">
        <is>
          <t>Panax Ginseng</t>
        </is>
      </c>
      <c r="D16" t="inlineStr">
        <is>
          <t>Chinese Skullcap</t>
        </is>
      </c>
      <c r="E16" t="inlineStr">
        <is>
          <t>Arjuna</t>
        </is>
      </c>
      <c r="F16" t="n">
        <v>160</v>
      </c>
      <c r="G16" t="inlineStr">
        <is>
          <t>B</t>
        </is>
      </c>
      <c r="H16" t="inlineStr">
        <is>
          <t>good pathway spread; cluster overlap</t>
        </is>
      </c>
    </row>
    <row r="17">
      <c r="A17" t="n">
        <v>16</v>
      </c>
      <c r="B17" t="inlineStr">
        <is>
          <t>Panax Ginseng + Chinese Skullcap + Epimedium</t>
        </is>
      </c>
      <c r="C17" t="inlineStr">
        <is>
          <t>Panax Ginseng</t>
        </is>
      </c>
      <c r="D17" t="inlineStr">
        <is>
          <t>Chinese Skullcap</t>
        </is>
      </c>
      <c r="E17" t="inlineStr">
        <is>
          <t>Epimedium</t>
        </is>
      </c>
      <c r="F17" t="n">
        <v>159</v>
      </c>
      <c r="G17" t="inlineStr">
        <is>
          <t>B</t>
        </is>
      </c>
      <c r="H17" t="inlineStr">
        <is>
          <t>good pathway spread; cluster overlap</t>
        </is>
      </c>
    </row>
    <row r="18">
      <c r="A18" t="n">
        <v>17</v>
      </c>
      <c r="B18" t="inlineStr">
        <is>
          <t>Rhodiola + Arjuna + Epimedium</t>
        </is>
      </c>
      <c r="C18" t="inlineStr">
        <is>
          <t>Rhodiola</t>
        </is>
      </c>
      <c r="D18" t="inlineStr">
        <is>
          <t>Arjuna</t>
        </is>
      </c>
      <c r="E18" t="inlineStr">
        <is>
          <t>Epimedium</t>
        </is>
      </c>
      <c r="F18" t="n">
        <v>153</v>
      </c>
      <c r="G18" t="inlineStr">
        <is>
          <t>C</t>
        </is>
      </c>
      <c r="H18" t="inlineStr">
        <is>
          <t>good pathway spread; shared core mechanism; cluster overlap; category overlap</t>
        </is>
      </c>
    </row>
    <row r="19">
      <c r="A19" t="n">
        <v>18</v>
      </c>
      <c r="B19" t="inlineStr">
        <is>
          <t>Green Tea + Arjuna + Epimedium</t>
        </is>
      </c>
      <c r="C19" t="inlineStr">
        <is>
          <t>Green Tea</t>
        </is>
      </c>
      <c r="D19" t="inlineStr">
        <is>
          <t>Arjuna</t>
        </is>
      </c>
      <c r="E19" t="inlineStr">
        <is>
          <t>Epimedium</t>
        </is>
      </c>
      <c r="F19" t="n">
        <v>151</v>
      </c>
      <c r="G19" t="inlineStr">
        <is>
          <t>C</t>
        </is>
      </c>
      <c r="H19" t="inlineStr">
        <is>
          <t>good pathway spread; cluster overlap; category overlap</t>
        </is>
      </c>
    </row>
    <row r="20">
      <c r="A20" t="n">
        <v>19</v>
      </c>
      <c r="B20" t="inlineStr">
        <is>
          <t>Chinese Skullcap + Arjuna + Epimedium</t>
        </is>
      </c>
      <c r="C20" t="inlineStr">
        <is>
          <t>Chinese Skullcap</t>
        </is>
      </c>
      <c r="D20" t="inlineStr">
        <is>
          <t>Arjuna</t>
        </is>
      </c>
      <c r="E20" t="inlineStr">
        <is>
          <t>Epimedium</t>
        </is>
      </c>
      <c r="F20" t="n">
        <v>142</v>
      </c>
      <c r="G20" t="inlineStr">
        <is>
          <t>C</t>
        </is>
      </c>
      <c r="H20" t="inlineStr">
        <is>
          <t>broad pathway coverage; shared core mechanism; cluster overlap; category overlap</t>
        </is>
      </c>
    </row>
    <row r="21">
      <c r="A21" t="n">
        <v>20</v>
      </c>
      <c r="B21" t="inlineStr">
        <is>
          <t>Panax Ginseng + Arjuna + Epimedium</t>
        </is>
      </c>
      <c r="C21" t="inlineStr">
        <is>
          <t>Panax Ginseng</t>
        </is>
      </c>
      <c r="D21" t="inlineStr">
        <is>
          <t>Arjuna</t>
        </is>
      </c>
      <c r="E21" t="inlineStr">
        <is>
          <t>Epimedium</t>
        </is>
      </c>
      <c r="F21" t="n">
        <v>140</v>
      </c>
      <c r="G21" t="inlineStr">
        <is>
          <t>C</t>
        </is>
      </c>
      <c r="H21" t="inlineStr">
        <is>
          <t>good pathway spread; cluster overlap; category overlap</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55</t>
        </is>
      </c>
    </row>
    <row r="3">
      <c r="A3" t="inlineStr">
        <is>
          <t>Focus</t>
        </is>
      </c>
      <c r="B3" t="inlineStr">
        <is>
          <t>Intelligence scoring on expanded stack pool</t>
        </is>
      </c>
    </row>
    <row r="4">
      <c r="A4" t="inlineStr">
        <is>
          <t>Stacks analyzed</t>
        </is>
      </c>
      <c r="B4" t="n">
        <v>20</v>
      </c>
    </row>
    <row r="5">
      <c r="A5" t="inlineStr">
        <is>
          <t>A-tier stacks</t>
        </is>
      </c>
      <c r="B5" t="n">
        <v>6</v>
      </c>
    </row>
    <row r="6">
      <c r="A6" t="inlineStr">
        <is>
          <t>B-tier stacks</t>
        </is>
      </c>
      <c r="B6" t="n">
        <v>10</v>
      </c>
    </row>
    <row r="7">
      <c r="A7" t="inlineStr">
        <is>
          <t>C-tier stacks</t>
        </is>
      </c>
      <c r="B7" t="n">
        <v>4</v>
      </c>
    </row>
    <row r="8">
      <c r="A8" t="inlineStr">
        <is>
          <t>D-tier stacks</t>
        </is>
      </c>
      <c r="B8" t="n">
        <v>0</v>
      </c>
    </row>
    <row r="9">
      <c r="A9" t="inlineStr">
        <is>
          <t>Top stack</t>
        </is>
      </c>
      <c r="B9" t="inlineStr">
        <is>
          <t>Green Tea + Rhodiola + Panax Ginseng</t>
        </is>
      </c>
    </row>
    <row r="10">
      <c r="A10" t="inlineStr">
        <is>
          <t>Top stack intelligence score</t>
        </is>
      </c>
      <c r="B10" t="n">
        <v>196</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Category</t>
        </is>
      </c>
      <c r="B1" t="inlineStr">
        <is>
          <t>Rank</t>
        </is>
      </c>
      <c r="C1" t="inlineStr">
        <is>
          <t>Stack Name</t>
        </is>
      </c>
      <c r="D1" t="inlineStr">
        <is>
          <t>Herb A</t>
        </is>
      </c>
      <c r="E1" t="inlineStr">
        <is>
          <t>Herb B</t>
        </is>
      </c>
      <c r="F1" t="inlineStr">
        <is>
          <t>Herb C</t>
        </is>
      </c>
      <c r="G1" t="inlineStr">
        <is>
          <t>Score</t>
        </is>
      </c>
      <c r="H1" t="inlineStr">
        <is>
          <t>Tier</t>
        </is>
      </c>
    </row>
    <row r="2">
      <c r="A2" t="inlineStr">
        <is>
          <t>Energy / Adaptogen</t>
        </is>
      </c>
      <c r="B2" t="n">
        <v>1</v>
      </c>
      <c r="C2" t="inlineStr">
        <is>
          <t>Green Tea + Rhodiola + Panax Ginseng</t>
        </is>
      </c>
      <c r="D2" t="inlineStr">
        <is>
          <t>Green Tea</t>
        </is>
      </c>
      <c r="E2" t="inlineStr">
        <is>
          <t>Rhodiola</t>
        </is>
      </c>
      <c r="F2" t="inlineStr">
        <is>
          <t>Panax Ginseng</t>
        </is>
      </c>
      <c r="G2" t="n">
        <v>196</v>
      </c>
      <c r="H2" t="inlineStr">
        <is>
          <t>A</t>
        </is>
      </c>
    </row>
    <row r="3">
      <c r="A3" t="inlineStr">
        <is>
          <t>Energy / Adaptogen</t>
        </is>
      </c>
      <c r="B3" t="n">
        <v>2</v>
      </c>
      <c r="C3" t="inlineStr">
        <is>
          <t>Green Tea + Rhodiola + Chinese Skullcap</t>
        </is>
      </c>
      <c r="D3" t="inlineStr">
        <is>
          <t>Green Tea</t>
        </is>
      </c>
      <c r="E3" t="inlineStr">
        <is>
          <t>Rhodiola</t>
        </is>
      </c>
      <c r="F3" t="inlineStr">
        <is>
          <t>Chinese Skullcap</t>
        </is>
      </c>
      <c r="G3" t="n">
        <v>193</v>
      </c>
      <c r="H3" t="inlineStr">
        <is>
          <t>A</t>
        </is>
      </c>
    </row>
    <row r="4">
      <c r="A4" t="inlineStr">
        <is>
          <t>Energy / Adaptogen</t>
        </is>
      </c>
      <c r="B4" t="n">
        <v>3</v>
      </c>
      <c r="C4" t="inlineStr">
        <is>
          <t>Green Tea + Panax Ginseng + Chinese Skullcap</t>
        </is>
      </c>
      <c r="D4" t="inlineStr">
        <is>
          <t>Green Tea</t>
        </is>
      </c>
      <c r="E4" t="inlineStr">
        <is>
          <t>Panax Ginseng</t>
        </is>
      </c>
      <c r="F4" t="inlineStr">
        <is>
          <t>Chinese Skullcap</t>
        </is>
      </c>
      <c r="G4" t="n">
        <v>185</v>
      </c>
      <c r="H4" t="inlineStr">
        <is>
          <t>A</t>
        </is>
      </c>
    </row>
    <row r="5">
      <c r="A5" t="inlineStr">
        <is>
          <t>Energy / Adaptogen</t>
        </is>
      </c>
      <c r="B5" t="n">
        <v>4</v>
      </c>
      <c r="C5" t="inlineStr">
        <is>
          <t>Green Tea + Rhodiola + Arjuna</t>
        </is>
      </c>
      <c r="D5" t="inlineStr">
        <is>
          <t>Green Tea</t>
        </is>
      </c>
      <c r="E5" t="inlineStr">
        <is>
          <t>Rhodiola</t>
        </is>
      </c>
      <c r="F5" t="inlineStr">
        <is>
          <t>Arjuna</t>
        </is>
      </c>
      <c r="G5" t="n">
        <v>182</v>
      </c>
      <c r="H5" t="inlineStr">
        <is>
          <t>A</t>
        </is>
      </c>
    </row>
    <row r="6">
      <c r="A6" t="inlineStr">
        <is>
          <t>Energy / Adaptogen</t>
        </is>
      </c>
      <c r="B6" t="n">
        <v>5</v>
      </c>
      <c r="C6" t="inlineStr">
        <is>
          <t>Rhodiola + Panax Ginseng + Chinese Skullcap</t>
        </is>
      </c>
      <c r="D6" t="inlineStr">
        <is>
          <t>Rhodiola</t>
        </is>
      </c>
      <c r="E6" t="inlineStr">
        <is>
          <t>Panax Ginseng</t>
        </is>
      </c>
      <c r="F6" t="inlineStr">
        <is>
          <t>Chinese Skullcap</t>
        </is>
      </c>
      <c r="G6" t="n">
        <v>182</v>
      </c>
      <c r="H6" t="inlineStr">
        <is>
          <t>A</t>
        </is>
      </c>
    </row>
    <row r="7">
      <c r="A7" t="inlineStr">
        <is>
          <t>Energy / Adaptogen</t>
        </is>
      </c>
      <c r="B7" t="n">
        <v>6</v>
      </c>
      <c r="C7" t="inlineStr">
        <is>
          <t>Green Tea + Rhodiola + Epimedium</t>
        </is>
      </c>
      <c r="D7" t="inlineStr">
        <is>
          <t>Green Tea</t>
        </is>
      </c>
      <c r="E7" t="inlineStr">
        <is>
          <t>Rhodiola</t>
        </is>
      </c>
      <c r="F7" t="inlineStr">
        <is>
          <t>Epimedium</t>
        </is>
      </c>
      <c r="G7" t="n">
        <v>181</v>
      </c>
      <c r="H7" t="inlineStr">
        <is>
          <t>A</t>
        </is>
      </c>
    </row>
    <row r="8">
      <c r="A8" t="inlineStr">
        <is>
          <t>Energy / Adaptogen</t>
        </is>
      </c>
      <c r="B8" t="n">
        <v>7</v>
      </c>
      <c r="C8" t="inlineStr">
        <is>
          <t>Green Tea + Panax Ginseng + Arjuna</t>
        </is>
      </c>
      <c r="D8" t="inlineStr">
        <is>
          <t>Green Tea</t>
        </is>
      </c>
      <c r="E8" t="inlineStr">
        <is>
          <t>Panax Ginseng</t>
        </is>
      </c>
      <c r="F8" t="inlineStr">
        <is>
          <t>Arjuna</t>
        </is>
      </c>
      <c r="G8" t="n">
        <v>179</v>
      </c>
      <c r="H8" t="inlineStr">
        <is>
          <t>B</t>
        </is>
      </c>
    </row>
    <row r="9">
      <c r="A9" t="inlineStr">
        <is>
          <t>Energy / Adaptogen</t>
        </is>
      </c>
      <c r="B9" t="n">
        <v>8</v>
      </c>
      <c r="C9" t="inlineStr">
        <is>
          <t>Green Tea + Panax Ginseng + Epimedium</t>
        </is>
      </c>
      <c r="D9" t="inlineStr">
        <is>
          <t>Green Tea</t>
        </is>
      </c>
      <c r="E9" t="inlineStr">
        <is>
          <t>Panax Ginseng</t>
        </is>
      </c>
      <c r="F9" t="inlineStr">
        <is>
          <t>Epimedium</t>
        </is>
      </c>
      <c r="G9" t="n">
        <v>178</v>
      </c>
      <c r="H9" t="inlineStr">
        <is>
          <t>B</t>
        </is>
      </c>
    </row>
    <row r="10">
      <c r="A10" t="inlineStr">
        <is>
          <t>Energy / Adaptogen</t>
        </is>
      </c>
      <c r="B10" t="n">
        <v>9</v>
      </c>
      <c r="C10" t="inlineStr">
        <is>
          <t>Rhodiola + Chinese Skullcap + Arjuna</t>
        </is>
      </c>
      <c r="D10" t="inlineStr">
        <is>
          <t>Rhodiola</t>
        </is>
      </c>
      <c r="E10" t="inlineStr">
        <is>
          <t>Chinese Skullcap</t>
        </is>
      </c>
      <c r="F10" t="inlineStr">
        <is>
          <t>Arjuna</t>
        </is>
      </c>
      <c r="G10" t="n">
        <v>178</v>
      </c>
      <c r="H10" t="inlineStr">
        <is>
          <t>B</t>
        </is>
      </c>
    </row>
    <row r="11">
      <c r="A11" t="inlineStr">
        <is>
          <t>Energy / Adaptogen</t>
        </is>
      </c>
      <c r="B11" t="n">
        <v>10</v>
      </c>
      <c r="C11" t="inlineStr">
        <is>
          <t>Rhodiola + Chinese Skullcap + Epimedium</t>
        </is>
      </c>
      <c r="D11" t="inlineStr">
        <is>
          <t>Rhodiola</t>
        </is>
      </c>
      <c r="E11" t="inlineStr">
        <is>
          <t>Chinese Skullcap</t>
        </is>
      </c>
      <c r="F11" t="inlineStr">
        <is>
          <t>Epimedium</t>
        </is>
      </c>
      <c r="G11" t="n">
        <v>177</v>
      </c>
      <c r="H11" t="inlineStr">
        <is>
          <t>B</t>
        </is>
      </c>
    </row>
    <row r="12">
      <c r="A12" t="inlineStr">
        <is>
          <t>Focus / Metabolic</t>
        </is>
      </c>
      <c r="B12" t="n">
        <v>1</v>
      </c>
      <c r="C12" t="inlineStr">
        <is>
          <t>Green Tea + Chinese Skullcap + Arjuna</t>
        </is>
      </c>
      <c r="D12" t="inlineStr">
        <is>
          <t>Green Tea</t>
        </is>
      </c>
      <c r="E12" t="inlineStr">
        <is>
          <t>Chinese Skullcap</t>
        </is>
      </c>
      <c r="F12" t="inlineStr">
        <is>
          <t>Arjuna</t>
        </is>
      </c>
      <c r="G12" t="n">
        <v>176</v>
      </c>
      <c r="H12" t="inlineStr">
        <is>
          <t>B</t>
        </is>
      </c>
    </row>
    <row r="13">
      <c r="A13" t="inlineStr">
        <is>
          <t>Focus / Metabolic</t>
        </is>
      </c>
      <c r="B13" t="n">
        <v>2</v>
      </c>
      <c r="C13" t="inlineStr">
        <is>
          <t>Green Tea + Chinese Skullcap + Epimedium</t>
        </is>
      </c>
      <c r="D13" t="inlineStr">
        <is>
          <t>Green Tea</t>
        </is>
      </c>
      <c r="E13" t="inlineStr">
        <is>
          <t>Chinese Skullcap</t>
        </is>
      </c>
      <c r="F13" t="inlineStr">
        <is>
          <t>Epimedium</t>
        </is>
      </c>
      <c r="G13" t="n">
        <v>175</v>
      </c>
      <c r="H13" t="inlineStr">
        <is>
          <t>B</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Metric</t>
        </is>
      </c>
      <c r="B1" t="inlineStr">
        <is>
          <t>Value</t>
        </is>
      </c>
    </row>
    <row r="2">
      <c r="A2" t="inlineStr">
        <is>
          <t>Pass</t>
        </is>
      </c>
      <c r="B2" t="inlineStr">
        <is>
          <t>56</t>
        </is>
      </c>
    </row>
    <row r="3">
      <c r="A3" t="inlineStr">
        <is>
          <t>Categories created</t>
        </is>
      </c>
      <c r="B3" t="n">
        <v>2</v>
      </c>
    </row>
    <row r="4">
      <c r="A4" t="inlineStr">
        <is>
          <t>Total publishable stacks</t>
        </is>
      </c>
      <c r="B4" t="n">
        <v>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2026-04-11T17:49:59Z</dcterms:created>
  <dcterms:modified xmlns:dcterms="http://purl.org/dc/terms/" xmlns:xsi="http://www.w3.org/2001/XMLSchema-instance" xsi:type="dcterms:W3CDTF">2026-04-12T00:35:57Z</dcterms:modified>
</cp:coreProperties>
</file>